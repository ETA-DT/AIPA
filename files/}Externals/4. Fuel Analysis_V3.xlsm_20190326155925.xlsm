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195" windowWidth="18105" windowHeight="9540" tabRatio="745"/>
  </bookViews>
  <sheets>
    <sheet name="Context" sheetId="61" r:id="rId1"/>
    <sheet name="Country" sheetId="65" r:id="rId2"/>
    <sheet name="Total" sheetId="66" state="hidden" r:id="rId3"/>
  </sheets>
  <definedNames>
    <definedName name="_Order1" hidden="1">255</definedName>
    <definedName name="_Order2" hidden="1">255</definedName>
    <definedName name="Activity_1">Context!$E$20</definedName>
    <definedName name="Activity_2">Context!$F$20</definedName>
    <definedName name="Activity_3">Context!$G$20</definedName>
    <definedName name="Actual_Month">Context!$E$64</definedName>
    <definedName name="Country">Context!$E$7</definedName>
    <definedName name="Cube">Context!$E$5</definedName>
    <definedName name="Devise">Context!$E$9</definedName>
    <definedName name="Gaap">Context!$E$13</definedName>
    <definedName name="Integration_Rate">Context!$E$22</definedName>
    <definedName name="Language">Context!$E$11</definedName>
    <definedName name="Local_Gaap_Mgmt_tool">Context!$E$21:$E$24</definedName>
    <definedName name="Management_Organization">Context!$E$24</definedName>
    <definedName name="PriorYear">Context!$E$65</definedName>
    <definedName name="TM1REBUILDOPTION">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E64" i="61" l="1"/>
  <c r="E16" i="61"/>
  <c r="E65" i="61"/>
  <c r="G17" i="61"/>
  <c r="G16" i="61"/>
  <c r="F16" i="61"/>
  <c r="E13" i="61"/>
  <c r="G42" i="61"/>
  <c r="F42" i="61"/>
  <c r="E42" i="61"/>
  <c r="E41" i="61"/>
  <c r="E20" i="61"/>
  <c r="F6" i="65"/>
  <c r="E22" i="61"/>
  <c r="B6" i="65"/>
  <c r="F7" i="65"/>
  <c r="E24" i="61"/>
  <c r="B9" i="65"/>
  <c r="F4" i="65"/>
  <c r="F5" i="65"/>
  <c r="B3" i="65"/>
  <c r="F28" i="65"/>
  <c r="F30" i="65"/>
  <c r="F31" i="65"/>
  <c r="D30" i="65"/>
  <c r="D28" i="65"/>
  <c r="E9" i="61"/>
  <c r="L8" i="66"/>
  <c r="B4" i="66"/>
  <c r="B6" i="66"/>
  <c r="B8" i="66"/>
  <c r="N4" i="66"/>
  <c r="N5" i="66"/>
  <c r="L6" i="66"/>
  <c r="M6" i="66"/>
  <c r="N6" i="66"/>
  <c r="B3" i="66"/>
  <c r="N59" i="66"/>
  <c r="M4" i="66"/>
  <c r="M5" i="66"/>
  <c r="M59" i="66"/>
  <c r="L4" i="66"/>
  <c r="L5" i="66"/>
  <c r="L59" i="66"/>
  <c r="N58" i="66"/>
  <c r="M58" i="66"/>
  <c r="L58" i="66"/>
  <c r="N57" i="66"/>
  <c r="M57" i="66"/>
  <c r="L57" i="66"/>
  <c r="N56" i="66"/>
  <c r="M56" i="66"/>
  <c r="L56" i="66"/>
  <c r="N55" i="66"/>
  <c r="M55" i="66"/>
  <c r="L55" i="66"/>
  <c r="N54" i="66"/>
  <c r="M54" i="66"/>
  <c r="L54" i="66"/>
  <c r="N53" i="66"/>
  <c r="M53" i="66"/>
  <c r="L53" i="66"/>
  <c r="N52" i="66"/>
  <c r="M52" i="66"/>
  <c r="L52" i="66"/>
  <c r="N51" i="66"/>
  <c r="M51" i="66"/>
  <c r="L51" i="66"/>
  <c r="N50" i="66"/>
  <c r="M50" i="66"/>
  <c r="L50" i="66"/>
  <c r="N49" i="66"/>
  <c r="M49" i="66"/>
  <c r="L49" i="66"/>
  <c r="N48" i="66"/>
  <c r="M48" i="66"/>
  <c r="L48" i="66"/>
  <c r="N47" i="66"/>
  <c r="M47" i="66"/>
  <c r="L47" i="66"/>
  <c r="N46" i="66"/>
  <c r="M46" i="66"/>
  <c r="L46" i="66"/>
  <c r="N45" i="66"/>
  <c r="M45" i="66"/>
  <c r="L45" i="66"/>
  <c r="N44" i="66"/>
  <c r="M44" i="66"/>
  <c r="L44" i="66"/>
  <c r="N43" i="66"/>
  <c r="M43" i="66"/>
  <c r="L43" i="66"/>
  <c r="N42" i="66"/>
  <c r="M42" i="66"/>
  <c r="L42" i="66"/>
  <c r="N41" i="66"/>
  <c r="M41" i="66"/>
  <c r="L41" i="66"/>
  <c r="N40" i="66"/>
  <c r="M40" i="66"/>
  <c r="L40" i="66"/>
  <c r="N39" i="66"/>
  <c r="M39" i="66"/>
  <c r="L39" i="66"/>
  <c r="N38" i="66"/>
  <c r="M38" i="66"/>
  <c r="L38" i="66"/>
  <c r="N37" i="66"/>
  <c r="M37" i="66"/>
  <c r="L37" i="66"/>
  <c r="N36" i="66"/>
  <c r="M36" i="66"/>
  <c r="L36" i="66"/>
  <c r="N35" i="66"/>
  <c r="M35" i="66"/>
  <c r="L35" i="66"/>
  <c r="N34" i="66"/>
  <c r="M34" i="66"/>
  <c r="L34" i="66"/>
  <c r="N33" i="66"/>
  <c r="M33" i="66"/>
  <c r="L33" i="66"/>
  <c r="N32" i="66"/>
  <c r="M32" i="66"/>
  <c r="L32" i="66"/>
  <c r="N31" i="66"/>
  <c r="M31" i="66"/>
  <c r="L31" i="66"/>
  <c r="N30" i="66"/>
  <c r="M30" i="66"/>
  <c r="L30" i="66"/>
  <c r="N29" i="66"/>
  <c r="M29" i="66"/>
  <c r="L29" i="66"/>
  <c r="N28" i="66"/>
  <c r="M28" i="66"/>
  <c r="L28" i="66"/>
  <c r="N27" i="66"/>
  <c r="M27" i="66"/>
  <c r="L27" i="66"/>
  <c r="N26" i="66"/>
  <c r="M26" i="66"/>
  <c r="L26" i="66"/>
  <c r="N25" i="66"/>
  <c r="M25" i="66"/>
  <c r="L25" i="66"/>
  <c r="N23" i="66"/>
  <c r="M23" i="66"/>
  <c r="L23" i="66"/>
  <c r="N22" i="66"/>
  <c r="M22" i="66"/>
  <c r="L22" i="66"/>
  <c r="N21" i="66"/>
  <c r="M21" i="66"/>
  <c r="L21" i="66"/>
  <c r="N20" i="66"/>
  <c r="M20" i="66"/>
  <c r="L20" i="66"/>
  <c r="N19" i="66"/>
  <c r="M19" i="66"/>
  <c r="L19" i="66"/>
  <c r="N18" i="66"/>
  <c r="M18" i="66"/>
  <c r="L18" i="66"/>
  <c r="N17" i="66"/>
  <c r="M17" i="66"/>
  <c r="L17" i="66"/>
  <c r="N16" i="66"/>
  <c r="M16" i="66"/>
  <c r="L16" i="66"/>
  <c r="E45" i="61"/>
  <c r="E54" i="61"/>
  <c r="E52" i="61"/>
  <c r="E51" i="61"/>
  <c r="B5" i="65"/>
  <c r="B4" i="65"/>
  <c r="F8" i="65"/>
  <c r="F21" i="65"/>
  <c r="F29" i="65"/>
  <c r="AD7" i="65"/>
  <c r="AD4" i="65"/>
  <c r="AD5" i="65"/>
  <c r="AD8" i="65"/>
  <c r="AD21" i="65"/>
  <c r="F45" i="61"/>
  <c r="F54" i="61"/>
  <c r="F52" i="61"/>
  <c r="F51" i="61"/>
  <c r="F41" i="61"/>
  <c r="F20" i="61"/>
  <c r="L6" i="65"/>
  <c r="L7" i="65"/>
  <c r="L4" i="65"/>
  <c r="L5" i="65"/>
  <c r="L8" i="65"/>
  <c r="L21" i="65"/>
  <c r="G45" i="61"/>
  <c r="G54" i="61"/>
  <c r="G52" i="61"/>
  <c r="G51" i="61"/>
  <c r="G41" i="61"/>
  <c r="G20" i="61"/>
  <c r="R6" i="65"/>
  <c r="R7" i="65"/>
  <c r="R4" i="65"/>
  <c r="R5" i="65"/>
  <c r="R8" i="65"/>
  <c r="R21" i="65"/>
  <c r="X21" i="65"/>
  <c r="AD28" i="65"/>
  <c r="L28" i="65"/>
  <c r="R28" i="65"/>
  <c r="X28" i="65"/>
  <c r="X29" i="65"/>
  <c r="AF6" i="65"/>
  <c r="AF7" i="65"/>
  <c r="AF4" i="65"/>
  <c r="AF5" i="65"/>
  <c r="AF8" i="65"/>
  <c r="AF21" i="65"/>
  <c r="H6" i="65"/>
  <c r="H7" i="65"/>
  <c r="H4" i="65"/>
  <c r="H5" i="65"/>
  <c r="H8" i="65"/>
  <c r="H21" i="65"/>
  <c r="N6" i="65"/>
  <c r="N7" i="65"/>
  <c r="N4" i="65"/>
  <c r="N5" i="65"/>
  <c r="N8" i="65"/>
  <c r="N21" i="65"/>
  <c r="T6" i="65"/>
  <c r="T7" i="65"/>
  <c r="T4" i="65"/>
  <c r="T5" i="65"/>
  <c r="T8" i="65"/>
  <c r="T21" i="65"/>
  <c r="Z21" i="65"/>
  <c r="AF28" i="65"/>
  <c r="H28" i="65"/>
  <c r="N28" i="65"/>
  <c r="T28" i="65"/>
  <c r="Z28" i="65"/>
  <c r="Z29" i="65"/>
  <c r="Z37" i="65"/>
  <c r="Z50" i="65"/>
  <c r="A17" i="65"/>
  <c r="AD17" i="65"/>
  <c r="F17" i="65"/>
  <c r="L17" i="65"/>
  <c r="R17" i="65"/>
  <c r="X17" i="65"/>
  <c r="AF17" i="65"/>
  <c r="H17" i="65"/>
  <c r="N17" i="65"/>
  <c r="T17" i="65"/>
  <c r="Z17" i="65"/>
  <c r="AB17" i="65"/>
  <c r="Z41" i="65"/>
  <c r="Z51" i="65"/>
  <c r="AD22" i="65"/>
  <c r="F22" i="65"/>
  <c r="L22" i="65"/>
  <c r="R22" i="65"/>
  <c r="X22" i="65"/>
  <c r="AF22" i="65"/>
  <c r="H22" i="65"/>
  <c r="N22" i="65"/>
  <c r="T22" i="65"/>
  <c r="Z22" i="65"/>
  <c r="AB22" i="65"/>
  <c r="Z43" i="65"/>
  <c r="Z52" i="65"/>
  <c r="AD23" i="65"/>
  <c r="F23" i="65"/>
  <c r="L23" i="65"/>
  <c r="R23" i="65"/>
  <c r="X23" i="65"/>
  <c r="AF23" i="65"/>
  <c r="H23" i="65"/>
  <c r="N23" i="65"/>
  <c r="T23" i="65"/>
  <c r="Z23" i="65"/>
  <c r="AB23" i="65"/>
  <c r="Z45" i="65"/>
  <c r="Z53" i="65"/>
  <c r="Z47" i="65"/>
  <c r="AE6" i="65"/>
  <c r="AE7" i="65"/>
  <c r="AE4" i="65"/>
  <c r="AE5" i="65"/>
  <c r="AE8" i="65"/>
  <c r="AE21" i="65"/>
  <c r="G6" i="65"/>
  <c r="G7" i="65"/>
  <c r="G4" i="65"/>
  <c r="G5" i="65"/>
  <c r="G8" i="65"/>
  <c r="G21" i="65"/>
  <c r="M6" i="65"/>
  <c r="M7" i="65"/>
  <c r="M4" i="65"/>
  <c r="M5" i="65"/>
  <c r="M8" i="65"/>
  <c r="M21" i="65"/>
  <c r="S6" i="65"/>
  <c r="S7" i="65"/>
  <c r="S4" i="65"/>
  <c r="S5" i="65"/>
  <c r="S8" i="65"/>
  <c r="S21" i="65"/>
  <c r="Y21" i="65"/>
  <c r="AE28" i="65"/>
  <c r="G28" i="65"/>
  <c r="M28" i="65"/>
  <c r="S28" i="65"/>
  <c r="Y28" i="65"/>
  <c r="Y29" i="65"/>
  <c r="Y37" i="65"/>
  <c r="Y50" i="65"/>
  <c r="AE17" i="65"/>
  <c r="G17" i="65"/>
  <c r="M17" i="65"/>
  <c r="S17" i="65"/>
  <c r="Y17" i="65"/>
  <c r="AA17" i="65"/>
  <c r="Y41" i="65"/>
  <c r="Y51" i="65"/>
  <c r="AE22" i="65"/>
  <c r="G22" i="65"/>
  <c r="M22" i="65"/>
  <c r="S22" i="65"/>
  <c r="Y22" i="65"/>
  <c r="AA22" i="65"/>
  <c r="Y43" i="65"/>
  <c r="Y52" i="65"/>
  <c r="AE23" i="65"/>
  <c r="G23" i="65"/>
  <c r="M23" i="65"/>
  <c r="S23" i="65"/>
  <c r="Y23" i="65"/>
  <c r="AA23" i="65"/>
  <c r="Y45" i="65"/>
  <c r="Y53" i="65"/>
  <c r="Y47" i="65"/>
  <c r="R29" i="65"/>
  <c r="T29" i="65"/>
  <c r="T37" i="65"/>
  <c r="T50" i="65"/>
  <c r="V17" i="65"/>
  <c r="T41" i="65"/>
  <c r="T51" i="65"/>
  <c r="V22" i="65"/>
  <c r="T43" i="65"/>
  <c r="T52" i="65"/>
  <c r="V23" i="65"/>
  <c r="T45" i="65"/>
  <c r="T53" i="65"/>
  <c r="T47" i="65"/>
  <c r="S29" i="65"/>
  <c r="S37" i="65"/>
  <c r="S50" i="65"/>
  <c r="U17" i="65"/>
  <c r="S41" i="65"/>
  <c r="S51" i="65"/>
  <c r="U22" i="65"/>
  <c r="S43" i="65"/>
  <c r="S52" i="65"/>
  <c r="U23" i="65"/>
  <c r="S45" i="65"/>
  <c r="S53" i="65"/>
  <c r="S47" i="65"/>
  <c r="L29" i="65"/>
  <c r="N29" i="65"/>
  <c r="N37" i="65"/>
  <c r="N50" i="65"/>
  <c r="P17" i="65"/>
  <c r="N41" i="65"/>
  <c r="N51" i="65"/>
  <c r="P22" i="65"/>
  <c r="N43" i="65"/>
  <c r="N52" i="65"/>
  <c r="P23" i="65"/>
  <c r="N45" i="65"/>
  <c r="N53" i="65"/>
  <c r="N47" i="65"/>
  <c r="M29" i="65"/>
  <c r="M37" i="65"/>
  <c r="M50" i="65"/>
  <c r="O17" i="65"/>
  <c r="M41" i="65"/>
  <c r="M51" i="65"/>
  <c r="O22" i="65"/>
  <c r="M43" i="65"/>
  <c r="M52" i="65"/>
  <c r="O23" i="65"/>
  <c r="M45" i="65"/>
  <c r="M53" i="65"/>
  <c r="M47" i="65"/>
  <c r="H29" i="65"/>
  <c r="H37" i="65"/>
  <c r="H50" i="65"/>
  <c r="J17" i="65"/>
  <c r="H41" i="65"/>
  <c r="H51" i="65"/>
  <c r="J22" i="65"/>
  <c r="H43" i="65"/>
  <c r="H52" i="65"/>
  <c r="J23" i="65"/>
  <c r="H45" i="65"/>
  <c r="H53" i="65"/>
  <c r="H47" i="65"/>
  <c r="G29" i="65"/>
  <c r="G37" i="65"/>
  <c r="G50" i="65"/>
  <c r="I17" i="65"/>
  <c r="G41" i="65"/>
  <c r="G51" i="65"/>
  <c r="I22" i="65"/>
  <c r="G43" i="65"/>
  <c r="G52" i="65"/>
  <c r="I23" i="65"/>
  <c r="G45" i="65"/>
  <c r="G53" i="65"/>
  <c r="G47" i="65"/>
  <c r="AH23" i="65"/>
  <c r="AF45" i="65"/>
  <c r="AF53" i="65"/>
  <c r="AG23" i="65"/>
  <c r="AE45" i="65"/>
  <c r="AE53" i="65"/>
  <c r="AC53" i="65"/>
  <c r="Q53" i="65"/>
  <c r="K53" i="65"/>
  <c r="D45" i="65"/>
  <c r="B5" i="66"/>
  <c r="AJ4" i="66"/>
  <c r="AJ5" i="66"/>
  <c r="AJ6" i="66"/>
  <c r="AJ59" i="66"/>
  <c r="AL4" i="66"/>
  <c r="AL5" i="66"/>
  <c r="AK6" i="66"/>
  <c r="AL6" i="66"/>
  <c r="AL59" i="66"/>
  <c r="AN59" i="66"/>
  <c r="AZ59" i="66"/>
  <c r="AJ58" i="66"/>
  <c r="AL58" i="66"/>
  <c r="AN58" i="66"/>
  <c r="AZ58" i="66"/>
  <c r="AJ57" i="66"/>
  <c r="AL57" i="66"/>
  <c r="AN57" i="66"/>
  <c r="AZ57" i="66"/>
  <c r="AJ56" i="66"/>
  <c r="AL56" i="66"/>
  <c r="AN56" i="66"/>
  <c r="AZ56" i="66"/>
  <c r="AJ55" i="66"/>
  <c r="AL55" i="66"/>
  <c r="AN55" i="66"/>
  <c r="AZ55" i="66"/>
  <c r="AJ54" i="66"/>
  <c r="AL54" i="66"/>
  <c r="AN54" i="66"/>
  <c r="AZ54" i="66"/>
  <c r="AJ53" i="66"/>
  <c r="AL53" i="66"/>
  <c r="AN53" i="66"/>
  <c r="AZ53" i="66"/>
  <c r="AJ52" i="66"/>
  <c r="AL52" i="66"/>
  <c r="AN52" i="66"/>
  <c r="AZ52" i="66"/>
  <c r="AJ51" i="66"/>
  <c r="AL51" i="66"/>
  <c r="AN51" i="66"/>
  <c r="AZ51" i="66"/>
  <c r="AJ50" i="66"/>
  <c r="AL50" i="66"/>
  <c r="AN50" i="66"/>
  <c r="AZ50" i="66"/>
  <c r="AJ49" i="66"/>
  <c r="AL49" i="66"/>
  <c r="AN49" i="66"/>
  <c r="AZ49" i="66"/>
  <c r="AJ48" i="66"/>
  <c r="AL48" i="66"/>
  <c r="AN48" i="66"/>
  <c r="AZ48" i="66"/>
  <c r="AJ47" i="66"/>
  <c r="AL47" i="66"/>
  <c r="AN47" i="66"/>
  <c r="AZ47" i="66"/>
  <c r="AJ46" i="66"/>
  <c r="AL46" i="66"/>
  <c r="AN46" i="66"/>
  <c r="AZ46" i="66"/>
  <c r="AJ45" i="66"/>
  <c r="AL45" i="66"/>
  <c r="AN45" i="66"/>
  <c r="AZ45" i="66"/>
  <c r="AJ44" i="66"/>
  <c r="AL44" i="66"/>
  <c r="AN44" i="66"/>
  <c r="AZ44" i="66"/>
  <c r="AJ43" i="66"/>
  <c r="AL43" i="66"/>
  <c r="AN43" i="66"/>
  <c r="AZ43" i="66"/>
  <c r="AJ42" i="66"/>
  <c r="AL42" i="66"/>
  <c r="AN42" i="66"/>
  <c r="AZ42" i="66"/>
  <c r="AJ41" i="66"/>
  <c r="AL41" i="66"/>
  <c r="AN41" i="66"/>
  <c r="AZ41" i="66"/>
  <c r="AJ40" i="66"/>
  <c r="AL40" i="66"/>
  <c r="AN40" i="66"/>
  <c r="AZ40" i="66"/>
  <c r="AJ39" i="66"/>
  <c r="AL39" i="66"/>
  <c r="AN39" i="66"/>
  <c r="AZ39" i="66"/>
  <c r="AJ38" i="66"/>
  <c r="AL38" i="66"/>
  <c r="AN38" i="66"/>
  <c r="AZ38" i="66"/>
  <c r="AJ37" i="66"/>
  <c r="AL37" i="66"/>
  <c r="AN37" i="66"/>
  <c r="AZ37" i="66"/>
  <c r="AJ36" i="66"/>
  <c r="AL36" i="66"/>
  <c r="AN36" i="66"/>
  <c r="AZ36" i="66"/>
  <c r="AJ35" i="66"/>
  <c r="AL35" i="66"/>
  <c r="AN35" i="66"/>
  <c r="AZ35" i="66"/>
  <c r="AJ34" i="66"/>
  <c r="AL34" i="66"/>
  <c r="AN34" i="66"/>
  <c r="AZ34" i="66"/>
  <c r="AJ33" i="66"/>
  <c r="AL33" i="66"/>
  <c r="AN33" i="66"/>
  <c r="AZ33" i="66"/>
  <c r="AJ32" i="66"/>
  <c r="AL32" i="66"/>
  <c r="AN32" i="66"/>
  <c r="AZ32" i="66"/>
  <c r="AJ31" i="66"/>
  <c r="AL31" i="66"/>
  <c r="AN31" i="66"/>
  <c r="AZ31" i="66"/>
  <c r="AJ30" i="66"/>
  <c r="AL30" i="66"/>
  <c r="AN30" i="66"/>
  <c r="AZ30" i="66"/>
  <c r="AJ29" i="66"/>
  <c r="AL29" i="66"/>
  <c r="AN29" i="66"/>
  <c r="AZ29" i="66"/>
  <c r="AJ28" i="66"/>
  <c r="AL28" i="66"/>
  <c r="AN28" i="66"/>
  <c r="AZ28" i="66"/>
  <c r="AJ27" i="66"/>
  <c r="AL27" i="66"/>
  <c r="AN27" i="66"/>
  <c r="AZ27" i="66"/>
  <c r="AJ26" i="66"/>
  <c r="AL26" i="66"/>
  <c r="AN26" i="66"/>
  <c r="AZ26" i="66"/>
  <c r="AJ25" i="66"/>
  <c r="AL25" i="66"/>
  <c r="AN25" i="66"/>
  <c r="AZ25" i="66"/>
  <c r="AJ23" i="66"/>
  <c r="AL23" i="66"/>
  <c r="AN23" i="66"/>
  <c r="AZ23" i="66"/>
  <c r="AJ22" i="66"/>
  <c r="AL22" i="66"/>
  <c r="AN22" i="66"/>
  <c r="AZ22" i="66"/>
  <c r="AJ21" i="66"/>
  <c r="AL21" i="66"/>
  <c r="AN21" i="66"/>
  <c r="AZ21" i="66"/>
  <c r="AJ20" i="66"/>
  <c r="AL20" i="66"/>
  <c r="AN20" i="66"/>
  <c r="AZ20" i="66"/>
  <c r="AJ19" i="66"/>
  <c r="AL19" i="66"/>
  <c r="AN19" i="66"/>
  <c r="AZ19" i="66"/>
  <c r="AJ18" i="66"/>
  <c r="AL18" i="66"/>
  <c r="AN18" i="66"/>
  <c r="AZ18" i="66"/>
  <c r="AJ17" i="66"/>
  <c r="AL17" i="66"/>
  <c r="AN17" i="66"/>
  <c r="AZ17" i="66"/>
  <c r="AJ16" i="66"/>
  <c r="AL16" i="66"/>
  <c r="AN16" i="66"/>
  <c r="AZ16" i="66"/>
  <c r="AZ13" i="66"/>
  <c r="AK4" i="66"/>
  <c r="AK5" i="66"/>
  <c r="AK59" i="66"/>
  <c r="AM59" i="66"/>
  <c r="AT59" i="66"/>
  <c r="AK58" i="66"/>
  <c r="AM58" i="66"/>
  <c r="AT58" i="66"/>
  <c r="AK57" i="66"/>
  <c r="AM57" i="66"/>
  <c r="AT57" i="66"/>
  <c r="AK56" i="66"/>
  <c r="AM56" i="66"/>
  <c r="AT56" i="66"/>
  <c r="AK55" i="66"/>
  <c r="AM55" i="66"/>
  <c r="AT55" i="66"/>
  <c r="AK54" i="66"/>
  <c r="AM54" i="66"/>
  <c r="AT54" i="66"/>
  <c r="AK53" i="66"/>
  <c r="AM53" i="66"/>
  <c r="AT53" i="66"/>
  <c r="AK52" i="66"/>
  <c r="AM52" i="66"/>
  <c r="AT52" i="66"/>
  <c r="AK51" i="66"/>
  <c r="AM51" i="66"/>
  <c r="AT51" i="66"/>
  <c r="AK50" i="66"/>
  <c r="AM50" i="66"/>
  <c r="AT50" i="66"/>
  <c r="AK49" i="66"/>
  <c r="AM49" i="66"/>
  <c r="AT49" i="66"/>
  <c r="AK48" i="66"/>
  <c r="AM48" i="66"/>
  <c r="AT48" i="66"/>
  <c r="AK47" i="66"/>
  <c r="AM47" i="66"/>
  <c r="AT47" i="66"/>
  <c r="AK46" i="66"/>
  <c r="AM46" i="66"/>
  <c r="AT46" i="66"/>
  <c r="AK45" i="66"/>
  <c r="AM45" i="66"/>
  <c r="AT45" i="66"/>
  <c r="AK44" i="66"/>
  <c r="AM44" i="66"/>
  <c r="AT44" i="66"/>
  <c r="AK43" i="66"/>
  <c r="AM43" i="66"/>
  <c r="AT43" i="66"/>
  <c r="AK42" i="66"/>
  <c r="AM42" i="66"/>
  <c r="AT42" i="66"/>
  <c r="AK41" i="66"/>
  <c r="AM41" i="66"/>
  <c r="AT41" i="66"/>
  <c r="AK40" i="66"/>
  <c r="AM40" i="66"/>
  <c r="AT40" i="66"/>
  <c r="AK39" i="66"/>
  <c r="AM39" i="66"/>
  <c r="AT39" i="66"/>
  <c r="AK38" i="66"/>
  <c r="AM38" i="66"/>
  <c r="AT38" i="66"/>
  <c r="AK37" i="66"/>
  <c r="AM37" i="66"/>
  <c r="AT37" i="66"/>
  <c r="AK36" i="66"/>
  <c r="AM36" i="66"/>
  <c r="AT36" i="66"/>
  <c r="AK35" i="66"/>
  <c r="AM35" i="66"/>
  <c r="AT35" i="66"/>
  <c r="AK34" i="66"/>
  <c r="AM34" i="66"/>
  <c r="AT34" i="66"/>
  <c r="AK33" i="66"/>
  <c r="AM33" i="66"/>
  <c r="AT33" i="66"/>
  <c r="AK32" i="66"/>
  <c r="AM32" i="66"/>
  <c r="AT32" i="66"/>
  <c r="AK31" i="66"/>
  <c r="AM31" i="66"/>
  <c r="AT31" i="66"/>
  <c r="AK30" i="66"/>
  <c r="AM30" i="66"/>
  <c r="AT30" i="66"/>
  <c r="AK29" i="66"/>
  <c r="AM29" i="66"/>
  <c r="AT29" i="66"/>
  <c r="AK28" i="66"/>
  <c r="AM28" i="66"/>
  <c r="AT28" i="66"/>
  <c r="AK27" i="66"/>
  <c r="AM27" i="66"/>
  <c r="AT27" i="66"/>
  <c r="AK26" i="66"/>
  <c r="AM26" i="66"/>
  <c r="AT26" i="66"/>
  <c r="AK25" i="66"/>
  <c r="AM25" i="66"/>
  <c r="AT25" i="66"/>
  <c r="AK23" i="66"/>
  <c r="AM23" i="66"/>
  <c r="AT23" i="66"/>
  <c r="AK22" i="66"/>
  <c r="AM22" i="66"/>
  <c r="AT22" i="66"/>
  <c r="AK21" i="66"/>
  <c r="AM21" i="66"/>
  <c r="AT21" i="66"/>
  <c r="AK20" i="66"/>
  <c r="AM20" i="66"/>
  <c r="AT20" i="66"/>
  <c r="AK19" i="66"/>
  <c r="AM19" i="66"/>
  <c r="AT19" i="66"/>
  <c r="AK18" i="66"/>
  <c r="AM18" i="66"/>
  <c r="AT18" i="66"/>
  <c r="AK17" i="66"/>
  <c r="AM17" i="66"/>
  <c r="AT17" i="66"/>
  <c r="AK16" i="66"/>
  <c r="AM16" i="66"/>
  <c r="AT16" i="66"/>
  <c r="AT13" i="66"/>
  <c r="AJ24" i="66"/>
  <c r="AL24" i="66"/>
  <c r="AN24" i="66"/>
  <c r="AK24" i="66"/>
  <c r="AM24" i="66"/>
  <c r="AD4" i="66"/>
  <c r="AD5" i="66"/>
  <c r="AD6" i="66"/>
  <c r="AD59" i="66"/>
  <c r="AF4" i="66"/>
  <c r="AF5" i="66"/>
  <c r="AE6" i="66"/>
  <c r="AF6" i="66"/>
  <c r="AF59" i="66"/>
  <c r="AH59" i="66"/>
  <c r="AE4" i="66"/>
  <c r="AE5" i="66"/>
  <c r="AE59" i="66"/>
  <c r="AG59" i="66"/>
  <c r="AD58" i="66"/>
  <c r="AF58" i="66"/>
  <c r="AH58" i="66"/>
  <c r="AE58" i="66"/>
  <c r="AG58" i="66"/>
  <c r="AD57" i="66"/>
  <c r="AF57" i="66"/>
  <c r="AH57" i="66"/>
  <c r="AE57" i="66"/>
  <c r="AG57" i="66"/>
  <c r="AD56" i="66"/>
  <c r="AF56" i="66"/>
  <c r="AH56" i="66"/>
  <c r="AE56" i="66"/>
  <c r="AG56" i="66"/>
  <c r="AD55" i="66"/>
  <c r="AF55" i="66"/>
  <c r="AH55" i="66"/>
  <c r="AE55" i="66"/>
  <c r="AG55" i="66"/>
  <c r="AD54" i="66"/>
  <c r="AF54" i="66"/>
  <c r="AH54" i="66"/>
  <c r="AE54" i="66"/>
  <c r="AG54" i="66"/>
  <c r="AD53" i="66"/>
  <c r="AF53" i="66"/>
  <c r="AH53" i="66"/>
  <c r="AE53" i="66"/>
  <c r="AG53" i="66"/>
  <c r="AD52" i="66"/>
  <c r="AF52" i="66"/>
  <c r="AH52" i="66"/>
  <c r="AE52" i="66"/>
  <c r="AG52" i="66"/>
  <c r="AD51" i="66"/>
  <c r="AF51" i="66"/>
  <c r="AH51" i="66"/>
  <c r="AE51" i="66"/>
  <c r="AG51" i="66"/>
  <c r="AD50" i="66"/>
  <c r="AF50" i="66"/>
  <c r="AH50" i="66"/>
  <c r="AE50" i="66"/>
  <c r="AG50" i="66"/>
  <c r="AD49" i="66"/>
  <c r="AF49" i="66"/>
  <c r="AH49" i="66"/>
  <c r="AE49" i="66"/>
  <c r="AG49" i="66"/>
  <c r="AD48" i="66"/>
  <c r="AF48" i="66"/>
  <c r="AH48" i="66"/>
  <c r="AE48" i="66"/>
  <c r="AG48" i="66"/>
  <c r="AD47" i="66"/>
  <c r="AF47" i="66"/>
  <c r="AH47" i="66"/>
  <c r="AE47" i="66"/>
  <c r="AG47" i="66"/>
  <c r="AD46" i="66"/>
  <c r="AF46" i="66"/>
  <c r="AH46" i="66"/>
  <c r="AE46" i="66"/>
  <c r="AG46" i="66"/>
  <c r="AD45" i="66"/>
  <c r="AF45" i="66"/>
  <c r="AH45" i="66"/>
  <c r="AE45" i="66"/>
  <c r="AG45" i="66"/>
  <c r="AD44" i="66"/>
  <c r="AF44" i="66"/>
  <c r="AH44" i="66"/>
  <c r="AE44" i="66"/>
  <c r="AG44" i="66"/>
  <c r="AD43" i="66"/>
  <c r="AF43" i="66"/>
  <c r="AH43" i="66"/>
  <c r="AE43" i="66"/>
  <c r="AG43" i="66"/>
  <c r="AD42" i="66"/>
  <c r="AF42" i="66"/>
  <c r="AH42" i="66"/>
  <c r="AE42" i="66"/>
  <c r="AG42" i="66"/>
  <c r="AD41" i="66"/>
  <c r="AF41" i="66"/>
  <c r="AH41" i="66"/>
  <c r="AE41" i="66"/>
  <c r="AG41" i="66"/>
  <c r="AD40" i="66"/>
  <c r="AF40" i="66"/>
  <c r="AH40" i="66"/>
  <c r="AE40" i="66"/>
  <c r="AG40" i="66"/>
  <c r="AD39" i="66"/>
  <c r="AF39" i="66"/>
  <c r="AH39" i="66"/>
  <c r="AE39" i="66"/>
  <c r="AG39" i="66"/>
  <c r="AD38" i="66"/>
  <c r="AF38" i="66"/>
  <c r="AH38" i="66"/>
  <c r="AE38" i="66"/>
  <c r="AG38" i="66"/>
  <c r="AD37" i="66"/>
  <c r="AF37" i="66"/>
  <c r="AH37" i="66"/>
  <c r="AE37" i="66"/>
  <c r="AG37" i="66"/>
  <c r="AD36" i="66"/>
  <c r="AF36" i="66"/>
  <c r="AH36" i="66"/>
  <c r="AE36" i="66"/>
  <c r="AG36" i="66"/>
  <c r="AD35" i="66"/>
  <c r="AF35" i="66"/>
  <c r="AH35" i="66"/>
  <c r="AE35" i="66"/>
  <c r="AG35" i="66"/>
  <c r="AD34" i="66"/>
  <c r="AF34" i="66"/>
  <c r="AH34" i="66"/>
  <c r="AE34" i="66"/>
  <c r="AG34" i="66"/>
  <c r="AD33" i="66"/>
  <c r="AF33" i="66"/>
  <c r="AH33" i="66"/>
  <c r="AE33" i="66"/>
  <c r="AG33" i="66"/>
  <c r="AD32" i="66"/>
  <c r="AF32" i="66"/>
  <c r="AH32" i="66"/>
  <c r="AE32" i="66"/>
  <c r="AG32" i="66"/>
  <c r="AD31" i="66"/>
  <c r="AF31" i="66"/>
  <c r="AH31" i="66"/>
  <c r="AE31" i="66"/>
  <c r="AG31" i="66"/>
  <c r="AD30" i="66"/>
  <c r="AF30" i="66"/>
  <c r="AH30" i="66"/>
  <c r="AE30" i="66"/>
  <c r="AG30" i="66"/>
  <c r="AD29" i="66"/>
  <c r="AF29" i="66"/>
  <c r="AH29" i="66"/>
  <c r="AE29" i="66"/>
  <c r="AG29" i="66"/>
  <c r="AD28" i="66"/>
  <c r="AF28" i="66"/>
  <c r="AH28" i="66"/>
  <c r="AE28" i="66"/>
  <c r="AG28" i="66"/>
  <c r="AD27" i="66"/>
  <c r="AF27" i="66"/>
  <c r="AH27" i="66"/>
  <c r="AE27" i="66"/>
  <c r="AG27" i="66"/>
  <c r="AD26" i="66"/>
  <c r="AF26" i="66"/>
  <c r="AH26" i="66"/>
  <c r="AE26" i="66"/>
  <c r="AG26" i="66"/>
  <c r="AD25" i="66"/>
  <c r="AF25" i="66"/>
  <c r="AH25" i="66"/>
  <c r="AE25" i="66"/>
  <c r="AG25" i="66"/>
  <c r="AD17" i="66"/>
  <c r="AD18" i="66"/>
  <c r="AD19" i="66"/>
  <c r="AD21" i="66"/>
  <c r="AD23" i="66"/>
  <c r="AD24" i="66"/>
  <c r="AF17" i="66"/>
  <c r="AF18" i="66"/>
  <c r="AF19" i="66"/>
  <c r="AF21" i="66"/>
  <c r="AF23" i="66"/>
  <c r="AF24" i="66"/>
  <c r="AH24" i="66"/>
  <c r="AE17" i="66"/>
  <c r="AE18" i="66"/>
  <c r="AE19" i="66"/>
  <c r="AE21" i="66"/>
  <c r="AE23" i="66"/>
  <c r="AE24" i="66"/>
  <c r="AG24" i="66"/>
  <c r="AH23" i="66"/>
  <c r="AG23" i="66"/>
  <c r="AD22" i="66"/>
  <c r="AF22" i="66"/>
  <c r="AH22" i="66"/>
  <c r="AE22" i="66"/>
  <c r="AG22" i="66"/>
  <c r="AH21" i="66"/>
  <c r="AG21" i="66"/>
  <c r="AD20" i="66"/>
  <c r="AF20" i="66"/>
  <c r="AH20" i="66"/>
  <c r="AE20" i="66"/>
  <c r="AG20" i="66"/>
  <c r="AH19" i="66"/>
  <c r="AG19" i="66"/>
  <c r="AH18" i="66"/>
  <c r="AG18" i="66"/>
  <c r="AH17" i="66"/>
  <c r="AG17" i="66"/>
  <c r="AD16" i="66"/>
  <c r="AF16" i="66"/>
  <c r="AH16" i="66"/>
  <c r="AE16" i="66"/>
  <c r="AG16" i="66"/>
  <c r="X4" i="66"/>
  <c r="X5" i="66"/>
  <c r="X6" i="66"/>
  <c r="X59" i="66"/>
  <c r="Z4" i="66"/>
  <c r="Z5" i="66"/>
  <c r="Y6" i="66"/>
  <c r="Z6" i="66"/>
  <c r="Z59" i="66"/>
  <c r="AB59" i="66"/>
  <c r="Y4" i="66"/>
  <c r="Y5" i="66"/>
  <c r="Y59" i="66"/>
  <c r="AA59" i="66"/>
  <c r="X58" i="66"/>
  <c r="Z58" i="66"/>
  <c r="AB58" i="66"/>
  <c r="Y58" i="66"/>
  <c r="AA58" i="66"/>
  <c r="X57" i="66"/>
  <c r="Z57" i="66"/>
  <c r="AB57" i="66"/>
  <c r="Y57" i="66"/>
  <c r="AA57" i="66"/>
  <c r="X56" i="66"/>
  <c r="Z56" i="66"/>
  <c r="AB56" i="66"/>
  <c r="Y56" i="66"/>
  <c r="AA56" i="66"/>
  <c r="X55" i="66"/>
  <c r="Z55" i="66"/>
  <c r="AB55" i="66"/>
  <c r="Y55" i="66"/>
  <c r="AA55" i="66"/>
  <c r="X54" i="66"/>
  <c r="Z54" i="66"/>
  <c r="AB54" i="66"/>
  <c r="Y54" i="66"/>
  <c r="AA54" i="66"/>
  <c r="X53" i="66"/>
  <c r="Z53" i="66"/>
  <c r="AB53" i="66"/>
  <c r="Y53" i="66"/>
  <c r="AA53" i="66"/>
  <c r="X52" i="66"/>
  <c r="Z52" i="66"/>
  <c r="AB52" i="66"/>
  <c r="Y52" i="66"/>
  <c r="AA52" i="66"/>
  <c r="X51" i="66"/>
  <c r="Z51" i="66"/>
  <c r="AB51" i="66"/>
  <c r="Y51" i="66"/>
  <c r="AA51" i="66"/>
  <c r="X50" i="66"/>
  <c r="Z50" i="66"/>
  <c r="AB50" i="66"/>
  <c r="Y50" i="66"/>
  <c r="AA50" i="66"/>
  <c r="X49" i="66"/>
  <c r="Z49" i="66"/>
  <c r="AB49" i="66"/>
  <c r="Y49" i="66"/>
  <c r="AA49" i="66"/>
  <c r="X48" i="66"/>
  <c r="Z48" i="66"/>
  <c r="AB48" i="66"/>
  <c r="Y48" i="66"/>
  <c r="AA48" i="66"/>
  <c r="X47" i="66"/>
  <c r="Z47" i="66"/>
  <c r="AB47" i="66"/>
  <c r="Y47" i="66"/>
  <c r="AA47" i="66"/>
  <c r="X46" i="66"/>
  <c r="Z46" i="66"/>
  <c r="AB46" i="66"/>
  <c r="Y46" i="66"/>
  <c r="AA46" i="66"/>
  <c r="X45" i="66"/>
  <c r="Z45" i="66"/>
  <c r="AB45" i="66"/>
  <c r="Y45" i="66"/>
  <c r="AA45" i="66"/>
  <c r="X44" i="66"/>
  <c r="Z44" i="66"/>
  <c r="AB44" i="66"/>
  <c r="Y44" i="66"/>
  <c r="AA44" i="66"/>
  <c r="X43" i="66"/>
  <c r="Z43" i="66"/>
  <c r="AB43" i="66"/>
  <c r="Y43" i="66"/>
  <c r="AA43" i="66"/>
  <c r="X42" i="66"/>
  <c r="Z42" i="66"/>
  <c r="AB42" i="66"/>
  <c r="Y42" i="66"/>
  <c r="AA42" i="66"/>
  <c r="X41" i="66"/>
  <c r="Z41" i="66"/>
  <c r="AB41" i="66"/>
  <c r="Y41" i="66"/>
  <c r="AA41" i="66"/>
  <c r="X40" i="66"/>
  <c r="Z40" i="66"/>
  <c r="AB40" i="66"/>
  <c r="Y40" i="66"/>
  <c r="AA40" i="66"/>
  <c r="X39" i="66"/>
  <c r="Z39" i="66"/>
  <c r="AB39" i="66"/>
  <c r="Y39" i="66"/>
  <c r="AA39" i="66"/>
  <c r="X38" i="66"/>
  <c r="Z38" i="66"/>
  <c r="AB38" i="66"/>
  <c r="Y38" i="66"/>
  <c r="AA38" i="66"/>
  <c r="X37" i="66"/>
  <c r="Z37" i="66"/>
  <c r="AB37" i="66"/>
  <c r="Y37" i="66"/>
  <c r="AA37" i="66"/>
  <c r="X36" i="66"/>
  <c r="Z36" i="66"/>
  <c r="AB36" i="66"/>
  <c r="Y36" i="66"/>
  <c r="AA36" i="66"/>
  <c r="X35" i="66"/>
  <c r="Z35" i="66"/>
  <c r="AB35" i="66"/>
  <c r="Y35" i="66"/>
  <c r="AA35" i="66"/>
  <c r="X34" i="66"/>
  <c r="Z34" i="66"/>
  <c r="AB34" i="66"/>
  <c r="Y34" i="66"/>
  <c r="AA34" i="66"/>
  <c r="X33" i="66"/>
  <c r="Z33" i="66"/>
  <c r="AB33" i="66"/>
  <c r="Y33" i="66"/>
  <c r="AA33" i="66"/>
  <c r="X32" i="66"/>
  <c r="Z32" i="66"/>
  <c r="AB32" i="66"/>
  <c r="Y32" i="66"/>
  <c r="AA32" i="66"/>
  <c r="X31" i="66"/>
  <c r="Z31" i="66"/>
  <c r="AB31" i="66"/>
  <c r="Y31" i="66"/>
  <c r="AA31" i="66"/>
  <c r="X30" i="66"/>
  <c r="Z30" i="66"/>
  <c r="AB30" i="66"/>
  <c r="Y30" i="66"/>
  <c r="AA30" i="66"/>
  <c r="X29" i="66"/>
  <c r="Z29" i="66"/>
  <c r="AB29" i="66"/>
  <c r="Y29" i="66"/>
  <c r="AA29" i="66"/>
  <c r="X28" i="66"/>
  <c r="Z28" i="66"/>
  <c r="AB28" i="66"/>
  <c r="Y28" i="66"/>
  <c r="AA28" i="66"/>
  <c r="X27" i="66"/>
  <c r="Z27" i="66"/>
  <c r="AB27" i="66"/>
  <c r="Y27" i="66"/>
  <c r="AA27" i="66"/>
  <c r="X26" i="66"/>
  <c r="Z26" i="66"/>
  <c r="AB26" i="66"/>
  <c r="Y26" i="66"/>
  <c r="AA26" i="66"/>
  <c r="X25" i="66"/>
  <c r="Z25" i="66"/>
  <c r="AB25" i="66"/>
  <c r="Y25" i="66"/>
  <c r="AA25" i="66"/>
  <c r="X17" i="66"/>
  <c r="X18" i="66"/>
  <c r="X19" i="66"/>
  <c r="X21" i="66"/>
  <c r="X23" i="66"/>
  <c r="X24" i="66"/>
  <c r="Z17" i="66"/>
  <c r="Z18" i="66"/>
  <c r="Z19" i="66"/>
  <c r="Z21" i="66"/>
  <c r="Z23" i="66"/>
  <c r="Z24" i="66"/>
  <c r="AB24" i="66"/>
  <c r="Y17" i="66"/>
  <c r="Y18" i="66"/>
  <c r="Y19" i="66"/>
  <c r="Y21" i="66"/>
  <c r="Y23" i="66"/>
  <c r="Y24" i="66"/>
  <c r="AA24" i="66"/>
  <c r="AB23" i="66"/>
  <c r="AA23" i="66"/>
  <c r="X22" i="66"/>
  <c r="Z22" i="66"/>
  <c r="AB22" i="66"/>
  <c r="Y22" i="66"/>
  <c r="AA22" i="66"/>
  <c r="AB21" i="66"/>
  <c r="AA21" i="66"/>
  <c r="X20" i="66"/>
  <c r="Z20" i="66"/>
  <c r="AB20" i="66"/>
  <c r="Y20" i="66"/>
  <c r="AA20" i="66"/>
  <c r="AB19" i="66"/>
  <c r="AA19" i="66"/>
  <c r="AB18" i="66"/>
  <c r="AA18" i="66"/>
  <c r="AB17" i="66"/>
  <c r="AA17" i="66"/>
  <c r="X16" i="66"/>
  <c r="Z16" i="66"/>
  <c r="AB16" i="66"/>
  <c r="Y16" i="66"/>
  <c r="AA16" i="66"/>
  <c r="F4" i="66"/>
  <c r="F5" i="66"/>
  <c r="F6" i="66"/>
  <c r="F59" i="66"/>
  <c r="R59" i="66"/>
  <c r="H4" i="66"/>
  <c r="H5" i="66"/>
  <c r="G6" i="66"/>
  <c r="H6" i="66"/>
  <c r="H59" i="66"/>
  <c r="T59" i="66"/>
  <c r="V59" i="66"/>
  <c r="G4" i="66"/>
  <c r="G5" i="66"/>
  <c r="G59" i="66"/>
  <c r="S59" i="66"/>
  <c r="U59" i="66"/>
  <c r="F58" i="66"/>
  <c r="R58" i="66"/>
  <c r="H58" i="66"/>
  <c r="T58" i="66"/>
  <c r="V58" i="66"/>
  <c r="G58" i="66"/>
  <c r="S58" i="66"/>
  <c r="U58" i="66"/>
  <c r="F57" i="66"/>
  <c r="R57" i="66"/>
  <c r="H57" i="66"/>
  <c r="T57" i="66"/>
  <c r="V57" i="66"/>
  <c r="G57" i="66"/>
  <c r="S57" i="66"/>
  <c r="U57" i="66"/>
  <c r="F56" i="66"/>
  <c r="R56" i="66"/>
  <c r="H56" i="66"/>
  <c r="T56" i="66"/>
  <c r="V56" i="66"/>
  <c r="G56" i="66"/>
  <c r="S56" i="66"/>
  <c r="U56" i="66"/>
  <c r="F55" i="66"/>
  <c r="R55" i="66"/>
  <c r="H55" i="66"/>
  <c r="T55" i="66"/>
  <c r="V55" i="66"/>
  <c r="G55" i="66"/>
  <c r="S55" i="66"/>
  <c r="U55" i="66"/>
  <c r="F54" i="66"/>
  <c r="R54" i="66"/>
  <c r="H54" i="66"/>
  <c r="T54" i="66"/>
  <c r="V54" i="66"/>
  <c r="G54" i="66"/>
  <c r="S54" i="66"/>
  <c r="U54" i="66"/>
  <c r="F53" i="66"/>
  <c r="R53" i="66"/>
  <c r="H53" i="66"/>
  <c r="T53" i="66"/>
  <c r="V53" i="66"/>
  <c r="G53" i="66"/>
  <c r="S53" i="66"/>
  <c r="U53" i="66"/>
  <c r="F52" i="66"/>
  <c r="R52" i="66"/>
  <c r="H52" i="66"/>
  <c r="T52" i="66"/>
  <c r="V52" i="66"/>
  <c r="G52" i="66"/>
  <c r="S52" i="66"/>
  <c r="U52" i="66"/>
  <c r="F51" i="66"/>
  <c r="R51" i="66"/>
  <c r="H51" i="66"/>
  <c r="T51" i="66"/>
  <c r="V51" i="66"/>
  <c r="G51" i="66"/>
  <c r="S51" i="66"/>
  <c r="U51" i="66"/>
  <c r="F50" i="66"/>
  <c r="R50" i="66"/>
  <c r="H50" i="66"/>
  <c r="T50" i="66"/>
  <c r="V50" i="66"/>
  <c r="G50" i="66"/>
  <c r="S50" i="66"/>
  <c r="U50" i="66"/>
  <c r="F49" i="66"/>
  <c r="R49" i="66"/>
  <c r="H49" i="66"/>
  <c r="T49" i="66"/>
  <c r="V49" i="66"/>
  <c r="G49" i="66"/>
  <c r="S49" i="66"/>
  <c r="U49" i="66"/>
  <c r="F48" i="66"/>
  <c r="R48" i="66"/>
  <c r="H48" i="66"/>
  <c r="T48" i="66"/>
  <c r="V48" i="66"/>
  <c r="G48" i="66"/>
  <c r="S48" i="66"/>
  <c r="U48" i="66"/>
  <c r="F47" i="66"/>
  <c r="R47" i="66"/>
  <c r="H47" i="66"/>
  <c r="T47" i="66"/>
  <c r="V47" i="66"/>
  <c r="G47" i="66"/>
  <c r="S47" i="66"/>
  <c r="U47" i="66"/>
  <c r="F46" i="66"/>
  <c r="R46" i="66"/>
  <c r="H46" i="66"/>
  <c r="T46" i="66"/>
  <c r="V46" i="66"/>
  <c r="G46" i="66"/>
  <c r="S46" i="66"/>
  <c r="U46" i="66"/>
  <c r="F45" i="66"/>
  <c r="R45" i="66"/>
  <c r="H45" i="66"/>
  <c r="T45" i="66"/>
  <c r="V45" i="66"/>
  <c r="G45" i="66"/>
  <c r="S45" i="66"/>
  <c r="U45" i="66"/>
  <c r="F44" i="66"/>
  <c r="R44" i="66"/>
  <c r="H44" i="66"/>
  <c r="T44" i="66"/>
  <c r="V44" i="66"/>
  <c r="G44" i="66"/>
  <c r="S44" i="66"/>
  <c r="U44" i="66"/>
  <c r="F43" i="66"/>
  <c r="R43" i="66"/>
  <c r="H43" i="66"/>
  <c r="T43" i="66"/>
  <c r="V43" i="66"/>
  <c r="G43" i="66"/>
  <c r="S43" i="66"/>
  <c r="U43" i="66"/>
  <c r="F42" i="66"/>
  <c r="R42" i="66"/>
  <c r="H42" i="66"/>
  <c r="T42" i="66"/>
  <c r="V42" i="66"/>
  <c r="G42" i="66"/>
  <c r="S42" i="66"/>
  <c r="U42" i="66"/>
  <c r="F41" i="66"/>
  <c r="R41" i="66"/>
  <c r="H41" i="66"/>
  <c r="T41" i="66"/>
  <c r="V41" i="66"/>
  <c r="G41" i="66"/>
  <c r="S41" i="66"/>
  <c r="U41" i="66"/>
  <c r="F40" i="66"/>
  <c r="R40" i="66"/>
  <c r="H40" i="66"/>
  <c r="T40" i="66"/>
  <c r="V40" i="66"/>
  <c r="G40" i="66"/>
  <c r="S40" i="66"/>
  <c r="U40" i="66"/>
  <c r="F39" i="66"/>
  <c r="R39" i="66"/>
  <c r="H39" i="66"/>
  <c r="T39" i="66"/>
  <c r="V39" i="66"/>
  <c r="G39" i="66"/>
  <c r="S39" i="66"/>
  <c r="U39" i="66"/>
  <c r="F38" i="66"/>
  <c r="R38" i="66"/>
  <c r="H38" i="66"/>
  <c r="T38" i="66"/>
  <c r="V38" i="66"/>
  <c r="G38" i="66"/>
  <c r="S38" i="66"/>
  <c r="U38" i="66"/>
  <c r="F37" i="66"/>
  <c r="R37" i="66"/>
  <c r="H37" i="66"/>
  <c r="T37" i="66"/>
  <c r="V37" i="66"/>
  <c r="G37" i="66"/>
  <c r="S37" i="66"/>
  <c r="U37" i="66"/>
  <c r="F36" i="66"/>
  <c r="R36" i="66"/>
  <c r="H36" i="66"/>
  <c r="T36" i="66"/>
  <c r="V36" i="66"/>
  <c r="G36" i="66"/>
  <c r="S36" i="66"/>
  <c r="U36" i="66"/>
  <c r="F35" i="66"/>
  <c r="R35" i="66"/>
  <c r="H35" i="66"/>
  <c r="T35" i="66"/>
  <c r="V35" i="66"/>
  <c r="G35" i="66"/>
  <c r="S35" i="66"/>
  <c r="U35" i="66"/>
  <c r="F34" i="66"/>
  <c r="R34" i="66"/>
  <c r="H34" i="66"/>
  <c r="T34" i="66"/>
  <c r="V34" i="66"/>
  <c r="G34" i="66"/>
  <c r="S34" i="66"/>
  <c r="U34" i="66"/>
  <c r="F33" i="66"/>
  <c r="R33" i="66"/>
  <c r="H33" i="66"/>
  <c r="T33" i="66"/>
  <c r="V33" i="66"/>
  <c r="G33" i="66"/>
  <c r="S33" i="66"/>
  <c r="U33" i="66"/>
  <c r="F32" i="66"/>
  <c r="R32" i="66"/>
  <c r="H32" i="66"/>
  <c r="T32" i="66"/>
  <c r="V32" i="66"/>
  <c r="G32" i="66"/>
  <c r="S32" i="66"/>
  <c r="U32" i="66"/>
  <c r="F31" i="66"/>
  <c r="R31" i="66"/>
  <c r="H31" i="66"/>
  <c r="T31" i="66"/>
  <c r="V31" i="66"/>
  <c r="G31" i="66"/>
  <c r="S31" i="66"/>
  <c r="U31" i="66"/>
  <c r="F30" i="66"/>
  <c r="R30" i="66"/>
  <c r="H30" i="66"/>
  <c r="T30" i="66"/>
  <c r="V30" i="66"/>
  <c r="G30" i="66"/>
  <c r="S30" i="66"/>
  <c r="U30" i="66"/>
  <c r="F29" i="66"/>
  <c r="R29" i="66"/>
  <c r="H29" i="66"/>
  <c r="T29" i="66"/>
  <c r="V29" i="66"/>
  <c r="G29" i="66"/>
  <c r="S29" i="66"/>
  <c r="U29" i="66"/>
  <c r="F28" i="66"/>
  <c r="R28" i="66"/>
  <c r="H28" i="66"/>
  <c r="T28" i="66"/>
  <c r="V28" i="66"/>
  <c r="G28" i="66"/>
  <c r="S28" i="66"/>
  <c r="U28" i="66"/>
  <c r="F27" i="66"/>
  <c r="R27" i="66"/>
  <c r="H27" i="66"/>
  <c r="T27" i="66"/>
  <c r="V27" i="66"/>
  <c r="G27" i="66"/>
  <c r="S27" i="66"/>
  <c r="U27" i="66"/>
  <c r="F26" i="66"/>
  <c r="R26" i="66"/>
  <c r="H26" i="66"/>
  <c r="T26" i="66"/>
  <c r="V26" i="66"/>
  <c r="G26" i="66"/>
  <c r="S26" i="66"/>
  <c r="U26" i="66"/>
  <c r="F25" i="66"/>
  <c r="R25" i="66"/>
  <c r="H25" i="66"/>
  <c r="T25" i="66"/>
  <c r="V25" i="66"/>
  <c r="G25" i="66"/>
  <c r="S25" i="66"/>
  <c r="U25" i="66"/>
  <c r="F23" i="66"/>
  <c r="R23" i="66"/>
  <c r="H23" i="66"/>
  <c r="T23" i="66"/>
  <c r="V23" i="66"/>
  <c r="G23" i="66"/>
  <c r="S23" i="66"/>
  <c r="U23" i="66"/>
  <c r="F22" i="66"/>
  <c r="R22" i="66"/>
  <c r="H22" i="66"/>
  <c r="T22" i="66"/>
  <c r="V22" i="66"/>
  <c r="G22" i="66"/>
  <c r="S22" i="66"/>
  <c r="U22" i="66"/>
  <c r="F21" i="66"/>
  <c r="R21" i="66"/>
  <c r="H21" i="66"/>
  <c r="T21" i="66"/>
  <c r="V21" i="66"/>
  <c r="G21" i="66"/>
  <c r="S21" i="66"/>
  <c r="U21" i="66"/>
  <c r="F20" i="66"/>
  <c r="R20" i="66"/>
  <c r="H20" i="66"/>
  <c r="T20" i="66"/>
  <c r="V20" i="66"/>
  <c r="G20" i="66"/>
  <c r="S20" i="66"/>
  <c r="U20" i="66"/>
  <c r="F19" i="66"/>
  <c r="R19" i="66"/>
  <c r="H19" i="66"/>
  <c r="T19" i="66"/>
  <c r="V19" i="66"/>
  <c r="G19" i="66"/>
  <c r="S19" i="66"/>
  <c r="U19" i="66"/>
  <c r="F18" i="66"/>
  <c r="R18" i="66"/>
  <c r="H18" i="66"/>
  <c r="T18" i="66"/>
  <c r="V18" i="66"/>
  <c r="G18" i="66"/>
  <c r="S18" i="66"/>
  <c r="U18" i="66"/>
  <c r="F17" i="66"/>
  <c r="R17" i="66"/>
  <c r="H17" i="66"/>
  <c r="T17" i="66"/>
  <c r="V17" i="66"/>
  <c r="G17" i="66"/>
  <c r="S17" i="66"/>
  <c r="U17" i="66"/>
  <c r="F16" i="66"/>
  <c r="R16" i="66"/>
  <c r="H16" i="66"/>
  <c r="T16" i="66"/>
  <c r="V16" i="66"/>
  <c r="G16" i="66"/>
  <c r="S16" i="66"/>
  <c r="U16" i="66"/>
  <c r="P59" i="66"/>
  <c r="O59" i="66"/>
  <c r="P58" i="66"/>
  <c r="O58" i="66"/>
  <c r="P57" i="66"/>
  <c r="O57" i="66"/>
  <c r="P56" i="66"/>
  <c r="O56" i="66"/>
  <c r="P55" i="66"/>
  <c r="O55" i="66"/>
  <c r="P54" i="66"/>
  <c r="O54" i="66"/>
  <c r="P53" i="66"/>
  <c r="O53" i="66"/>
  <c r="P52" i="66"/>
  <c r="O52" i="66"/>
  <c r="P51" i="66"/>
  <c r="O51" i="66"/>
  <c r="P50" i="66"/>
  <c r="O50" i="66"/>
  <c r="P49" i="66"/>
  <c r="O49" i="66"/>
  <c r="P48" i="66"/>
  <c r="O48" i="66"/>
  <c r="P47" i="66"/>
  <c r="O47" i="66"/>
  <c r="P46" i="66"/>
  <c r="O46" i="66"/>
  <c r="P45" i="66"/>
  <c r="O45" i="66"/>
  <c r="P44" i="66"/>
  <c r="O44" i="66"/>
  <c r="P43" i="66"/>
  <c r="O43" i="66"/>
  <c r="P42" i="66"/>
  <c r="O42" i="66"/>
  <c r="P41" i="66"/>
  <c r="O41" i="66"/>
  <c r="P40" i="66"/>
  <c r="O40" i="66"/>
  <c r="P39" i="66"/>
  <c r="O39" i="66"/>
  <c r="P38" i="66"/>
  <c r="O38" i="66"/>
  <c r="P37" i="66"/>
  <c r="O37" i="66"/>
  <c r="P36" i="66"/>
  <c r="O36" i="66"/>
  <c r="P35" i="66"/>
  <c r="O35" i="66"/>
  <c r="P34" i="66"/>
  <c r="O34" i="66"/>
  <c r="P33" i="66"/>
  <c r="O33" i="66"/>
  <c r="P32" i="66"/>
  <c r="O32" i="66"/>
  <c r="P31" i="66"/>
  <c r="O31" i="66"/>
  <c r="P30" i="66"/>
  <c r="O30" i="66"/>
  <c r="P29" i="66"/>
  <c r="O29" i="66"/>
  <c r="P28" i="66"/>
  <c r="O28" i="66"/>
  <c r="P27" i="66"/>
  <c r="O27" i="66"/>
  <c r="P26" i="66"/>
  <c r="O26" i="66"/>
  <c r="P25" i="66"/>
  <c r="O25" i="66"/>
  <c r="P23" i="66"/>
  <c r="O23" i="66"/>
  <c r="P22" i="66"/>
  <c r="O22" i="66"/>
  <c r="P21" i="66"/>
  <c r="O21" i="66"/>
  <c r="P20" i="66"/>
  <c r="O20" i="66"/>
  <c r="P19" i="66"/>
  <c r="O19" i="66"/>
  <c r="P18" i="66"/>
  <c r="O18" i="66"/>
  <c r="P17" i="66"/>
  <c r="O17" i="66"/>
  <c r="P16" i="66"/>
  <c r="O16" i="66"/>
  <c r="J59" i="66"/>
  <c r="I59" i="66"/>
  <c r="J58" i="66"/>
  <c r="I58" i="66"/>
  <c r="J57" i="66"/>
  <c r="I57" i="66"/>
  <c r="J56" i="66"/>
  <c r="I56" i="66"/>
  <c r="J55" i="66"/>
  <c r="I55" i="66"/>
  <c r="J54" i="66"/>
  <c r="I54" i="66"/>
  <c r="J53" i="66"/>
  <c r="I53" i="66"/>
  <c r="J52" i="66"/>
  <c r="I52" i="66"/>
  <c r="J51" i="66"/>
  <c r="I51" i="66"/>
  <c r="J50" i="66"/>
  <c r="I50" i="66"/>
  <c r="J49" i="66"/>
  <c r="I49" i="66"/>
  <c r="J48" i="66"/>
  <c r="I48" i="66"/>
  <c r="J47" i="66"/>
  <c r="I47" i="66"/>
  <c r="J46" i="66"/>
  <c r="I46" i="66"/>
  <c r="J45" i="66"/>
  <c r="I45" i="66"/>
  <c r="J44" i="66"/>
  <c r="I44" i="66"/>
  <c r="J43" i="66"/>
  <c r="I43" i="66"/>
  <c r="J42" i="66"/>
  <c r="I42" i="66"/>
  <c r="J41" i="66"/>
  <c r="I41" i="66"/>
  <c r="J40" i="66"/>
  <c r="I40" i="66"/>
  <c r="J39" i="66"/>
  <c r="I39" i="66"/>
  <c r="J38" i="66"/>
  <c r="I38" i="66"/>
  <c r="J37" i="66"/>
  <c r="I37" i="66"/>
  <c r="J36" i="66"/>
  <c r="I36" i="66"/>
  <c r="J35" i="66"/>
  <c r="I35" i="66"/>
  <c r="J34" i="66"/>
  <c r="I34" i="66"/>
  <c r="J33" i="66"/>
  <c r="I33" i="66"/>
  <c r="J32" i="66"/>
  <c r="I32" i="66"/>
  <c r="J31" i="66"/>
  <c r="J30" i="66"/>
  <c r="I30" i="66"/>
  <c r="J29" i="66"/>
  <c r="I29" i="66"/>
  <c r="J28" i="66"/>
  <c r="I28" i="66"/>
  <c r="J27" i="66"/>
  <c r="I27" i="66"/>
  <c r="J26" i="66"/>
  <c r="I26" i="66"/>
  <c r="J25" i="66"/>
  <c r="I25" i="66"/>
  <c r="J23" i="66"/>
  <c r="I23" i="66"/>
  <c r="J22" i="66"/>
  <c r="I22" i="66"/>
  <c r="J21" i="66"/>
  <c r="I21" i="66"/>
  <c r="J20" i="66"/>
  <c r="I20" i="66"/>
  <c r="J19" i="66"/>
  <c r="I19" i="66"/>
  <c r="J18" i="66"/>
  <c r="I18" i="66"/>
  <c r="J17" i="66"/>
  <c r="I17" i="66"/>
  <c r="J16" i="66"/>
  <c r="I16" i="66"/>
  <c r="I31" i="66"/>
  <c r="AD30" i="65"/>
  <c r="AD31" i="65"/>
  <c r="AF30" i="65"/>
  <c r="AF31" i="65"/>
  <c r="AH31" i="65"/>
  <c r="AE30" i="65"/>
  <c r="AE31" i="65"/>
  <c r="AG31" i="65"/>
  <c r="AH30" i="65"/>
  <c r="AG30" i="65"/>
  <c r="AD29" i="65"/>
  <c r="AF29" i="65"/>
  <c r="AH29" i="65"/>
  <c r="AE29" i="65"/>
  <c r="AG29" i="65"/>
  <c r="AH28" i="65"/>
  <c r="AG28" i="65"/>
  <c r="AD19" i="65"/>
  <c r="AD24" i="65"/>
  <c r="AD25" i="65"/>
  <c r="AD26" i="65"/>
  <c r="AD27" i="65"/>
  <c r="AF19" i="65"/>
  <c r="AF24" i="65"/>
  <c r="AF25" i="65"/>
  <c r="AF26" i="65"/>
  <c r="AF27" i="65"/>
  <c r="AH27" i="65"/>
  <c r="AE19" i="65"/>
  <c r="AE24" i="65"/>
  <c r="AE25" i="65"/>
  <c r="AE26" i="65"/>
  <c r="AE27" i="65"/>
  <c r="AG27" i="65"/>
  <c r="AH26" i="65"/>
  <c r="AG26" i="65"/>
  <c r="AH25" i="65"/>
  <c r="AG25" i="65"/>
  <c r="AH24" i="65"/>
  <c r="AG24" i="65"/>
  <c r="AH22" i="65"/>
  <c r="AG22" i="65"/>
  <c r="AH21" i="65"/>
  <c r="AG21" i="65"/>
  <c r="AH19" i="65"/>
  <c r="AG19" i="65"/>
  <c r="AH17" i="65"/>
  <c r="AG17" i="65"/>
  <c r="AD16" i="65"/>
  <c r="AF16" i="65"/>
  <c r="AH16" i="65"/>
  <c r="AE16" i="65"/>
  <c r="AG16" i="65"/>
  <c r="L30" i="65"/>
  <c r="R30" i="65"/>
  <c r="X30" i="65"/>
  <c r="X31" i="65"/>
  <c r="H30" i="65"/>
  <c r="N30" i="65"/>
  <c r="T30" i="65"/>
  <c r="Z30" i="65"/>
  <c r="Z31" i="65"/>
  <c r="AB31" i="65"/>
  <c r="G30" i="65"/>
  <c r="M30" i="65"/>
  <c r="S30" i="65"/>
  <c r="Y30" i="65"/>
  <c r="Y31" i="65"/>
  <c r="AA31" i="65"/>
  <c r="AB30" i="65"/>
  <c r="AA30" i="65"/>
  <c r="AB29" i="65"/>
  <c r="AA29" i="65"/>
  <c r="AB28" i="65"/>
  <c r="AA28" i="65"/>
  <c r="F19" i="65"/>
  <c r="F24" i="65"/>
  <c r="F25" i="65"/>
  <c r="F26" i="65"/>
  <c r="F27" i="65"/>
  <c r="L19" i="65"/>
  <c r="L24" i="65"/>
  <c r="L25" i="65"/>
  <c r="L26" i="65"/>
  <c r="L27" i="65"/>
  <c r="R19" i="65"/>
  <c r="R24" i="65"/>
  <c r="R25" i="65"/>
  <c r="R26" i="65"/>
  <c r="R27" i="65"/>
  <c r="X27" i="65"/>
  <c r="H19" i="65"/>
  <c r="H24" i="65"/>
  <c r="H25" i="65"/>
  <c r="H26" i="65"/>
  <c r="H27" i="65"/>
  <c r="N19" i="65"/>
  <c r="N24" i="65"/>
  <c r="N25" i="65"/>
  <c r="N26" i="65"/>
  <c r="N27" i="65"/>
  <c r="T19" i="65"/>
  <c r="T24" i="65"/>
  <c r="T25" i="65"/>
  <c r="T26" i="65"/>
  <c r="T27" i="65"/>
  <c r="Z27" i="65"/>
  <c r="AB27" i="65"/>
  <c r="G19" i="65"/>
  <c r="G24" i="65"/>
  <c r="G25" i="65"/>
  <c r="G26" i="65"/>
  <c r="G27" i="65"/>
  <c r="M19" i="65"/>
  <c r="M24" i="65"/>
  <c r="M25" i="65"/>
  <c r="M26" i="65"/>
  <c r="M27" i="65"/>
  <c r="S19" i="65"/>
  <c r="S24" i="65"/>
  <c r="S25" i="65"/>
  <c r="S26" i="65"/>
  <c r="S27" i="65"/>
  <c r="Y27" i="65"/>
  <c r="AA27" i="65"/>
  <c r="X26" i="65"/>
  <c r="Z26" i="65"/>
  <c r="AB26" i="65"/>
  <c r="Y26" i="65"/>
  <c r="AA26" i="65"/>
  <c r="X25" i="65"/>
  <c r="Z25" i="65"/>
  <c r="AB25" i="65"/>
  <c r="Y25" i="65"/>
  <c r="AA25" i="65"/>
  <c r="X24" i="65"/>
  <c r="Z24" i="65"/>
  <c r="AB24" i="65"/>
  <c r="Y24" i="65"/>
  <c r="AA24" i="65"/>
  <c r="AB21" i="65"/>
  <c r="AA21" i="65"/>
  <c r="X19" i="65"/>
  <c r="Z19" i="65"/>
  <c r="AB19" i="65"/>
  <c r="Y19" i="65"/>
  <c r="AA19" i="65"/>
  <c r="F16" i="65"/>
  <c r="L16" i="65"/>
  <c r="R16" i="65"/>
  <c r="X16" i="65"/>
  <c r="H16" i="65"/>
  <c r="N16" i="65"/>
  <c r="T16" i="65"/>
  <c r="Z16" i="65"/>
  <c r="AB16" i="65"/>
  <c r="G16" i="65"/>
  <c r="M16" i="65"/>
  <c r="S16" i="65"/>
  <c r="Y16" i="65"/>
  <c r="AA16" i="65"/>
  <c r="R31" i="65"/>
  <c r="T31" i="65"/>
  <c r="V31" i="65"/>
  <c r="S31" i="65"/>
  <c r="U31" i="65"/>
  <c r="V30" i="65"/>
  <c r="U30" i="65"/>
  <c r="V29" i="65"/>
  <c r="U29" i="65"/>
  <c r="V28" i="65"/>
  <c r="U28" i="65"/>
  <c r="V27" i="65"/>
  <c r="U27" i="65"/>
  <c r="V26" i="65"/>
  <c r="U26" i="65"/>
  <c r="V25" i="65"/>
  <c r="U25" i="65"/>
  <c r="V24" i="65"/>
  <c r="U24" i="65"/>
  <c r="V21" i="65"/>
  <c r="U21" i="65"/>
  <c r="V19" i="65"/>
  <c r="U19" i="65"/>
  <c r="V16" i="65"/>
  <c r="U16" i="65"/>
  <c r="L31" i="65"/>
  <c r="N31" i="65"/>
  <c r="P31" i="65"/>
  <c r="M31" i="65"/>
  <c r="O31" i="65"/>
  <c r="P30" i="65"/>
  <c r="O30" i="65"/>
  <c r="P29" i="65"/>
  <c r="O29" i="65"/>
  <c r="P28" i="65"/>
  <c r="O28" i="65"/>
  <c r="P27" i="65"/>
  <c r="O27" i="65"/>
  <c r="P26" i="65"/>
  <c r="O26" i="65"/>
  <c r="P25" i="65"/>
  <c r="O25" i="65"/>
  <c r="P24" i="65"/>
  <c r="O24" i="65"/>
  <c r="P21" i="65"/>
  <c r="O21" i="65"/>
  <c r="P19" i="65"/>
  <c r="O19" i="65"/>
  <c r="P16" i="65"/>
  <c r="O16" i="65"/>
  <c r="H31" i="65"/>
  <c r="J31" i="65"/>
  <c r="G31" i="65"/>
  <c r="I31" i="65"/>
  <c r="J30" i="65"/>
  <c r="I30" i="65"/>
  <c r="J29" i="65"/>
  <c r="I29" i="65"/>
  <c r="J28" i="65"/>
  <c r="I28" i="65"/>
  <c r="J27" i="65"/>
  <c r="I27" i="65"/>
  <c r="J26" i="65"/>
  <c r="I26" i="65"/>
  <c r="J25" i="65"/>
  <c r="I25" i="65"/>
  <c r="J24" i="65"/>
  <c r="I24" i="65"/>
  <c r="J21" i="65"/>
  <c r="I21" i="65"/>
  <c r="J19" i="65"/>
  <c r="I19" i="65"/>
  <c r="J16" i="65"/>
  <c r="I16" i="65"/>
  <c r="AL14" i="66"/>
  <c r="AK14" i="66"/>
  <c r="AJ14" i="66"/>
  <c r="AL13" i="66"/>
  <c r="AN13" i="66"/>
  <c r="AK13" i="66"/>
  <c r="AM13" i="66"/>
  <c r="AJ13" i="66"/>
  <c r="AJ11" i="66"/>
  <c r="D14" i="65"/>
  <c r="AC50" i="65"/>
  <c r="AE37" i="65"/>
  <c r="AE50" i="65"/>
  <c r="AC51" i="65"/>
  <c r="AE41" i="65"/>
  <c r="AE51" i="65"/>
  <c r="AC52" i="65"/>
  <c r="AE43" i="65"/>
  <c r="AE52" i="65"/>
  <c r="AC55" i="65"/>
  <c r="AE39" i="65"/>
  <c r="AE55" i="65"/>
  <c r="K50" i="65"/>
  <c r="Q50" i="65"/>
  <c r="AF37" i="65"/>
  <c r="AF50" i="65"/>
  <c r="K51" i="65"/>
  <c r="Q51" i="65"/>
  <c r="AF41" i="65"/>
  <c r="AF51" i="65"/>
  <c r="K52" i="65"/>
  <c r="Q52" i="65"/>
  <c r="AF43" i="65"/>
  <c r="AF52" i="65"/>
  <c r="H39" i="65"/>
  <c r="H55" i="65"/>
  <c r="K55" i="65"/>
  <c r="M39" i="65"/>
  <c r="M55" i="65"/>
  <c r="N39" i="65"/>
  <c r="N55" i="65"/>
  <c r="Q55" i="65"/>
  <c r="S39" i="65"/>
  <c r="S55" i="65"/>
  <c r="T39" i="65"/>
  <c r="T55" i="65"/>
  <c r="Y39" i="65"/>
  <c r="Y55" i="65"/>
  <c r="Z39" i="65"/>
  <c r="Z55" i="65"/>
  <c r="AF39" i="65"/>
  <c r="AF55" i="65"/>
  <c r="AF47" i="65"/>
  <c r="AE47" i="65"/>
  <c r="D1" i="65"/>
  <c r="AF13" i="65"/>
  <c r="AF14" i="65"/>
  <c r="AH13" i="65"/>
  <c r="AF35" i="65"/>
  <c r="AE13" i="65"/>
  <c r="AE14" i="65"/>
  <c r="AG13" i="65"/>
  <c r="AE35" i="65"/>
  <c r="Z4" i="65"/>
  <c r="Z13" i="65"/>
  <c r="Z5" i="65"/>
  <c r="Z14" i="65"/>
  <c r="AB13" i="65"/>
  <c r="Z35" i="65"/>
  <c r="Y4" i="65"/>
  <c r="Y13" i="65"/>
  <c r="Y5" i="65"/>
  <c r="Y14" i="65"/>
  <c r="AA13" i="65"/>
  <c r="Y35" i="65"/>
  <c r="T13" i="65"/>
  <c r="T14" i="65"/>
  <c r="V13" i="65"/>
  <c r="T35" i="65"/>
  <c r="S13" i="65"/>
  <c r="S14" i="65"/>
  <c r="U13" i="65"/>
  <c r="S35" i="65"/>
  <c r="N13" i="65"/>
  <c r="N14" i="65"/>
  <c r="P13" i="65"/>
  <c r="N35" i="65"/>
  <c r="M13" i="65"/>
  <c r="M14" i="65"/>
  <c r="O13" i="65"/>
  <c r="M35" i="65"/>
  <c r="H13" i="65"/>
  <c r="H14" i="65"/>
  <c r="J13" i="65"/>
  <c r="H35" i="65"/>
  <c r="G39" i="65"/>
  <c r="G13" i="65"/>
  <c r="G14" i="65"/>
  <c r="I13" i="65"/>
  <c r="G35" i="65"/>
  <c r="D47" i="65"/>
  <c r="G55" i="65"/>
  <c r="AP16" i="66"/>
  <c r="D43" i="65"/>
  <c r="AS13" i="66"/>
  <c r="D41" i="65"/>
  <c r="AR13" i="66"/>
  <c r="D39" i="65"/>
  <c r="AQ13" i="66"/>
  <c r="D37" i="65"/>
  <c r="D17" i="65"/>
  <c r="D16" i="65"/>
  <c r="F12" i="65"/>
  <c r="L12" i="65"/>
  <c r="R12" i="65"/>
  <c r="X12" i="65"/>
  <c r="AD12" i="65"/>
  <c r="D13" i="65"/>
  <c r="F13" i="65"/>
  <c r="L13" i="65"/>
  <c r="R13" i="65"/>
  <c r="X4" i="65"/>
  <c r="X13" i="65"/>
  <c r="AD13" i="65"/>
  <c r="F14" i="65"/>
  <c r="L14" i="65"/>
  <c r="R14" i="65"/>
  <c r="X5" i="65"/>
  <c r="X14" i="65"/>
  <c r="AD14" i="65"/>
  <c r="A1" i="66"/>
  <c r="D14" i="66"/>
  <c r="AY13" i="66"/>
  <c r="AX13" i="66"/>
  <c r="AW13" i="66"/>
  <c r="AV13" i="66"/>
  <c r="AP13" i="66"/>
  <c r="H13" i="66"/>
  <c r="H14" i="66"/>
  <c r="J13" i="66"/>
  <c r="V13" i="66"/>
  <c r="AV11" i="66"/>
  <c r="G13" i="66"/>
  <c r="G14" i="66"/>
  <c r="I13" i="66"/>
  <c r="U13" i="66"/>
  <c r="AP11" i="66"/>
  <c r="AF13" i="66"/>
  <c r="AF14" i="66"/>
  <c r="AH13" i="66"/>
  <c r="AE13" i="66"/>
  <c r="AE14" i="66"/>
  <c r="AG13" i="66"/>
  <c r="Z13" i="66"/>
  <c r="Z14" i="66"/>
  <c r="AB13" i="66"/>
  <c r="Y13" i="66"/>
  <c r="Y14" i="66"/>
  <c r="AA13" i="66"/>
  <c r="N13" i="66"/>
  <c r="N14" i="66"/>
  <c r="P13" i="66"/>
  <c r="M13" i="66"/>
  <c r="M14" i="66"/>
  <c r="O13" i="66"/>
  <c r="R11" i="66"/>
  <c r="AY59" i="66"/>
  <c r="AY58" i="66"/>
  <c r="AY57" i="66"/>
  <c r="AY56" i="66"/>
  <c r="AY55" i="66"/>
  <c r="AY54" i="66"/>
  <c r="AY53" i="66"/>
  <c r="AY52" i="66"/>
  <c r="AY51" i="66"/>
  <c r="AY50" i="66"/>
  <c r="AY49" i="66"/>
  <c r="AY48" i="66"/>
  <c r="AY47" i="66"/>
  <c r="AY46" i="66"/>
  <c r="AY45" i="66"/>
  <c r="AY44" i="66"/>
  <c r="AY43" i="66"/>
  <c r="AY42" i="66"/>
  <c r="AY41" i="66"/>
  <c r="AY40" i="66"/>
  <c r="AY39" i="66"/>
  <c r="AY38" i="66"/>
  <c r="AY37" i="66"/>
  <c r="AY36" i="66"/>
  <c r="AY35" i="66"/>
  <c r="AY34" i="66"/>
  <c r="AY33" i="66"/>
  <c r="AY32" i="66"/>
  <c r="AY31" i="66"/>
  <c r="AY30" i="66"/>
  <c r="AY29" i="66"/>
  <c r="AY28" i="66"/>
  <c r="AY27" i="66"/>
  <c r="AY26" i="66"/>
  <c r="AY25" i="66"/>
  <c r="AY23" i="66"/>
  <c r="AY22" i="66"/>
  <c r="AY21" i="66"/>
  <c r="AY20" i="66"/>
  <c r="AY19" i="66"/>
  <c r="AY18" i="66"/>
  <c r="AY17" i="66"/>
  <c r="AY16" i="66"/>
  <c r="AX59" i="66"/>
  <c r="AX58" i="66"/>
  <c r="AX57" i="66"/>
  <c r="AX56" i="66"/>
  <c r="AX55" i="66"/>
  <c r="AX54" i="66"/>
  <c r="AX53" i="66"/>
  <c r="AX52" i="66"/>
  <c r="AX51" i="66"/>
  <c r="AX50" i="66"/>
  <c r="AX49" i="66"/>
  <c r="AX48" i="66"/>
  <c r="AX47" i="66"/>
  <c r="AX46" i="66"/>
  <c r="AX45" i="66"/>
  <c r="AX44" i="66"/>
  <c r="AX43" i="66"/>
  <c r="AX42" i="66"/>
  <c r="AX41" i="66"/>
  <c r="AX40" i="66"/>
  <c r="AX39" i="66"/>
  <c r="AX38" i="66"/>
  <c r="AX37" i="66"/>
  <c r="AX36" i="66"/>
  <c r="AX35" i="66"/>
  <c r="AX34" i="66"/>
  <c r="AX33" i="66"/>
  <c r="AX32" i="66"/>
  <c r="AX31" i="66"/>
  <c r="AX30" i="66"/>
  <c r="AX29" i="66"/>
  <c r="AX28" i="66"/>
  <c r="AX27" i="66"/>
  <c r="AX26" i="66"/>
  <c r="AX25" i="66"/>
  <c r="AX23" i="66"/>
  <c r="AX22" i="66"/>
  <c r="AX21" i="66"/>
  <c r="AX20" i="66"/>
  <c r="AX19" i="66"/>
  <c r="AX18" i="66"/>
  <c r="AX17" i="66"/>
  <c r="AX16" i="66"/>
  <c r="AP59" i="66"/>
  <c r="AR59" i="66"/>
  <c r="AS59" i="66"/>
  <c r="AP58" i="66"/>
  <c r="AR58" i="66"/>
  <c r="AS58" i="66"/>
  <c r="AP57" i="66"/>
  <c r="AR57" i="66"/>
  <c r="AS57" i="66"/>
  <c r="AP56" i="66"/>
  <c r="AR56" i="66"/>
  <c r="AS56" i="66"/>
  <c r="AP55" i="66"/>
  <c r="AR55" i="66"/>
  <c r="AS55" i="66"/>
  <c r="AP54" i="66"/>
  <c r="AR54" i="66"/>
  <c r="AS54" i="66"/>
  <c r="AP53" i="66"/>
  <c r="AR53" i="66"/>
  <c r="AS53" i="66"/>
  <c r="AP52" i="66"/>
  <c r="AR52" i="66"/>
  <c r="AS52" i="66"/>
  <c r="AP51" i="66"/>
  <c r="AR51" i="66"/>
  <c r="AS51" i="66"/>
  <c r="AP50" i="66"/>
  <c r="AR50" i="66"/>
  <c r="AS50" i="66"/>
  <c r="AP49" i="66"/>
  <c r="AR49" i="66"/>
  <c r="AS49" i="66"/>
  <c r="AP48" i="66"/>
  <c r="AR48" i="66"/>
  <c r="AS48" i="66"/>
  <c r="AP47" i="66"/>
  <c r="AR47" i="66"/>
  <c r="AS47" i="66"/>
  <c r="AP46" i="66"/>
  <c r="AR46" i="66"/>
  <c r="AS46" i="66"/>
  <c r="AP45" i="66"/>
  <c r="AR45" i="66"/>
  <c r="AS45" i="66"/>
  <c r="AP44" i="66"/>
  <c r="AR44" i="66"/>
  <c r="AS44" i="66"/>
  <c r="AP43" i="66"/>
  <c r="AR43" i="66"/>
  <c r="AS43" i="66"/>
  <c r="AP42" i="66"/>
  <c r="AR42" i="66"/>
  <c r="AS42" i="66"/>
  <c r="AP41" i="66"/>
  <c r="AR41" i="66"/>
  <c r="AS41" i="66"/>
  <c r="AP40" i="66"/>
  <c r="AR40" i="66"/>
  <c r="AS40" i="66"/>
  <c r="AP39" i="66"/>
  <c r="AR39" i="66"/>
  <c r="AS39" i="66"/>
  <c r="AP38" i="66"/>
  <c r="AR38" i="66"/>
  <c r="AS38" i="66"/>
  <c r="AP37" i="66"/>
  <c r="AR37" i="66"/>
  <c r="AS37" i="66"/>
  <c r="AP36" i="66"/>
  <c r="AR36" i="66"/>
  <c r="AS36" i="66"/>
  <c r="AP35" i="66"/>
  <c r="AR35" i="66"/>
  <c r="AS35" i="66"/>
  <c r="AP34" i="66"/>
  <c r="AR34" i="66"/>
  <c r="AS34" i="66"/>
  <c r="AP33" i="66"/>
  <c r="AR33" i="66"/>
  <c r="AS33" i="66"/>
  <c r="AP32" i="66"/>
  <c r="AR32" i="66"/>
  <c r="AS32" i="66"/>
  <c r="AP31" i="66"/>
  <c r="AR31" i="66"/>
  <c r="AS31" i="66"/>
  <c r="AP30" i="66"/>
  <c r="AR30" i="66"/>
  <c r="AS30" i="66"/>
  <c r="AP29" i="66"/>
  <c r="AR29" i="66"/>
  <c r="AS29" i="66"/>
  <c r="AP28" i="66"/>
  <c r="AR28" i="66"/>
  <c r="AS28" i="66"/>
  <c r="AP27" i="66"/>
  <c r="AR27" i="66"/>
  <c r="AS27" i="66"/>
  <c r="AP26" i="66"/>
  <c r="AR26" i="66"/>
  <c r="AS26" i="66"/>
  <c r="AP25" i="66"/>
  <c r="AR25" i="66"/>
  <c r="AS25" i="66"/>
  <c r="L24" i="66"/>
  <c r="AP23" i="66"/>
  <c r="AR23" i="66"/>
  <c r="AS23" i="66"/>
  <c r="AP22" i="66"/>
  <c r="AR22" i="66"/>
  <c r="AS22" i="66"/>
  <c r="AP21" i="66"/>
  <c r="AR21" i="66"/>
  <c r="AS21" i="66"/>
  <c r="AP20" i="66"/>
  <c r="AR20" i="66"/>
  <c r="AS20" i="66"/>
  <c r="AP19" i="66"/>
  <c r="AR19" i="66"/>
  <c r="AS19" i="66"/>
  <c r="AP18" i="66"/>
  <c r="AR18" i="66"/>
  <c r="AS18" i="66"/>
  <c r="AP17" i="66"/>
  <c r="AR17" i="66"/>
  <c r="AS17" i="66"/>
  <c r="AR16" i="66"/>
  <c r="AS16" i="66"/>
  <c r="V14" i="66"/>
  <c r="T14" i="66"/>
  <c r="S14" i="66"/>
  <c r="F14" i="66"/>
  <c r="R14" i="66"/>
  <c r="T13" i="66"/>
  <c r="S13" i="66"/>
  <c r="F13" i="66"/>
  <c r="R13" i="66"/>
  <c r="AD14" i="66"/>
  <c r="AD13" i="66"/>
  <c r="AD11" i="66"/>
  <c r="X14" i="66"/>
  <c r="X13" i="66"/>
  <c r="X11" i="66"/>
  <c r="AV59" i="66"/>
  <c r="AW59" i="66"/>
  <c r="AV58" i="66"/>
  <c r="AW58" i="66"/>
  <c r="AV57" i="66"/>
  <c r="AW57" i="66"/>
  <c r="AV56" i="66"/>
  <c r="AW56" i="66"/>
  <c r="AV55" i="66"/>
  <c r="AW55" i="66"/>
  <c r="AV54" i="66"/>
  <c r="AW54" i="66"/>
  <c r="AV53" i="66"/>
  <c r="AW53" i="66"/>
  <c r="AV52" i="66"/>
  <c r="AW52" i="66"/>
  <c r="AV51" i="66"/>
  <c r="AW51" i="66"/>
  <c r="AV50" i="66"/>
  <c r="AW50" i="66"/>
  <c r="AV49" i="66"/>
  <c r="AW49" i="66"/>
  <c r="AV48" i="66"/>
  <c r="AW48" i="66"/>
  <c r="AV47" i="66"/>
  <c r="AW47" i="66"/>
  <c r="AV46" i="66"/>
  <c r="AW46" i="66"/>
  <c r="AV45" i="66"/>
  <c r="AW45" i="66"/>
  <c r="AV44" i="66"/>
  <c r="AW44" i="66"/>
  <c r="AV43" i="66"/>
  <c r="AW43" i="66"/>
  <c r="AV42" i="66"/>
  <c r="AW42" i="66"/>
  <c r="AV41" i="66"/>
  <c r="AW41" i="66"/>
  <c r="AV40" i="66"/>
  <c r="AW40" i="66"/>
  <c r="AV39" i="66"/>
  <c r="AW39" i="66"/>
  <c r="AV38" i="66"/>
  <c r="AW38" i="66"/>
  <c r="AV37" i="66"/>
  <c r="AW37" i="66"/>
  <c r="AV36" i="66"/>
  <c r="AW36" i="66"/>
  <c r="AV35" i="66"/>
  <c r="AW35" i="66"/>
  <c r="AV34" i="66"/>
  <c r="AW34" i="66"/>
  <c r="AV33" i="66"/>
  <c r="AW33" i="66"/>
  <c r="AV32" i="66"/>
  <c r="AW32" i="66"/>
  <c r="AV31" i="66"/>
  <c r="AW31" i="66"/>
  <c r="AV30" i="66"/>
  <c r="AW30" i="66"/>
  <c r="AV29" i="66"/>
  <c r="AW29" i="66"/>
  <c r="AV28" i="66"/>
  <c r="AW28" i="66"/>
  <c r="AV27" i="66"/>
  <c r="AW27" i="66"/>
  <c r="AV26" i="66"/>
  <c r="AW26" i="66"/>
  <c r="AV25" i="66"/>
  <c r="AW25" i="66"/>
  <c r="N24" i="66"/>
  <c r="F24" i="66"/>
  <c r="H24" i="66"/>
  <c r="AV23" i="66"/>
  <c r="AW23" i="66"/>
  <c r="AV22" i="66"/>
  <c r="AW22" i="66"/>
  <c r="AV21" i="66"/>
  <c r="AW21" i="66"/>
  <c r="AV20" i="66"/>
  <c r="AW20" i="66"/>
  <c r="AV19" i="66"/>
  <c r="AW19" i="66"/>
  <c r="AV18" i="66"/>
  <c r="AW18" i="66"/>
  <c r="AV17" i="66"/>
  <c r="AW17" i="66"/>
  <c r="AV16" i="66"/>
  <c r="AW16" i="66"/>
  <c r="AQ59" i="66"/>
  <c r="AQ58" i="66"/>
  <c r="AQ57" i="66"/>
  <c r="AQ56" i="66"/>
  <c r="AQ55" i="66"/>
  <c r="AQ54" i="66"/>
  <c r="AQ53" i="66"/>
  <c r="AQ52" i="66"/>
  <c r="AQ51" i="66"/>
  <c r="AQ50" i="66"/>
  <c r="AQ49" i="66"/>
  <c r="AQ48" i="66"/>
  <c r="AQ47" i="66"/>
  <c r="AQ46" i="66"/>
  <c r="AQ45" i="66"/>
  <c r="AQ44" i="66"/>
  <c r="AQ43" i="66"/>
  <c r="AQ42" i="66"/>
  <c r="AQ41" i="66"/>
  <c r="AQ40" i="66"/>
  <c r="AQ39" i="66"/>
  <c r="AQ38" i="66"/>
  <c r="AQ37" i="66"/>
  <c r="AQ36" i="66"/>
  <c r="AQ35" i="66"/>
  <c r="AQ34" i="66"/>
  <c r="AQ33" i="66"/>
  <c r="AQ32" i="66"/>
  <c r="AQ31" i="66"/>
  <c r="AQ30" i="66"/>
  <c r="AQ29" i="66"/>
  <c r="AQ28" i="66"/>
  <c r="AQ27" i="66"/>
  <c r="AQ26" i="66"/>
  <c r="AQ25" i="66"/>
  <c r="M24" i="66"/>
  <c r="G24" i="66"/>
  <c r="AQ23" i="66"/>
  <c r="AQ22" i="66"/>
  <c r="AQ21" i="66"/>
  <c r="AQ20" i="66"/>
  <c r="AQ19" i="66"/>
  <c r="AQ18" i="66"/>
  <c r="AQ17" i="66"/>
  <c r="AQ16" i="66"/>
  <c r="J24" i="66"/>
  <c r="I24" i="66"/>
  <c r="P24" i="66"/>
  <c r="O24" i="66"/>
  <c r="L14" i="66"/>
  <c r="L13" i="66"/>
  <c r="L11" i="66"/>
  <c r="F11" i="66"/>
  <c r="D24" i="66"/>
  <c r="D17" i="66"/>
  <c r="D18" i="66"/>
  <c r="D19" i="66"/>
  <c r="D20" i="66"/>
  <c r="D21" i="66"/>
  <c r="D22" i="66"/>
  <c r="D23" i="66"/>
  <c r="D25" i="66"/>
  <c r="D26" i="66"/>
  <c r="D27" i="66"/>
  <c r="D29" i="66"/>
  <c r="D28" i="66"/>
  <c r="D30" i="66"/>
  <c r="D31" i="66"/>
  <c r="D32" i="66"/>
  <c r="D33" i="66"/>
  <c r="D34" i="66"/>
  <c r="D35" i="66"/>
  <c r="D36" i="66"/>
  <c r="D37" i="66"/>
  <c r="D38" i="66"/>
  <c r="D39" i="66"/>
  <c r="D40" i="66"/>
  <c r="D41" i="66"/>
  <c r="D42" i="66"/>
  <c r="D43" i="66"/>
  <c r="D44" i="66"/>
  <c r="D45" i="66"/>
  <c r="D46" i="66"/>
  <c r="D47" i="66"/>
  <c r="D48" i="66"/>
  <c r="D49" i="66"/>
  <c r="D50" i="66"/>
  <c r="D51" i="66"/>
  <c r="D52" i="66"/>
  <c r="D53" i="66"/>
  <c r="D54" i="66"/>
  <c r="D55" i="66"/>
  <c r="D56" i="66"/>
  <c r="D57" i="66"/>
  <c r="D58" i="66"/>
  <c r="D59" i="66"/>
  <c r="D16" i="66"/>
  <c r="E43" i="61"/>
  <c r="E50" i="61"/>
  <c r="D27" i="65"/>
  <c r="F20" i="65"/>
  <c r="G20" i="65"/>
  <c r="H20" i="65"/>
  <c r="L20" i="65"/>
  <c r="M20" i="65"/>
  <c r="N20" i="65"/>
  <c r="R20" i="65"/>
  <c r="S20" i="65"/>
  <c r="T20" i="65"/>
  <c r="X20" i="65"/>
  <c r="Y20" i="65"/>
  <c r="Z20" i="65"/>
  <c r="AD20" i="65"/>
  <c r="AE20" i="65"/>
  <c r="AF20" i="65"/>
  <c r="E44" i="61"/>
  <c r="F44" i="61"/>
  <c r="F43" i="61"/>
  <c r="F50" i="61"/>
  <c r="G44" i="61"/>
  <c r="G43" i="61"/>
  <c r="G50" i="61"/>
  <c r="D20" i="65"/>
  <c r="F59" i="61"/>
  <c r="E59" i="61"/>
  <c r="G59" i="61"/>
  <c r="G58" i="61"/>
  <c r="E58" i="61"/>
  <c r="F58" i="61"/>
  <c r="G57" i="61"/>
  <c r="F57" i="61"/>
  <c r="E57" i="61"/>
  <c r="G56" i="61"/>
  <c r="F56" i="61"/>
  <c r="E56" i="61"/>
  <c r="E55" i="61"/>
  <c r="G55" i="61"/>
  <c r="F55" i="61"/>
  <c r="G49" i="61"/>
  <c r="F49" i="61"/>
  <c r="E49" i="61"/>
  <c r="G48" i="61"/>
  <c r="F48" i="61"/>
  <c r="E48" i="61"/>
  <c r="G47" i="61"/>
  <c r="F47" i="61"/>
  <c r="E47" i="61"/>
  <c r="D31" i="65"/>
  <c r="D29" i="65"/>
  <c r="D21" i="65"/>
  <c r="D13" i="66"/>
  <c r="G53" i="61"/>
  <c r="F53" i="61"/>
  <c r="E53" i="61"/>
  <c r="D26" i="65"/>
  <c r="D25" i="65"/>
  <c r="D24" i="65"/>
  <c r="D23" i="65"/>
  <c r="D22" i="65"/>
  <c r="D19" i="65"/>
  <c r="Z9" i="65"/>
  <c r="Y9" i="65"/>
  <c r="X9" i="65"/>
  <c r="Z8" i="65"/>
  <c r="Y8" i="65"/>
  <c r="X8" i="65"/>
  <c r="AF9" i="65"/>
  <c r="AE9" i="65"/>
  <c r="AD9" i="65"/>
  <c r="T9" i="65"/>
  <c r="S9" i="65"/>
  <c r="R9" i="65"/>
  <c r="N9" i="65"/>
  <c r="M9" i="65"/>
  <c r="L9" i="65"/>
  <c r="F9" i="65"/>
  <c r="H9" i="65"/>
  <c r="G9" i="65"/>
</calcChain>
</file>

<file path=xl/sharedStrings.xml><?xml version="1.0" encoding="utf-8"?>
<sst xmlns="http://schemas.openxmlformats.org/spreadsheetml/2006/main" count="170" uniqueCount="109">
  <si>
    <t>AUD</t>
  </si>
  <si>
    <t>EUR</t>
  </si>
  <si>
    <t>Devise</t>
  </si>
  <si>
    <t>France</t>
  </si>
  <si>
    <t>USD</t>
  </si>
  <si>
    <t>Canada</t>
  </si>
  <si>
    <t>CAD</t>
  </si>
  <si>
    <t>GBP</t>
  </si>
  <si>
    <t>TOD France</t>
  </si>
  <si>
    <t>Portugal</t>
  </si>
  <si>
    <t>MAD</t>
  </si>
  <si>
    <t>CLP</t>
  </si>
  <si>
    <t>Eurolines</t>
  </si>
  <si>
    <t>SEK</t>
  </si>
  <si>
    <t>Connexxion NL</t>
  </si>
  <si>
    <t>VTNL</t>
  </si>
  <si>
    <t>Internorte</t>
  </si>
  <si>
    <t>Gaap</t>
  </si>
  <si>
    <t>Integration_Rate</t>
  </si>
  <si>
    <t>Activity</t>
  </si>
  <si>
    <t>Currency</t>
  </si>
  <si>
    <t>Legal_Organization</t>
  </si>
  <si>
    <t>French</t>
  </si>
  <si>
    <t>CUBE:</t>
  </si>
  <si>
    <t>Management_Organization</t>
  </si>
  <si>
    <t>TX_CLOTURE</t>
  </si>
  <si>
    <t>TX_MOYEN</t>
  </si>
  <si>
    <t>Periode</t>
  </si>
  <si>
    <t>Phase</t>
  </si>
  <si>
    <t>Cube</t>
  </si>
  <si>
    <t>Sélection du contexte / Context selection</t>
  </si>
  <si>
    <t>Considered</t>
  </si>
  <si>
    <t>Reference 1</t>
  </si>
  <si>
    <t>N-1</t>
  </si>
  <si>
    <t>Period</t>
  </si>
  <si>
    <t>Activity 1</t>
  </si>
  <si>
    <t>Activity 2</t>
  </si>
  <si>
    <t>Activity 3</t>
  </si>
  <si>
    <t>United States</t>
  </si>
  <si>
    <t>Ireland</t>
  </si>
  <si>
    <t>United Kingdom</t>
  </si>
  <si>
    <t>Germany</t>
  </si>
  <si>
    <t>Finland</t>
  </si>
  <si>
    <t>Sweden</t>
  </si>
  <si>
    <t>Australia and New Zealand</t>
  </si>
  <si>
    <t>Spain</t>
  </si>
  <si>
    <t>Chile</t>
  </si>
  <si>
    <t>Morocco</t>
  </si>
  <si>
    <t>TPL10_dest</t>
  </si>
  <si>
    <t>PL0000_ET</t>
  </si>
  <si>
    <t>All activity</t>
  </si>
  <si>
    <t>Tot_km</t>
  </si>
  <si>
    <t>Fuel_consu</t>
  </si>
  <si>
    <t>PL1115_ET_80</t>
  </si>
  <si>
    <t>PL1115_ET_801</t>
  </si>
  <si>
    <t>PL1115_ET_802</t>
  </si>
  <si>
    <t>PL1115_ET_81</t>
  </si>
  <si>
    <t>PL1115_ET_82</t>
  </si>
  <si>
    <t>PL1115_ET_83</t>
  </si>
  <si>
    <t>calc</t>
  </si>
  <si>
    <t>Local_Gaap_Mgmt_tool</t>
  </si>
  <si>
    <t>Country / Pays</t>
  </si>
  <si>
    <t>Currency / Devise</t>
  </si>
  <si>
    <t>Periods / Périodes</t>
  </si>
  <si>
    <t>Language / Langue</t>
  </si>
  <si>
    <t>Indicator</t>
  </si>
  <si>
    <t>On demand</t>
  </si>
  <si>
    <t>RAIL</t>
  </si>
  <si>
    <t>Transit</t>
  </si>
  <si>
    <t>tango_core_model:Report_PL</t>
  </si>
  <si>
    <t>Tot_Act</t>
  </si>
  <si>
    <t>TRANSDEV All</t>
  </si>
  <si>
    <t>North America</t>
  </si>
  <si>
    <t>Other Zone France entities</t>
  </si>
  <si>
    <t>Zone France</t>
  </si>
  <si>
    <t>Zone Ile de France</t>
  </si>
  <si>
    <t>Zone Nord</t>
  </si>
  <si>
    <t>Urbains Nord</t>
  </si>
  <si>
    <t>Zone Sud</t>
  </si>
  <si>
    <t>Urbains Sud</t>
  </si>
  <si>
    <t>Pôle Ferroviaire</t>
  </si>
  <si>
    <t>The Netherlands</t>
  </si>
  <si>
    <t>Other Netherlands entities</t>
  </si>
  <si>
    <t>United Kingdom and Ireland</t>
  </si>
  <si>
    <t>North Europe</t>
  </si>
  <si>
    <t>Asia</t>
  </si>
  <si>
    <t>Corporate Asia</t>
  </si>
  <si>
    <t>China</t>
  </si>
  <si>
    <t>Hong Kong</t>
  </si>
  <si>
    <t>India</t>
  </si>
  <si>
    <t>South Korea</t>
  </si>
  <si>
    <t>Australia</t>
  </si>
  <si>
    <t>New Zealand</t>
  </si>
  <si>
    <t>South Europe</t>
  </si>
  <si>
    <t>Colombia</t>
  </si>
  <si>
    <t>International Coaches</t>
  </si>
  <si>
    <t>TDV Corporate</t>
  </si>
  <si>
    <t>Israel</t>
  </si>
  <si>
    <t>CTRL</t>
  </si>
  <si>
    <t>KLCL</t>
  </si>
  <si>
    <t>FUEL</t>
  </si>
  <si>
    <t>Mise à jour des données / Refresh Data</t>
  </si>
  <si>
    <t>Détail par pays / detail per country</t>
  </si>
  <si>
    <t xml:space="preserve">        NB : data are extracted in EUR and converted in local currency</t>
  </si>
  <si>
    <t>BUDG_VC_TOT</t>
  </si>
  <si>
    <t>NA</t>
  </si>
  <si>
    <t>Actual Month</t>
  </si>
  <si>
    <t>Prior Year</t>
  </si>
  <si>
    <t>ACT_TOT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</si>
</sst>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_);\(#,##0\)"/>
    <numFmt numFmtId="167" formatCode="#,##0.0"/>
    <numFmt numFmtId="168" formatCode="0.0%"/>
    <numFmt numFmtId="169" formatCode="_(* #,##0.0_%_);_(* \(#,##0.0_%\);_(* &quot; - &quot;_%_);_(@_)"/>
    <numFmt numFmtId="170" formatCode="_(* #,##0.0%_);_(* \(#,##0.0%\);_(* &quot; - &quot;\%_);_(@_)"/>
    <numFmt numFmtId="171" formatCode="_(* #,##0_);_(* \(#,##0\);_(* &quot; - &quot;_);_(@_)"/>
    <numFmt numFmtId="172" formatCode="_(* #,##0.0_);_(* \(#,##0.0\);_(* &quot; - &quot;_);_(@_)"/>
    <numFmt numFmtId="173" formatCode="_(* #,##0.00_);_(* \(#,##0.00\);_(* &quot; - &quot;_);_(@_)"/>
    <numFmt numFmtId="174" formatCode="_(* #,##0.000_);_(* \(#,##0.000\);_(* &quot; - &quot;_);_(@_)"/>
    <numFmt numFmtId="175" formatCode="#,##0;\(#,##0\);&quot;-&quot;"/>
    <numFmt numFmtId="176" formatCode="_-* #,##0_-;\-* #,##0_-;_-* &quot;-&quot;_-;_-@_-"/>
    <numFmt numFmtId="177" formatCode="#,##0.00;\(#,##0.00\)"/>
    <numFmt numFmtId="178" formatCode="###0.0%;\(###0.0%\)"/>
    <numFmt numFmtId="179" formatCode="[$-409]d/m/yy\ h:mm\ AM/PM;@"/>
    <numFmt numFmtId="180" formatCode="&quot;$&quot;\ \ \ #,##0;\(&quot;$&quot;\ \ \ #,##0\)"/>
    <numFmt numFmtId="181" formatCode="#,##0;\(#,##0\)"/>
    <numFmt numFmtId="182" formatCode="#,##0.0;\(#,##0.0\);\-"/>
    <numFmt numFmtId="183" formatCode="_-* #,##0.00\ _D_i_n_._-;\-* #,##0.00\ _D_i_n_._-;_-* &quot;-&quot;??\ _D_i_n_._-;_-@_-"/>
    <numFmt numFmtId="184" formatCode="_-* #,##0.00\ _F_-;\-* #,##0.00\ _F_-;_-* &quot;-&quot;??\ _F_-;_-@_-"/>
    <numFmt numFmtId="185" formatCode="_(&quot;$&quot;* #,##0.00_);_(&quot;$&quot;* \(#,##0.00\);_(&quot;$&quot;* &quot;-&quot;??_);_(@_)"/>
    <numFmt numFmtId="186" formatCode="_(* #,##0_);_(* \(#,##0\);_(* &quot;&quot;\ \-\ &quot;&quot;_);_(@_)"/>
    <numFmt numFmtId="187" formatCode="_(\ #,##0.0_%_);_(\ \(#,##0.0_%\);_(\ &quot; - &quot;_%_);_(@_)"/>
    <numFmt numFmtId="188" formatCode="_(\ #,##0.0%_);_(\ \(#,##0.0%\);_(\ &quot; - &quot;\%_);_(@_)"/>
    <numFmt numFmtId="189" formatCode="#,##0_);\(#,##0\);&quot; - &quot;_);@_)"/>
    <numFmt numFmtId="190" formatCode="\ #,##0.0_);\(#,##0.0\);&quot; - &quot;_);@_)"/>
    <numFmt numFmtId="191" formatCode="\ #,##0.00_);\(#,##0.00\);&quot; - &quot;_);@_)"/>
    <numFmt numFmtId="192" formatCode="\ #,##0.000_);\(#,##0.000\);&quot; - &quot;_);@_)"/>
    <numFmt numFmtId="193" formatCode="d\ mmmm\ yyyy"/>
    <numFmt numFmtId="194" formatCode="#,##0;[Red]\(#,##0\);0"/>
    <numFmt numFmtId="195" formatCode="#,##0.0_)\x;\(#,##0.0\)\x;#,##0.0_)\x;@_)_x"/>
    <numFmt numFmtId="196" formatCode="0.00;[Red]0.00"/>
    <numFmt numFmtId="197" formatCode="#,##0.0&quot; &quot;;\(#,##0.0\)&quot;&quot;;&quot;- &quot;"/>
    <numFmt numFmtId="198" formatCode="0.000"/>
    <numFmt numFmtId="199" formatCode="0.00000"/>
    <numFmt numFmtId="200" formatCode="0.0000"/>
    <numFmt numFmtId="201" formatCode="#,##0.000"/>
  </numFmts>
  <fonts count="1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SWISS"/>
    </font>
    <font>
      <b/>
      <sz val="16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i/>
      <sz val="11"/>
      <color indexed="23"/>
      <name val="Calibri"/>
      <family val="2"/>
      <charset val="238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2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63"/>
      <name val="Calibri"/>
      <family val="2"/>
      <charset val="238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56"/>
      <name val="Cambria"/>
      <family val="2"/>
      <charset val="238"/>
    </font>
    <font>
      <sz val="11"/>
      <color indexed="10"/>
      <name val="Calibri"/>
      <family val="2"/>
      <charset val="238"/>
    </font>
    <font>
      <b/>
      <sz val="14"/>
      <color indexed="32"/>
      <name val="Arial"/>
      <family val="2"/>
    </font>
    <font>
      <sz val="9"/>
      <name val="Calibri"/>
      <family val="2"/>
      <scheme val="minor"/>
    </font>
    <font>
      <b/>
      <sz val="14"/>
      <name val="Arial"/>
      <family val="2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sz val="10"/>
      <color indexed="32"/>
      <name val="Arial Narrow"/>
      <family val="2"/>
    </font>
    <font>
      <sz val="1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b/>
      <sz val="11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EA0000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rgb="FF0070C0"/>
      <name val="Calibri"/>
      <family val="2"/>
      <scheme val="minor"/>
    </font>
    <font>
      <i/>
      <sz val="10"/>
      <color rgb="FFE20000"/>
      <name val="Calibri"/>
      <family val="2"/>
      <scheme val="minor"/>
    </font>
    <font>
      <i/>
      <sz val="10"/>
      <color rgb="FFD0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0"/>
      <color rgb="FF0070C0"/>
      <name val="Calibri"/>
      <family val="2"/>
      <scheme val="minor"/>
    </font>
    <font>
      <sz val="15"/>
      <name val="Calibri"/>
      <family val="2"/>
      <scheme val="minor"/>
    </font>
    <font>
      <b/>
      <sz val="15"/>
      <color rgb="FFEA000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sz val="24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4D2D4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D8D6D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gray0625">
        <fgColor theme="4" tint="0.39994506668294322"/>
        <bgColor theme="4" tint="0.79998168889431442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rgb="FFB5B8BF"/>
      </left>
      <right/>
      <top style="medium">
        <color rgb="FFB5B8BF"/>
      </top>
      <bottom style="medium">
        <color rgb="FFB5B8BF"/>
      </bottom>
      <diagonal/>
    </border>
    <border>
      <left/>
      <right/>
      <top style="medium">
        <color rgb="FFB5B8BF"/>
      </top>
      <bottom style="medium">
        <color rgb="FFB5B8BF"/>
      </bottom>
      <diagonal/>
    </border>
    <border>
      <left/>
      <right style="medium">
        <color rgb="FFB5B8BF"/>
      </right>
      <top style="medium">
        <color rgb="FFB5B8BF"/>
      </top>
      <bottom style="medium">
        <color rgb="FFB5B8BF"/>
      </bottom>
      <diagonal/>
    </border>
    <border>
      <left/>
      <right/>
      <top style="medium">
        <color rgb="FFB5B8BF"/>
      </top>
      <bottom/>
      <diagonal/>
    </border>
    <border>
      <left/>
      <right/>
      <top style="thin">
        <color rgb="FFD00000"/>
      </top>
      <bottom style="thin">
        <color rgb="FFD00000"/>
      </bottom>
      <diagonal/>
    </border>
    <border>
      <left/>
      <right/>
      <top style="double">
        <color rgb="FFE20000"/>
      </top>
      <bottom style="medium">
        <color rgb="FFB5B8BF"/>
      </bottom>
      <diagonal/>
    </border>
    <border>
      <left/>
      <right style="double">
        <color rgb="FFE20000"/>
      </right>
      <top style="double">
        <color rgb="FFE20000"/>
      </top>
      <bottom style="medium">
        <color rgb="FFB5B8BF"/>
      </bottom>
      <diagonal/>
    </border>
    <border>
      <left style="double">
        <color rgb="FFE20000"/>
      </left>
      <right/>
      <top/>
      <bottom/>
      <diagonal/>
    </border>
    <border>
      <left/>
      <right style="double">
        <color rgb="FFE20000"/>
      </right>
      <top style="medium">
        <color rgb="FFB5B8BF"/>
      </top>
      <bottom/>
      <diagonal/>
    </border>
    <border>
      <left/>
      <right style="double">
        <color rgb="FFE20000"/>
      </right>
      <top/>
      <bottom/>
      <diagonal/>
    </border>
    <border>
      <left style="double">
        <color rgb="FFE20000"/>
      </left>
      <right/>
      <top style="thin">
        <color rgb="FFD00000"/>
      </top>
      <bottom style="thin">
        <color rgb="FFD00000"/>
      </bottom>
      <diagonal/>
    </border>
    <border>
      <left/>
      <right style="double">
        <color rgb="FFE20000"/>
      </right>
      <top style="thin">
        <color rgb="FFD00000"/>
      </top>
      <bottom style="thin">
        <color rgb="FFD00000"/>
      </bottom>
      <diagonal/>
    </border>
    <border>
      <left style="double">
        <color rgb="FFE20000"/>
      </left>
      <right/>
      <top/>
      <bottom style="double">
        <color rgb="FFE20000"/>
      </bottom>
      <diagonal/>
    </border>
    <border>
      <left/>
      <right/>
      <top/>
      <bottom style="double">
        <color rgb="FFE20000"/>
      </bottom>
      <diagonal/>
    </border>
    <border>
      <left/>
      <right style="double">
        <color rgb="FFE20000"/>
      </right>
      <top/>
      <bottom style="double">
        <color rgb="FFE20000"/>
      </bottom>
      <diagonal/>
    </border>
    <border>
      <left style="medium">
        <color rgb="FFB5B8BF"/>
      </left>
      <right/>
      <top style="medium">
        <color rgb="FFB5B8BF"/>
      </top>
      <bottom/>
      <diagonal/>
    </border>
    <border>
      <left/>
      <right style="medium">
        <color rgb="FFB5B8BF"/>
      </right>
      <top style="medium">
        <color rgb="FFB5B8BF"/>
      </top>
      <bottom/>
      <diagonal/>
    </border>
    <border>
      <left style="medium">
        <color rgb="FFB5B8BF"/>
      </left>
      <right/>
      <top/>
      <bottom style="medium">
        <color rgb="FFB5B8BF"/>
      </bottom>
      <diagonal/>
    </border>
    <border>
      <left/>
      <right/>
      <top/>
      <bottom style="medium">
        <color rgb="FFB5B8BF"/>
      </bottom>
      <diagonal/>
    </border>
    <border>
      <left/>
      <right style="medium">
        <color rgb="FFB5B8BF"/>
      </right>
      <top/>
      <bottom style="medium">
        <color rgb="FFB5B8BF"/>
      </bottom>
      <diagonal/>
    </border>
    <border>
      <left/>
      <right/>
      <top style="thin">
        <color rgb="FFD00000"/>
      </top>
      <bottom/>
      <diagonal/>
    </border>
    <border>
      <left style="dashed">
        <color rgb="FFD00000"/>
      </left>
      <right style="dashed">
        <color rgb="FFD00000"/>
      </right>
      <top style="dashed">
        <color rgb="FFD00000"/>
      </top>
      <bottom/>
      <diagonal/>
    </border>
    <border>
      <left style="dashed">
        <color rgb="FFD00000"/>
      </left>
      <right style="dashed">
        <color rgb="FFD00000"/>
      </right>
      <top/>
      <bottom style="dashed">
        <color rgb="FFD00000"/>
      </bottom>
      <diagonal/>
    </border>
    <border>
      <left style="thin">
        <color rgb="FFD00000"/>
      </left>
      <right style="thin">
        <color rgb="FFD00000"/>
      </right>
      <top style="thin">
        <color rgb="FFD00000"/>
      </top>
      <bottom style="thin">
        <color rgb="FFD00000"/>
      </bottom>
      <diagonal/>
    </border>
    <border>
      <left style="thin">
        <color rgb="FFD00000"/>
      </left>
      <right/>
      <top style="thin">
        <color rgb="FFD00000"/>
      </top>
      <bottom style="thin">
        <color rgb="FFD00000"/>
      </bottom>
      <diagonal/>
    </border>
    <border>
      <left/>
      <right style="thin">
        <color rgb="FFD00000"/>
      </right>
      <top style="thin">
        <color rgb="FFD00000"/>
      </top>
      <bottom style="thin">
        <color rgb="FFD00000"/>
      </bottom>
      <diagonal/>
    </border>
    <border>
      <left style="double">
        <color rgb="FFC00000"/>
      </left>
      <right/>
      <top style="double">
        <color rgb="FFC00000"/>
      </top>
      <bottom style="medium">
        <color rgb="FFB5B8BF"/>
      </bottom>
      <diagonal/>
    </border>
    <border>
      <left/>
      <right style="double">
        <color rgb="FFC00000"/>
      </right>
      <top style="double">
        <color rgb="FFC00000"/>
      </top>
      <bottom style="medium">
        <color rgb="FFB5B8BF"/>
      </bottom>
      <diagonal/>
    </border>
    <border>
      <left style="double">
        <color rgb="FFC00000"/>
      </left>
      <right/>
      <top/>
      <bottom/>
      <diagonal/>
    </border>
    <border>
      <left/>
      <right style="double">
        <color rgb="FFC00000"/>
      </right>
      <top/>
      <bottom/>
      <diagonal/>
    </border>
    <border>
      <left style="double">
        <color rgb="FFC00000"/>
      </left>
      <right/>
      <top style="thin">
        <color rgb="FFD00000"/>
      </top>
      <bottom style="thin">
        <color rgb="FFD00000"/>
      </bottom>
      <diagonal/>
    </border>
    <border>
      <left/>
      <right style="double">
        <color rgb="FFC00000"/>
      </right>
      <top style="thin">
        <color rgb="FFD00000"/>
      </top>
      <bottom style="thin">
        <color rgb="FFD00000"/>
      </bottom>
      <diagonal/>
    </border>
    <border>
      <left style="double">
        <color rgb="FFC00000"/>
      </left>
      <right/>
      <top style="thin">
        <color rgb="FFD00000"/>
      </top>
      <bottom style="double">
        <color rgb="FFC00000"/>
      </bottom>
      <diagonal/>
    </border>
    <border>
      <left/>
      <right style="double">
        <color rgb="FFC00000"/>
      </right>
      <top style="thin">
        <color rgb="FFD00000"/>
      </top>
      <bottom style="double">
        <color rgb="FFC00000"/>
      </bottom>
      <diagonal/>
    </border>
    <border>
      <left style="double">
        <color rgb="FFE20000"/>
      </left>
      <right/>
      <top style="double">
        <color rgb="FFE20000"/>
      </top>
      <bottom/>
      <diagonal/>
    </border>
    <border>
      <left/>
      <right/>
      <top style="double">
        <color rgb="FFE20000"/>
      </top>
      <bottom/>
      <diagonal/>
    </border>
    <border>
      <left/>
      <right style="double">
        <color rgb="FFE20000"/>
      </right>
      <top style="double">
        <color rgb="FFE20000"/>
      </top>
      <bottom/>
      <diagonal/>
    </border>
  </borders>
  <cellStyleXfs count="490">
    <xf numFmtId="179" fontId="0" fillId="0" borderId="0"/>
    <xf numFmtId="179" fontId="9" fillId="0" borderId="0" applyFont="0" applyFill="0" applyBorder="0" applyAlignment="0" applyProtection="0"/>
    <xf numFmtId="179" fontId="13" fillId="0" borderId="0"/>
    <xf numFmtId="166" fontId="14" fillId="0" borderId="0"/>
    <xf numFmtId="179" fontId="12" fillId="0" borderId="0"/>
    <xf numFmtId="9" fontId="17" fillId="0" borderId="0" applyFont="0" applyFill="0" applyBorder="0" applyAlignment="0" applyProtection="0"/>
    <xf numFmtId="179" fontId="9" fillId="0" borderId="0"/>
    <xf numFmtId="179" fontId="19" fillId="8" borderId="0" applyNumberFormat="0" applyBorder="0" applyAlignment="0" applyProtection="0"/>
    <xf numFmtId="179" fontId="19" fillId="9" borderId="0" applyNumberFormat="0" applyBorder="0" applyAlignment="0" applyProtection="0"/>
    <xf numFmtId="179" fontId="19" fillId="10" borderId="0" applyNumberFormat="0" applyBorder="0" applyAlignment="0" applyProtection="0"/>
    <xf numFmtId="179" fontId="19" fillId="11" borderId="0" applyNumberFormat="0" applyBorder="0" applyAlignment="0" applyProtection="0"/>
    <xf numFmtId="179" fontId="19" fillId="12" borderId="0" applyNumberFormat="0" applyBorder="0" applyAlignment="0" applyProtection="0"/>
    <xf numFmtId="179" fontId="19" fillId="13" borderId="0" applyNumberFormat="0" applyBorder="0" applyAlignment="0" applyProtection="0"/>
    <xf numFmtId="179" fontId="19" fillId="14" borderId="0" applyNumberFormat="0" applyBorder="0" applyAlignment="0" applyProtection="0"/>
    <xf numFmtId="179" fontId="19" fillId="15" borderId="0" applyNumberFormat="0" applyBorder="0" applyAlignment="0" applyProtection="0"/>
    <xf numFmtId="179" fontId="19" fillId="16" borderId="0" applyNumberFormat="0" applyBorder="0" applyAlignment="0" applyProtection="0"/>
    <xf numFmtId="179" fontId="19" fillId="11" borderId="0" applyNumberFormat="0" applyBorder="0" applyAlignment="0" applyProtection="0"/>
    <xf numFmtId="179" fontId="19" fillId="14" borderId="0" applyNumberFormat="0" applyBorder="0" applyAlignment="0" applyProtection="0"/>
    <xf numFmtId="179" fontId="19" fillId="17" borderId="0" applyNumberFormat="0" applyBorder="0" applyAlignment="0" applyProtection="0"/>
    <xf numFmtId="179" fontId="20" fillId="18" borderId="0" applyNumberFormat="0" applyBorder="0" applyAlignment="0" applyProtection="0"/>
    <xf numFmtId="179" fontId="20" fillId="15" borderId="0" applyNumberFormat="0" applyBorder="0" applyAlignment="0" applyProtection="0"/>
    <xf numFmtId="179" fontId="20" fillId="16" borderId="0" applyNumberFormat="0" applyBorder="0" applyAlignment="0" applyProtection="0"/>
    <xf numFmtId="179" fontId="20" fillId="19" borderId="0" applyNumberFormat="0" applyBorder="0" applyAlignment="0" applyProtection="0"/>
    <xf numFmtId="179" fontId="20" fillId="20" borderId="0" applyNumberFormat="0" applyBorder="0" applyAlignment="0" applyProtection="0"/>
    <xf numFmtId="179" fontId="20" fillId="21" borderId="0" applyNumberFormat="0" applyBorder="0" applyAlignment="0" applyProtection="0"/>
    <xf numFmtId="179" fontId="21" fillId="9" borderId="0" applyNumberFormat="0" applyBorder="0" applyAlignment="0" applyProtection="0"/>
    <xf numFmtId="179" fontId="22" fillId="22" borderId="3" applyNumberFormat="0" applyAlignment="0" applyProtection="0"/>
    <xf numFmtId="179" fontId="23" fillId="23" borderId="4" applyNumberFormat="0" applyAlignment="0" applyProtection="0"/>
    <xf numFmtId="179" fontId="24" fillId="0" borderId="0" applyNumberFormat="0" applyFill="0" applyBorder="0" applyAlignment="0" applyProtection="0"/>
    <xf numFmtId="169" fontId="25" fillId="0" borderId="0">
      <alignment horizontal="right" vertical="top"/>
    </xf>
    <xf numFmtId="170" fontId="26" fillId="0" borderId="0">
      <alignment horizontal="right" vertical="top"/>
    </xf>
    <xf numFmtId="170" fontId="25" fillId="0" borderId="0">
      <alignment horizontal="right" vertical="top"/>
    </xf>
    <xf numFmtId="171" fontId="26" fillId="0" borderId="0" applyFill="0" applyBorder="0">
      <alignment horizontal="right" vertical="top"/>
    </xf>
    <xf numFmtId="172" fontId="26" fillId="0" borderId="0" applyFill="0" applyBorder="0">
      <alignment horizontal="right" vertical="top"/>
    </xf>
    <xf numFmtId="173" fontId="26" fillId="0" borderId="0" applyFill="0" applyBorder="0">
      <alignment horizontal="right" vertical="top"/>
    </xf>
    <xf numFmtId="174" fontId="26" fillId="0" borderId="0" applyFill="0" applyBorder="0">
      <alignment horizontal="right" vertical="top"/>
    </xf>
    <xf numFmtId="179" fontId="27" fillId="0" borderId="0">
      <alignment horizontal="center" wrapText="1"/>
    </xf>
    <xf numFmtId="175" fontId="28" fillId="0" borderId="0" applyFill="0" applyBorder="0">
      <alignment vertical="top"/>
    </xf>
    <xf numFmtId="175" fontId="29" fillId="0" borderId="0" applyFill="0" applyBorder="0" applyProtection="0">
      <alignment vertical="top"/>
    </xf>
    <xf numFmtId="175" fontId="30" fillId="0" borderId="0">
      <alignment vertical="top"/>
    </xf>
    <xf numFmtId="176" fontId="26" fillId="0" borderId="0" applyFill="0" applyBorder="0" applyAlignment="0" applyProtection="0">
      <alignment horizontal="right" vertical="top"/>
    </xf>
    <xf numFmtId="175" fontId="15" fillId="0" borderId="0"/>
    <xf numFmtId="179" fontId="26" fillId="0" borderId="0" applyFill="0" applyBorder="0">
      <alignment horizontal="left" vertical="top"/>
    </xf>
    <xf numFmtId="177" fontId="31" fillId="0" borderId="0"/>
    <xf numFmtId="178" fontId="31" fillId="0" borderId="0"/>
    <xf numFmtId="179" fontId="32" fillId="10" borderId="0" applyNumberFormat="0" applyBorder="0" applyAlignment="0" applyProtection="0"/>
    <xf numFmtId="179" fontId="33" fillId="0" borderId="5" applyNumberFormat="0" applyFill="0" applyAlignment="0" applyProtection="0"/>
    <xf numFmtId="179" fontId="34" fillId="0" borderId="6" applyNumberFormat="0" applyFill="0" applyAlignment="0" applyProtection="0"/>
    <xf numFmtId="179" fontId="35" fillId="0" borderId="7" applyNumberFormat="0" applyFill="0" applyAlignment="0" applyProtection="0"/>
    <xf numFmtId="179" fontId="35" fillId="0" borderId="0" applyNumberFormat="0" applyFill="0" applyBorder="0" applyAlignment="0" applyProtection="0"/>
    <xf numFmtId="179" fontId="36" fillId="13" borderId="3" applyNumberFormat="0" applyAlignment="0" applyProtection="0"/>
    <xf numFmtId="179" fontId="37" fillId="0" borderId="8" applyNumberFormat="0" applyFill="0" applyAlignment="0" applyProtection="0"/>
    <xf numFmtId="179" fontId="38" fillId="24" borderId="0" applyNumberFormat="0" applyBorder="0" applyAlignment="0" applyProtection="0"/>
    <xf numFmtId="179" fontId="13" fillId="0" borderId="0"/>
    <xf numFmtId="179" fontId="18" fillId="25" borderId="2" applyNumberFormat="0" applyFont="0" applyAlignment="0" applyProtection="0"/>
    <xf numFmtId="179" fontId="39" fillId="22" borderId="9" applyNumberFormat="0" applyAlignment="0" applyProtection="0"/>
    <xf numFmtId="179" fontId="40" fillId="0" borderId="0" applyNumberFormat="0" applyBorder="0" applyAlignment="0"/>
    <xf numFmtId="179" fontId="41" fillId="0" borderId="0" applyNumberFormat="0" applyBorder="0" applyAlignment="0"/>
    <xf numFmtId="179" fontId="42" fillId="0" borderId="0" applyNumberFormat="0" applyBorder="0" applyAlignment="0"/>
    <xf numFmtId="179" fontId="42" fillId="0" borderId="0" applyNumberFormat="0" applyBorder="0" applyAlignment="0"/>
    <xf numFmtId="179" fontId="43" fillId="0" borderId="0" applyNumberFormat="0" applyBorder="0" applyAlignment="0"/>
    <xf numFmtId="179" fontId="44" fillId="10" borderId="0" applyNumberFormat="0" applyBorder="0" applyAlignment="0"/>
    <xf numFmtId="179" fontId="45" fillId="10" borderId="0" applyNumberFormat="0" applyBorder="0" applyAlignment="0"/>
    <xf numFmtId="179" fontId="46" fillId="0" borderId="0" applyNumberFormat="0" applyBorder="0" applyAlignment="0"/>
    <xf numFmtId="179" fontId="46" fillId="0" borderId="0" applyNumberFormat="0" applyBorder="0" applyAlignment="0"/>
    <xf numFmtId="179" fontId="47" fillId="0" borderId="0" applyNumberFormat="0" applyFill="0" applyBorder="0" applyAlignment="0" applyProtection="0"/>
    <xf numFmtId="179" fontId="48" fillId="0" borderId="0" applyNumberFormat="0" applyFill="0" applyBorder="0" applyAlignment="0" applyProtection="0"/>
    <xf numFmtId="179" fontId="8" fillId="0" borderId="0"/>
    <xf numFmtId="0" fontId="9" fillId="0" borderId="0"/>
    <xf numFmtId="179" fontId="9" fillId="0" borderId="0"/>
    <xf numFmtId="0" fontId="9" fillId="0" borderId="0"/>
    <xf numFmtId="180" fontId="52" fillId="0" borderId="0" applyAlignment="0"/>
    <xf numFmtId="10" fontId="53" fillId="0" borderId="0"/>
    <xf numFmtId="9" fontId="54" fillId="0" borderId="0"/>
    <xf numFmtId="0" fontId="54" fillId="0" borderId="0"/>
    <xf numFmtId="10" fontId="54" fillId="0" borderId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181" fontId="54" fillId="0" borderId="0"/>
    <xf numFmtId="3" fontId="52" fillId="0" borderId="0"/>
    <xf numFmtId="2" fontId="52" fillId="0" borderId="0"/>
    <xf numFmtId="10" fontId="52" fillId="0" borderId="0" applyFont="0" applyBorder="0" applyAlignment="0">
      <alignment horizontal="centerContinuous"/>
    </xf>
    <xf numFmtId="0" fontId="55" fillId="0" borderId="13" applyFont="0" applyFill="0" applyBorder="0" applyAlignment="0" applyProtection="0"/>
    <xf numFmtId="181" fontId="54" fillId="0" borderId="0"/>
    <xf numFmtId="181" fontId="54" fillId="0" borderId="0"/>
    <xf numFmtId="181" fontId="54" fillId="0" borderId="0"/>
    <xf numFmtId="1" fontId="52" fillId="0" borderId="0" applyFont="0" applyAlignment="0">
      <alignment horizontal="centerContinuous"/>
    </xf>
    <xf numFmtId="0" fontId="56" fillId="0" borderId="11" applyFont="0">
      <alignment horizontal="centerContinuous"/>
    </xf>
    <xf numFmtId="0" fontId="57" fillId="0" borderId="0"/>
    <xf numFmtId="9" fontId="53" fillId="0" borderId="0"/>
    <xf numFmtId="0" fontId="53" fillId="0" borderId="0"/>
    <xf numFmtId="0" fontId="53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3" fillId="0" borderId="0"/>
    <xf numFmtId="0" fontId="53" fillId="0" borderId="0"/>
    <xf numFmtId="0" fontId="9" fillId="0" borderId="0"/>
    <xf numFmtId="0" fontId="54" fillId="0" borderId="0"/>
    <xf numFmtId="38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4" fillId="0" borderId="0"/>
    <xf numFmtId="0" fontId="56" fillId="0" borderId="11" applyNumberFormat="0" applyFill="0" applyAlignment="0" applyProtection="0"/>
    <xf numFmtId="0" fontId="58" fillId="0" borderId="11" applyNumberFormat="0" applyFont="0" applyFill="0" applyAlignment="0" applyProtection="0"/>
    <xf numFmtId="0" fontId="57" fillId="0" borderId="14"/>
    <xf numFmtId="0" fontId="54" fillId="0" borderId="11">
      <alignment horizontal="centerContinuous"/>
    </xf>
    <xf numFmtId="0" fontId="9" fillId="0" borderId="15" applyBorder="0">
      <alignment horizontal="centerContinuous"/>
    </xf>
    <xf numFmtId="0" fontId="54" fillId="0" borderId="0" applyFont="0" applyFill="0" applyBorder="0" applyAlignment="0" applyProtection="0"/>
    <xf numFmtId="0" fontId="60" fillId="0" borderId="0"/>
    <xf numFmtId="0" fontId="60" fillId="0" borderId="0"/>
    <xf numFmtId="0" fontId="60" fillId="0" borderId="0"/>
    <xf numFmtId="0" fontId="53" fillId="0" borderId="0"/>
    <xf numFmtId="0" fontId="60" fillId="0" borderId="0"/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57" fillId="0" borderId="0">
      <alignment horizontal="right"/>
    </xf>
    <xf numFmtId="0" fontId="60" fillId="0" borderId="0"/>
    <xf numFmtId="37" fontId="54" fillId="0" borderId="0">
      <alignment horizontal="center"/>
    </xf>
    <xf numFmtId="0" fontId="56" fillId="0" borderId="0"/>
    <xf numFmtId="182" fontId="9" fillId="0" borderId="0">
      <alignment horizontal="right" wrapText="1"/>
    </xf>
    <xf numFmtId="0" fontId="54" fillId="0" borderId="0"/>
    <xf numFmtId="0" fontId="61" fillId="0" borderId="0" applyFont="0" applyFill="0" applyBorder="0" applyAlignment="0" applyProtection="0"/>
    <xf numFmtId="40" fontId="61" fillId="0" borderId="0" applyFont="0" applyFill="0" applyBorder="0" applyAlignment="0" applyProtection="0"/>
    <xf numFmtId="183" fontId="9" fillId="0" borderId="0" applyFont="0" applyFill="0" applyBorder="0" applyAlignment="0" applyProtection="0"/>
    <xf numFmtId="184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2" fillId="0" borderId="0" applyFont="0" applyFill="0" applyBorder="0" applyAlignment="0" applyProtection="0"/>
    <xf numFmtId="185" fontId="9" fillId="0" borderId="0" applyFont="0" applyFill="0" applyBorder="0" applyAlignment="0" applyProtection="0"/>
    <xf numFmtId="49" fontId="63" fillId="27" borderId="0">
      <alignment vertical="center"/>
    </xf>
    <xf numFmtId="0" fontId="54" fillId="0" borderId="0" applyFont="0" applyFill="0" applyBorder="0" applyAlignment="0" applyProtection="0"/>
    <xf numFmtId="186" fontId="10" fillId="26" borderId="0">
      <alignment horizontal="right"/>
    </xf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9" fontId="64" fillId="0" borderId="0" applyNumberFormat="0" applyFill="0" applyBorder="0" applyProtection="0">
      <alignment horizontal="center" vertical="top"/>
    </xf>
    <xf numFmtId="187" fontId="65" fillId="0" borderId="0" applyBorder="0">
      <alignment horizontal="right" vertical="top"/>
    </xf>
    <xf numFmtId="188" fontId="64" fillId="0" borderId="0" applyBorder="0">
      <alignment horizontal="right" vertical="top"/>
    </xf>
    <xf numFmtId="188" fontId="65" fillId="0" borderId="0" applyBorder="0">
      <alignment horizontal="right" vertical="top"/>
    </xf>
    <xf numFmtId="189" fontId="64" fillId="0" borderId="0" applyFill="0" applyBorder="0">
      <alignment horizontal="right" vertical="top"/>
    </xf>
    <xf numFmtId="190" fontId="64" fillId="0" borderId="0" applyFill="0" applyBorder="0">
      <alignment horizontal="right" vertical="top"/>
    </xf>
    <xf numFmtId="191" fontId="64" fillId="0" borderId="0" applyFill="0" applyBorder="0">
      <alignment horizontal="right" vertical="top"/>
    </xf>
    <xf numFmtId="192" fontId="64" fillId="0" borderId="0" applyFill="0" applyBorder="0">
      <alignment horizontal="right" vertical="top"/>
    </xf>
    <xf numFmtId="0" fontId="66" fillId="0" borderId="16">
      <alignment horizontal="right"/>
    </xf>
    <xf numFmtId="0" fontId="27" fillId="0" borderId="0">
      <alignment horizontal="center" wrapText="1"/>
    </xf>
    <xf numFmtId="175" fontId="67" fillId="0" borderId="16">
      <alignment horizontal="left"/>
    </xf>
    <xf numFmtId="0" fontId="68" fillId="0" borderId="0">
      <alignment vertical="center"/>
    </xf>
    <xf numFmtId="193" fontId="68" fillId="0" borderId="0">
      <alignment horizontal="left" vertical="center"/>
    </xf>
    <xf numFmtId="194" fontId="69" fillId="0" borderId="0">
      <alignment vertical="center"/>
    </xf>
    <xf numFmtId="0" fontId="51" fillId="0" borderId="0">
      <alignment vertical="center"/>
    </xf>
    <xf numFmtId="175" fontId="67" fillId="0" borderId="16">
      <alignment horizontal="left"/>
    </xf>
    <xf numFmtId="175" fontId="64" fillId="0" borderId="0">
      <alignment horizontal="center"/>
    </xf>
    <xf numFmtId="175" fontId="70" fillId="0" borderId="16">
      <alignment horizontal="center"/>
    </xf>
    <xf numFmtId="176" fontId="64" fillId="0" borderId="16" applyFill="0" applyBorder="0" applyProtection="0">
      <alignment horizontal="right" vertical="top"/>
    </xf>
    <xf numFmtId="175" fontId="71" fillId="0" borderId="0"/>
    <xf numFmtId="175" fontId="49" fillId="0" borderId="0"/>
    <xf numFmtId="175" fontId="9" fillId="0" borderId="0"/>
    <xf numFmtId="175" fontId="72" fillId="0" borderId="0">
      <alignment horizontal="left" vertical="top"/>
    </xf>
    <xf numFmtId="0" fontId="64" fillId="0" borderId="0" applyFill="0" applyBorder="0">
      <alignment horizontal="left" vertical="top" wrapText="1"/>
    </xf>
    <xf numFmtId="0" fontId="26" fillId="0" borderId="0" applyFill="0" applyBorder="0">
      <alignment horizontal="left" vertical="top"/>
    </xf>
    <xf numFmtId="0" fontId="73" fillId="0" borderId="0">
      <alignment horizontal="left" vertical="top" wrapText="1"/>
    </xf>
    <xf numFmtId="0" fontId="74" fillId="0" borderId="0">
      <alignment horizontal="left" vertical="top" wrapText="1"/>
    </xf>
    <xf numFmtId="0" fontId="65" fillId="0" borderId="0">
      <alignment horizontal="left" vertical="top" wrapText="1"/>
    </xf>
    <xf numFmtId="0" fontId="75" fillId="0" borderId="0" applyNumberFormat="0" applyFill="0" applyBorder="0" applyAlignment="0" applyProtection="0"/>
    <xf numFmtId="0" fontId="63" fillId="28" borderId="0">
      <alignment horizontal="right" vertical="center"/>
    </xf>
    <xf numFmtId="0" fontId="9" fillId="29" borderId="0"/>
    <xf numFmtId="0" fontId="76" fillId="0" borderId="0" applyNumberFormat="0" applyFill="0" applyProtection="0">
      <alignment horizontal="left"/>
    </xf>
    <xf numFmtId="0" fontId="77" fillId="0" borderId="0" applyNumberFormat="0" applyFill="0" applyBorder="0" applyAlignment="0" applyProtection="0"/>
    <xf numFmtId="0" fontId="54" fillId="14" borderId="0" applyNumberFormat="0" applyFont="0" applyBorder="0" applyAlignment="0">
      <protection locked="0"/>
    </xf>
    <xf numFmtId="0" fontId="53" fillId="0" borderId="0" applyNumberFormat="0" applyFill="0" applyBorder="0" applyAlignment="0">
      <protection locked="0"/>
    </xf>
    <xf numFmtId="0" fontId="78" fillId="0" borderId="0" applyNumberFormat="0" applyFill="0" applyBorder="0" applyAlignment="0"/>
    <xf numFmtId="38" fontId="79" fillId="0" borderId="0"/>
    <xf numFmtId="38" fontId="80" fillId="0" borderId="0"/>
    <xf numFmtId="38" fontId="81" fillId="0" borderId="0"/>
    <xf numFmtId="38" fontId="82" fillId="0" borderId="0"/>
    <xf numFmtId="0" fontId="83" fillId="0" borderId="0"/>
    <xf numFmtId="0" fontId="83" fillId="0" borderId="0"/>
    <xf numFmtId="0" fontId="63" fillId="4" borderId="0">
      <alignment horizontal="right" vertical="center"/>
    </xf>
    <xf numFmtId="165" fontId="7" fillId="0" borderId="0" applyFont="0" applyFill="0" applyBorder="0" applyAlignment="0" applyProtection="0"/>
    <xf numFmtId="195" fontId="9" fillId="0" borderId="0" applyFont="0" applyFill="0" applyBorder="0" applyAlignment="0" applyProtection="0"/>
    <xf numFmtId="49" fontId="84" fillId="27" borderId="0">
      <alignment horizontal="centerContinuous" vertical="center"/>
    </xf>
    <xf numFmtId="0" fontId="85" fillId="0" borderId="0"/>
    <xf numFmtId="0" fontId="57" fillId="0" borderId="0">
      <alignment horizontal="left"/>
    </xf>
    <xf numFmtId="0" fontId="13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9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8" fillId="26" borderId="0">
      <alignment horizontal="left" vertical="top" wrapText="1"/>
    </xf>
    <xf numFmtId="10" fontId="54" fillId="0" borderId="10"/>
    <xf numFmtId="10" fontId="54" fillId="0" borderId="10"/>
    <xf numFmtId="10" fontId="54" fillId="0" borderId="10"/>
    <xf numFmtId="10" fontId="54" fillId="0" borderId="10"/>
    <xf numFmtId="49" fontId="89" fillId="0" borderId="11" applyFill="0" applyProtection="0">
      <alignment vertical="center"/>
    </xf>
    <xf numFmtId="0" fontId="57" fillId="0" borderId="0"/>
    <xf numFmtId="0" fontId="90" fillId="0" borderId="0"/>
    <xf numFmtId="9" fontId="58" fillId="0" borderId="0" applyFont="0" applyFill="0" applyBorder="0" applyAlignment="0" applyProtection="0"/>
    <xf numFmtId="0" fontId="91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2" fillId="0" borderId="0" applyFont="0" applyFill="0" applyBorder="0" applyAlignment="0" applyProtection="0"/>
    <xf numFmtId="0" fontId="93" fillId="0" borderId="0" applyFont="0" applyFill="0" applyBorder="0" applyAlignment="0" applyProtection="0">
      <alignment horizontal="center"/>
    </xf>
    <xf numFmtId="0" fontId="93" fillId="0" borderId="0" applyFont="0" applyFill="0" applyBorder="0" applyAlignment="0" applyProtection="0">
      <alignment horizontal="center"/>
    </xf>
    <xf numFmtId="0" fontId="93" fillId="0" borderId="0" applyFont="0" applyFill="0" applyBorder="0" applyAlignment="0" applyProtection="0">
      <alignment horizontal="center"/>
    </xf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4" fillId="0" borderId="11"/>
    <xf numFmtId="10" fontId="57" fillId="0" borderId="1"/>
    <xf numFmtId="10" fontId="9" fillId="0" borderId="0"/>
    <xf numFmtId="2" fontId="54" fillId="0" borderId="0">
      <alignment horizontal="right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0"/>
    <xf numFmtId="0" fontId="95" fillId="0" borderId="13">
      <protection locked="0"/>
    </xf>
    <xf numFmtId="0" fontId="95" fillId="0" borderId="13">
      <protection locked="0"/>
    </xf>
    <xf numFmtId="0" fontId="95" fillId="0" borderId="13">
      <protection locked="0"/>
    </xf>
    <xf numFmtId="0" fontId="95" fillId="0" borderId="13">
      <protection locked="0"/>
    </xf>
    <xf numFmtId="0" fontId="95" fillId="0" borderId="13">
      <protection locked="0"/>
    </xf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6" fillId="0" borderId="0">
      <alignment horizontal="center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95" fillId="0" borderId="13">
      <alignment horizontal="centerContinuous"/>
    </xf>
    <xf numFmtId="0" fontId="11" fillId="28" borderId="17" applyNumberFormat="0" applyProtection="0">
      <alignment horizontal="left" vertical="center" indent="1"/>
    </xf>
    <xf numFmtId="196" fontId="40" fillId="30" borderId="17" applyProtection="0">
      <alignment horizontal="right" vertical="center"/>
    </xf>
    <xf numFmtId="0" fontId="97" fillId="29" borderId="0" applyNumberFormat="0" applyFont="0" applyBorder="0" applyAlignment="0" applyProtection="0"/>
    <xf numFmtId="0" fontId="63" fillId="27" borderId="0">
      <alignment horizontal="right" vertical="center"/>
    </xf>
    <xf numFmtId="0" fontId="9" fillId="0" borderId="0"/>
    <xf numFmtId="0" fontId="9" fillId="0" borderId="0"/>
    <xf numFmtId="0" fontId="40" fillId="0" borderId="0" applyNumberFormat="0" applyBorder="0" applyAlignment="0"/>
    <xf numFmtId="0" fontId="41" fillId="0" borderId="0" applyNumberFormat="0" applyBorder="0" applyAlignment="0"/>
    <xf numFmtId="0" fontId="42" fillId="0" borderId="0" applyNumberFormat="0" applyBorder="0" applyAlignment="0"/>
    <xf numFmtId="0" fontId="42" fillId="0" borderId="0" applyNumberFormat="0" applyBorder="0" applyAlignment="0"/>
    <xf numFmtId="0" fontId="43" fillId="0" borderId="0" applyNumberFormat="0" applyBorder="0" applyAlignment="0"/>
    <xf numFmtId="0" fontId="44" fillId="10" borderId="0" applyNumberFormat="0" applyBorder="0" applyAlignment="0"/>
    <xf numFmtId="0" fontId="45" fillId="10" borderId="0" applyNumberFormat="0" applyBorder="0" applyAlignment="0"/>
    <xf numFmtId="0" fontId="46" fillId="0" borderId="0" applyNumberFormat="0" applyBorder="0" applyAlignment="0"/>
    <xf numFmtId="0" fontId="46" fillId="0" borderId="0" applyNumberFormat="0" applyBorder="0" applyAlignment="0"/>
    <xf numFmtId="0" fontId="56" fillId="0" borderId="11">
      <alignment horizontal="center"/>
    </xf>
    <xf numFmtId="0" fontId="56" fillId="0" borderId="11">
      <alignment horizontal="center"/>
    </xf>
    <xf numFmtId="0" fontId="56" fillId="0" borderId="11">
      <alignment horizontal="center"/>
    </xf>
    <xf numFmtId="0" fontId="56" fillId="0" borderId="11">
      <alignment horizontal="center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Continuous"/>
    </xf>
    <xf numFmtId="0" fontId="56" fillId="0" borderId="11">
      <alignment horizontal="center"/>
    </xf>
    <xf numFmtId="0" fontId="16" fillId="26" borderId="0"/>
    <xf numFmtId="0" fontId="10" fillId="26" borderId="0">
      <alignment horizontal="left"/>
    </xf>
    <xf numFmtId="0" fontId="10" fillId="26" borderId="0">
      <alignment horizontal="left" indent="1"/>
    </xf>
    <xf numFmtId="0" fontId="10" fillId="26" borderId="0">
      <alignment horizontal="left" vertical="center" indent="2"/>
    </xf>
    <xf numFmtId="0" fontId="98" fillId="0" borderId="18" applyNumberFormat="0" applyFill="0" applyBorder="0" applyAlignment="0" applyProtection="0">
      <alignment horizontal="left"/>
    </xf>
    <xf numFmtId="0" fontId="58" fillId="0" borderId="19" applyNumberFormat="0" applyFont="0" applyFill="0" applyAlignment="0" applyProtection="0"/>
    <xf numFmtId="0" fontId="99" fillId="0" borderId="0"/>
    <xf numFmtId="1" fontId="100" fillId="0" borderId="11">
      <alignment horizontal="center"/>
    </xf>
    <xf numFmtId="197" fontId="54" fillId="0" borderId="0" applyFont="0" applyFill="0" applyBorder="0" applyAlignment="0" applyProtection="0">
      <alignment horizontal="right" vertical="center"/>
    </xf>
    <xf numFmtId="0" fontId="9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87" fillId="8" borderId="0" applyNumberFormat="0" applyBorder="0" applyAlignment="0" applyProtection="0"/>
    <xf numFmtId="0" fontId="87" fillId="9" borderId="0" applyNumberFormat="0" applyBorder="0" applyAlignment="0" applyProtection="0"/>
    <xf numFmtId="0" fontId="87" fillId="10" borderId="0" applyNumberFormat="0" applyBorder="0" applyAlignment="0" applyProtection="0"/>
    <xf numFmtId="0" fontId="87" fillId="11" borderId="0" applyNumberFormat="0" applyBorder="0" applyAlignment="0" applyProtection="0"/>
    <xf numFmtId="0" fontId="87" fillId="12" borderId="0" applyNumberFormat="0" applyBorder="0" applyAlignment="0" applyProtection="0"/>
    <xf numFmtId="0" fontId="87" fillId="13" borderId="0" applyNumberFormat="0" applyBorder="0" applyAlignment="0" applyProtection="0"/>
    <xf numFmtId="0" fontId="87" fillId="14" borderId="0" applyNumberFormat="0" applyBorder="0" applyAlignment="0" applyProtection="0"/>
    <xf numFmtId="0" fontId="87" fillId="15" borderId="0" applyNumberFormat="0" applyBorder="0" applyAlignment="0" applyProtection="0"/>
    <xf numFmtId="0" fontId="87" fillId="16" borderId="0" applyNumberFormat="0" applyBorder="0" applyAlignment="0" applyProtection="0"/>
    <xf numFmtId="0" fontId="87" fillId="11" borderId="0" applyNumberFormat="0" applyBorder="0" applyAlignment="0" applyProtection="0"/>
    <xf numFmtId="0" fontId="87" fillId="14" borderId="0" applyNumberFormat="0" applyBorder="0" applyAlignment="0" applyProtection="0"/>
    <xf numFmtId="0" fontId="87" fillId="17" borderId="0" applyNumberFormat="0" applyBorder="0" applyAlignment="0" applyProtection="0"/>
    <xf numFmtId="183" fontId="9" fillId="0" borderId="0" applyFont="0" applyFill="0" applyBorder="0" applyAlignment="0" applyProtection="0"/>
    <xf numFmtId="184" fontId="9" fillId="0" borderId="0" applyFont="0" applyFill="0" applyBorder="0" applyAlignment="0" applyProtection="0"/>
    <xf numFmtId="0" fontId="9" fillId="25" borderId="2" applyNumberFormat="0" applyFont="0" applyAlignment="0" applyProtection="0"/>
    <xf numFmtId="164" fontId="9" fillId="0" borderId="0" applyFont="0" applyFill="0" applyBorder="0" applyAlignment="0" applyProtection="0"/>
    <xf numFmtId="187" fontId="65" fillId="0" borderId="0" applyBorder="0">
      <alignment horizontal="right" vertical="top"/>
    </xf>
    <xf numFmtId="188" fontId="64" fillId="0" borderId="0" applyBorder="0">
      <alignment horizontal="right" vertical="top"/>
    </xf>
    <xf numFmtId="188" fontId="65" fillId="0" borderId="0" applyBorder="0">
      <alignment horizontal="right" vertical="top"/>
    </xf>
    <xf numFmtId="189" fontId="64" fillId="0" borderId="0" applyFill="0" applyBorder="0">
      <alignment horizontal="right" vertical="top"/>
    </xf>
    <xf numFmtId="190" fontId="64" fillId="0" borderId="0" applyFill="0" applyBorder="0">
      <alignment horizontal="right" vertical="top"/>
    </xf>
    <xf numFmtId="191" fontId="64" fillId="0" borderId="0" applyFill="0" applyBorder="0">
      <alignment horizontal="right" vertical="top"/>
    </xf>
    <xf numFmtId="192" fontId="64" fillId="0" borderId="0" applyFill="0" applyBorder="0">
      <alignment horizontal="right" vertical="top"/>
    </xf>
    <xf numFmtId="0" fontId="66" fillId="0" borderId="16">
      <alignment horizontal="right"/>
    </xf>
    <xf numFmtId="176" fontId="64" fillId="0" borderId="16" applyFill="0" applyBorder="0" applyProtection="0">
      <alignment horizontal="right" vertical="top"/>
    </xf>
    <xf numFmtId="175" fontId="9" fillId="0" borderId="0"/>
    <xf numFmtId="0" fontId="64" fillId="0" borderId="0" applyFill="0" applyBorder="0">
      <alignment horizontal="left" vertical="top" wrapText="1"/>
    </xf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26" fillId="0" borderId="0"/>
    <xf numFmtId="0" fontId="9" fillId="0" borderId="0"/>
    <xf numFmtId="0" fontId="9" fillId="0" borderId="0"/>
    <xf numFmtId="0" fontId="9" fillId="0" borderId="0"/>
  </cellStyleXfs>
  <cellXfs count="299">
    <xf numFmtId="179" fontId="0" fillId="0" borderId="0" xfId="0"/>
    <xf numFmtId="179" fontId="50" fillId="0" borderId="0" xfId="0" applyFont="1" applyFill="1" applyBorder="1" applyAlignment="1">
      <alignment vertical="center"/>
    </xf>
    <xf numFmtId="179" fontId="103" fillId="32" borderId="0" xfId="0" applyFont="1" applyFill="1" applyBorder="1" applyAlignment="1">
      <alignment vertical="center"/>
    </xf>
    <xf numFmtId="179" fontId="103" fillId="0" borderId="0" xfId="0" applyFont="1" applyAlignment="1">
      <alignment vertical="center"/>
    </xf>
    <xf numFmtId="0" fontId="103" fillId="0" borderId="0" xfId="0" applyNumberFormat="1" applyFont="1" applyAlignment="1">
      <alignment vertical="center"/>
    </xf>
    <xf numFmtId="179" fontId="103" fillId="0" borderId="0" xfId="0" applyFont="1" applyAlignment="1">
      <alignment horizontal="right" vertical="center"/>
    </xf>
    <xf numFmtId="179" fontId="103" fillId="0" borderId="0" xfId="0" applyFont="1" applyFill="1" applyAlignment="1">
      <alignment horizontal="left"/>
    </xf>
    <xf numFmtId="179" fontId="103" fillId="32" borderId="0" xfId="0" applyFont="1" applyFill="1" applyBorder="1"/>
    <xf numFmtId="179" fontId="103" fillId="0" borderId="0" xfId="0" applyFont="1" applyFill="1"/>
    <xf numFmtId="179" fontId="104" fillId="32" borderId="0" xfId="0" applyFont="1" applyFill="1" applyBorder="1" applyAlignment="1">
      <alignment vertical="center"/>
    </xf>
    <xf numFmtId="179" fontId="104" fillId="0" borderId="0" xfId="0" applyFont="1" applyFill="1" applyAlignment="1">
      <alignment vertical="center"/>
    </xf>
    <xf numFmtId="179" fontId="101" fillId="0" borderId="0" xfId="0" applyFont="1" applyAlignment="1">
      <alignment horizontal="right"/>
    </xf>
    <xf numFmtId="179" fontId="103" fillId="0" borderId="0" xfId="0" applyFont="1"/>
    <xf numFmtId="0" fontId="105" fillId="0" borderId="0" xfId="0" applyNumberFormat="1" applyFont="1" applyAlignment="1">
      <alignment horizontal="center" vertical="center"/>
    </xf>
    <xf numFmtId="179" fontId="105" fillId="0" borderId="0" xfId="0" applyFont="1" applyAlignment="1">
      <alignment horizontal="center" vertical="center"/>
    </xf>
    <xf numFmtId="179" fontId="107" fillId="0" borderId="0" xfId="0" applyFont="1" applyAlignment="1">
      <alignment horizontal="right" vertical="center"/>
    </xf>
    <xf numFmtId="179" fontId="50" fillId="0" borderId="0" xfId="0" applyFont="1" applyFill="1" applyAlignment="1">
      <alignment vertical="center" wrapText="1"/>
    </xf>
    <xf numFmtId="0" fontId="50" fillId="0" borderId="0" xfId="0" applyNumberFormat="1" applyFont="1" applyFill="1" applyBorder="1" applyAlignment="1">
      <alignment horizontal="left" vertical="center" wrapText="1"/>
    </xf>
    <xf numFmtId="198" fontId="50" fillId="0" borderId="0" xfId="0" applyNumberFormat="1" applyFont="1" applyFill="1" applyBorder="1" applyAlignment="1">
      <alignment vertical="center"/>
    </xf>
    <xf numFmtId="179" fontId="50" fillId="0" borderId="0" xfId="0" applyFont="1" applyAlignment="1">
      <alignment vertical="center"/>
    </xf>
    <xf numFmtId="179" fontId="50" fillId="0" borderId="0" xfId="0" applyFont="1" applyFill="1" applyAlignment="1">
      <alignment vertical="center"/>
    </xf>
    <xf numFmtId="179" fontId="50" fillId="2" borderId="0" xfId="0" applyFont="1" applyFill="1" applyBorder="1" applyAlignment="1">
      <alignment horizontal="center" vertical="center" wrapText="1"/>
    </xf>
    <xf numFmtId="0" fontId="50" fillId="0" borderId="0" xfId="0" applyNumberFormat="1" applyFont="1" applyFill="1" applyBorder="1" applyAlignment="1">
      <alignment vertical="center" wrapText="1"/>
    </xf>
    <xf numFmtId="179" fontId="50" fillId="0" borderId="0" xfId="0" applyFont="1" applyBorder="1" applyAlignment="1">
      <alignment vertical="center"/>
    </xf>
    <xf numFmtId="198" fontId="50" fillId="6" borderId="0" xfId="0" applyNumberFormat="1" applyFont="1" applyFill="1" applyBorder="1" applyAlignment="1">
      <alignment vertical="center"/>
    </xf>
    <xf numFmtId="179" fontId="50" fillId="6" borderId="0" xfId="0" applyFont="1" applyFill="1" applyBorder="1" applyAlignment="1">
      <alignment vertical="center"/>
    </xf>
    <xf numFmtId="179" fontId="50" fillId="6" borderId="0" xfId="0" applyFont="1" applyFill="1" applyBorder="1" applyAlignment="1">
      <alignment vertical="center" wrapText="1"/>
    </xf>
    <xf numFmtId="0" fontId="50" fillId="6" borderId="0" xfId="0" applyNumberFormat="1" applyFont="1" applyFill="1" applyBorder="1" applyAlignment="1">
      <alignment horizontal="left" vertical="center" wrapText="1"/>
    </xf>
    <xf numFmtId="179" fontId="109" fillId="0" borderId="0" xfId="0" applyFont="1" applyBorder="1" applyAlignment="1">
      <alignment vertical="center"/>
    </xf>
    <xf numFmtId="199" fontId="50" fillId="6" borderId="0" xfId="0" applyNumberFormat="1" applyFont="1" applyFill="1" applyBorder="1" applyAlignment="1">
      <alignment vertical="center"/>
    </xf>
    <xf numFmtId="199" fontId="50" fillId="0" borderId="0" xfId="0" applyNumberFormat="1" applyFont="1" applyFill="1" applyBorder="1" applyAlignment="1">
      <alignment vertical="center"/>
    </xf>
    <xf numFmtId="199" fontId="50" fillId="6" borderId="0" xfId="0" applyNumberFormat="1" applyFont="1" applyFill="1" applyBorder="1" applyAlignment="1">
      <alignment horizontal="left" vertical="center" wrapText="1"/>
    </xf>
    <xf numFmtId="0" fontId="50" fillId="0" borderId="0" xfId="0" applyNumberFormat="1" applyFont="1" applyFill="1" applyBorder="1" applyAlignment="1">
      <alignment vertical="center"/>
    </xf>
    <xf numFmtId="179" fontId="50" fillId="0" borderId="0" xfId="0" applyFont="1" applyBorder="1" applyAlignment="1">
      <alignment vertical="center" wrapText="1"/>
    </xf>
    <xf numFmtId="199" fontId="50" fillId="0" borderId="0" xfId="0" applyNumberFormat="1" applyFont="1" applyBorder="1" applyAlignment="1">
      <alignment vertical="center"/>
    </xf>
    <xf numFmtId="179" fontId="112" fillId="0" borderId="0" xfId="0" applyFont="1" applyAlignment="1">
      <alignment vertical="center"/>
    </xf>
    <xf numFmtId="179" fontId="117" fillId="34" borderId="0" xfId="0" applyFont="1" applyFill="1" applyBorder="1" applyAlignment="1">
      <alignment vertical="center"/>
    </xf>
    <xf numFmtId="179" fontId="116" fillId="36" borderId="24" xfId="0" applyFont="1" applyFill="1" applyBorder="1" applyAlignment="1">
      <alignment horizontal="left" vertical="center" wrapText="1"/>
    </xf>
    <xf numFmtId="0" fontId="3" fillId="0" borderId="0" xfId="445" applyFill="1"/>
    <xf numFmtId="199" fontId="50" fillId="0" borderId="0" xfId="0" applyNumberFormat="1" applyFont="1" applyFill="1" applyAlignment="1">
      <alignment vertical="center"/>
    </xf>
    <xf numFmtId="0" fontId="119" fillId="0" borderId="0" xfId="0" applyNumberFormat="1" applyFont="1" applyFill="1" applyBorder="1" applyAlignment="1">
      <alignment vertical="center" wrapText="1"/>
    </xf>
    <xf numFmtId="0" fontId="119" fillId="0" borderId="0" xfId="0" applyNumberFormat="1" applyFont="1" applyFill="1" applyAlignment="1">
      <alignment vertical="center" wrapText="1"/>
    </xf>
    <xf numFmtId="0" fontId="119" fillId="6" borderId="0" xfId="0" applyNumberFormat="1" applyFont="1" applyFill="1" applyBorder="1" applyAlignment="1">
      <alignment horizontal="left" vertical="center" wrapText="1"/>
    </xf>
    <xf numFmtId="0" fontId="119" fillId="6" borderId="0" xfId="0" applyNumberFormat="1" applyFont="1" applyFill="1" applyAlignment="1">
      <alignment vertical="center" wrapText="1"/>
    </xf>
    <xf numFmtId="198" fontId="119" fillId="3" borderId="0" xfId="0" applyNumberFormat="1" applyFont="1" applyFill="1" applyBorder="1" applyAlignment="1">
      <alignment horizontal="center" vertical="center"/>
    </xf>
    <xf numFmtId="179" fontId="119" fillId="0" borderId="0" xfId="0" applyFont="1" applyFill="1" applyBorder="1" applyAlignment="1">
      <alignment vertical="center"/>
    </xf>
    <xf numFmtId="179" fontId="119" fillId="2" borderId="0" xfId="0" applyFont="1" applyFill="1" applyBorder="1" applyAlignment="1">
      <alignment horizontal="center" vertical="center" wrapText="1"/>
    </xf>
    <xf numFmtId="2" fontId="123" fillId="2" borderId="0" xfId="0" applyNumberFormat="1" applyFont="1" applyFill="1" applyBorder="1" applyAlignment="1">
      <alignment horizontal="center" vertical="center"/>
    </xf>
    <xf numFmtId="2" fontId="121" fillId="2" borderId="0" xfId="0" applyNumberFormat="1" applyFont="1" applyFill="1" applyBorder="1" applyAlignment="1">
      <alignment horizontal="center" vertical="center"/>
    </xf>
    <xf numFmtId="179" fontId="119" fillId="0" borderId="0" xfId="0" applyFont="1" applyBorder="1" applyAlignment="1">
      <alignment vertical="center"/>
    </xf>
    <xf numFmtId="199" fontId="119" fillId="0" borderId="0" xfId="0" applyNumberFormat="1" applyFont="1" applyFill="1" applyBorder="1" applyAlignment="1">
      <alignment vertical="center"/>
    </xf>
    <xf numFmtId="179" fontId="108" fillId="0" borderId="0" xfId="0" applyFont="1" applyBorder="1" applyAlignment="1">
      <alignment vertical="center"/>
    </xf>
    <xf numFmtId="167" fontId="109" fillId="37" borderId="24" xfId="0" applyNumberFormat="1" applyFont="1" applyFill="1" applyBorder="1" applyAlignment="1">
      <alignment vertical="center"/>
    </xf>
    <xf numFmtId="167" fontId="108" fillId="5" borderId="40" xfId="0" applyNumberFormat="1" applyFont="1" applyFill="1" applyBorder="1" applyAlignment="1">
      <alignment vertical="center"/>
    </xf>
    <xf numFmtId="179" fontId="2" fillId="0" borderId="0" xfId="0" applyFont="1" applyBorder="1" applyAlignment="1">
      <alignment horizontal="left" indent="3"/>
    </xf>
    <xf numFmtId="179" fontId="125" fillId="0" borderId="0" xfId="0" applyFont="1" applyBorder="1" applyAlignment="1">
      <alignment horizontal="right" indent="1"/>
    </xf>
    <xf numFmtId="0" fontId="110" fillId="0" borderId="0" xfId="0" applyNumberFormat="1" applyFont="1" applyFill="1" applyAlignment="1">
      <alignment vertical="center" wrapText="1"/>
    </xf>
    <xf numFmtId="200" fontId="114" fillId="0" borderId="0" xfId="0" applyNumberFormat="1" applyFont="1" applyFill="1" applyBorder="1" applyAlignment="1">
      <alignment horizontal="center" vertical="center" wrapText="1"/>
    </xf>
    <xf numFmtId="200" fontId="102" fillId="0" borderId="0" xfId="0" applyNumberFormat="1" applyFont="1" applyFill="1" applyBorder="1" applyAlignment="1">
      <alignment horizontal="center" vertical="center" wrapText="1"/>
    </xf>
    <xf numFmtId="200" fontId="118" fillId="0" borderId="0" xfId="0" applyNumberFormat="1" applyFont="1" applyFill="1" applyBorder="1" applyAlignment="1">
      <alignment horizontal="center" vertical="center" wrapText="1"/>
    </xf>
    <xf numFmtId="200" fontId="115" fillId="0" borderId="0" xfId="0" applyNumberFormat="1" applyFont="1" applyFill="1" applyBorder="1" applyAlignment="1">
      <alignment horizontal="center" vertical="center" wrapText="1"/>
    </xf>
    <xf numFmtId="200" fontId="106" fillId="2" borderId="0" xfId="0" applyNumberFormat="1" applyFont="1" applyFill="1" applyBorder="1" applyAlignment="1">
      <alignment horizontal="center" vertical="center"/>
    </xf>
    <xf numFmtId="200" fontId="111" fillId="2" borderId="0" xfId="0" applyNumberFormat="1" applyFont="1" applyFill="1" applyBorder="1" applyAlignment="1">
      <alignment horizontal="center" vertical="center"/>
    </xf>
    <xf numFmtId="200" fontId="109" fillId="36" borderId="0" xfId="0" applyNumberFormat="1" applyFont="1" applyFill="1" applyBorder="1" applyAlignment="1">
      <alignment horizontal="center" vertical="center" wrapText="1"/>
    </xf>
    <xf numFmtId="200" fontId="119" fillId="3" borderId="0" xfId="0" applyNumberFormat="1" applyFont="1" applyFill="1" applyBorder="1" applyAlignment="1">
      <alignment horizontal="center" vertical="center"/>
    </xf>
    <xf numFmtId="200" fontId="122" fillId="2" borderId="0" xfId="0" applyNumberFormat="1" applyFont="1" applyFill="1" applyBorder="1" applyAlignment="1">
      <alignment horizontal="center" vertical="center"/>
    </xf>
    <xf numFmtId="200" fontId="123" fillId="2" borderId="0" xfId="0" applyNumberFormat="1" applyFont="1" applyFill="1" applyBorder="1" applyAlignment="1">
      <alignment horizontal="center" vertical="center"/>
    </xf>
    <xf numFmtId="200" fontId="121" fillId="2" borderId="0" xfId="0" applyNumberFormat="1" applyFont="1" applyFill="1" applyBorder="1" applyAlignment="1">
      <alignment horizontal="center" vertical="center"/>
    </xf>
    <xf numFmtId="200" fontId="109" fillId="37" borderId="24" xfId="0" applyNumberFormat="1" applyFont="1" applyFill="1" applyBorder="1" applyAlignment="1">
      <alignment vertical="center"/>
    </xf>
    <xf numFmtId="200" fontId="110" fillId="37" borderId="24" xfId="0" applyNumberFormat="1" applyFont="1" applyFill="1" applyBorder="1" applyAlignment="1">
      <alignment vertical="center"/>
    </xf>
    <xf numFmtId="200" fontId="108" fillId="5" borderId="40" xfId="0" applyNumberFormat="1" applyFont="1" applyFill="1" applyBorder="1" applyAlignment="1">
      <alignment vertical="center"/>
    </xf>
    <xf numFmtId="200" fontId="124" fillId="5" borderId="40" xfId="0" applyNumberFormat="1" applyFont="1" applyFill="1" applyBorder="1" applyAlignment="1">
      <alignment vertical="center"/>
    </xf>
    <xf numFmtId="200" fontId="50" fillId="0" borderId="0" xfId="0" applyNumberFormat="1" applyFont="1" applyFill="1" applyBorder="1" applyAlignment="1">
      <alignment vertical="center"/>
    </xf>
    <xf numFmtId="200" fontId="110" fillId="7" borderId="24" xfId="0" applyNumberFormat="1" applyFont="1" applyFill="1" applyBorder="1" applyAlignment="1">
      <alignment vertical="center"/>
    </xf>
    <xf numFmtId="200" fontId="50" fillId="0" borderId="0" xfId="0" applyNumberFormat="1" applyFont="1" applyAlignment="1">
      <alignment vertical="center"/>
    </xf>
    <xf numFmtId="200" fontId="111" fillId="0" borderId="0" xfId="0" applyNumberFormat="1" applyFont="1" applyAlignment="1">
      <alignment vertical="center"/>
    </xf>
    <xf numFmtId="200" fontId="50" fillId="34" borderId="0" xfId="0" applyNumberFormat="1" applyFont="1" applyFill="1" applyBorder="1" applyAlignment="1">
      <alignment vertical="center"/>
    </xf>
    <xf numFmtId="200" fontId="106" fillId="34" borderId="0" xfId="0" applyNumberFormat="1" applyFont="1" applyFill="1" applyBorder="1" applyAlignment="1">
      <alignment vertical="center"/>
    </xf>
    <xf numFmtId="200" fontId="106" fillId="34" borderId="0" xfId="0" applyNumberFormat="1" applyFont="1" applyFill="1" applyBorder="1" applyAlignment="1">
      <alignment horizontal="left" vertical="center" wrapText="1"/>
    </xf>
    <xf numFmtId="200" fontId="50" fillId="34" borderId="0" xfId="0" applyNumberFormat="1" applyFont="1" applyFill="1" applyBorder="1" applyAlignment="1">
      <alignment horizontal="left" vertical="center"/>
    </xf>
    <xf numFmtId="179" fontId="50" fillId="38" borderId="0" xfId="0" applyFont="1" applyFill="1" applyBorder="1" applyAlignment="1">
      <alignment vertical="center"/>
    </xf>
    <xf numFmtId="0" fontId="119" fillId="38" borderId="0" xfId="0" applyNumberFormat="1" applyFont="1" applyFill="1" applyBorder="1" applyAlignment="1">
      <alignment vertical="center" wrapText="1"/>
    </xf>
    <xf numFmtId="199" fontId="119" fillId="38" borderId="0" xfId="0" applyNumberFormat="1" applyFont="1" applyFill="1" applyBorder="1" applyAlignment="1">
      <alignment vertical="center"/>
    </xf>
    <xf numFmtId="200" fontId="109" fillId="36" borderId="24" xfId="0" applyNumberFormat="1" applyFont="1" applyFill="1" applyBorder="1" applyAlignment="1">
      <alignment vertical="center"/>
    </xf>
    <xf numFmtId="0" fontId="110" fillId="0" borderId="0" xfId="0" applyNumberFormat="1" applyFont="1" applyFill="1" applyAlignment="1">
      <alignment horizontal="left" vertical="center" wrapText="1"/>
    </xf>
    <xf numFmtId="179" fontId="110" fillId="0" borderId="0" xfId="0" applyNumberFormat="1" applyFont="1" applyFill="1" applyAlignment="1">
      <alignment horizontal="left" vertical="center" wrapText="1"/>
    </xf>
    <xf numFmtId="3" fontId="50" fillId="6" borderId="0" xfId="0" applyNumberFormat="1" applyFont="1" applyFill="1" applyBorder="1" applyAlignment="1">
      <alignment horizontal="left" vertical="center"/>
    </xf>
    <xf numFmtId="3" fontId="50" fillId="0" borderId="0" xfId="0" applyNumberFormat="1" applyFont="1" applyFill="1" applyBorder="1" applyAlignment="1">
      <alignment vertical="center" wrapText="1"/>
    </xf>
    <xf numFmtId="3" fontId="50" fillId="0" borderId="0" xfId="0" applyNumberFormat="1" applyFont="1" applyFill="1" applyBorder="1" applyAlignment="1">
      <alignment vertical="center"/>
    </xf>
    <xf numFmtId="3" fontId="50" fillId="0" borderId="0" xfId="0" applyNumberFormat="1" applyFont="1" applyBorder="1" applyAlignment="1">
      <alignment vertical="center"/>
    </xf>
    <xf numFmtId="3" fontId="50" fillId="0" borderId="0" xfId="0" applyNumberFormat="1" applyFont="1" applyAlignment="1">
      <alignment vertical="center"/>
    </xf>
    <xf numFmtId="3" fontId="111" fillId="0" borderId="0" xfId="0" applyNumberFormat="1" applyFont="1" applyAlignment="1">
      <alignment vertical="center"/>
    </xf>
    <xf numFmtId="179" fontId="127" fillId="0" borderId="0" xfId="0" applyFont="1" applyFill="1" applyBorder="1" applyAlignment="1">
      <alignment horizontal="center" vertical="center" wrapText="1"/>
    </xf>
    <xf numFmtId="0" fontId="119" fillId="0" borderId="0" xfId="0" applyNumberFormat="1" applyFont="1" applyFill="1" applyBorder="1" applyAlignment="1">
      <alignment horizontal="left" vertical="center" wrapText="1"/>
    </xf>
    <xf numFmtId="198" fontId="119" fillId="6" borderId="0" xfId="0" applyNumberFormat="1" applyFont="1" applyFill="1" applyBorder="1" applyAlignment="1">
      <alignment vertical="center"/>
    </xf>
    <xf numFmtId="199" fontId="119" fillId="6" borderId="0" xfId="0" applyNumberFormat="1" applyFont="1" applyFill="1" applyBorder="1" applyAlignment="1">
      <alignment vertical="center"/>
    </xf>
    <xf numFmtId="199" fontId="119" fillId="6" borderId="0" xfId="0" applyNumberFormat="1" applyFont="1" applyFill="1" applyBorder="1" applyAlignment="1">
      <alignment horizontal="left" vertical="center" wrapText="1"/>
    </xf>
    <xf numFmtId="0" fontId="110" fillId="0" borderId="0" xfId="0" applyNumberFormat="1" applyFont="1" applyFill="1" applyAlignment="1">
      <alignment horizontal="right" vertical="center" wrapText="1"/>
    </xf>
    <xf numFmtId="3" fontId="109" fillId="36" borderId="24" xfId="0" applyNumberFormat="1" applyFont="1" applyFill="1" applyBorder="1" applyAlignment="1">
      <alignment horizontal="left" vertical="center" wrapText="1"/>
    </xf>
    <xf numFmtId="3" fontId="123" fillId="0" borderId="0" xfId="0" applyNumberFormat="1" applyFont="1" applyFill="1" applyBorder="1" applyAlignment="1">
      <alignment horizontal="right" vertical="center" wrapText="1"/>
    </xf>
    <xf numFmtId="179" fontId="119" fillId="0" borderId="0" xfId="0" applyFont="1" applyAlignment="1">
      <alignment vertical="center"/>
    </xf>
    <xf numFmtId="179" fontId="128" fillId="0" borderId="0" xfId="0" applyFont="1" applyFill="1" applyBorder="1" applyAlignment="1">
      <alignment horizontal="left" vertical="center" wrapText="1"/>
    </xf>
    <xf numFmtId="179" fontId="129" fillId="0" borderId="0" xfId="0" applyFont="1" applyFill="1" applyBorder="1" applyAlignment="1">
      <alignment horizontal="right" vertical="center" wrapText="1"/>
    </xf>
    <xf numFmtId="179" fontId="130" fillId="0" borderId="0" xfId="0" applyFont="1" applyFill="1" applyBorder="1" applyAlignment="1">
      <alignment horizontal="right" vertical="center" wrapText="1"/>
    </xf>
    <xf numFmtId="3" fontId="130" fillId="0" borderId="0" xfId="0" applyNumberFormat="1" applyFont="1" applyFill="1" applyBorder="1" applyAlignment="1">
      <alignment horizontal="right" vertical="center" wrapText="1"/>
    </xf>
    <xf numFmtId="3" fontId="119" fillId="0" borderId="0" xfId="0" applyNumberFormat="1" applyFont="1" applyAlignment="1">
      <alignment vertical="center"/>
    </xf>
    <xf numFmtId="3" fontId="119" fillId="0" borderId="0" xfId="0" applyNumberFormat="1" applyFont="1" applyAlignment="1">
      <alignment vertical="center" wrapText="1"/>
    </xf>
    <xf numFmtId="3" fontId="109" fillId="36" borderId="43" xfId="0" applyNumberFormat="1" applyFont="1" applyFill="1" applyBorder="1" applyAlignment="1">
      <alignment horizontal="left" vertical="center" wrapText="1"/>
    </xf>
    <xf numFmtId="2" fontId="119" fillId="0" borderId="0" xfId="0" applyNumberFormat="1" applyFont="1" applyAlignment="1">
      <alignment vertical="center"/>
    </xf>
    <xf numFmtId="3" fontId="119" fillId="0" borderId="0" xfId="0" applyNumberFormat="1" applyFont="1" applyFill="1" applyAlignment="1">
      <alignment vertical="center" wrapText="1"/>
    </xf>
    <xf numFmtId="198" fontId="131" fillId="3" borderId="20" xfId="0" applyNumberFormat="1" applyFont="1" applyFill="1" applyBorder="1" applyAlignment="1">
      <alignment horizontal="center" vertical="center" wrapText="1"/>
    </xf>
    <xf numFmtId="198" fontId="131" fillId="3" borderId="22" xfId="0" applyNumberFormat="1" applyFont="1" applyFill="1" applyBorder="1" applyAlignment="1">
      <alignment horizontal="center" vertical="center" wrapText="1"/>
    </xf>
    <xf numFmtId="3" fontId="121" fillId="0" borderId="0" xfId="0" applyNumberFormat="1" applyFont="1" applyAlignment="1">
      <alignment vertical="center" wrapText="1"/>
    </xf>
    <xf numFmtId="198" fontId="131" fillId="3" borderId="46" xfId="0" applyNumberFormat="1" applyFont="1" applyFill="1" applyBorder="1" applyAlignment="1">
      <alignment horizontal="center" vertical="center" wrapText="1"/>
    </xf>
    <xf numFmtId="198" fontId="131" fillId="3" borderId="47" xfId="0" applyNumberFormat="1" applyFont="1" applyFill="1" applyBorder="1" applyAlignment="1">
      <alignment horizontal="center" vertical="center" wrapText="1"/>
    </xf>
    <xf numFmtId="3" fontId="121" fillId="0" borderId="0" xfId="0" applyNumberFormat="1" applyFont="1" applyAlignment="1">
      <alignment vertical="center"/>
    </xf>
    <xf numFmtId="179" fontId="119" fillId="0" borderId="0" xfId="0" applyFont="1" applyAlignment="1">
      <alignment vertical="center" wrapText="1"/>
    </xf>
    <xf numFmtId="179" fontId="119" fillId="0" borderId="0" xfId="0" applyFont="1" applyFill="1" applyAlignment="1">
      <alignment vertical="center" wrapText="1"/>
    </xf>
    <xf numFmtId="2" fontId="119" fillId="0" borderId="0" xfId="0" applyNumberFormat="1" applyFont="1" applyFill="1" applyBorder="1" applyAlignment="1">
      <alignment horizontal="center" vertical="center" wrapText="1"/>
    </xf>
    <xf numFmtId="2" fontId="132" fillId="0" borderId="0" xfId="0" applyNumberFormat="1" applyFont="1" applyFill="1" applyBorder="1" applyAlignment="1">
      <alignment horizontal="center" vertical="center" wrapText="1"/>
    </xf>
    <xf numFmtId="2" fontId="133" fillId="0" borderId="0" xfId="0" applyNumberFormat="1" applyFont="1" applyFill="1" applyBorder="1" applyAlignment="1">
      <alignment horizontal="center" vertical="center" wrapText="1"/>
    </xf>
    <xf numFmtId="179" fontId="119" fillId="6" borderId="0" xfId="0" applyFont="1" applyFill="1" applyBorder="1" applyAlignment="1">
      <alignment vertical="center"/>
    </xf>
    <xf numFmtId="0" fontId="119" fillId="0" borderId="0" xfId="0" applyNumberFormat="1" applyFont="1" applyFill="1" applyBorder="1" applyAlignment="1">
      <alignment horizontal="center" vertical="center" wrapText="1"/>
    </xf>
    <xf numFmtId="0" fontId="123" fillId="0" borderId="0" xfId="0" applyNumberFormat="1" applyFont="1" applyFill="1" applyBorder="1" applyAlignment="1">
      <alignment horizontal="center" vertical="center" wrapText="1"/>
    </xf>
    <xf numFmtId="0" fontId="122" fillId="0" borderId="0" xfId="0" applyNumberFormat="1" applyFont="1" applyFill="1" applyBorder="1" applyAlignment="1">
      <alignment horizontal="center" vertical="center" wrapText="1"/>
    </xf>
    <xf numFmtId="179" fontId="9" fillId="0" borderId="0" xfId="0" applyFont="1"/>
    <xf numFmtId="179" fontId="9" fillId="0" borderId="0" xfId="0" applyFont="1" applyBorder="1"/>
    <xf numFmtId="179" fontId="134" fillId="0" borderId="0" xfId="0" applyFont="1" applyBorder="1"/>
    <xf numFmtId="179" fontId="119" fillId="6" borderId="0" xfId="0" applyFont="1" applyFill="1" applyBorder="1" applyAlignment="1">
      <alignment vertical="center" wrapText="1"/>
    </xf>
    <xf numFmtId="179" fontId="119" fillId="0" borderId="0" xfId="0" applyFont="1" applyFill="1" applyBorder="1" applyAlignment="1">
      <alignment vertical="center" wrapText="1"/>
    </xf>
    <xf numFmtId="198" fontId="119" fillId="0" borderId="0" xfId="0" applyNumberFormat="1" applyFont="1" applyFill="1" applyBorder="1" applyAlignment="1">
      <alignment vertical="center"/>
    </xf>
    <xf numFmtId="198" fontId="123" fillId="6" borderId="0" xfId="0" applyNumberFormat="1" applyFont="1" applyFill="1" applyBorder="1" applyAlignment="1">
      <alignment vertical="center"/>
    </xf>
    <xf numFmtId="198" fontId="119" fillId="0" borderId="0" xfId="0" applyNumberFormat="1" applyFont="1" applyFill="1" applyAlignment="1">
      <alignment vertical="center"/>
    </xf>
    <xf numFmtId="198" fontId="123" fillId="6" borderId="0" xfId="0" applyNumberFormat="1" applyFont="1" applyFill="1" applyBorder="1" applyAlignment="1">
      <alignment horizontal="left" vertical="center" wrapText="1"/>
    </xf>
    <xf numFmtId="0" fontId="119" fillId="0" borderId="0" xfId="0" applyNumberFormat="1" applyFont="1" applyFill="1" applyAlignment="1">
      <alignment vertical="center"/>
    </xf>
    <xf numFmtId="0" fontId="119" fillId="0" borderId="0" xfId="0" applyNumberFormat="1" applyFont="1" applyFill="1" applyBorder="1" applyAlignment="1">
      <alignment vertical="center"/>
    </xf>
    <xf numFmtId="199" fontId="119" fillId="0" borderId="0" xfId="0" applyNumberFormat="1" applyFont="1" applyAlignment="1">
      <alignment vertical="center"/>
    </xf>
    <xf numFmtId="199" fontId="123" fillId="6" borderId="0" xfId="0" applyNumberFormat="1" applyFont="1" applyFill="1" applyBorder="1" applyAlignment="1">
      <alignment vertical="center"/>
    </xf>
    <xf numFmtId="199" fontId="119" fillId="0" borderId="0" xfId="0" applyNumberFormat="1" applyFont="1" applyFill="1" applyBorder="1" applyAlignment="1">
      <alignment horizontal="left" vertical="center" wrapText="1"/>
    </xf>
    <xf numFmtId="179" fontId="119" fillId="0" borderId="0" xfId="0" applyFont="1" applyFill="1" applyAlignment="1">
      <alignment vertical="center"/>
    </xf>
    <xf numFmtId="179" fontId="119" fillId="0" borderId="0" xfId="0" applyFont="1" applyFill="1" applyBorder="1" applyAlignment="1">
      <alignment horizontal="center" vertical="center" wrapText="1"/>
    </xf>
    <xf numFmtId="198" fontId="119" fillId="3" borderId="54" xfId="0" applyNumberFormat="1" applyFont="1" applyFill="1" applyBorder="1" applyAlignment="1">
      <alignment horizontal="center" vertical="center"/>
    </xf>
    <xf numFmtId="198" fontId="119" fillId="3" borderId="55" xfId="0" applyNumberFormat="1" applyFont="1" applyFill="1" applyBorder="1" applyAlignment="1">
      <alignment horizontal="center" vertical="center"/>
    </xf>
    <xf numFmtId="198" fontId="119" fillId="3" borderId="56" xfId="0" applyNumberFormat="1" applyFont="1" applyFill="1" applyBorder="1" applyAlignment="1">
      <alignment horizontal="center" vertical="center"/>
    </xf>
    <xf numFmtId="198" fontId="119" fillId="3" borderId="27" xfId="0" applyNumberFormat="1" applyFont="1" applyFill="1" applyBorder="1" applyAlignment="1">
      <alignment horizontal="center" vertical="center"/>
    </xf>
    <xf numFmtId="198" fontId="119" fillId="3" borderId="29" xfId="0" applyNumberFormat="1" applyFont="1" applyFill="1" applyBorder="1" applyAlignment="1">
      <alignment horizontal="center" vertical="center"/>
    </xf>
    <xf numFmtId="2" fontId="123" fillId="2" borderId="27" xfId="0" applyNumberFormat="1" applyFont="1" applyFill="1" applyBorder="1" applyAlignment="1">
      <alignment horizontal="center" vertical="center"/>
    </xf>
    <xf numFmtId="2" fontId="123" fillId="2" borderId="29" xfId="0" applyNumberFormat="1" applyFont="1" applyFill="1" applyBorder="1" applyAlignment="1">
      <alignment horizontal="center" vertical="center"/>
    </xf>
    <xf numFmtId="2" fontId="121" fillId="2" borderId="29" xfId="0" applyNumberFormat="1" applyFont="1" applyFill="1" applyBorder="1" applyAlignment="1">
      <alignment horizontal="center" vertical="center"/>
    </xf>
    <xf numFmtId="3" fontId="108" fillId="6" borderId="0" xfId="0" applyNumberFormat="1" applyFont="1" applyFill="1" applyBorder="1" applyAlignment="1">
      <alignment vertical="center"/>
    </xf>
    <xf numFmtId="3" fontId="109" fillId="0" borderId="0" xfId="0" applyNumberFormat="1" applyFont="1" applyFill="1" applyBorder="1" applyAlignment="1">
      <alignment vertical="center" wrapText="1"/>
    </xf>
    <xf numFmtId="3" fontId="109" fillId="0" borderId="0" xfId="0" applyNumberFormat="1" applyFont="1" applyFill="1" applyBorder="1" applyAlignment="1">
      <alignment horizontal="left" vertical="center" wrapText="1"/>
    </xf>
    <xf numFmtId="3" fontId="109" fillId="36" borderId="24" xfId="0" applyNumberFormat="1" applyFont="1" applyFill="1" applyBorder="1" applyAlignment="1">
      <alignment vertical="center"/>
    </xf>
    <xf numFmtId="3" fontId="110" fillId="36" borderId="24" xfId="0" applyNumberFormat="1" applyFont="1" applyFill="1" applyBorder="1" applyAlignment="1">
      <alignment vertical="center"/>
    </xf>
    <xf numFmtId="3" fontId="109" fillId="36" borderId="30" xfId="0" applyNumberFormat="1" applyFont="1" applyFill="1" applyBorder="1" applyAlignment="1">
      <alignment vertical="center"/>
    </xf>
    <xf numFmtId="3" fontId="109" fillId="36" borderId="31" xfId="0" applyNumberFormat="1" applyFont="1" applyFill="1" applyBorder="1" applyAlignment="1">
      <alignment vertical="center"/>
    </xf>
    <xf numFmtId="3" fontId="110" fillId="36" borderId="31" xfId="0" applyNumberFormat="1" applyFont="1" applyFill="1" applyBorder="1" applyAlignment="1">
      <alignment vertical="center"/>
    </xf>
    <xf numFmtId="3" fontId="109" fillId="0" borderId="0" xfId="0" applyNumberFormat="1" applyFont="1" applyBorder="1" applyAlignment="1">
      <alignment vertical="center"/>
    </xf>
    <xf numFmtId="3" fontId="119" fillId="6" borderId="0" xfId="0" applyNumberFormat="1" applyFont="1" applyFill="1" applyBorder="1" applyAlignment="1">
      <alignment horizontal="left" vertical="center"/>
    </xf>
    <xf numFmtId="3" fontId="119" fillId="0" borderId="0" xfId="0" applyNumberFormat="1" applyFont="1" applyFill="1" applyBorder="1" applyAlignment="1">
      <alignment vertical="center" wrapText="1"/>
    </xf>
    <xf numFmtId="3" fontId="119" fillId="0" borderId="0" xfId="0" applyNumberFormat="1" applyFont="1" applyFill="1" applyBorder="1" applyAlignment="1">
      <alignment vertical="center"/>
    </xf>
    <xf numFmtId="3" fontId="121" fillId="0" borderId="0" xfId="0" applyNumberFormat="1" applyFont="1" applyFill="1" applyBorder="1" applyAlignment="1">
      <alignment vertical="center"/>
    </xf>
    <xf numFmtId="3" fontId="119" fillId="0" borderId="27" xfId="0" applyNumberFormat="1" applyFont="1" applyFill="1" applyBorder="1" applyAlignment="1">
      <alignment vertical="center"/>
    </xf>
    <xf numFmtId="3" fontId="119" fillId="0" borderId="29" xfId="0" applyNumberFormat="1" applyFont="1" applyFill="1" applyBorder="1" applyAlignment="1">
      <alignment vertical="center"/>
    </xf>
    <xf numFmtId="3" fontId="121" fillId="0" borderId="29" xfId="0" applyNumberFormat="1" applyFont="1" applyFill="1" applyBorder="1" applyAlignment="1">
      <alignment vertical="center"/>
    </xf>
    <xf numFmtId="3" fontId="119" fillId="0" borderId="0" xfId="0" applyNumberFormat="1" applyFont="1" applyBorder="1" applyAlignment="1">
      <alignment vertical="center"/>
    </xf>
    <xf numFmtId="179" fontId="121" fillId="0" borderId="0" xfId="0" applyFont="1" applyAlignment="1">
      <alignment vertical="center"/>
    </xf>
    <xf numFmtId="179" fontId="119" fillId="0" borderId="27" xfId="0" applyFont="1" applyBorder="1" applyAlignment="1">
      <alignment vertical="center"/>
    </xf>
    <xf numFmtId="179" fontId="119" fillId="0" borderId="29" xfId="0" applyFont="1" applyBorder="1" applyAlignment="1">
      <alignment vertical="center"/>
    </xf>
    <xf numFmtId="179" fontId="121" fillId="0" borderId="0" xfId="0" applyFont="1" applyBorder="1" applyAlignment="1">
      <alignment vertical="center"/>
    </xf>
    <xf numFmtId="179" fontId="121" fillId="0" borderId="29" xfId="0" applyFont="1" applyBorder="1" applyAlignment="1">
      <alignment vertical="center"/>
    </xf>
    <xf numFmtId="179" fontId="136" fillId="34" borderId="0" xfId="0" applyFont="1" applyFill="1" applyBorder="1" applyAlignment="1">
      <alignment vertical="center"/>
    </xf>
    <xf numFmtId="0" fontId="128" fillId="0" borderId="0" xfId="0" applyNumberFormat="1" applyFont="1" applyFill="1" applyBorder="1" applyAlignment="1">
      <alignment vertical="center" wrapText="1"/>
    </xf>
    <xf numFmtId="168" fontId="128" fillId="0" borderId="0" xfId="5" applyNumberFormat="1" applyFont="1" applyFill="1" applyBorder="1" applyAlignment="1">
      <alignment vertical="center"/>
    </xf>
    <xf numFmtId="167" fontId="128" fillId="0" borderId="0" xfId="0" applyNumberFormat="1" applyFont="1" applyFill="1" applyBorder="1" applyAlignment="1">
      <alignment vertical="center"/>
    </xf>
    <xf numFmtId="168" fontId="128" fillId="0" borderId="27" xfId="5" applyNumberFormat="1" applyFont="1" applyFill="1" applyBorder="1" applyAlignment="1">
      <alignment vertical="center"/>
    </xf>
    <xf numFmtId="168" fontId="128" fillId="0" borderId="29" xfId="5" applyNumberFormat="1" applyFont="1" applyFill="1" applyBorder="1" applyAlignment="1">
      <alignment vertical="center"/>
    </xf>
    <xf numFmtId="167" fontId="128" fillId="0" borderId="29" xfId="0" applyNumberFormat="1" applyFont="1" applyFill="1" applyBorder="1" applyAlignment="1">
      <alignment vertical="center"/>
    </xf>
    <xf numFmtId="179" fontId="128" fillId="0" borderId="0" xfId="0" applyFont="1" applyFill="1" applyBorder="1" applyAlignment="1">
      <alignment vertical="center"/>
    </xf>
    <xf numFmtId="3" fontId="137" fillId="34" borderId="0" xfId="0" applyNumberFormat="1" applyFont="1" applyFill="1" applyBorder="1" applyAlignment="1">
      <alignment vertical="center"/>
    </xf>
    <xf numFmtId="179" fontId="138" fillId="6" borderId="0" xfId="0" applyFont="1" applyFill="1" applyBorder="1" applyAlignment="1">
      <alignment horizontal="left" vertical="center"/>
    </xf>
    <xf numFmtId="0" fontId="138" fillId="0" borderId="0" xfId="0" applyNumberFormat="1" applyFont="1" applyFill="1" applyBorder="1" applyAlignment="1">
      <alignment horizontal="left" vertical="center" wrapText="1"/>
    </xf>
    <xf numFmtId="167" fontId="138" fillId="0" borderId="0" xfId="0" applyNumberFormat="1" applyFont="1" applyFill="1" applyBorder="1" applyAlignment="1">
      <alignment horizontal="right" vertical="center"/>
    </xf>
    <xf numFmtId="167" fontId="129" fillId="0" borderId="0" xfId="0" applyNumberFormat="1" applyFont="1" applyFill="1" applyBorder="1" applyAlignment="1">
      <alignment horizontal="right" vertical="center"/>
    </xf>
    <xf numFmtId="167" fontId="138" fillId="0" borderId="27" xfId="0" applyNumberFormat="1" applyFont="1" applyFill="1" applyBorder="1" applyAlignment="1">
      <alignment horizontal="right" vertical="center"/>
    </xf>
    <xf numFmtId="167" fontId="138" fillId="0" borderId="29" xfId="0" applyNumberFormat="1" applyFont="1" applyFill="1" applyBorder="1" applyAlignment="1">
      <alignment horizontal="right" vertical="center"/>
    </xf>
    <xf numFmtId="167" fontId="129" fillId="0" borderId="29" xfId="0" applyNumberFormat="1" applyFont="1" applyFill="1" applyBorder="1" applyAlignment="1">
      <alignment horizontal="right" vertical="center"/>
    </xf>
    <xf numFmtId="179" fontId="138" fillId="0" borderId="0" xfId="0" applyFont="1" applyBorder="1" applyAlignment="1">
      <alignment horizontal="right" vertical="center"/>
    </xf>
    <xf numFmtId="179" fontId="137" fillId="34" borderId="0" xfId="0" applyFont="1" applyFill="1" applyBorder="1" applyAlignment="1">
      <alignment vertical="center"/>
    </xf>
    <xf numFmtId="0" fontId="130" fillId="0" borderId="0" xfId="0" applyNumberFormat="1" applyFont="1" applyFill="1" applyBorder="1" applyAlignment="1">
      <alignment vertical="center" wrapText="1"/>
    </xf>
    <xf numFmtId="4" fontId="130" fillId="0" borderId="0" xfId="0" applyNumberFormat="1" applyFont="1" applyFill="1" applyBorder="1" applyAlignment="1">
      <alignment vertical="center"/>
    </xf>
    <xf numFmtId="4" fontId="130" fillId="0" borderId="0" xfId="0" applyNumberFormat="1" applyFont="1" applyFill="1" applyBorder="1" applyAlignment="1">
      <alignment horizontal="right" vertical="center" wrapText="1"/>
    </xf>
    <xf numFmtId="4" fontId="130" fillId="0" borderId="27" xfId="0" applyNumberFormat="1" applyFont="1" applyFill="1" applyBorder="1" applyAlignment="1">
      <alignment vertical="center"/>
    </xf>
    <xf numFmtId="4" fontId="130" fillId="0" borderId="29" xfId="0" applyNumberFormat="1" applyFont="1" applyFill="1" applyBorder="1" applyAlignment="1">
      <alignment vertical="center"/>
    </xf>
    <xf numFmtId="179" fontId="130" fillId="0" borderId="0" xfId="0" applyFont="1" applyBorder="1" applyAlignment="1">
      <alignment vertical="center"/>
    </xf>
    <xf numFmtId="3" fontId="130" fillId="0" borderId="0" xfId="0" applyNumberFormat="1" applyFont="1" applyFill="1" applyBorder="1" applyAlignment="1">
      <alignment vertical="center" wrapText="1"/>
    </xf>
    <xf numFmtId="3" fontId="130" fillId="0" borderId="0" xfId="0" applyNumberFormat="1" applyFont="1" applyFill="1" applyBorder="1" applyAlignment="1">
      <alignment vertical="center"/>
    </xf>
    <xf numFmtId="3" fontId="130" fillId="0" borderId="32" xfId="0" applyNumberFormat="1" applyFont="1" applyFill="1" applyBorder="1" applyAlignment="1">
      <alignment vertical="center"/>
    </xf>
    <xf numFmtId="3" fontId="130" fillId="0" borderId="33" xfId="0" applyNumberFormat="1" applyFont="1" applyFill="1" applyBorder="1" applyAlignment="1">
      <alignment vertical="center"/>
    </xf>
    <xf numFmtId="3" fontId="130" fillId="0" borderId="34" xfId="0" applyNumberFormat="1" applyFont="1" applyFill="1" applyBorder="1" applyAlignment="1">
      <alignment vertical="center"/>
    </xf>
    <xf numFmtId="3" fontId="130" fillId="0" borderId="0" xfId="0" applyNumberFormat="1" applyFont="1" applyBorder="1" applyAlignment="1">
      <alignment vertical="center"/>
    </xf>
    <xf numFmtId="3" fontId="119" fillId="0" borderId="0" xfId="0" applyNumberFormat="1" applyFont="1" applyFill="1" applyAlignment="1">
      <alignment vertical="center"/>
    </xf>
    <xf numFmtId="3" fontId="130" fillId="0" borderId="0" xfId="0" applyNumberFormat="1" applyFont="1" applyFill="1" applyBorder="1" applyAlignment="1">
      <alignment horizontal="right" vertical="center"/>
    </xf>
    <xf numFmtId="3" fontId="130" fillId="0" borderId="48" xfId="0" applyNumberFormat="1" applyFont="1" applyFill="1" applyBorder="1" applyAlignment="1">
      <alignment horizontal="right" vertical="center"/>
    </xf>
    <xf numFmtId="3" fontId="130" fillId="0" borderId="49" xfId="0" applyNumberFormat="1" applyFont="1" applyFill="1" applyBorder="1" applyAlignment="1">
      <alignment horizontal="right" vertical="center"/>
    </xf>
    <xf numFmtId="3" fontId="109" fillId="36" borderId="44" xfId="0" applyNumberFormat="1" applyFont="1" applyFill="1" applyBorder="1" applyAlignment="1">
      <alignment horizontal="right" vertical="center"/>
    </xf>
    <xf numFmtId="3" fontId="109" fillId="36" borderId="45" xfId="0" applyNumberFormat="1" applyFont="1" applyFill="1" applyBorder="1" applyAlignment="1">
      <alignment horizontal="right" vertical="center"/>
    </xf>
    <xf numFmtId="3" fontId="109" fillId="36" borderId="50" xfId="0" applyNumberFormat="1" applyFont="1" applyFill="1" applyBorder="1" applyAlignment="1">
      <alignment horizontal="right" vertical="center"/>
    </xf>
    <xf numFmtId="3" fontId="109" fillId="36" borderId="51" xfId="0" applyNumberFormat="1" applyFont="1" applyFill="1" applyBorder="1" applyAlignment="1">
      <alignment horizontal="right" vertical="center"/>
    </xf>
    <xf numFmtId="2" fontId="119" fillId="0" borderId="0" xfId="0" applyNumberFormat="1" applyFont="1" applyFill="1" applyAlignment="1">
      <alignment vertical="center"/>
    </xf>
    <xf numFmtId="2" fontId="119" fillId="0" borderId="0" xfId="0" applyNumberFormat="1" applyFont="1" applyAlignment="1">
      <alignment horizontal="right" vertical="center"/>
    </xf>
    <xf numFmtId="2" fontId="121" fillId="0" borderId="0" xfId="0" applyNumberFormat="1" applyFont="1" applyAlignment="1">
      <alignment vertical="center"/>
    </xf>
    <xf numFmtId="2" fontId="119" fillId="0" borderId="48" xfId="0" applyNumberFormat="1" applyFont="1" applyBorder="1" applyAlignment="1">
      <alignment horizontal="right" vertical="center"/>
    </xf>
    <xf numFmtId="2" fontId="119" fillId="0" borderId="49" xfId="0" applyNumberFormat="1" applyFont="1" applyBorder="1" applyAlignment="1">
      <alignment horizontal="right" vertical="center"/>
    </xf>
    <xf numFmtId="179" fontId="119" fillId="0" borderId="0" xfId="0" applyFont="1" applyAlignment="1">
      <alignment horizontal="right" vertical="center"/>
    </xf>
    <xf numFmtId="179" fontId="119" fillId="0" borderId="48" xfId="0" applyFont="1" applyBorder="1" applyAlignment="1">
      <alignment horizontal="right" vertical="center"/>
    </xf>
    <xf numFmtId="179" fontId="119" fillId="0" borderId="49" xfId="0" applyFont="1" applyBorder="1" applyAlignment="1">
      <alignment horizontal="right" vertical="center"/>
    </xf>
    <xf numFmtId="3" fontId="109" fillId="36" borderId="52" xfId="0" applyNumberFormat="1" applyFont="1" applyFill="1" applyBorder="1" applyAlignment="1">
      <alignment horizontal="right" vertical="center"/>
    </xf>
    <xf numFmtId="3" fontId="109" fillId="36" borderId="53" xfId="0" applyNumberFormat="1" applyFont="1" applyFill="1" applyBorder="1" applyAlignment="1">
      <alignment horizontal="right" vertical="center"/>
    </xf>
    <xf numFmtId="1" fontId="119" fillId="0" borderId="0" xfId="0" applyNumberFormat="1" applyFont="1" applyAlignment="1">
      <alignment horizontal="right" vertical="center"/>
    </xf>
    <xf numFmtId="0" fontId="139" fillId="0" borderId="0" xfId="0" applyNumberFormat="1" applyFont="1" applyFill="1" applyBorder="1" applyAlignment="1">
      <alignment vertical="center" wrapText="1"/>
    </xf>
    <xf numFmtId="0" fontId="139" fillId="0" borderId="0" xfId="0" applyNumberFormat="1" applyFont="1" applyFill="1" applyAlignment="1">
      <alignment vertical="center" wrapText="1"/>
    </xf>
    <xf numFmtId="3" fontId="114" fillId="0" borderId="0" xfId="0" applyNumberFormat="1" applyFont="1" applyFill="1" applyBorder="1" applyAlignment="1">
      <alignment horizontal="center" vertical="center" wrapText="1"/>
    </xf>
    <xf numFmtId="3" fontId="102" fillId="0" borderId="0" xfId="0" applyNumberFormat="1" applyFont="1" applyFill="1" applyBorder="1" applyAlignment="1">
      <alignment horizontal="center" vertical="center" wrapText="1"/>
    </xf>
    <xf numFmtId="3" fontId="118" fillId="0" borderId="0" xfId="0" applyNumberFormat="1" applyFont="1" applyFill="1" applyBorder="1" applyAlignment="1">
      <alignment horizontal="center" vertical="center" wrapText="1"/>
    </xf>
    <xf numFmtId="3" fontId="50" fillId="0" borderId="0" xfId="0" applyNumberFormat="1" applyFont="1" applyBorder="1" applyAlignment="1">
      <alignment vertical="center" wrapText="1"/>
    </xf>
    <xf numFmtId="3" fontId="115" fillId="0" borderId="0" xfId="0" applyNumberFormat="1" applyFont="1" applyFill="1" applyBorder="1" applyAlignment="1">
      <alignment horizontal="center" vertical="center" wrapText="1"/>
    </xf>
    <xf numFmtId="3" fontId="50" fillId="6" borderId="0" xfId="0" applyNumberFormat="1" applyFont="1" applyFill="1" applyBorder="1" applyAlignment="1">
      <alignment vertical="center"/>
    </xf>
    <xf numFmtId="3" fontId="106" fillId="6" borderId="0" xfId="0" applyNumberFormat="1" applyFont="1" applyFill="1" applyBorder="1" applyAlignment="1">
      <alignment vertical="center"/>
    </xf>
    <xf numFmtId="3" fontId="106" fillId="6" borderId="0" xfId="0" applyNumberFormat="1" applyFont="1" applyFill="1" applyBorder="1" applyAlignment="1">
      <alignment horizontal="left" vertical="center" wrapText="1"/>
    </xf>
    <xf numFmtId="3" fontId="106" fillId="2" borderId="0" xfId="0" applyNumberFormat="1" applyFont="1" applyFill="1" applyBorder="1" applyAlignment="1">
      <alignment horizontal="center" vertical="center"/>
    </xf>
    <xf numFmtId="3" fontId="111" fillId="2" borderId="0" xfId="0" applyNumberFormat="1" applyFont="1" applyFill="1" applyBorder="1" applyAlignment="1">
      <alignment horizontal="center" vertical="center"/>
    </xf>
    <xf numFmtId="3" fontId="109" fillId="36" borderId="0" xfId="0" applyNumberFormat="1" applyFont="1" applyFill="1" applyBorder="1" applyAlignment="1">
      <alignment horizontal="center" vertical="center" wrapText="1"/>
    </xf>
    <xf numFmtId="3" fontId="119" fillId="3" borderId="0" xfId="0" applyNumberFormat="1" applyFont="1" applyFill="1" applyBorder="1" applyAlignment="1">
      <alignment horizontal="center" vertical="center"/>
    </xf>
    <xf numFmtId="3" fontId="122" fillId="2" borderId="0" xfId="0" applyNumberFormat="1" applyFont="1" applyFill="1" applyBorder="1" applyAlignment="1">
      <alignment horizontal="center" vertical="center"/>
    </xf>
    <xf numFmtId="3" fontId="123" fillId="2" borderId="0" xfId="0" applyNumberFormat="1" applyFont="1" applyFill="1" applyBorder="1" applyAlignment="1">
      <alignment horizontal="center" vertical="center"/>
    </xf>
    <xf numFmtId="3" fontId="121" fillId="2" borderId="0" xfId="0" applyNumberFormat="1" applyFont="1" applyFill="1" applyBorder="1" applyAlignment="1">
      <alignment horizontal="center" vertical="center"/>
    </xf>
    <xf numFmtId="3" fontId="109" fillId="37" borderId="24" xfId="0" applyNumberFormat="1" applyFont="1" applyFill="1" applyBorder="1" applyAlignment="1">
      <alignment vertical="center"/>
    </xf>
    <xf numFmtId="3" fontId="110" fillId="37" borderId="24" xfId="0" applyNumberFormat="1" applyFont="1" applyFill="1" applyBorder="1" applyAlignment="1">
      <alignment vertical="center"/>
    </xf>
    <xf numFmtId="3" fontId="108" fillId="5" borderId="40" xfId="0" applyNumberFormat="1" applyFont="1" applyFill="1" applyBorder="1" applyAlignment="1">
      <alignment vertical="center"/>
    </xf>
    <xf numFmtId="3" fontId="124" fillId="5" borderId="40" xfId="0" applyNumberFormat="1" applyFont="1" applyFill="1" applyBorder="1" applyAlignment="1">
      <alignment vertical="center"/>
    </xf>
    <xf numFmtId="3" fontId="108" fillId="0" borderId="0" xfId="0" applyNumberFormat="1" applyFont="1" applyBorder="1" applyAlignment="1">
      <alignment vertical="center"/>
    </xf>
    <xf numFmtId="3" fontId="110" fillId="7" borderId="24" xfId="0" applyNumberFormat="1" applyFont="1" applyFill="1" applyBorder="1" applyAlignment="1">
      <alignment vertical="center"/>
    </xf>
    <xf numFmtId="3" fontId="50" fillId="34" borderId="0" xfId="0" applyNumberFormat="1" applyFont="1" applyFill="1" applyBorder="1" applyAlignment="1">
      <alignment vertical="center"/>
    </xf>
    <xf numFmtId="3" fontId="106" fillId="0" borderId="0" xfId="0" applyNumberFormat="1" applyFont="1" applyFill="1" applyBorder="1" applyAlignment="1">
      <alignment vertical="center"/>
    </xf>
    <xf numFmtId="3" fontId="106" fillId="0" borderId="0" xfId="0" applyNumberFormat="1" applyFont="1" applyFill="1" applyBorder="1" applyAlignment="1">
      <alignment horizontal="left" vertical="center" wrapText="1"/>
    </xf>
    <xf numFmtId="3" fontId="109" fillId="0" borderId="0" xfId="0" applyNumberFormat="1" applyFont="1" applyFill="1" applyBorder="1" applyAlignment="1">
      <alignment vertical="center"/>
    </xf>
    <xf numFmtId="3" fontId="108" fillId="0" borderId="0" xfId="0" applyNumberFormat="1" applyFont="1" applyFill="1" applyBorder="1" applyAlignment="1">
      <alignment vertical="center"/>
    </xf>
    <xf numFmtId="3" fontId="109" fillId="39" borderId="43" xfId="0" applyNumberFormat="1" applyFont="1" applyFill="1" applyBorder="1" applyAlignment="1">
      <alignment horizontal="left" vertical="center" wrapText="1"/>
    </xf>
    <xf numFmtId="3" fontId="109" fillId="39" borderId="44" xfId="0" applyNumberFormat="1" applyFont="1" applyFill="1" applyBorder="1" applyAlignment="1">
      <alignment horizontal="right" vertical="center"/>
    </xf>
    <xf numFmtId="3" fontId="109" fillId="39" borderId="45" xfId="0" applyNumberFormat="1" applyFont="1" applyFill="1" applyBorder="1" applyAlignment="1">
      <alignment horizontal="right" vertical="center"/>
    </xf>
    <xf numFmtId="3" fontId="109" fillId="39" borderId="50" xfId="0" applyNumberFormat="1" applyFont="1" applyFill="1" applyBorder="1" applyAlignment="1">
      <alignment horizontal="right" vertical="center"/>
    </xf>
    <xf numFmtId="3" fontId="109" fillId="39" borderId="51" xfId="0" applyNumberFormat="1" applyFont="1" applyFill="1" applyBorder="1" applyAlignment="1">
      <alignment horizontal="right" vertical="center"/>
    </xf>
    <xf numFmtId="179" fontId="142" fillId="32" borderId="0" xfId="0" applyFont="1" applyFill="1" applyBorder="1" applyAlignment="1">
      <alignment vertical="center"/>
    </xf>
    <xf numFmtId="179" fontId="142" fillId="0" borderId="0" xfId="0" applyFont="1" applyAlignment="1">
      <alignment vertical="center"/>
    </xf>
    <xf numFmtId="179" fontId="144" fillId="0" borderId="0" xfId="0" applyFont="1" applyAlignment="1">
      <alignment vertical="center"/>
    </xf>
    <xf numFmtId="0" fontId="113" fillId="41" borderId="12" xfId="3" applyNumberFormat="1" applyFont="1" applyFill="1" applyBorder="1" applyAlignment="1" applyProtection="1">
      <alignment horizontal="center" vertical="center"/>
    </xf>
    <xf numFmtId="0" fontId="113" fillId="41" borderId="0" xfId="3" applyNumberFormat="1" applyFont="1" applyFill="1" applyBorder="1" applyAlignment="1" applyProtection="1">
      <alignment horizontal="center" vertical="center"/>
    </xf>
    <xf numFmtId="179" fontId="145" fillId="0" borderId="0" xfId="0" applyFont="1" applyFill="1" applyAlignment="1">
      <alignment horizontal="left"/>
    </xf>
    <xf numFmtId="179" fontId="139" fillId="0" borderId="0" xfId="0" applyFont="1" applyFill="1"/>
    <xf numFmtId="179" fontId="103" fillId="0" borderId="0" xfId="0" applyFont="1" applyFill="1" applyAlignment="1">
      <alignment horizontal="right"/>
    </xf>
    <xf numFmtId="179" fontId="107" fillId="0" borderId="0" xfId="0" applyFont="1" applyFill="1" applyAlignment="1">
      <alignment horizontal="right"/>
    </xf>
    <xf numFmtId="201" fontId="50" fillId="6" borderId="0" xfId="0" applyNumberFormat="1" applyFont="1" applyFill="1" applyBorder="1" applyAlignment="1">
      <alignment vertical="center"/>
    </xf>
    <xf numFmtId="201" fontId="106" fillId="6" borderId="0" xfId="0" applyNumberFormat="1" applyFont="1" applyFill="1" applyBorder="1" applyAlignment="1">
      <alignment vertical="center"/>
    </xf>
    <xf numFmtId="201" fontId="50" fillId="0" borderId="0" xfId="0" applyNumberFormat="1" applyFont="1" applyBorder="1" applyAlignment="1">
      <alignment vertical="center"/>
    </xf>
    <xf numFmtId="201" fontId="50" fillId="34" borderId="0" xfId="0" applyNumberFormat="1" applyFont="1" applyFill="1" applyBorder="1" applyAlignment="1">
      <alignment vertical="center"/>
    </xf>
    <xf numFmtId="201" fontId="106" fillId="34" borderId="0" xfId="0" applyNumberFormat="1" applyFont="1" applyFill="1" applyBorder="1" applyAlignment="1">
      <alignment vertical="center"/>
    </xf>
    <xf numFmtId="179" fontId="143" fillId="40" borderId="0" xfId="0" applyFont="1" applyFill="1" applyBorder="1" applyAlignment="1">
      <alignment horizontal="center" vertical="center"/>
    </xf>
    <xf numFmtId="198" fontId="121" fillId="3" borderId="23" xfId="0" applyNumberFormat="1" applyFont="1" applyFill="1" applyBorder="1" applyAlignment="1">
      <alignment horizontal="center" vertical="center" wrapText="1"/>
    </xf>
    <xf numFmtId="198" fontId="121" fillId="3" borderId="0" xfId="0" applyNumberFormat="1" applyFont="1" applyFill="1" applyBorder="1" applyAlignment="1">
      <alignment horizontal="center" vertical="center" wrapText="1"/>
    </xf>
    <xf numFmtId="0" fontId="140" fillId="33" borderId="20" xfId="246" applyFont="1" applyFill="1" applyBorder="1" applyAlignment="1">
      <alignment horizontal="center" vertical="center" wrapText="1"/>
    </xf>
    <xf numFmtId="0" fontId="140" fillId="33" borderId="21" xfId="246" applyFont="1" applyFill="1" applyBorder="1" applyAlignment="1">
      <alignment horizontal="center" vertical="center" wrapText="1"/>
    </xf>
    <xf numFmtId="0" fontId="140" fillId="33" borderId="22" xfId="246" applyFont="1" applyFill="1" applyBorder="1" applyAlignment="1">
      <alignment horizontal="center" vertical="center" wrapText="1"/>
    </xf>
    <xf numFmtId="179" fontId="104" fillId="35" borderId="0" xfId="0" applyFont="1" applyFill="1" applyAlignment="1">
      <alignment horizontal="center" vertical="center"/>
    </xf>
    <xf numFmtId="179" fontId="135" fillId="32" borderId="0" xfId="0" applyFont="1" applyFill="1" applyBorder="1" applyAlignment="1">
      <alignment horizontal="left" vertical="center"/>
    </xf>
    <xf numFmtId="0" fontId="141" fillId="31" borderId="54" xfId="246" applyFont="1" applyFill="1" applyBorder="1" applyAlignment="1">
      <alignment horizontal="center" vertical="center" wrapText="1"/>
    </xf>
    <xf numFmtId="0" fontId="141" fillId="31" borderId="55" xfId="246" applyFont="1" applyFill="1" applyBorder="1" applyAlignment="1">
      <alignment horizontal="center" vertical="center" wrapText="1"/>
    </xf>
    <xf numFmtId="0" fontId="141" fillId="31" borderId="25" xfId="246" applyFont="1" applyFill="1" applyBorder="1" applyAlignment="1">
      <alignment horizontal="center" vertical="center" wrapText="1"/>
    </xf>
    <xf numFmtId="0" fontId="141" fillId="31" borderId="26" xfId="246" applyFont="1" applyFill="1" applyBorder="1" applyAlignment="1">
      <alignment horizontal="center" vertical="center" wrapText="1"/>
    </xf>
    <xf numFmtId="198" fontId="121" fillId="3" borderId="28" xfId="0" applyNumberFormat="1" applyFont="1" applyFill="1" applyBorder="1" applyAlignment="1">
      <alignment horizontal="center" vertical="center" wrapText="1"/>
    </xf>
    <xf numFmtId="198" fontId="121" fillId="3" borderId="29" xfId="0" applyNumberFormat="1" applyFont="1" applyFill="1" applyBorder="1" applyAlignment="1">
      <alignment horizontal="center" vertical="center" wrapText="1"/>
    </xf>
    <xf numFmtId="3" fontId="109" fillId="3" borderId="41" xfId="0" applyNumberFormat="1" applyFont="1" applyFill="1" applyBorder="1" applyAlignment="1">
      <alignment horizontal="center" vertical="center" wrapText="1"/>
    </xf>
    <xf numFmtId="3" fontId="109" fillId="3" borderId="42" xfId="0" applyNumberFormat="1" applyFont="1" applyFill="1" applyBorder="1" applyAlignment="1">
      <alignment horizontal="center" vertical="center" wrapText="1"/>
    </xf>
    <xf numFmtId="3" fontId="121" fillId="3" borderId="23" xfId="0" applyNumberFormat="1" applyFont="1" applyFill="1" applyBorder="1" applyAlignment="1">
      <alignment horizontal="center" vertical="center" wrapText="1"/>
    </xf>
    <xf numFmtId="3" fontId="121" fillId="3" borderId="0" xfId="0" applyNumberFormat="1" applyFont="1" applyFill="1" applyBorder="1" applyAlignment="1">
      <alignment horizontal="center" vertical="center" wrapText="1"/>
    </xf>
    <xf numFmtId="3" fontId="109" fillId="3" borderId="23" xfId="0" applyNumberFormat="1" applyFont="1" applyFill="1" applyBorder="1" applyAlignment="1">
      <alignment horizontal="center" vertical="center" wrapText="1"/>
    </xf>
    <xf numFmtId="3" fontId="109" fillId="3" borderId="0" xfId="0" applyNumberFormat="1" applyFont="1" applyFill="1" applyBorder="1" applyAlignment="1">
      <alignment horizontal="center" vertical="center" wrapText="1"/>
    </xf>
    <xf numFmtId="200" fontId="120" fillId="33" borderId="35" xfId="246" applyNumberFormat="1" applyFont="1" applyFill="1" applyBorder="1" applyAlignment="1">
      <alignment horizontal="center" vertical="center" wrapText="1"/>
    </xf>
    <xf numFmtId="200" fontId="120" fillId="33" borderId="23" xfId="246" applyNumberFormat="1" applyFont="1" applyFill="1" applyBorder="1" applyAlignment="1">
      <alignment horizontal="center" vertical="center" wrapText="1"/>
    </xf>
    <xf numFmtId="200" fontId="120" fillId="33" borderId="36" xfId="246" applyNumberFormat="1" applyFont="1" applyFill="1" applyBorder="1" applyAlignment="1">
      <alignment horizontal="center" vertical="center" wrapText="1"/>
    </xf>
    <xf numFmtId="200" fontId="120" fillId="33" borderId="37" xfId="246" applyNumberFormat="1" applyFont="1" applyFill="1" applyBorder="1" applyAlignment="1">
      <alignment horizontal="center" vertical="center" wrapText="1"/>
    </xf>
    <xf numFmtId="200" fontId="120" fillId="33" borderId="38" xfId="246" applyNumberFormat="1" applyFont="1" applyFill="1" applyBorder="1" applyAlignment="1">
      <alignment horizontal="center" vertical="center" wrapText="1"/>
    </xf>
    <xf numFmtId="200" fontId="120" fillId="33" borderId="39" xfId="246" applyNumberFormat="1" applyFont="1" applyFill="1" applyBorder="1" applyAlignment="1">
      <alignment horizontal="center" vertical="center" wrapText="1"/>
    </xf>
    <xf numFmtId="3" fontId="120" fillId="33" borderId="35" xfId="246" applyNumberFormat="1" applyFont="1" applyFill="1" applyBorder="1" applyAlignment="1">
      <alignment horizontal="center" vertical="center" wrapText="1"/>
    </xf>
    <xf numFmtId="3" fontId="120" fillId="33" borderId="23" xfId="246" applyNumberFormat="1" applyFont="1" applyFill="1" applyBorder="1" applyAlignment="1">
      <alignment horizontal="center" vertical="center" wrapText="1"/>
    </xf>
    <xf numFmtId="3" fontId="120" fillId="33" borderId="36" xfId="246" applyNumberFormat="1" applyFont="1" applyFill="1" applyBorder="1" applyAlignment="1">
      <alignment horizontal="center" vertical="center" wrapText="1"/>
    </xf>
    <xf numFmtId="3" fontId="120" fillId="33" borderId="37" xfId="246" applyNumberFormat="1" applyFont="1" applyFill="1" applyBorder="1" applyAlignment="1">
      <alignment horizontal="center" vertical="center" wrapText="1"/>
    </xf>
    <xf numFmtId="3" fontId="120" fillId="33" borderId="38" xfId="246" applyNumberFormat="1" applyFont="1" applyFill="1" applyBorder="1" applyAlignment="1">
      <alignment horizontal="center" vertical="center" wrapText="1"/>
    </xf>
    <xf numFmtId="3" fontId="120" fillId="33" borderId="39" xfId="246" applyNumberFormat="1" applyFont="1" applyFill="1" applyBorder="1" applyAlignment="1">
      <alignment horizontal="center" vertical="center" wrapText="1"/>
    </xf>
  </cellXfs>
  <cellStyles count="490">
    <cellStyle name="$   0,000" xfId="71"/>
    <cellStyle name="%" xfId="72"/>
    <cellStyle name="%0" xfId="73"/>
    <cellStyle name="%1" xfId="74"/>
    <cellStyle name="%2" xfId="75"/>
    <cellStyle name="_calcul E1 - 2012" xfId="446"/>
    <cellStyle name="_Resultat couvertures carburant E2-2012" xfId="447"/>
    <cellStyle name="£ BP" xfId="76"/>
    <cellStyle name="¥ JY" xfId="77"/>
    <cellStyle name="0" xfId="78"/>
    <cellStyle name="0,000" xfId="79"/>
    <cellStyle name="0.00" xfId="80"/>
    <cellStyle name="0.00%" xfId="81"/>
    <cellStyle name="0.0x" xfId="82"/>
    <cellStyle name="0_Actualisation provision contrat déficitaire SNCM 2010 V Def" xfId="83"/>
    <cellStyle name="0_Actualisation provision contrat déficitaire SNCM 2011 V3 30 05 2011" xfId="84"/>
    <cellStyle name="0_PPA SNCM - présentation CAC 28 06 2011" xfId="85"/>
    <cellStyle name="0_Simul location facturée par Trenitalia" xfId="86"/>
    <cellStyle name="20 % - Accent1 2" xfId="448"/>
    <cellStyle name="20 % - Accent2 2" xfId="449"/>
    <cellStyle name="20 % - Accent3 2" xfId="450"/>
    <cellStyle name="20 % - Accent4 2" xfId="451"/>
    <cellStyle name="20 % - Accent5 2" xfId="452"/>
    <cellStyle name="20 % - Accent6 2" xfId="453"/>
    <cellStyle name="20% - Accent1" xfId="7"/>
    <cellStyle name="20% - Accent2" xfId="8"/>
    <cellStyle name="20% - Accent3" xfId="9"/>
    <cellStyle name="20% - Accent4" xfId="10"/>
    <cellStyle name="20% - Accent5" xfId="11"/>
    <cellStyle name="20% - Accent6" xfId="12"/>
    <cellStyle name="40 % - Accent1 2" xfId="454"/>
    <cellStyle name="40 % - Accent2 2" xfId="455"/>
    <cellStyle name="40 % - Accent3 2" xfId="456"/>
    <cellStyle name="40 % - Accent4 2" xfId="457"/>
    <cellStyle name="40 % - Accent5 2" xfId="458"/>
    <cellStyle name="40 % - Accent6 2" xfId="459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60% - Accent1" xfId="19"/>
    <cellStyle name="60% - Accent2" xfId="20"/>
    <cellStyle name="60% - Accent3" xfId="21"/>
    <cellStyle name="60% - Accent4" xfId="22"/>
    <cellStyle name="60% - Accent5" xfId="23"/>
    <cellStyle name="60% - Accent6" xfId="24"/>
    <cellStyle name="at" xfId="87"/>
    <cellStyle name="b" xfId="88"/>
    <cellStyle name="b%0" xfId="89"/>
    <cellStyle name="b%1" xfId="90"/>
    <cellStyle name="b%2" xfId="91"/>
    <cellStyle name="b_Actualisation provision contrat déficitaire SNCM 2010 V Def" xfId="92"/>
    <cellStyle name="b_Actualisation provision contrat déficitaire SNCM 2011 V3 30 05 2011" xfId="93"/>
    <cellStyle name="b_LI819L_B13" xfId="94"/>
    <cellStyle name="b_PAO-CAF-RESOP_14_01_13 à 20h" xfId="95"/>
    <cellStyle name="b0" xfId="96"/>
    <cellStyle name="b09" xfId="97"/>
    <cellStyle name="b1" xfId="98"/>
    <cellStyle name="b2" xfId="99"/>
    <cellStyle name="Bad" xfId="25"/>
    <cellStyle name="Black" xfId="100"/>
    <cellStyle name="blue" xfId="101"/>
    <cellStyle name="bo" xfId="102"/>
    <cellStyle name="Bold/Border" xfId="103"/>
    <cellStyle name="Bottom" xfId="104"/>
    <cellStyle name="bout" xfId="105"/>
    <cellStyle name="bt" xfId="106"/>
    <cellStyle name="btit" xfId="107"/>
    <cellStyle name="Bullet" xfId="108"/>
    <cellStyle name="c" xfId="109"/>
    <cellStyle name="c_Actualisation provision contrat déficitaire SNCM 2010 V Def" xfId="110"/>
    <cellStyle name="c_Actualisation provision contrat déficitaire SNCM 2011 V3 30 05 2011" xfId="111"/>
    <cellStyle name="c_Grouse+Pelican" xfId="112"/>
    <cellStyle name="c_LI819L_B13" xfId="113"/>
    <cellStyle name="c_Macros" xfId="114"/>
    <cellStyle name="c_Macros (2)" xfId="115"/>
    <cellStyle name="c_Macros (2)_Actualisation provision contrat déficitaire SNCM 2010 V Def" xfId="116"/>
    <cellStyle name="c_Macros (2)_Actualisation provision contrat déficitaire SNCM 2011 V3 30 05 2011" xfId="117"/>
    <cellStyle name="c_Macros (2)_LI819L_B13" xfId="118"/>
    <cellStyle name="c_Macros (2)_PAO-CAF-RESOP_14_01_13 à 20h" xfId="119"/>
    <cellStyle name="c_Macros_Actualisation provision contrat déficitaire SNCM 2010 V Def" xfId="120"/>
    <cellStyle name="c_Macros_Actualisation provision contrat déficitaire SNCM 2011 V3 30 05 2011" xfId="121"/>
    <cellStyle name="c_Macros_LI819L_B13" xfId="122"/>
    <cellStyle name="c_Macros_PAO-CAF-RESOP_14_01_13 à 20h" xfId="123"/>
    <cellStyle name="c_Manager (2)" xfId="124"/>
    <cellStyle name="c_Manager (2)_Actualisation provision contrat déficitaire SNCM 2010 V Def" xfId="125"/>
    <cellStyle name="c_Manager (2)_Actualisation provision contrat déficitaire SNCM 2011 V3 30 05 2011" xfId="126"/>
    <cellStyle name="c_Manager (2)_LI819L_B13" xfId="127"/>
    <cellStyle name="c_Manager (2)_PAO-CAF-RESOP_14_01_13 à 20h" xfId="128"/>
    <cellStyle name="c_PAO-CAF-RESOP_14_01_13 à 20h" xfId="129"/>
    <cellStyle name="c0" xfId="130"/>
    <cellStyle name="cach" xfId="131"/>
    <cellStyle name="Calculation" xfId="26"/>
    <cellStyle name="Check Cell" xfId="27"/>
    <cellStyle name="chiffre" xfId="132"/>
    <cellStyle name="co" xfId="133"/>
    <cellStyle name="Comma [1]" xfId="134"/>
    <cellStyle name="Comma [2]" xfId="135"/>
    <cellStyle name="Comma 4" xfId="136"/>
    <cellStyle name="Comma 4 2" xfId="460"/>
    <cellStyle name="Comma 5" xfId="137"/>
    <cellStyle name="Comma 5 2" xfId="461"/>
    <cellStyle name="Comma_Axmann Utopia toolbox all_in_one" xfId="138"/>
    <cellStyle name="Commentaire 2" xfId="462"/>
    <cellStyle name="Currency [1]" xfId="139"/>
    <cellStyle name="Currency [2]" xfId="140"/>
    <cellStyle name="Currency_Axmann Utopia toolbox all_in_one" xfId="141"/>
    <cellStyle name="Currency-Denomination" xfId="142"/>
    <cellStyle name="Dash" xfId="143"/>
    <cellStyle name="Decimal_0dp" xfId="144"/>
    <cellStyle name="Dezimal__Utopia Index Index und Guidance (Deutsch)" xfId="145"/>
    <cellStyle name="Euro" xfId="1"/>
    <cellStyle name="Euro 2" xfId="146"/>
    <cellStyle name="Euro_Feuil1" xfId="463"/>
    <cellStyle name="Explanatory Text" xfId="28"/>
    <cellStyle name="EY Narrative text" xfId="147"/>
    <cellStyle name="EY%colcalc" xfId="29"/>
    <cellStyle name="EY%colcalc 2" xfId="148"/>
    <cellStyle name="EY%colcalc_Feuil1" xfId="464"/>
    <cellStyle name="EY%input" xfId="30"/>
    <cellStyle name="EY%input 2" xfId="149"/>
    <cellStyle name="EY%input_Feuil1" xfId="465"/>
    <cellStyle name="EY%rowcalc" xfId="31"/>
    <cellStyle name="EY%rowcalc 2" xfId="150"/>
    <cellStyle name="EY%rowcalc_Feuil1" xfId="466"/>
    <cellStyle name="EY0dp" xfId="32"/>
    <cellStyle name="EY0dp 2" xfId="151"/>
    <cellStyle name="EY0dp_Feuil1" xfId="467"/>
    <cellStyle name="EY1dp" xfId="33"/>
    <cellStyle name="EY1dp 2" xfId="152"/>
    <cellStyle name="EY1dp_Feuil1" xfId="468"/>
    <cellStyle name="EY2dp" xfId="34"/>
    <cellStyle name="EY2dp 2" xfId="153"/>
    <cellStyle name="EY2dp_Feuil1" xfId="469"/>
    <cellStyle name="EY3dp" xfId="35"/>
    <cellStyle name="EY3dp 2" xfId="154"/>
    <cellStyle name="EY3dp_Feuil1" xfId="470"/>
    <cellStyle name="EYColumnHeading" xfId="36"/>
    <cellStyle name="EYColumnHeading 2" xfId="155"/>
    <cellStyle name="EYColumnHeading 3" xfId="156"/>
    <cellStyle name="EYColumnHeading_Feuil1" xfId="471"/>
    <cellStyle name="EYColumnHeadingItalic" xfId="157"/>
    <cellStyle name="EYCoverDatabookName" xfId="158"/>
    <cellStyle name="EYCoverDate" xfId="159"/>
    <cellStyle name="EYCoverDraft" xfId="160"/>
    <cellStyle name="EYCoverProjectName" xfId="161"/>
    <cellStyle name="EYCurrency" xfId="162"/>
    <cellStyle name="EYHeading1" xfId="37"/>
    <cellStyle name="EYheading2" xfId="38"/>
    <cellStyle name="EYheading3" xfId="39"/>
    <cellStyle name="EYNotes" xfId="163"/>
    <cellStyle name="EYNotesHeading" xfId="164"/>
    <cellStyle name="EYnumber" xfId="40"/>
    <cellStyle name="EYnumber 2" xfId="165"/>
    <cellStyle name="EYnumber_Feuil1" xfId="472"/>
    <cellStyle name="EYSectionHeading" xfId="166"/>
    <cellStyle name="EYSheetHeader1" xfId="41"/>
    <cellStyle name="EYSheetHeading" xfId="167"/>
    <cellStyle name="EYsmallheading" xfId="168"/>
    <cellStyle name="EYsmallheading 2" xfId="473"/>
    <cellStyle name="EYSource" xfId="169"/>
    <cellStyle name="EYtext" xfId="42"/>
    <cellStyle name="EYtext 2" xfId="170"/>
    <cellStyle name="EYtext 3" xfId="171"/>
    <cellStyle name="EYtext_Feuil1" xfId="474"/>
    <cellStyle name="EYtextbold" xfId="172"/>
    <cellStyle name="EYtextbolditalic" xfId="173"/>
    <cellStyle name="EYtextitalic" xfId="174"/>
    <cellStyle name="Followed Hyperlink" xfId="175"/>
    <cellStyle name="Forecast Cell Column Heading" xfId="176"/>
    <cellStyle name="FormattingSheetDelimitor" xfId="177"/>
    <cellStyle name="FRxAmtStyle" xfId="43"/>
    <cellStyle name="FRxPcntStyle" xfId="44"/>
    <cellStyle name="Good" xfId="45"/>
    <cellStyle name="h" xfId="178"/>
    <cellStyle name="Heading 1" xfId="46"/>
    <cellStyle name="Heading 2" xfId="47"/>
    <cellStyle name="Heading 3" xfId="48"/>
    <cellStyle name="Heading 4" xfId="49"/>
    <cellStyle name="Hyperlink" xfId="179"/>
    <cellStyle name="Input" xfId="50"/>
    <cellStyle name="Input 2" xfId="180"/>
    <cellStyle name="InputBlueFont" xfId="181"/>
    <cellStyle name="InputBlueFontLocked" xfId="182"/>
    <cellStyle name="KPMG Heading 1" xfId="183"/>
    <cellStyle name="KPMG Heading 2" xfId="184"/>
    <cellStyle name="KPMG Heading 3" xfId="185"/>
    <cellStyle name="KPMG Heading 4" xfId="186"/>
    <cellStyle name="KPMG Normal" xfId="187"/>
    <cellStyle name="KPMG Normal Text" xfId="188"/>
    <cellStyle name="Linked Cell" xfId="51"/>
    <cellStyle name="LTM Cell Column Heading" xfId="189"/>
    <cellStyle name="Milliers 2" xfId="190"/>
    <cellStyle name="Milliers 2 2" xfId="476"/>
    <cellStyle name="Milliers 2_Feuil1" xfId="475"/>
    <cellStyle name="Milliers 3" xfId="477"/>
    <cellStyle name="Multiple" xfId="191"/>
    <cellStyle name="Multiple Cell Column Heading" xfId="192"/>
    <cellStyle name="Navadno 2" xfId="193"/>
    <cellStyle name="Neutral" xfId="52"/>
    <cellStyle name="no" xfId="194"/>
    <cellStyle name="No-definido" xfId="53"/>
    <cellStyle name="Non d‚fini" xfId="2"/>
    <cellStyle name="Non d‚fini 2" xfId="195"/>
    <cellStyle name="Non d‚fini_Feuil1" xfId="478"/>
    <cellStyle name="Normal" xfId="0" builtinId="0"/>
    <cellStyle name="Normal - Style1" xfId="196"/>
    <cellStyle name="Normal - Style2" xfId="197"/>
    <cellStyle name="Normal - Style3" xfId="198"/>
    <cellStyle name="Normal - Style4" xfId="199"/>
    <cellStyle name="Normal - Style5" xfId="200"/>
    <cellStyle name="Normal - Style6" xfId="201"/>
    <cellStyle name="Normal - Style7" xfId="202"/>
    <cellStyle name="Normal - Style8" xfId="203"/>
    <cellStyle name="Normal 10" xfId="204"/>
    <cellStyle name="Normal 10 2" xfId="205"/>
    <cellStyle name="Normal 10 2 2" xfId="206"/>
    <cellStyle name="Normal 10 2 3" xfId="207"/>
    <cellStyle name="Normal 10 2_Feuil1" xfId="480"/>
    <cellStyle name="Normal 10 3" xfId="208"/>
    <cellStyle name="Normal 10 4" xfId="209"/>
    <cellStyle name="Normal 10_Feuil1" xfId="479"/>
    <cellStyle name="Normal 11" xfId="210"/>
    <cellStyle name="Normal 12" xfId="211"/>
    <cellStyle name="Normal 13" xfId="212"/>
    <cellStyle name="Normal 14" xfId="213"/>
    <cellStyle name="Normal 15" xfId="214"/>
    <cellStyle name="Normal 16" xfId="215"/>
    <cellStyle name="Normal 17" xfId="216"/>
    <cellStyle name="Normal 18" xfId="217"/>
    <cellStyle name="Normal 19" xfId="218"/>
    <cellStyle name="Normal 2" xfId="4"/>
    <cellStyle name="Normal 2 10" xfId="219"/>
    <cellStyle name="Normal 2 11" xfId="220"/>
    <cellStyle name="Normal 2 12" xfId="221"/>
    <cellStyle name="Normal 2 13" xfId="222"/>
    <cellStyle name="Normal 2 14" xfId="223"/>
    <cellStyle name="Normal 2 15" xfId="224"/>
    <cellStyle name="Normal 2 16" xfId="225"/>
    <cellStyle name="Normal 2 17" xfId="226"/>
    <cellStyle name="Normal 2 2" xfId="68"/>
    <cellStyle name="Normal 2 3" xfId="69"/>
    <cellStyle name="Normal 2 4" xfId="227"/>
    <cellStyle name="Normal 2 5" xfId="228"/>
    <cellStyle name="Normal 2 6" xfId="229"/>
    <cellStyle name="Normal 2 7" xfId="230"/>
    <cellStyle name="Normal 2 8" xfId="231"/>
    <cellStyle name="Normal 2 9" xfId="232"/>
    <cellStyle name="Normal 2_Feuil1" xfId="481"/>
    <cellStyle name="Normal 20" xfId="233"/>
    <cellStyle name="Normal 21" xfId="234"/>
    <cellStyle name="Normal 22" xfId="235"/>
    <cellStyle name="Normal 23" xfId="236"/>
    <cellStyle name="Normal 24" xfId="237"/>
    <cellStyle name="Normal 25" xfId="238"/>
    <cellStyle name="Normal 26" xfId="239"/>
    <cellStyle name="Normal 27" xfId="240"/>
    <cellStyle name="Normal 28" xfId="241"/>
    <cellStyle name="Normal 29" xfId="242"/>
    <cellStyle name="Normal 3" xfId="6"/>
    <cellStyle name="Normal 3 10" xfId="243"/>
    <cellStyle name="Normal 3 11" xfId="244"/>
    <cellStyle name="Normal 3 12" xfId="245"/>
    <cellStyle name="Normal 3 2" xfId="246"/>
    <cellStyle name="Normal 3 3" xfId="247"/>
    <cellStyle name="Normal 3 4" xfId="248"/>
    <cellStyle name="Normal 3 5" xfId="249"/>
    <cellStyle name="Normal 3 6" xfId="250"/>
    <cellStyle name="Normal 3 7" xfId="251"/>
    <cellStyle name="Normal 3 8" xfId="252"/>
    <cellStyle name="Normal 3 9" xfId="253"/>
    <cellStyle name="Normal 3_Feuil1" xfId="482"/>
    <cellStyle name="Normal 30" xfId="70"/>
    <cellStyle name="Normal 31" xfId="441"/>
    <cellStyle name="Normal 32" xfId="442"/>
    <cellStyle name="Normal 32 2" xfId="444"/>
    <cellStyle name="Normal 33" xfId="443"/>
    <cellStyle name="Normal 34" xfId="445"/>
    <cellStyle name="Normal 4" xfId="67"/>
    <cellStyle name="Normal 4 2" xfId="254"/>
    <cellStyle name="Normal 4 3" xfId="255"/>
    <cellStyle name="Normal 4_Feuil1" xfId="483"/>
    <cellStyle name="Normal 5" xfId="256"/>
    <cellStyle name="Normal 5 2" xfId="257"/>
    <cellStyle name="Normal 5_Feuil1" xfId="484"/>
    <cellStyle name="Normal 6" xfId="258"/>
    <cellStyle name="Normal 6 2" xfId="259"/>
    <cellStyle name="Normal 6 2 2" xfId="260"/>
    <cellStyle name="Normal 6 2 3" xfId="261"/>
    <cellStyle name="Normal 6 2_Feuil1" xfId="485"/>
    <cellStyle name="Normal 6 3" xfId="262"/>
    <cellStyle name="Normal 6 4" xfId="263"/>
    <cellStyle name="Normal 6 5" xfId="264"/>
    <cellStyle name="Normal 7" xfId="265"/>
    <cellStyle name="Normal 7 2" xfId="266"/>
    <cellStyle name="Normal 7 2 2" xfId="267"/>
    <cellStyle name="Normal 7 2 3" xfId="268"/>
    <cellStyle name="Normal 7 3" xfId="269"/>
    <cellStyle name="Normal 7 4" xfId="270"/>
    <cellStyle name="Normal 7 5" xfId="271"/>
    <cellStyle name="Normal 7_Feuil1" xfId="486"/>
    <cellStyle name="Normal 8" xfId="272"/>
    <cellStyle name="Normal 8 2" xfId="273"/>
    <cellStyle name="Normal 8 2 2" xfId="274"/>
    <cellStyle name="Normal 8 2 3" xfId="275"/>
    <cellStyle name="Normal 8 3" xfId="276"/>
    <cellStyle name="Normal 8 4" xfId="277"/>
    <cellStyle name="Normal 9" xfId="278"/>
    <cellStyle name="Normal 9 2" xfId="279"/>
    <cellStyle name="Normal 9 2 2" xfId="280"/>
    <cellStyle name="Normal 9 2 3" xfId="281"/>
    <cellStyle name="Normal 9 3" xfId="282"/>
    <cellStyle name="Normal 9 4" xfId="283"/>
    <cellStyle name="Normal_EBIT_EBITDA  groupe Actual 2003.12" xfId="3"/>
    <cellStyle name="Note" xfId="54"/>
    <cellStyle name="Notes_multi" xfId="284"/>
    <cellStyle name="Output" xfId="55"/>
    <cellStyle name="p" xfId="285"/>
    <cellStyle name="p_Actualisation provision contrat déficitaire SNCM 2010 V Def" xfId="286"/>
    <cellStyle name="p_Actualisation provision contrat déficitaire SNCM 2011 V3 30 05 2011" xfId="287"/>
    <cellStyle name="p_PPA SNCM - présentation CAC 28 06 2011" xfId="288"/>
    <cellStyle name="pb_page_heading_LS" xfId="289"/>
    <cellStyle name="pe" xfId="290"/>
    <cellStyle name="per" xfId="291"/>
    <cellStyle name="Percent [0]" xfId="292"/>
    <cellStyle name="Percent [1]" xfId="293"/>
    <cellStyle name="Percent [2]" xfId="294"/>
    <cellStyle name="Percent 2" xfId="295"/>
    <cellStyle name="Percent 2 2" xfId="296"/>
    <cellStyle name="Pound" xfId="297"/>
    <cellStyle name="Pound [1]" xfId="298"/>
    <cellStyle name="Pound [2]" xfId="299"/>
    <cellStyle name="Pourcentage" xfId="5" builtinId="5"/>
    <cellStyle name="Pourcentage 2" xfId="300"/>
    <cellStyle name="Pourcentage 2 2" xfId="301"/>
    <cellStyle name="Pourcentage 2 3" xfId="302"/>
    <cellStyle name="Pourcentage 2 4" xfId="303"/>
    <cellStyle name="Pourcentage 2 5" xfId="304"/>
    <cellStyle name="Pourcentage 2 6" xfId="305"/>
    <cellStyle name="Pourcentage 2 7" xfId="306"/>
    <cellStyle name="Pourcentage 2 8" xfId="307"/>
    <cellStyle name="Pourcentage 3" xfId="308"/>
    <cellStyle name="Pourcentage 4" xfId="309"/>
    <cellStyle name="Pourcentage 5" xfId="310"/>
    <cellStyle name="ptit" xfId="311"/>
    <cellStyle name="rat" xfId="312"/>
    <cellStyle name="rate" xfId="313"/>
    <cellStyle name="ratio" xfId="314"/>
    <cellStyle name="s" xfId="315"/>
    <cellStyle name="s_Actualisation provision contrat déficitaire SNCM 2010 V Def" xfId="316"/>
    <cellStyle name="s_Actualisation provision contrat déficitaire SNCM 2011 V3 30 05 2011" xfId="317"/>
    <cellStyle name="s_Assumptions" xfId="318"/>
    <cellStyle name="s_Assumptions_Actualisation provision contrat déficitaire SNCM 2010 V Def" xfId="319"/>
    <cellStyle name="s_Assumptions_Actualisation provision contrat déficitaire SNCM 2011 V3 30 05 2011" xfId="320"/>
    <cellStyle name="s_Assumptions_LI819L_B13" xfId="321"/>
    <cellStyle name="s_Assumptions_PAO-CAF-RESOP_14_01_13 à 20h" xfId="322"/>
    <cellStyle name="s_B_S_Ratios _B" xfId="323"/>
    <cellStyle name="s_B_S_Ratios _B_Actualisation provision contrat déficitaire SNCM 2010 V Def" xfId="324"/>
    <cellStyle name="s_B_S_Ratios _B_Actualisation provision contrat déficitaire SNCM 2011 V3 30 05 2011" xfId="325"/>
    <cellStyle name="s_B_S_Ratios _B_LI819L_B13" xfId="326"/>
    <cellStyle name="s_B_S_Ratios _B_PAO-CAF-RESOP_14_01_13 à 20h" xfId="327"/>
    <cellStyle name="s_B_S_Ratios_T" xfId="328"/>
    <cellStyle name="s_B_S_Ratios_T_Actualisation provision contrat déficitaire SNCM 2010 V Def" xfId="329"/>
    <cellStyle name="s_B_S_Ratios_T_Actualisation provision contrat déficitaire SNCM 2011 V3 30 05 2011" xfId="330"/>
    <cellStyle name="s_B_S_Ratios_T_LI819L_B13" xfId="331"/>
    <cellStyle name="s_B_S_Ratios_T_PAO-CAF-RESOP_14_01_13 à 20h" xfId="332"/>
    <cellStyle name="s_DCFLBO Code" xfId="333"/>
    <cellStyle name="s_DCFLBO Code_1" xfId="334"/>
    <cellStyle name="s_DCFLBO Code_1_Actualisation provision contrat déficitaire SNCM 2010 V Def" xfId="335"/>
    <cellStyle name="s_DCFLBO Code_1_Actualisation provision contrat déficitaire SNCM 2011 V3 30 05 2011" xfId="336"/>
    <cellStyle name="s_DCFLBO Code_1_LI819L_B13" xfId="337"/>
    <cellStyle name="s_DCFLBO Code_1_PAO-CAF-RESOP_14_01_13 à 20h" xfId="338"/>
    <cellStyle name="s_DCFLBO Code_Actualisation provision contrat déficitaire SNCM 2010 V Def" xfId="339"/>
    <cellStyle name="s_DCFLBO Code_Actualisation provision contrat déficitaire SNCM 2011 V3 30 05 2011" xfId="340"/>
    <cellStyle name="s_DCFLBO Code_LI819L_B13" xfId="341"/>
    <cellStyle name="s_DCFLBO Code_PAO-CAF-RESOP_14_01_13 à 20h" xfId="342"/>
    <cellStyle name="s_Dilution" xfId="343"/>
    <cellStyle name="s_Dilution_Actualisation provision contrat déficitaire SNCM 2010 V Def" xfId="344"/>
    <cellStyle name="s_Dilution_Actualisation provision contrat déficitaire SNCM 2011 V3 30 05 2011" xfId="345"/>
    <cellStyle name="s_Dilution_LI819L_B13" xfId="346"/>
    <cellStyle name="s_Dilution_PAO-CAF-RESOP_14_01_13 à 20h" xfId="347"/>
    <cellStyle name="s_Financials_B" xfId="348"/>
    <cellStyle name="s_Financials_B_Actualisation provision contrat déficitaire SNCM 2010 V Def" xfId="349"/>
    <cellStyle name="s_Financials_B_Actualisation provision contrat déficitaire SNCM 2011 V3 30 05 2011" xfId="350"/>
    <cellStyle name="s_Financials_B_LI819L_B13" xfId="351"/>
    <cellStyle name="s_Financials_B_PAO-CAF-RESOP_14_01_13 à 20h" xfId="352"/>
    <cellStyle name="s_Financials_T" xfId="353"/>
    <cellStyle name="s_Financials_T_Actualisation provision contrat déficitaire SNCM 2010 V Def" xfId="354"/>
    <cellStyle name="s_Financials_T_Actualisation provision contrat déficitaire SNCM 2011 V3 30 05 2011" xfId="355"/>
    <cellStyle name="s_Financials_T_LI819L_B13" xfId="356"/>
    <cellStyle name="s_Financials_T_PAO-CAF-RESOP_14_01_13 à 20h" xfId="357"/>
    <cellStyle name="s_Grouse+Pelican" xfId="358"/>
    <cellStyle name="s_LI819L_B13" xfId="359"/>
    <cellStyle name="s_Matrix_B" xfId="360"/>
    <cellStyle name="s_Matrix_B_Actualisation provision contrat déficitaire SNCM 2010 V Def" xfId="361"/>
    <cellStyle name="s_Matrix_B_Actualisation provision contrat déficitaire SNCM 2011 V3 30 05 2011" xfId="362"/>
    <cellStyle name="s_Matrix_B_LI819L_B13" xfId="363"/>
    <cellStyle name="s_Matrix_B_PAO-CAF-RESOP_14_01_13 à 20h" xfId="364"/>
    <cellStyle name="s_Matrix_T" xfId="365"/>
    <cellStyle name="s_Matrix_T_Actualisation provision contrat déficitaire SNCM 2010 V Def" xfId="366"/>
    <cellStyle name="s_Matrix_T_Actualisation provision contrat déficitaire SNCM 2011 V3 30 05 2011" xfId="367"/>
    <cellStyle name="s_Matrix_T_LI819L_B13" xfId="368"/>
    <cellStyle name="s_Matrix_T_PAO-CAF-RESOP_14_01_13 à 20h" xfId="369"/>
    <cellStyle name="s_Merger" xfId="370"/>
    <cellStyle name="s_Merger_Actualisation provision contrat déficitaire SNCM 2010 V Def" xfId="371"/>
    <cellStyle name="s_Merger_Actualisation provision contrat déficitaire SNCM 2011 V3 30 05 2011" xfId="372"/>
    <cellStyle name="s_Merger_LI819L_B13" xfId="373"/>
    <cellStyle name="s_Merger_PAO-CAF-RESOP_14_01_13 à 20h" xfId="374"/>
    <cellStyle name="s_model2" xfId="375"/>
    <cellStyle name="s_model2_Actualisation provision contrat déficitaire SNCM 2010 V Def" xfId="376"/>
    <cellStyle name="s_model2_Actualisation provision contrat déficitaire SNCM 2011 V3 30 05 2011" xfId="377"/>
    <cellStyle name="s_model2_LI819L_B13" xfId="378"/>
    <cellStyle name="s_model2_PAO-CAF-RESOP_14_01_13 à 20h" xfId="379"/>
    <cellStyle name="s_P_L_Ratios" xfId="380"/>
    <cellStyle name="s_P_L_Ratios_Actualisation provision contrat déficitaire SNCM 2010 V Def" xfId="381"/>
    <cellStyle name="s_P_L_Ratios_Actualisation provision contrat déficitaire SNCM 2011 V3 30 05 2011" xfId="382"/>
    <cellStyle name="s_P_L_Ratios_B" xfId="383"/>
    <cellStyle name="s_P_L_Ratios_B_Actualisation provision contrat déficitaire SNCM 2010 V Def" xfId="384"/>
    <cellStyle name="s_P_L_Ratios_B_Actualisation provision contrat déficitaire SNCM 2011 V3 30 05 2011" xfId="385"/>
    <cellStyle name="s_P_L_Ratios_B_LI819L_B13" xfId="386"/>
    <cellStyle name="s_P_L_Ratios_B_PAO-CAF-RESOP_14_01_13 à 20h" xfId="387"/>
    <cellStyle name="s_P_L_Ratios_LI819L_B13" xfId="388"/>
    <cellStyle name="s_P_L_Ratios_PAO-CAF-RESOP_14_01_13 à 20h" xfId="389"/>
    <cellStyle name="s_PAO-CAF-RESOP_14_01_13 à 20h" xfId="390"/>
    <cellStyle name="s_S_By_S" xfId="391"/>
    <cellStyle name="s_S_By_S_Actualisation provision contrat déficitaire SNCM 2010 V Def" xfId="392"/>
    <cellStyle name="s_S_By_S_Actualisation provision contrat déficitaire SNCM 2011 V3 30 05 2011" xfId="393"/>
    <cellStyle name="s_S_By_S_LI819L_B13" xfId="394"/>
    <cellStyle name="s_S_By_S_PAO-CAF-RESOP_14_01_13 à 20h" xfId="395"/>
    <cellStyle name="s_Sheet5" xfId="396"/>
    <cellStyle name="s_Sheet5_Actualisation provision contrat déficitaire SNCM 2010 V Def" xfId="397"/>
    <cellStyle name="s_Sheet5_Actualisation provision contrat déficitaire SNCM 2011 V3 30 05 2011" xfId="398"/>
    <cellStyle name="s_Sheet5_LI819L_B13" xfId="399"/>
    <cellStyle name="s_Sheet5_PAO-CAF-RESOP_14_01_13 à 20h" xfId="400"/>
    <cellStyle name="s_Valuation " xfId="401"/>
    <cellStyle name="s_Valuation _Actualisation provision contrat déficitaire SNCM 2010 V Def" xfId="402"/>
    <cellStyle name="s_Valuation _Actualisation provision contrat déficitaire SNCM 2011 V3 30 05 2011" xfId="403"/>
    <cellStyle name="s_Valuation _LI819L_B13" xfId="404"/>
    <cellStyle name="s_Valuation _PAO-CAF-RESOP_14_01_13 à 20h" xfId="405"/>
    <cellStyle name="SAPBEXHLevel1" xfId="406"/>
    <cellStyle name="SAPBEXstdData" xfId="407"/>
    <cellStyle name="Shading" xfId="408"/>
    <cellStyle name="Single Cell Column Heading" xfId="409"/>
    <cellStyle name="Standaard 2" xfId="487"/>
    <cellStyle name="Standaard 2 2" xfId="488"/>
    <cellStyle name="Standaard_Blad1" xfId="489"/>
    <cellStyle name="Standard__Utopia Index Index und Guidance (Deutsch)" xfId="410"/>
    <cellStyle name="Style 1" xfId="411"/>
    <cellStyle name="STYLE1" xfId="56"/>
    <cellStyle name="STYLE1 2" xfId="412"/>
    <cellStyle name="STYLE2" xfId="57"/>
    <cellStyle name="STYLE2 2" xfId="413"/>
    <cellStyle name="STYLE3" xfId="58"/>
    <cellStyle name="STYLE3 2" xfId="414"/>
    <cellStyle name="STYLE4" xfId="59"/>
    <cellStyle name="STYLE4 2" xfId="415"/>
    <cellStyle name="STYLE5" xfId="60"/>
    <cellStyle name="STYLE5 2" xfId="416"/>
    <cellStyle name="STYLE6" xfId="61"/>
    <cellStyle name="STYLE6 2" xfId="417"/>
    <cellStyle name="STYLE7" xfId="62"/>
    <cellStyle name="STYLE7 2" xfId="418"/>
    <cellStyle name="STYLE8" xfId="63"/>
    <cellStyle name="STYLE8 2" xfId="419"/>
    <cellStyle name="STYLE9" xfId="64"/>
    <cellStyle name="STYLE9 2" xfId="420"/>
    <cellStyle name="t" xfId="421"/>
    <cellStyle name="t_Actualisation provision contrat déficitaire SNCM 2010 V Def" xfId="422"/>
    <cellStyle name="t_Actualisation provision contrat déficitaire SNCM 2011 V3 30 05 2011" xfId="423"/>
    <cellStyle name="t_LI819L_B13" xfId="424"/>
    <cellStyle name="t_Manager" xfId="425"/>
    <cellStyle name="t_Manager_Actualisation provision contrat déficitaire SNCM 2010 V Def" xfId="426"/>
    <cellStyle name="t_Manager_Actualisation provision contrat déficitaire SNCM 2011 V3 30 05 2011" xfId="427"/>
    <cellStyle name="t_Manager_LI819L_B13" xfId="428"/>
    <cellStyle name="t_Manager_PAO-CAF-RESOP_14_01_13 à 20h" xfId="429"/>
    <cellStyle name="t_PAO-CAF-RESOP_14_01_13 à 20h" xfId="430"/>
    <cellStyle name="Text Level 1" xfId="431"/>
    <cellStyle name="Text Level 2" xfId="432"/>
    <cellStyle name="Text Level 3" xfId="433"/>
    <cellStyle name="Text Level 4" xfId="434"/>
    <cellStyle name="Title" xfId="65"/>
    <cellStyle name="Titles" xfId="435"/>
    <cellStyle name="Top_Double_Bottom" xfId="436"/>
    <cellStyle name="UNDERRUBRIK" xfId="437"/>
    <cellStyle name="Warning Text" xfId="66"/>
    <cellStyle name="Year" xfId="438"/>
    <cellStyle name="zoe" xfId="439"/>
    <cellStyle name="常规_Sheet1_Sub-consolidation Scope 2008 12 SX432 Lanzhou" xfId="44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1A5AD"/>
      <rgbColor rgb="0000FF00"/>
      <rgbColor rgb="000000FF"/>
      <rgbColor rgb="00FFFF00"/>
      <rgbColor rgb="00C7D3EB"/>
      <rgbColor rgb="0000FFFF"/>
      <rgbColor rgb="00C00000"/>
      <rgbColor rgb="007373A0"/>
      <rgbColor rgb="00000080"/>
      <rgbColor rgb="00F08214"/>
      <rgbColor rgb="00800080"/>
      <rgbColor rgb="0064B4E1"/>
      <rgbColor rgb="00C0C0C0"/>
      <rgbColor rgb="0064697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E4E5E8"/>
      <rgbColor rgb="00E3E9F5"/>
      <rgbColor rgb="00CED0D4"/>
      <rgbColor rgb="00A86E73"/>
      <rgbColor rgb="00666699"/>
      <rgbColor rgb="00829BB4"/>
      <rgbColor rgb="00A0B4DC"/>
      <rgbColor rgb="00339966"/>
      <rgbColor rgb="00829BB4"/>
      <rgbColor rgb="00646973"/>
      <rgbColor rgb="00FF0000"/>
      <rgbColor rgb="00993366"/>
      <rgbColor rgb="00333399"/>
      <rgbColor rgb="00333333"/>
    </indexedColors>
    <mruColors>
      <color rgb="FFD00000"/>
      <color rgb="FFD8D6D8"/>
      <color rgb="FFECECEC"/>
      <color rgb="FFEAEAEA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60</xdr:row>
      <xdr:rowOff>11906</xdr:rowOff>
    </xdr:to>
    <xdr:sp macro="" textlink="">
      <xdr:nvSpPr>
        <xdr:cNvPr id="4" name="Flèche vers le bas 3"/>
        <xdr:cNvSpPr/>
      </xdr:nvSpPr>
      <xdr:spPr>
        <a:xfrm>
          <a:off x="366713" y="764381"/>
          <a:ext cx="1401536" cy="1251585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5" name="Oval 12"/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28</xdr:row>
      <xdr:rowOff>94571</xdr:rowOff>
    </xdr:from>
    <xdr:to>
      <xdr:col>1</xdr:col>
      <xdr:colOff>1235960</xdr:colOff>
      <xdr:row>30</xdr:row>
      <xdr:rowOff>99745</xdr:rowOff>
    </xdr:to>
    <xdr:sp macro="" textlink="">
      <xdr:nvSpPr>
        <xdr:cNvPr id="6" name="Oval 12"/>
        <xdr:cNvSpPr>
          <a:spLocks noChangeArrowheads="1"/>
        </xdr:cNvSpPr>
      </xdr:nvSpPr>
      <xdr:spPr bwMode="gray">
        <a:xfrm>
          <a:off x="746603" y="597149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</xdr:col>
      <xdr:colOff>594203</xdr:colOff>
      <xdr:row>35</xdr:row>
      <xdr:rowOff>94571</xdr:rowOff>
    </xdr:from>
    <xdr:to>
      <xdr:col>1</xdr:col>
      <xdr:colOff>1235960</xdr:colOff>
      <xdr:row>37</xdr:row>
      <xdr:rowOff>99745</xdr:rowOff>
    </xdr:to>
    <xdr:sp macro="" textlink="">
      <xdr:nvSpPr>
        <xdr:cNvPr id="7" name="Oval 12"/>
        <xdr:cNvSpPr>
          <a:spLocks noChangeArrowheads="1"/>
        </xdr:cNvSpPr>
      </xdr:nvSpPr>
      <xdr:spPr bwMode="gray">
        <a:xfrm>
          <a:off x="746603" y="772409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30</xdr:row>
          <xdr:rowOff>190500</xdr:rowOff>
        </xdr:from>
        <xdr:to>
          <xdr:col>5</xdr:col>
          <xdr:colOff>1047750</xdr:colOff>
          <xdr:row>33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10584</xdr:colOff>
      <xdr:row>0</xdr:row>
      <xdr:rowOff>0</xdr:rowOff>
    </xdr:from>
    <xdr:to>
      <xdr:col>3</xdr:col>
      <xdr:colOff>1619251</xdr:colOff>
      <xdr:row>1</xdr:row>
      <xdr:rowOff>69699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84"/>
        <a:stretch/>
      </xdr:blipFill>
      <xdr:spPr>
        <a:xfrm>
          <a:off x="10584" y="0"/>
          <a:ext cx="1608667" cy="574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1427692</xdr:colOff>
      <xdr:row>0</xdr:row>
      <xdr:rowOff>574524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84"/>
        <a:stretch/>
      </xdr:blipFill>
      <xdr:spPr>
        <a:xfrm>
          <a:off x="0" y="0"/>
          <a:ext cx="1608667" cy="574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R85"/>
  <sheetViews>
    <sheetView showGridLines="0" tabSelected="1" zoomScale="70" zoomScaleNormal="70" workbookViewId="0">
      <selection activeCell="L34" sqref="L34"/>
    </sheetView>
  </sheetViews>
  <sheetFormatPr baseColWidth="10" defaultRowHeight="18" customHeight="1"/>
  <cols>
    <col min="1" max="1" width="2.28515625" style="2" customWidth="1"/>
    <col min="2" max="2" width="24.28515625" style="2" customWidth="1"/>
    <col min="3" max="3" width="31.7109375" style="3" customWidth="1"/>
    <col min="4" max="4" width="10" style="3" customWidth="1"/>
    <col min="5" max="5" width="30.5703125" style="3" bestFit="1" customWidth="1"/>
    <col min="6" max="8" width="24.42578125" style="3" customWidth="1"/>
    <col min="9" max="9" width="5.28515625" style="3" customWidth="1"/>
    <col min="10" max="10" width="15.42578125" style="3" customWidth="1"/>
    <col min="11" max="13" width="11.42578125" style="3"/>
    <col min="14" max="14" width="12.5703125" style="3" bestFit="1" customWidth="1"/>
    <col min="15" max="19" width="11.5703125" style="3" bestFit="1" customWidth="1"/>
    <col min="20" max="16384" width="11.42578125" style="3"/>
  </cols>
  <sheetData>
    <row r="1" spans="1:10" s="254" customFormat="1" ht="59.25" customHeight="1">
      <c r="A1" s="253"/>
      <c r="B1" s="267" t="s">
        <v>100</v>
      </c>
      <c r="C1" s="267"/>
      <c r="D1" s="267"/>
      <c r="E1" s="267"/>
      <c r="F1" s="267"/>
      <c r="G1" s="267"/>
      <c r="H1" s="267"/>
      <c r="I1" s="267"/>
    </row>
    <row r="3" spans="1:10" s="10" customFormat="1" ht="30" customHeight="1">
      <c r="A3" s="9"/>
      <c r="B3" s="9"/>
      <c r="C3" s="255" t="s">
        <v>30</v>
      </c>
      <c r="D3" s="255"/>
      <c r="E3" s="255"/>
      <c r="F3" s="255"/>
      <c r="G3" s="255"/>
      <c r="H3" s="255"/>
      <c r="I3" s="255"/>
      <c r="J3" s="255"/>
    </row>
    <row r="4" spans="1:10" s="12" customFormat="1" ht="18" customHeight="1" thickBot="1"/>
    <row r="5" spans="1:10" ht="18" customHeight="1" thickBot="1">
      <c r="C5" s="5" t="s">
        <v>29</v>
      </c>
      <c r="E5" s="256" t="s">
        <v>69</v>
      </c>
    </row>
    <row r="6" spans="1:10" ht="8.1" customHeight="1" thickBot="1">
      <c r="C6" s="5"/>
      <c r="E6" s="4"/>
    </row>
    <row r="7" spans="1:10" ht="18" customHeight="1" thickBot="1">
      <c r="C7" s="5" t="s">
        <v>61</v>
      </c>
      <c r="E7" s="256" t="s">
        <v>105</v>
      </c>
    </row>
    <row r="8" spans="1:10" ht="8.1" customHeight="1" thickBot="1"/>
    <row r="9" spans="1:10" ht="18" customHeight="1" thickBot="1">
      <c r="C9" s="5" t="s">
        <v>62</v>
      </c>
      <c r="E9" s="256" t="str">
        <f ca="1">+VLOOKUP(Country,$D$40:$H$59,5,FALSE)</f>
        <v>EUR</v>
      </c>
    </row>
    <row r="10" spans="1:10" ht="8.1" customHeight="1" thickBot="1"/>
    <row r="11" spans="1:10" ht="18" customHeight="1" thickBot="1">
      <c r="C11" s="5" t="s">
        <v>64</v>
      </c>
      <c r="E11" s="256" t="s">
        <v>22</v>
      </c>
    </row>
    <row r="12" spans="1:10" ht="8.1" customHeight="1" thickBot="1">
      <c r="E12" s="35"/>
    </row>
    <row r="13" spans="1:10" ht="18" customHeight="1" thickBot="1">
      <c r="C13" s="5" t="s">
        <v>17</v>
      </c>
      <c r="D13" s="15"/>
      <c r="E13" s="256" t="str">
        <f ca="1">_xll.SUBNM("tango_core_model:Gaap","","Local_Gaap_Mgmt_tool","English")</f>
        <v>Local Gaap Management tool</v>
      </c>
    </row>
    <row r="14" spans="1:10" ht="8.1" customHeight="1"/>
    <row r="15" spans="1:10" ht="18" customHeight="1">
      <c r="C15" s="5" t="s">
        <v>63</v>
      </c>
      <c r="E15" s="13" t="s">
        <v>31</v>
      </c>
      <c r="F15" s="14" t="s">
        <v>32</v>
      </c>
      <c r="G15" s="14" t="s">
        <v>33</v>
      </c>
    </row>
    <row r="16" spans="1:10" ht="18" customHeight="1">
      <c r="C16" s="5"/>
      <c r="D16" s="11" t="s">
        <v>34</v>
      </c>
      <c r="E16" s="257" t="str">
        <f ca="1">_xll.SUBNM("tango_core_model:period","default",Actual_Month)</f>
        <v>2019.02_YTD</v>
      </c>
      <c r="F16" s="257" t="str">
        <f ca="1">_xll.SUBNM("tango_core_model:period","default",E16)</f>
        <v>2019.02_YTD</v>
      </c>
      <c r="G16" s="257" t="str">
        <f ca="1">_xll.SUBNM("tango_core_model:period","default",PriorYear)</f>
        <v>2018.02_YTD</v>
      </c>
    </row>
    <row r="17" spans="1:18" ht="18" customHeight="1">
      <c r="C17" s="5"/>
      <c r="D17" s="11" t="s">
        <v>28</v>
      </c>
      <c r="E17" s="257" t="s">
        <v>108</v>
      </c>
      <c r="F17" s="257" t="s">
        <v>104</v>
      </c>
      <c r="G17" s="257" t="str">
        <f ca="1">_xll.SUBNM("tango_core_model:Phase","","ACT_TOT")</f>
        <v>ACT_TOT</v>
      </c>
    </row>
    <row r="18" spans="1:18" ht="8.1" customHeight="1">
      <c r="C18" s="5"/>
      <c r="E18" s="4"/>
    </row>
    <row r="19" spans="1:18" ht="18" customHeight="1">
      <c r="C19" s="5" t="s">
        <v>19</v>
      </c>
      <c r="E19" s="13" t="s">
        <v>35</v>
      </c>
      <c r="F19" s="13" t="s">
        <v>36</v>
      </c>
      <c r="G19" s="13" t="s">
        <v>37</v>
      </c>
      <c r="H19" s="14"/>
    </row>
    <row r="20" spans="1:18" ht="18" customHeight="1">
      <c r="C20" s="5"/>
      <c r="D20" s="11" t="s">
        <v>19</v>
      </c>
      <c r="E20" s="257" t="str">
        <f ca="1">VLOOKUP(Country,$D$41:$G$59,2,FALSE)</f>
        <v>Urban</v>
      </c>
      <c r="F20" s="257" t="str">
        <f ca="1">VLOOKUP(Country,$D$41:$G$59,3,FALSE)</f>
        <v>Regional Coach</v>
      </c>
      <c r="G20" s="257" t="str">
        <f ca="1">VLOOKUP(Country,$D$41:$G$59,4,FALSE)</f>
        <v>Suburban</v>
      </c>
      <c r="H20" s="14"/>
    </row>
    <row r="21" spans="1:18" ht="8.1" customHeight="1">
      <c r="C21" s="5"/>
      <c r="D21" s="5"/>
      <c r="E21" s="35"/>
    </row>
    <row r="22" spans="1:18" ht="18" hidden="1" customHeight="1" thickBot="1">
      <c r="C22" s="15" t="s">
        <v>18</v>
      </c>
      <c r="D22" s="15"/>
      <c r="E22" s="256" t="str">
        <f ca="1">_xll.SUBNM("tango_core_model:Integration_Rate","","APP")</f>
        <v>APP</v>
      </c>
    </row>
    <row r="23" spans="1:18" ht="8.1" hidden="1" customHeight="1" thickBot="1">
      <c r="C23" s="5"/>
      <c r="D23" s="5"/>
      <c r="E23" s="35"/>
    </row>
    <row r="24" spans="1:18" ht="18" hidden="1" customHeight="1" thickBot="1">
      <c r="C24" s="15" t="s">
        <v>24</v>
      </c>
      <c r="D24" s="15"/>
      <c r="E24" s="256" t="str">
        <f ca="1">_xll.SUBNM("tango_core_model:Management_Organization","","VTD_corp",Language)</f>
        <v>TRANSDEV All</v>
      </c>
      <c r="N24" s="8"/>
      <c r="O24" s="8"/>
      <c r="P24" s="8"/>
    </row>
    <row r="25" spans="1:18" ht="8.1" hidden="1" customHeight="1">
      <c r="C25" s="5"/>
      <c r="D25" s="5"/>
      <c r="E25" s="35"/>
    </row>
    <row r="26" spans="1:18" ht="18" customHeight="1">
      <c r="C26" s="5"/>
      <c r="E26" s="6"/>
      <c r="N26" s="8"/>
      <c r="O26" s="8"/>
      <c r="P26" s="8"/>
    </row>
    <row r="27" spans="1:18" ht="18" customHeight="1">
      <c r="D27" s="258" t="s">
        <v>103</v>
      </c>
      <c r="N27" s="8"/>
      <c r="O27" s="8"/>
      <c r="P27" s="8"/>
    </row>
    <row r="28" spans="1:18" s="12" customFormat="1" ht="18" customHeight="1">
      <c r="N28" s="8"/>
      <c r="O28" s="8"/>
      <c r="P28" s="8"/>
      <c r="Q28" s="3"/>
      <c r="R28" s="3"/>
    </row>
    <row r="29" spans="1:18" s="12" customFormat="1" ht="18" customHeight="1">
      <c r="N29" s="8"/>
      <c r="O29" s="8"/>
      <c r="P29" s="8"/>
      <c r="Q29" s="3"/>
      <c r="R29" s="3"/>
    </row>
    <row r="30" spans="1:18" s="10" customFormat="1" ht="30" customHeight="1">
      <c r="A30" s="9"/>
      <c r="B30" s="9"/>
      <c r="C30" s="255" t="s">
        <v>101</v>
      </c>
      <c r="D30" s="259"/>
      <c r="E30" s="259"/>
      <c r="F30" s="255"/>
      <c r="G30" s="255"/>
      <c r="H30" s="255"/>
      <c r="I30" s="255"/>
      <c r="J30" s="255"/>
    </row>
    <row r="31" spans="1:18" s="12" customFormat="1" ht="18" customHeight="1">
      <c r="N31" s="8"/>
      <c r="O31" s="8"/>
      <c r="P31" s="8"/>
      <c r="Q31" s="3"/>
      <c r="R31" s="3"/>
    </row>
    <row r="32" spans="1:18" s="12" customFormat="1" ht="18" customHeight="1">
      <c r="N32" s="8"/>
      <c r="O32" s="8"/>
      <c r="P32" s="8"/>
      <c r="Q32" s="3"/>
      <c r="R32" s="3"/>
    </row>
    <row r="33" spans="1:18" ht="18" customHeight="1">
      <c r="N33" s="8"/>
      <c r="O33" s="8"/>
      <c r="P33" s="8"/>
    </row>
    <row r="34" spans="1:18" ht="18" customHeight="1">
      <c r="N34" s="8"/>
      <c r="O34" s="8"/>
      <c r="P34" s="8"/>
    </row>
    <row r="35" spans="1:18" ht="18" customHeight="1">
      <c r="N35" s="8"/>
      <c r="O35" s="8"/>
      <c r="P35" s="8"/>
    </row>
    <row r="36" spans="1:18" s="12" customFormat="1" ht="18" customHeight="1">
      <c r="N36" s="8"/>
      <c r="O36" s="8"/>
      <c r="P36" s="8"/>
      <c r="Q36" s="3"/>
      <c r="R36" s="3"/>
    </row>
    <row r="37" spans="1:18" s="10" customFormat="1" ht="30" customHeight="1">
      <c r="A37" s="9"/>
      <c r="B37" s="9"/>
      <c r="C37" s="255" t="s">
        <v>102</v>
      </c>
      <c r="D37" s="259"/>
      <c r="E37" s="259"/>
      <c r="F37" s="255"/>
      <c r="G37" s="255"/>
      <c r="H37" s="255"/>
      <c r="I37" s="255"/>
      <c r="J37" s="255"/>
    </row>
    <row r="38" spans="1:18" s="12" customFormat="1" ht="18" customHeight="1">
      <c r="N38" s="8"/>
      <c r="O38" s="8"/>
      <c r="P38" s="8"/>
      <c r="Q38" s="3"/>
      <c r="R38" s="3"/>
    </row>
    <row r="39" spans="1:18" s="12" customFormat="1" ht="18" customHeight="1">
      <c r="P39" s="3"/>
      <c r="Q39" s="3"/>
      <c r="R39" s="3"/>
    </row>
    <row r="40" spans="1:18" s="8" customFormat="1" ht="18" customHeight="1">
      <c r="A40" s="7"/>
      <c r="B40" s="7"/>
      <c r="E40" s="13" t="s">
        <v>35</v>
      </c>
      <c r="F40" s="13" t="s">
        <v>36</v>
      </c>
      <c r="G40" s="13" t="s">
        <v>37</v>
      </c>
      <c r="H40" s="13" t="s">
        <v>2</v>
      </c>
      <c r="P40" s="3"/>
      <c r="Q40" s="3"/>
      <c r="R40" s="3"/>
    </row>
    <row r="41" spans="1:18" s="8" customFormat="1" ht="18" hidden="1" customHeight="1">
      <c r="A41" s="7"/>
      <c r="B41" s="7"/>
      <c r="D41" s="260" t="s">
        <v>105</v>
      </c>
      <c r="E41" s="257" t="str">
        <f ca="1">_xll.SUBNM("tango_core_model:Activity","","UR","English")</f>
        <v>Urban</v>
      </c>
      <c r="F41" s="257" t="str">
        <f ca="1">_xll.SUBNM("tango_core_model:Activity","","RC","English")</f>
        <v>Regional Coach</v>
      </c>
      <c r="G41" s="257" t="str">
        <f ca="1">_xll.SUBNM("tango_core_model:Activity","","SU","English")</f>
        <v>Suburban</v>
      </c>
      <c r="H41" s="257" t="s">
        <v>1</v>
      </c>
      <c r="P41" s="3"/>
      <c r="Q41" s="3"/>
      <c r="R41" s="3"/>
    </row>
    <row r="42" spans="1:18" s="8" customFormat="1" ht="18" customHeight="1">
      <c r="A42" s="7"/>
      <c r="B42" s="7"/>
      <c r="D42" s="260" t="s">
        <v>3</v>
      </c>
      <c r="E42" s="257" t="str">
        <f ca="1">_xll.SUBNM("tango_core_model:Activity","","UR","English")</f>
        <v>Urban</v>
      </c>
      <c r="F42" s="257" t="str">
        <f ca="1">_xll.SUBNM("tango_core_model:Activity","","RC","English")</f>
        <v>Regional Coach</v>
      </c>
      <c r="G42" s="257" t="str">
        <f ca="1">_xll.SUBNM("tango_core_model:Activity","","SU","English")</f>
        <v>Suburban</v>
      </c>
      <c r="H42" s="257" t="s">
        <v>1</v>
      </c>
      <c r="P42" s="3"/>
      <c r="Q42" s="3"/>
      <c r="R42" s="3"/>
    </row>
    <row r="43" spans="1:18" s="8" customFormat="1" ht="18" customHeight="1">
      <c r="A43" s="7"/>
      <c r="B43" s="7"/>
      <c r="D43" s="260" t="s">
        <v>14</v>
      </c>
      <c r="E43" s="257" t="str">
        <f ca="1">_xll.SUBNM("tango_core_model:Activity","","SU","English")</f>
        <v>Suburban</v>
      </c>
      <c r="F43" s="257" t="str">
        <f ca="1">_xll.SUBNM("tango_core_model:Activity","","CO","English")</f>
        <v>Commercial on demand</v>
      </c>
      <c r="G43" s="257" t="str">
        <f ca="1">_xll.SUBNM("tango_core_model:Activity","","SO","English")</f>
        <v>Subsidized on demand</v>
      </c>
      <c r="H43" s="257" t="s">
        <v>1</v>
      </c>
    </row>
    <row r="44" spans="1:18" s="8" customFormat="1" ht="18" customHeight="1">
      <c r="A44" s="7"/>
      <c r="B44" s="7"/>
      <c r="D44" s="260" t="s">
        <v>15</v>
      </c>
      <c r="E44" s="257" t="str">
        <f ca="1">_xll.SUBNM("tango_core_model:Activity","","HO","English")</f>
        <v>Holding</v>
      </c>
      <c r="F44" s="257" t="str">
        <f ca="1">_xll.SUBNM("tango_core_model:Activity","","SU","English")</f>
        <v>Suburban</v>
      </c>
      <c r="G44" s="257" t="str">
        <f ca="1">_xll.SUBNM("tango_core_model:Activity","","OS","English")</f>
        <v>Other Services</v>
      </c>
      <c r="H44" s="257" t="s">
        <v>1</v>
      </c>
    </row>
    <row r="45" spans="1:18" s="8" customFormat="1" ht="18" customHeight="1">
      <c r="A45" s="7"/>
      <c r="B45" s="7"/>
      <c r="D45" s="260" t="s">
        <v>5</v>
      </c>
      <c r="E45" s="257" t="str">
        <f ca="1">_xll.SUBNM("tango_core_model:Activity","","UR","English")</f>
        <v>Urban</v>
      </c>
      <c r="F45" s="257" t="str">
        <f ca="1">_xll.SUBNM("tango_core_model:Activity","","SU","English")</f>
        <v>Suburban</v>
      </c>
      <c r="G45" s="257" t="str">
        <f ca="1">_xll.SUBNM("tango_core_model:Activity","","RC","English")</f>
        <v>Regional Coach</v>
      </c>
      <c r="H45" s="257" t="s">
        <v>6</v>
      </c>
    </row>
    <row r="46" spans="1:18" s="8" customFormat="1" ht="18" customHeight="1">
      <c r="A46" s="7"/>
      <c r="B46" s="7"/>
      <c r="D46" s="261" t="s">
        <v>38</v>
      </c>
      <c r="E46" s="257" t="s">
        <v>68</v>
      </c>
      <c r="F46" s="257" t="s">
        <v>67</v>
      </c>
      <c r="G46" s="257" t="s">
        <v>66</v>
      </c>
      <c r="H46" s="257" t="s">
        <v>4</v>
      </c>
    </row>
    <row r="47" spans="1:18" s="8" customFormat="1" ht="18" customHeight="1">
      <c r="A47" s="7"/>
      <c r="B47" s="7"/>
      <c r="D47" s="260" t="s">
        <v>39</v>
      </c>
      <c r="E47" s="257" t="str">
        <f ca="1">_xll.SUBNM("tango_core_model:Activity","","UR","English")</f>
        <v>Urban</v>
      </c>
      <c r="F47" s="257" t="str">
        <f ca="1">_xll.SUBNM("tango_core_model:Activity","","HO","English")</f>
        <v>Holding</v>
      </c>
      <c r="G47" s="257" t="str">
        <f ca="1">_xll.SUBNM("tango_core_model:Activity","","OS","English")</f>
        <v>Other Services</v>
      </c>
      <c r="H47" s="257" t="s">
        <v>1</v>
      </c>
    </row>
    <row r="48" spans="1:18" s="8" customFormat="1" ht="18" customHeight="1">
      <c r="A48" s="7"/>
      <c r="B48" s="7"/>
      <c r="D48" s="260" t="s">
        <v>40</v>
      </c>
      <c r="E48" s="257" t="str">
        <f ca="1">_xll.SUBNM("tango_core_model:Activity","","UR","English")</f>
        <v>Urban</v>
      </c>
      <c r="F48" s="257" t="str">
        <f ca="1">_xll.SUBNM("tango_core_model:Activity","","CO","English")</f>
        <v>Commercial on demand</v>
      </c>
      <c r="G48" s="257" t="str">
        <f ca="1">_xll.SUBNM("tango_core_model:Activity","","OS","English")</f>
        <v>Other Services</v>
      </c>
      <c r="H48" s="257" t="s">
        <v>7</v>
      </c>
    </row>
    <row r="49" spans="1:8" s="8" customFormat="1" ht="18" customHeight="1">
      <c r="A49" s="7"/>
      <c r="B49" s="7"/>
      <c r="D49" s="260" t="s">
        <v>8</v>
      </c>
      <c r="E49" s="257" t="str">
        <f ca="1">_xll.SUBNM("tango_core_model:Activity","","RC","English")</f>
        <v>Regional Coach</v>
      </c>
      <c r="F49" s="257" t="str">
        <f ca="1">_xll.SUBNM("tango_core_model:Activity","","CO","English")</f>
        <v>Commercial on demand</v>
      </c>
      <c r="G49" s="257" t="str">
        <f ca="1">_xll.SUBNM("tango_core_model:Activity","","HO","English")</f>
        <v>Holding</v>
      </c>
      <c r="H49" s="257" t="s">
        <v>1</v>
      </c>
    </row>
    <row r="50" spans="1:8" s="8" customFormat="1" ht="18" customHeight="1">
      <c r="A50" s="7"/>
      <c r="B50" s="7"/>
      <c r="D50" s="260" t="s">
        <v>41</v>
      </c>
      <c r="E50" s="257" t="str">
        <f ca="1">_xll.SUBNM("tango_core_model:Activity","","HRAIL","English")</f>
        <v>Heavy rail activities</v>
      </c>
      <c r="F50" s="257" t="str">
        <f ca="1">_xll.SUBNM("tango_core_model:Activity","","UR","English")</f>
        <v>Urban</v>
      </c>
      <c r="G50" s="257" t="str">
        <f ca="1">_xll.SUBNM("tango_core_model:Activity","","RC","English")</f>
        <v>Regional Coach</v>
      </c>
      <c r="H50" s="257" t="s">
        <v>1</v>
      </c>
    </row>
    <row r="51" spans="1:8" s="8" customFormat="1" ht="18" customHeight="1">
      <c r="A51" s="7"/>
      <c r="B51" s="7"/>
      <c r="D51" s="260" t="s">
        <v>42</v>
      </c>
      <c r="E51" s="257" t="str">
        <f ca="1">_xll.SUBNM("tango_core_model:Activity","","UR","English")</f>
        <v>Urban</v>
      </c>
      <c r="F51" s="257" t="str">
        <f ca="1">_xll.SUBNM("tango_core_model:Activity","","SU","English")</f>
        <v>Suburban</v>
      </c>
      <c r="G51" s="257" t="str">
        <f ca="1">_xll.SUBNM("tango_core_model:Activity","","HO","English")</f>
        <v>Holding</v>
      </c>
      <c r="H51" s="257" t="s">
        <v>1</v>
      </c>
    </row>
    <row r="52" spans="1:8" s="8" customFormat="1" ht="18" customHeight="1">
      <c r="A52" s="7"/>
      <c r="B52" s="7"/>
      <c r="D52" s="260" t="s">
        <v>43</v>
      </c>
      <c r="E52" s="257" t="str">
        <f ca="1">_xll.SUBNM("tango_core_model:Activity","","UR","English")</f>
        <v>Urban</v>
      </c>
      <c r="F52" s="257" t="str">
        <f ca="1">_xll.SUBNM("tango_core_model:Activity","","HRAIL","English")</f>
        <v>Heavy rail activities</v>
      </c>
      <c r="G52" s="257" t="str">
        <f ca="1">_xll.SUBNM("tango_core_model:Activity","","SU","English")</f>
        <v>Suburban</v>
      </c>
      <c r="H52" s="257" t="s">
        <v>13</v>
      </c>
    </row>
    <row r="53" spans="1:8" s="8" customFormat="1" ht="18" customHeight="1">
      <c r="A53" s="7"/>
      <c r="B53" s="7"/>
      <c r="D53" s="260" t="s">
        <v>44</v>
      </c>
      <c r="E53" s="257" t="str">
        <f ca="1">_xll.SUBNM("tango_core_model:Activity","","UR","English")</f>
        <v>Urban</v>
      </c>
      <c r="F53" s="257" t="str">
        <f ca="1">_xll.SUBNM("tango_core_model:Activity","","SU","English")</f>
        <v>Suburban</v>
      </c>
      <c r="G53" s="257" t="str">
        <f ca="1">_xll.SUBNM("tango_core_model:Activity","","FE","English")</f>
        <v>Ferries</v>
      </c>
      <c r="H53" s="257" t="s">
        <v>0</v>
      </c>
    </row>
    <row r="54" spans="1:8" s="8" customFormat="1" ht="18" customHeight="1">
      <c r="A54" s="7"/>
      <c r="B54" s="7"/>
      <c r="D54" s="260" t="s">
        <v>9</v>
      </c>
      <c r="E54" s="257" t="str">
        <f ca="1">_xll.SUBNM("tango_core_model:Activity","","SU","English")</f>
        <v>Suburban</v>
      </c>
      <c r="F54" s="257" t="str">
        <f ca="1">_xll.SUBNM("tango_core_model:Activity","","HO","English")</f>
        <v>Holding</v>
      </c>
      <c r="G54" s="257" t="str">
        <f ca="1">_xll.SUBNM("tango_core_model:Activity","","OS","English")</f>
        <v>Other Services</v>
      </c>
      <c r="H54" s="257" t="s">
        <v>1</v>
      </c>
    </row>
    <row r="55" spans="1:8" s="8" customFormat="1" ht="18" customHeight="1">
      <c r="A55" s="7"/>
      <c r="B55" s="7"/>
      <c r="D55" s="260" t="s">
        <v>45</v>
      </c>
      <c r="E55" s="257" t="str">
        <f ca="1">_xll.SUBNM("tango_core_model:Activity","","UR","English")</f>
        <v>Urban</v>
      </c>
      <c r="F55" s="257" t="str">
        <f ca="1">_xll.SUBNM("tango_core_model:Activity","","HO","English")</f>
        <v>Holding</v>
      </c>
      <c r="G55" s="257" t="str">
        <f ca="1">_xll.SUBNM("tango_core_model:Activity","","OS","English")</f>
        <v>Other Services</v>
      </c>
      <c r="H55" s="257" t="s">
        <v>1</v>
      </c>
    </row>
    <row r="56" spans="1:8" s="8" customFormat="1" ht="18" customHeight="1">
      <c r="A56" s="7"/>
      <c r="B56" s="7"/>
      <c r="D56" s="260" t="s">
        <v>46</v>
      </c>
      <c r="E56" s="257" t="str">
        <f ca="1">_xll.SUBNM("tango_core_model:Activity","","UR","English")</f>
        <v>Urban</v>
      </c>
      <c r="F56" s="257" t="str">
        <f ca="1">_xll.SUBNM("tango_core_model:Activity","","HO","English")</f>
        <v>Holding</v>
      </c>
      <c r="G56" s="257" t="str">
        <f ca="1">_xll.SUBNM("tango_core_model:Activity","","OS","English")</f>
        <v>Other Services</v>
      </c>
      <c r="H56" s="257" t="s">
        <v>11</v>
      </c>
    </row>
    <row r="57" spans="1:8" s="8" customFormat="1" ht="18" customHeight="1">
      <c r="A57" s="7"/>
      <c r="B57" s="7"/>
      <c r="D57" s="260" t="s">
        <v>47</v>
      </c>
      <c r="E57" s="257" t="str">
        <f ca="1">_xll.SUBNM("tango_core_model:Activity","","UR","English")</f>
        <v>Urban</v>
      </c>
      <c r="F57" s="257" t="str">
        <f ca="1">_xll.SUBNM("tango_core_model:Activity","","HO","English")</f>
        <v>Holding</v>
      </c>
      <c r="G57" s="257" t="str">
        <f ca="1">_xll.SUBNM("tango_core_model:Activity","","OS","English")</f>
        <v>Other Services</v>
      </c>
      <c r="H57" s="257" t="s">
        <v>10</v>
      </c>
    </row>
    <row r="58" spans="1:8" s="8" customFormat="1" ht="18" customHeight="1">
      <c r="A58" s="7"/>
      <c r="B58" s="7"/>
      <c r="D58" s="260" t="s">
        <v>12</v>
      </c>
      <c r="E58" s="257" t="str">
        <f ca="1">_xll.SUBNM("tango_core_model:Activity","","HO","English")</f>
        <v>Holding</v>
      </c>
      <c r="F58" s="257" t="str">
        <f ca="1">_xll.SUBNM("tango_core_model:Activity","","NIC","English")</f>
        <v>National / International coaches</v>
      </c>
      <c r="G58" s="257" t="str">
        <f ca="1">_xll.SUBNM("tango_core_model:Activity","","OS","English")</f>
        <v>Other Services</v>
      </c>
      <c r="H58" s="257" t="s">
        <v>1</v>
      </c>
    </row>
    <row r="59" spans="1:8" s="8" customFormat="1" ht="18" customHeight="1">
      <c r="A59" s="7"/>
      <c r="B59" s="7"/>
      <c r="D59" s="260" t="s">
        <v>16</v>
      </c>
      <c r="E59" s="257" t="str">
        <f ca="1">_xll.SUBNM("tango_core_model:Activity","","NIC","English")</f>
        <v>National / International coaches</v>
      </c>
      <c r="F59" s="257" t="str">
        <f ca="1">_xll.SUBNM("tango_core_model:Activity","","HO","English")</f>
        <v>Holding</v>
      </c>
      <c r="G59" s="257" t="str">
        <f ca="1">_xll.SUBNM("tango_core_model:Activity","","OS","English")</f>
        <v>Other Services</v>
      </c>
      <c r="H59" s="257" t="s">
        <v>1</v>
      </c>
    </row>
    <row r="60" spans="1:8" s="8" customFormat="1" ht="18" customHeight="1">
      <c r="A60" s="7"/>
      <c r="B60" s="7"/>
    </row>
    <row r="61" spans="1:8" s="8" customFormat="1" ht="18" customHeight="1">
      <c r="A61" s="7"/>
      <c r="B61" s="7"/>
    </row>
    <row r="62" spans="1:8" s="8" customFormat="1" ht="18" customHeight="1">
      <c r="A62" s="7"/>
      <c r="B62" s="7"/>
    </row>
    <row r="63" spans="1:8" s="8" customFormat="1" ht="18" customHeight="1">
      <c r="A63" s="7"/>
      <c r="B63" s="7"/>
    </row>
    <row r="64" spans="1:8" s="8" customFormat="1" ht="18" hidden="1" customHeight="1" thickBot="1">
      <c r="A64" s="7"/>
      <c r="B64" s="7"/>
      <c r="C64" s="5" t="s">
        <v>106</v>
      </c>
      <c r="D64" s="12"/>
      <c r="E64" s="256" t="str">
        <f ca="1">_xll.DBRW("tango_core_model:z_Admin_Param","MONTH_ACTUAL","STR_VAR1")&amp;"_YTD"</f>
        <v>2019.02_YTD</v>
      </c>
    </row>
    <row r="65" spans="1:5" s="8" customFormat="1" ht="18" hidden="1" customHeight="1" thickBot="1">
      <c r="A65" s="7"/>
      <c r="B65" s="7"/>
      <c r="C65" s="5" t="s">
        <v>107</v>
      </c>
      <c r="E65" s="256" t="str">
        <f ca="1">_xll.DBRA("tango_core_model:Period",$E$16,"Prior Year")</f>
        <v>2018.02_YTD</v>
      </c>
    </row>
    <row r="66" spans="1:5" s="8" customFormat="1" ht="18" customHeight="1">
      <c r="A66" s="7"/>
      <c r="B66" s="7"/>
    </row>
    <row r="67" spans="1:5" s="8" customFormat="1" ht="18" customHeight="1">
      <c r="A67" s="7"/>
      <c r="B67" s="7"/>
    </row>
    <row r="68" spans="1:5" s="8" customFormat="1" ht="18" customHeight="1">
      <c r="A68" s="7"/>
      <c r="B68" s="7"/>
    </row>
    <row r="69" spans="1:5" s="8" customFormat="1" ht="18" customHeight="1">
      <c r="A69" s="7"/>
      <c r="B69" s="7"/>
    </row>
    <row r="70" spans="1:5" s="8" customFormat="1" ht="18" customHeight="1">
      <c r="A70" s="7"/>
      <c r="B70" s="7"/>
    </row>
    <row r="71" spans="1:5" s="8" customFormat="1" ht="18" customHeight="1">
      <c r="A71" s="7"/>
      <c r="B71" s="7"/>
    </row>
    <row r="72" spans="1:5" s="8" customFormat="1" ht="18" customHeight="1">
      <c r="A72" s="7"/>
      <c r="B72" s="7"/>
    </row>
    <row r="73" spans="1:5" s="8" customFormat="1" ht="18" customHeight="1">
      <c r="A73" s="7"/>
      <c r="B73" s="7"/>
    </row>
    <row r="74" spans="1:5" s="8" customFormat="1" ht="18" customHeight="1">
      <c r="A74" s="7"/>
      <c r="B74" s="7"/>
    </row>
    <row r="75" spans="1:5" s="8" customFormat="1" ht="18" customHeight="1">
      <c r="A75" s="7"/>
      <c r="B75" s="7"/>
    </row>
    <row r="76" spans="1:5" s="8" customFormat="1" ht="18" customHeight="1">
      <c r="A76" s="7"/>
      <c r="B76" s="7"/>
    </row>
    <row r="77" spans="1:5" s="8" customFormat="1" ht="18" customHeight="1">
      <c r="A77" s="7"/>
      <c r="B77" s="7"/>
    </row>
    <row r="78" spans="1:5" s="8" customFormat="1" ht="18" customHeight="1">
      <c r="A78" s="7"/>
      <c r="B78" s="7"/>
    </row>
    <row r="79" spans="1:5" s="8" customFormat="1" ht="18" customHeight="1">
      <c r="A79" s="7"/>
      <c r="B79" s="7"/>
    </row>
    <row r="80" spans="1:5" s="8" customFormat="1" ht="18" customHeight="1">
      <c r="A80" s="7"/>
      <c r="B80" s="7"/>
    </row>
    <row r="81" spans="1:2" s="8" customFormat="1" ht="18" customHeight="1">
      <c r="A81" s="7"/>
      <c r="B81" s="7"/>
    </row>
    <row r="82" spans="1:2" s="8" customFormat="1" ht="18" customHeight="1">
      <c r="A82" s="7"/>
      <c r="B82" s="7"/>
    </row>
    <row r="83" spans="1:2" s="8" customFormat="1" ht="18" customHeight="1">
      <c r="A83" s="7"/>
      <c r="B83" s="7"/>
    </row>
    <row r="84" spans="1:2" s="8" customFormat="1" ht="18" customHeight="1">
      <c r="A84" s="7"/>
      <c r="B84" s="7"/>
    </row>
    <row r="85" spans="1:2" s="8" customFormat="1" ht="18" customHeight="1">
      <c r="A85" s="7"/>
      <c r="B85" s="7"/>
    </row>
  </sheetData>
  <mergeCells count="1">
    <mergeCell ref="B1:I1"/>
  </mergeCells>
  <dataValidations count="4">
    <dataValidation type="list" allowBlank="1" showInputMessage="1" showErrorMessage="1" sqref="E5:E6">
      <formula1>"tango_core_model:Report_PL,tango_core_model:RP_PL"</formula1>
    </dataValidation>
    <dataValidation type="list" allowBlank="1" showInputMessage="1" showErrorMessage="1" sqref="E11">
      <formula1>"French,English"</formula1>
    </dataValidation>
    <dataValidation type="list" allowBlank="1" showInputMessage="1" showErrorMessage="1" sqref="E17:G17">
      <formula1>"ACT_TOT,BUDG_VC_TOT,FC_1_VC_TOT,FC_2_VC_TOT"</formula1>
    </dataValidation>
    <dataValidation type="list" allowBlank="1" showInputMessage="1" showErrorMessage="1" sqref="E7">
      <formula1>$D$41:$D$59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J">
                <anchor moveWithCells="1" sizeWithCells="1">
                  <from>
                    <xdr:col>4</xdr:col>
                    <xdr:colOff>47625</xdr:colOff>
                    <xdr:row>30</xdr:row>
                    <xdr:rowOff>190500</xdr:rowOff>
                  </from>
                  <to>
                    <xdr:col>5</xdr:col>
                    <xdr:colOff>1047750</xdr:colOff>
                    <xdr:row>33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  <pageSetUpPr fitToPage="1"/>
  </sheetPr>
  <dimension ref="A1:BB56"/>
  <sheetViews>
    <sheetView showGridLines="0" topLeftCell="D1" zoomScale="75" zoomScaleNormal="75" workbookViewId="0">
      <selection activeCell="F30" sqref="F30"/>
    </sheetView>
  </sheetViews>
  <sheetFormatPr baseColWidth="10" defaultRowHeight="12.75" outlineLevelRow="2" outlineLevelCol="1"/>
  <cols>
    <col min="1" max="1" width="20.28515625" style="100" hidden="1" customWidth="1" outlineLevel="1"/>
    <col min="2" max="2" width="24.5703125" style="100" hidden="1" customWidth="1" outlineLevel="1"/>
    <col min="3" max="3" width="6.42578125" style="139" hidden="1" customWidth="1" outlineLevel="1"/>
    <col min="4" max="4" width="35.85546875" style="100" customWidth="1" collapsed="1"/>
    <col min="5" max="5" width="1.140625" style="139" customWidth="1"/>
    <col min="6" max="8" width="12.7109375" style="100" customWidth="1"/>
    <col min="9" max="10" width="10.7109375" style="166" hidden="1" customWidth="1" outlineLevel="1"/>
    <col min="11" max="11" width="1.140625" style="139" customWidth="1" collapsed="1"/>
    <col min="12" max="14" width="12.7109375" style="100" customWidth="1"/>
    <col min="15" max="16" width="10.7109375" style="166" hidden="1" customWidth="1" outlineLevel="1"/>
    <col min="17" max="17" width="1.140625" style="139" customWidth="1" collapsed="1"/>
    <col min="18" max="20" width="12.7109375" style="100" customWidth="1"/>
    <col min="21" max="22" width="6.7109375" style="166" hidden="1" customWidth="1" outlineLevel="1"/>
    <col min="23" max="23" width="1.140625" style="139" customWidth="1" collapsed="1"/>
    <col min="24" max="26" width="12.7109375" style="100" customWidth="1"/>
    <col min="27" max="28" width="6.7109375" style="166" hidden="1" customWidth="1" outlineLevel="1"/>
    <col min="29" max="29" width="1.140625" style="139" customWidth="1" collapsed="1"/>
    <col min="30" max="32" width="12.7109375" style="100" customWidth="1"/>
    <col min="33" max="34" width="12.7109375" style="166" hidden="1" customWidth="1" outlineLevel="1"/>
    <col min="35" max="35" width="11.42578125" style="100" collapsed="1"/>
    <col min="36" max="36" width="14.85546875" style="100" bestFit="1" customWidth="1"/>
    <col min="37" max="215" width="11.42578125" style="100"/>
    <col min="216" max="216" width="19.140625" style="100" customWidth="1"/>
    <col min="217" max="227" width="9.28515625" style="100" customWidth="1"/>
    <col min="228" max="471" width="11.42578125" style="100"/>
    <col min="472" max="472" width="19.140625" style="100" customWidth="1"/>
    <col min="473" max="483" width="9.28515625" style="100" customWidth="1"/>
    <col min="484" max="727" width="11.42578125" style="100"/>
    <col min="728" max="728" width="19.140625" style="100" customWidth="1"/>
    <col min="729" max="739" width="9.28515625" style="100" customWidth="1"/>
    <col min="740" max="983" width="11.42578125" style="100"/>
    <col min="984" max="984" width="19.140625" style="100" customWidth="1"/>
    <col min="985" max="995" width="9.28515625" style="100" customWidth="1"/>
    <col min="996" max="1239" width="11.42578125" style="100"/>
    <col min="1240" max="1240" width="19.140625" style="100" customWidth="1"/>
    <col min="1241" max="1251" width="9.28515625" style="100" customWidth="1"/>
    <col min="1252" max="1495" width="11.42578125" style="100"/>
    <col min="1496" max="1496" width="19.140625" style="100" customWidth="1"/>
    <col min="1497" max="1507" width="9.28515625" style="100" customWidth="1"/>
    <col min="1508" max="1751" width="11.42578125" style="100"/>
    <col min="1752" max="1752" width="19.140625" style="100" customWidth="1"/>
    <col min="1753" max="1763" width="9.28515625" style="100" customWidth="1"/>
    <col min="1764" max="2007" width="11.42578125" style="100"/>
    <col min="2008" max="2008" width="19.140625" style="100" customWidth="1"/>
    <col min="2009" max="2019" width="9.28515625" style="100" customWidth="1"/>
    <col min="2020" max="2263" width="11.42578125" style="100"/>
    <col min="2264" max="2264" width="19.140625" style="100" customWidth="1"/>
    <col min="2265" max="2275" width="9.28515625" style="100" customWidth="1"/>
    <col min="2276" max="2519" width="11.42578125" style="100"/>
    <col min="2520" max="2520" width="19.140625" style="100" customWidth="1"/>
    <col min="2521" max="2531" width="9.28515625" style="100" customWidth="1"/>
    <col min="2532" max="2775" width="11.42578125" style="100"/>
    <col min="2776" max="2776" width="19.140625" style="100" customWidth="1"/>
    <col min="2777" max="2787" width="9.28515625" style="100" customWidth="1"/>
    <col min="2788" max="3031" width="11.42578125" style="100"/>
    <col min="3032" max="3032" width="19.140625" style="100" customWidth="1"/>
    <col min="3033" max="3043" width="9.28515625" style="100" customWidth="1"/>
    <col min="3044" max="3287" width="11.42578125" style="100"/>
    <col min="3288" max="3288" width="19.140625" style="100" customWidth="1"/>
    <col min="3289" max="3299" width="9.28515625" style="100" customWidth="1"/>
    <col min="3300" max="3543" width="11.42578125" style="100"/>
    <col min="3544" max="3544" width="19.140625" style="100" customWidth="1"/>
    <col min="3545" max="3555" width="9.28515625" style="100" customWidth="1"/>
    <col min="3556" max="3799" width="11.42578125" style="100"/>
    <col min="3800" max="3800" width="19.140625" style="100" customWidth="1"/>
    <col min="3801" max="3811" width="9.28515625" style="100" customWidth="1"/>
    <col min="3812" max="4055" width="11.42578125" style="100"/>
    <col min="4056" max="4056" width="19.140625" style="100" customWidth="1"/>
    <col min="4057" max="4067" width="9.28515625" style="100" customWidth="1"/>
    <col min="4068" max="4311" width="11.42578125" style="100"/>
    <col min="4312" max="4312" width="19.140625" style="100" customWidth="1"/>
    <col min="4313" max="4323" width="9.28515625" style="100" customWidth="1"/>
    <col min="4324" max="4567" width="11.42578125" style="100"/>
    <col min="4568" max="4568" width="19.140625" style="100" customWidth="1"/>
    <col min="4569" max="4579" width="9.28515625" style="100" customWidth="1"/>
    <col min="4580" max="4823" width="11.42578125" style="100"/>
    <col min="4824" max="4824" width="19.140625" style="100" customWidth="1"/>
    <col min="4825" max="4835" width="9.28515625" style="100" customWidth="1"/>
    <col min="4836" max="5079" width="11.42578125" style="100"/>
    <col min="5080" max="5080" width="19.140625" style="100" customWidth="1"/>
    <col min="5081" max="5091" width="9.28515625" style="100" customWidth="1"/>
    <col min="5092" max="5335" width="11.42578125" style="100"/>
    <col min="5336" max="5336" width="19.140625" style="100" customWidth="1"/>
    <col min="5337" max="5347" width="9.28515625" style="100" customWidth="1"/>
    <col min="5348" max="5591" width="11.42578125" style="100"/>
    <col min="5592" max="5592" width="19.140625" style="100" customWidth="1"/>
    <col min="5593" max="5603" width="9.28515625" style="100" customWidth="1"/>
    <col min="5604" max="5847" width="11.42578125" style="100"/>
    <col min="5848" max="5848" width="19.140625" style="100" customWidth="1"/>
    <col min="5849" max="5859" width="9.28515625" style="100" customWidth="1"/>
    <col min="5860" max="6103" width="11.42578125" style="100"/>
    <col min="6104" max="6104" width="19.140625" style="100" customWidth="1"/>
    <col min="6105" max="6115" width="9.28515625" style="100" customWidth="1"/>
    <col min="6116" max="6359" width="11.42578125" style="100"/>
    <col min="6360" max="6360" width="19.140625" style="100" customWidth="1"/>
    <col min="6361" max="6371" width="9.28515625" style="100" customWidth="1"/>
    <col min="6372" max="6615" width="11.42578125" style="100"/>
    <col min="6616" max="6616" width="19.140625" style="100" customWidth="1"/>
    <col min="6617" max="6627" width="9.28515625" style="100" customWidth="1"/>
    <col min="6628" max="6871" width="11.42578125" style="100"/>
    <col min="6872" max="6872" width="19.140625" style="100" customWidth="1"/>
    <col min="6873" max="6883" width="9.28515625" style="100" customWidth="1"/>
    <col min="6884" max="7127" width="11.42578125" style="100"/>
    <col min="7128" max="7128" width="19.140625" style="100" customWidth="1"/>
    <col min="7129" max="7139" width="9.28515625" style="100" customWidth="1"/>
    <col min="7140" max="7383" width="11.42578125" style="100"/>
    <col min="7384" max="7384" width="19.140625" style="100" customWidth="1"/>
    <col min="7385" max="7395" width="9.28515625" style="100" customWidth="1"/>
    <col min="7396" max="7639" width="11.42578125" style="100"/>
    <col min="7640" max="7640" width="19.140625" style="100" customWidth="1"/>
    <col min="7641" max="7651" width="9.28515625" style="100" customWidth="1"/>
    <col min="7652" max="7895" width="11.42578125" style="100"/>
    <col min="7896" max="7896" width="19.140625" style="100" customWidth="1"/>
    <col min="7897" max="7907" width="9.28515625" style="100" customWidth="1"/>
    <col min="7908" max="8151" width="11.42578125" style="100"/>
    <col min="8152" max="8152" width="19.140625" style="100" customWidth="1"/>
    <col min="8153" max="8163" width="9.28515625" style="100" customWidth="1"/>
    <col min="8164" max="8407" width="11.42578125" style="100"/>
    <col min="8408" max="8408" width="19.140625" style="100" customWidth="1"/>
    <col min="8409" max="8419" width="9.28515625" style="100" customWidth="1"/>
    <col min="8420" max="8663" width="11.42578125" style="100"/>
    <col min="8664" max="8664" width="19.140625" style="100" customWidth="1"/>
    <col min="8665" max="8675" width="9.28515625" style="100" customWidth="1"/>
    <col min="8676" max="8919" width="11.42578125" style="100"/>
    <col min="8920" max="8920" width="19.140625" style="100" customWidth="1"/>
    <col min="8921" max="8931" width="9.28515625" style="100" customWidth="1"/>
    <col min="8932" max="9175" width="11.42578125" style="100"/>
    <col min="9176" max="9176" width="19.140625" style="100" customWidth="1"/>
    <col min="9177" max="9187" width="9.28515625" style="100" customWidth="1"/>
    <col min="9188" max="9431" width="11.42578125" style="100"/>
    <col min="9432" max="9432" width="19.140625" style="100" customWidth="1"/>
    <col min="9433" max="9443" width="9.28515625" style="100" customWidth="1"/>
    <col min="9444" max="9687" width="11.42578125" style="100"/>
    <col min="9688" max="9688" width="19.140625" style="100" customWidth="1"/>
    <col min="9689" max="9699" width="9.28515625" style="100" customWidth="1"/>
    <col min="9700" max="9943" width="11.42578125" style="100"/>
    <col min="9944" max="9944" width="19.140625" style="100" customWidth="1"/>
    <col min="9945" max="9955" width="9.28515625" style="100" customWidth="1"/>
    <col min="9956" max="10199" width="11.42578125" style="100"/>
    <col min="10200" max="10200" width="19.140625" style="100" customWidth="1"/>
    <col min="10201" max="10211" width="9.28515625" style="100" customWidth="1"/>
    <col min="10212" max="10455" width="11.42578125" style="100"/>
    <col min="10456" max="10456" width="19.140625" style="100" customWidth="1"/>
    <col min="10457" max="10467" width="9.28515625" style="100" customWidth="1"/>
    <col min="10468" max="10711" width="11.42578125" style="100"/>
    <col min="10712" max="10712" width="19.140625" style="100" customWidth="1"/>
    <col min="10713" max="10723" width="9.28515625" style="100" customWidth="1"/>
    <col min="10724" max="10967" width="11.42578125" style="100"/>
    <col min="10968" max="10968" width="19.140625" style="100" customWidth="1"/>
    <col min="10969" max="10979" width="9.28515625" style="100" customWidth="1"/>
    <col min="10980" max="11223" width="11.42578125" style="100"/>
    <col min="11224" max="11224" width="19.140625" style="100" customWidth="1"/>
    <col min="11225" max="11235" width="9.28515625" style="100" customWidth="1"/>
    <col min="11236" max="11479" width="11.42578125" style="100"/>
    <col min="11480" max="11480" width="19.140625" style="100" customWidth="1"/>
    <col min="11481" max="11491" width="9.28515625" style="100" customWidth="1"/>
    <col min="11492" max="11735" width="11.42578125" style="100"/>
    <col min="11736" max="11736" width="19.140625" style="100" customWidth="1"/>
    <col min="11737" max="11747" width="9.28515625" style="100" customWidth="1"/>
    <col min="11748" max="11991" width="11.42578125" style="100"/>
    <col min="11992" max="11992" width="19.140625" style="100" customWidth="1"/>
    <col min="11993" max="12003" width="9.28515625" style="100" customWidth="1"/>
    <col min="12004" max="12247" width="11.42578125" style="100"/>
    <col min="12248" max="12248" width="19.140625" style="100" customWidth="1"/>
    <col min="12249" max="12259" width="9.28515625" style="100" customWidth="1"/>
    <col min="12260" max="12503" width="11.42578125" style="100"/>
    <col min="12504" max="12504" width="19.140625" style="100" customWidth="1"/>
    <col min="12505" max="12515" width="9.28515625" style="100" customWidth="1"/>
    <col min="12516" max="12759" width="11.42578125" style="100"/>
    <col min="12760" max="12760" width="19.140625" style="100" customWidth="1"/>
    <col min="12761" max="12771" width="9.28515625" style="100" customWidth="1"/>
    <col min="12772" max="13015" width="11.42578125" style="100"/>
    <col min="13016" max="13016" width="19.140625" style="100" customWidth="1"/>
    <col min="13017" max="13027" width="9.28515625" style="100" customWidth="1"/>
    <col min="13028" max="13271" width="11.42578125" style="100"/>
    <col min="13272" max="13272" width="19.140625" style="100" customWidth="1"/>
    <col min="13273" max="13283" width="9.28515625" style="100" customWidth="1"/>
    <col min="13284" max="13527" width="11.42578125" style="100"/>
    <col min="13528" max="13528" width="19.140625" style="100" customWidth="1"/>
    <col min="13529" max="13539" width="9.28515625" style="100" customWidth="1"/>
    <col min="13540" max="13783" width="11.42578125" style="100"/>
    <col min="13784" max="13784" width="19.140625" style="100" customWidth="1"/>
    <col min="13785" max="13795" width="9.28515625" style="100" customWidth="1"/>
    <col min="13796" max="14039" width="11.42578125" style="100"/>
    <col min="14040" max="14040" width="19.140625" style="100" customWidth="1"/>
    <col min="14041" max="14051" width="9.28515625" style="100" customWidth="1"/>
    <col min="14052" max="14295" width="11.42578125" style="100"/>
    <col min="14296" max="14296" width="19.140625" style="100" customWidth="1"/>
    <col min="14297" max="14307" width="9.28515625" style="100" customWidth="1"/>
    <col min="14308" max="14551" width="11.42578125" style="100"/>
    <col min="14552" max="14552" width="19.140625" style="100" customWidth="1"/>
    <col min="14553" max="14563" width="9.28515625" style="100" customWidth="1"/>
    <col min="14564" max="14807" width="11.42578125" style="100"/>
    <col min="14808" max="14808" width="19.140625" style="100" customWidth="1"/>
    <col min="14809" max="14819" width="9.28515625" style="100" customWidth="1"/>
    <col min="14820" max="15063" width="11.42578125" style="100"/>
    <col min="15064" max="15064" width="19.140625" style="100" customWidth="1"/>
    <col min="15065" max="15075" width="9.28515625" style="100" customWidth="1"/>
    <col min="15076" max="15319" width="11.42578125" style="100"/>
    <col min="15320" max="15320" width="19.140625" style="100" customWidth="1"/>
    <col min="15321" max="15331" width="9.28515625" style="100" customWidth="1"/>
    <col min="15332" max="15575" width="11.42578125" style="100"/>
    <col min="15576" max="15576" width="19.140625" style="100" customWidth="1"/>
    <col min="15577" max="15587" width="9.28515625" style="100" customWidth="1"/>
    <col min="15588" max="15831" width="11.42578125" style="100"/>
    <col min="15832" max="15832" width="19.140625" style="100" customWidth="1"/>
    <col min="15833" max="15843" width="9.28515625" style="100" customWidth="1"/>
    <col min="15844" max="16087" width="11.42578125" style="100"/>
    <col min="16088" max="16088" width="19.140625" style="100" customWidth="1"/>
    <col min="16089" max="16099" width="9.28515625" style="100" customWidth="1"/>
    <col min="16100" max="16384" width="11.42578125" style="100"/>
  </cols>
  <sheetData>
    <row r="1" spans="1:54" s="116" customFormat="1" ht="39.75" customHeight="1">
      <c r="D1" s="273" t="str">
        <f ca="1">IF(Language="English",UPPER(_xll.DBRA("tango_core_model:legal_organization",Country,Language))&amp;"  - FUEL ANALYSIS  BY ACTIVITY- "&amp;_xll.DBRA("tango_core_model:gaap",Gaap,Language),UPPER(_xll.DBRA("tango_core_model:legal_organization",Country,Language))&amp;"  - ANALYSE FUEL PAR ACTIVITE- "&amp;_xll.DBRA("tango_core_model:gaap",Gaap,Language))</f>
        <v>NON AFFECTÉ  - ANALYSE FUEL PAR ACTIVITE- Gaap local outils de pilotage</v>
      </c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</row>
    <row r="2" spans="1:54" s="116" customFormat="1" ht="36" customHeight="1">
      <c r="C2" s="117"/>
      <c r="D2" s="92"/>
      <c r="E2" s="92"/>
      <c r="F2" s="118"/>
      <c r="G2" s="119"/>
      <c r="H2" s="119"/>
      <c r="I2" s="120"/>
      <c r="J2" s="120"/>
      <c r="K2" s="92"/>
      <c r="L2" s="118"/>
      <c r="M2" s="119"/>
      <c r="N2" s="119"/>
      <c r="O2" s="120"/>
      <c r="P2" s="120"/>
      <c r="Q2" s="92"/>
      <c r="R2" s="118"/>
      <c r="S2" s="119"/>
      <c r="T2" s="119"/>
      <c r="U2" s="120"/>
      <c r="V2" s="120"/>
      <c r="W2" s="92"/>
      <c r="X2" s="118"/>
      <c r="Y2" s="119"/>
      <c r="Z2" s="119"/>
      <c r="AA2" s="120"/>
      <c r="AB2" s="120"/>
      <c r="AC2" s="92"/>
      <c r="AD2" s="118"/>
      <c r="AE2" s="119"/>
      <c r="AF2" s="119"/>
      <c r="AG2" s="120"/>
      <c r="AH2" s="120"/>
    </row>
    <row r="3" spans="1:54" s="41" customFormat="1" hidden="1" outlineLevel="1">
      <c r="A3" s="121" t="s">
        <v>23</v>
      </c>
      <c r="B3" s="121" t="str">
        <f>Cube</f>
        <v>tango_core_model:Report_PL</v>
      </c>
      <c r="C3" s="45"/>
      <c r="D3" s="93"/>
      <c r="E3" s="93"/>
      <c r="F3" s="122"/>
      <c r="G3" s="122"/>
      <c r="H3" s="122"/>
      <c r="I3" s="123"/>
      <c r="J3" s="124"/>
      <c r="K3" s="93"/>
      <c r="L3" s="122"/>
      <c r="M3" s="122"/>
      <c r="N3" s="122"/>
      <c r="O3" s="123"/>
      <c r="P3" s="124"/>
      <c r="Q3" s="93"/>
      <c r="R3" s="122"/>
      <c r="S3" s="122"/>
      <c r="T3" s="122"/>
      <c r="U3" s="123"/>
      <c r="V3" s="124"/>
      <c r="W3" s="93"/>
      <c r="X3" s="122"/>
      <c r="Y3" s="122"/>
      <c r="Z3" s="122"/>
      <c r="AA3" s="123"/>
      <c r="AB3" s="124"/>
      <c r="AC3" s="93"/>
      <c r="AD3" s="122"/>
      <c r="AE3" s="122"/>
      <c r="AF3" s="122"/>
      <c r="AG3" s="123"/>
      <c r="AH3" s="124"/>
      <c r="AK3" s="125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7"/>
      <c r="BB3" s="40"/>
    </row>
    <row r="4" spans="1:54" s="132" customFormat="1" ht="20.25" hidden="1" customHeight="1" outlineLevel="1">
      <c r="A4" s="128" t="s">
        <v>17</v>
      </c>
      <c r="B4" s="121" t="str">
        <f ca="1">Gaap</f>
        <v>Local Gaap Management tool</v>
      </c>
      <c r="C4" s="129"/>
      <c r="D4" s="94" t="s">
        <v>27</v>
      </c>
      <c r="E4" s="130"/>
      <c r="F4" s="94" t="str">
        <f ca="1">Context!$E$16</f>
        <v>2019.02_YTD</v>
      </c>
      <c r="G4" s="94" t="str">
        <f ca="1">Context!$F$16</f>
        <v>2019.02_YTD</v>
      </c>
      <c r="H4" s="94" t="str">
        <f ca="1">Context!$G$16</f>
        <v>2018.02_YTD</v>
      </c>
      <c r="I4" s="131"/>
      <c r="J4" s="131"/>
      <c r="K4" s="130"/>
      <c r="L4" s="94" t="str">
        <f ca="1">Context!$E$16</f>
        <v>2019.02_YTD</v>
      </c>
      <c r="M4" s="94" t="str">
        <f ca="1">Context!$F$16</f>
        <v>2019.02_YTD</v>
      </c>
      <c r="N4" s="94" t="str">
        <f ca="1">Context!$G$16</f>
        <v>2018.02_YTD</v>
      </c>
      <c r="O4" s="131"/>
      <c r="P4" s="131"/>
      <c r="Q4" s="130"/>
      <c r="R4" s="94" t="str">
        <f ca="1">Context!$E$16</f>
        <v>2019.02_YTD</v>
      </c>
      <c r="S4" s="94" t="str">
        <f ca="1">Context!$F$16</f>
        <v>2019.02_YTD</v>
      </c>
      <c r="T4" s="94" t="str">
        <f ca="1">Context!$G$16</f>
        <v>2018.02_YTD</v>
      </c>
      <c r="U4" s="131"/>
      <c r="V4" s="131"/>
      <c r="W4" s="130"/>
      <c r="X4" s="94" t="str">
        <f ca="1">Context!$E$16</f>
        <v>2019.02_YTD</v>
      </c>
      <c r="Y4" s="94" t="str">
        <f ca="1">Context!$F$16</f>
        <v>2019.02_YTD</v>
      </c>
      <c r="Z4" s="94" t="str">
        <f ca="1">Context!$G$16</f>
        <v>2018.02_YTD</v>
      </c>
      <c r="AA4" s="131"/>
      <c r="AB4" s="131"/>
      <c r="AC4" s="130"/>
      <c r="AD4" s="94" t="str">
        <f ca="1">Context!$E$16</f>
        <v>2019.02_YTD</v>
      </c>
      <c r="AE4" s="94" t="str">
        <f ca="1">Context!$F$16</f>
        <v>2019.02_YTD</v>
      </c>
      <c r="AF4" s="94" t="str">
        <f ca="1">Context!$G$16</f>
        <v>2018.02_YTD</v>
      </c>
      <c r="AG4" s="131"/>
      <c r="AH4" s="131"/>
      <c r="AK4" s="125"/>
      <c r="AL4" s="274"/>
      <c r="AM4" s="274"/>
      <c r="AN4" s="274"/>
      <c r="AO4" s="274"/>
      <c r="AP4" s="274"/>
      <c r="AQ4" s="274"/>
      <c r="AR4" s="274"/>
      <c r="AS4" s="274"/>
      <c r="AT4" s="274"/>
      <c r="AU4" s="274"/>
      <c r="AV4" s="274"/>
      <c r="AW4" s="274"/>
      <c r="AX4" s="274"/>
      <c r="AY4" s="274"/>
      <c r="AZ4" s="274"/>
      <c r="BA4" s="274"/>
      <c r="BB4" s="130"/>
    </row>
    <row r="5" spans="1:54" s="134" customFormat="1" hidden="1" outlineLevel="1">
      <c r="A5" s="121" t="s">
        <v>20</v>
      </c>
      <c r="B5" s="121" t="str">
        <f ca="1">_xll.SUBNM("tango_core_model:Currency","","kEUR")</f>
        <v>KEUR</v>
      </c>
      <c r="C5" s="45"/>
      <c r="D5" s="42" t="s">
        <v>28</v>
      </c>
      <c r="E5" s="93"/>
      <c r="F5" s="94" t="str">
        <f>Context!$E$17</f>
        <v>ACT_TOT</v>
      </c>
      <c r="G5" s="94" t="str">
        <f>Context!$F$17</f>
        <v>BUDG_VC_TOT</v>
      </c>
      <c r="H5" s="94" t="str">
        <f ca="1">Context!$G$17</f>
        <v>ACT_TOT</v>
      </c>
      <c r="I5" s="131"/>
      <c r="J5" s="133"/>
      <c r="K5" s="93"/>
      <c r="L5" s="94" t="str">
        <f>Context!$E$17</f>
        <v>ACT_TOT</v>
      </c>
      <c r="M5" s="94" t="str">
        <f>Context!$F$17</f>
        <v>BUDG_VC_TOT</v>
      </c>
      <c r="N5" s="94" t="str">
        <f ca="1">Context!$G$17</f>
        <v>ACT_TOT</v>
      </c>
      <c r="O5" s="131"/>
      <c r="P5" s="133"/>
      <c r="Q5" s="93"/>
      <c r="R5" s="94" t="str">
        <f>Context!$E$17</f>
        <v>ACT_TOT</v>
      </c>
      <c r="S5" s="94" t="str">
        <f>Context!$F$17</f>
        <v>BUDG_VC_TOT</v>
      </c>
      <c r="T5" s="94" t="str">
        <f ca="1">Context!$G$17</f>
        <v>ACT_TOT</v>
      </c>
      <c r="U5" s="131"/>
      <c r="V5" s="133"/>
      <c r="W5" s="93"/>
      <c r="X5" s="94" t="str">
        <f>Context!$E$17</f>
        <v>ACT_TOT</v>
      </c>
      <c r="Y5" s="94" t="str">
        <f>Context!$F$17</f>
        <v>BUDG_VC_TOT</v>
      </c>
      <c r="Z5" s="94" t="str">
        <f ca="1">Context!$G$17</f>
        <v>ACT_TOT</v>
      </c>
      <c r="AA5" s="131"/>
      <c r="AB5" s="133"/>
      <c r="AC5" s="93"/>
      <c r="AD5" s="94" t="str">
        <f>Context!$E$17</f>
        <v>ACT_TOT</v>
      </c>
      <c r="AE5" s="94" t="str">
        <f>Context!$F$17</f>
        <v>BUDG_VC_TOT</v>
      </c>
      <c r="AF5" s="94" t="str">
        <f ca="1">Context!$G$17</f>
        <v>ACT_TOT</v>
      </c>
      <c r="AG5" s="131"/>
      <c r="AH5" s="133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</row>
    <row r="6" spans="1:54" s="134" customFormat="1" hidden="1" outlineLevel="1">
      <c r="A6" s="121" t="s">
        <v>18</v>
      </c>
      <c r="B6" s="121" t="str">
        <f ca="1">Integration_Rate</f>
        <v>APP</v>
      </c>
      <c r="C6" s="45"/>
      <c r="D6" s="42" t="s">
        <v>19</v>
      </c>
      <c r="E6" s="93"/>
      <c r="F6" s="121" t="str">
        <f ca="1">IF(Country="United States","Tot_act",Activity_1)</f>
        <v>Urban</v>
      </c>
      <c r="G6" s="121" t="str">
        <f ca="1">IF(Country="United States","Tot_act",Activity_1)</f>
        <v>Urban</v>
      </c>
      <c r="H6" s="121" t="str">
        <f ca="1">IF(Country="United States","Tot_act",Activity_1)</f>
        <v>Urban</v>
      </c>
      <c r="I6" s="131"/>
      <c r="J6" s="133"/>
      <c r="K6" s="93"/>
      <c r="L6" s="121" t="str">
        <f ca="1">IF(Country="United States","Tot_act",Activity_2)</f>
        <v>Regional Coach</v>
      </c>
      <c r="M6" s="121" t="str">
        <f ca="1">IF(Country="United States","Tot_act",Activity_2)</f>
        <v>Regional Coach</v>
      </c>
      <c r="N6" s="121" t="str">
        <f ca="1">IF(Country="United States","Tot_act",Activity_2)</f>
        <v>Regional Coach</v>
      </c>
      <c r="O6" s="131"/>
      <c r="P6" s="133"/>
      <c r="Q6" s="93"/>
      <c r="R6" s="121" t="str">
        <f ca="1">IF(Country="United States","Tot_act",Activity_3)</f>
        <v>Suburban</v>
      </c>
      <c r="S6" s="121" t="str">
        <f ca="1">IF(Country="United States","Tot_act",Activity_3)</f>
        <v>Suburban</v>
      </c>
      <c r="T6" s="121" t="str">
        <f ca="1">IF(Country="United States","Tot_act",Activity_3)</f>
        <v>Suburban</v>
      </c>
      <c r="U6" s="131"/>
      <c r="V6" s="133"/>
      <c r="W6" s="93"/>
      <c r="X6" s="121"/>
      <c r="Y6" s="94"/>
      <c r="Z6" s="94"/>
      <c r="AA6" s="131"/>
      <c r="AB6" s="133"/>
      <c r="AC6" s="93"/>
      <c r="AD6" s="121" t="s">
        <v>50</v>
      </c>
      <c r="AE6" s="94" t="str">
        <f>AD6</f>
        <v>All activity</v>
      </c>
      <c r="AF6" s="94" t="str">
        <f>AD6</f>
        <v>All activity</v>
      </c>
      <c r="AG6" s="131"/>
      <c r="AH6" s="133"/>
    </row>
    <row r="7" spans="1:54" s="134" customFormat="1" hidden="1" outlineLevel="1">
      <c r="A7" s="121"/>
      <c r="B7" s="121"/>
      <c r="C7" s="45"/>
      <c r="D7" s="95" t="s">
        <v>21</v>
      </c>
      <c r="E7" s="93"/>
      <c r="F7" s="95" t="str">
        <f ca="1">IF(Country="United States",Activity_1,Country)</f>
        <v>NA</v>
      </c>
      <c r="G7" s="95" t="str">
        <f ca="1">IF(Country="United States",Activity_1,Country)</f>
        <v>NA</v>
      </c>
      <c r="H7" s="95" t="str">
        <f ca="1">IF(Country="United States",Activity_1,Country)</f>
        <v>NA</v>
      </c>
      <c r="I7" s="131"/>
      <c r="J7" s="133"/>
      <c r="K7" s="93"/>
      <c r="L7" s="95" t="str">
        <f ca="1">IF(Country="United States",Activity_2,Country)</f>
        <v>NA</v>
      </c>
      <c r="M7" s="95" t="str">
        <f ca="1">IF(Country="United States",Activity_2,Country)</f>
        <v>NA</v>
      </c>
      <c r="N7" s="95" t="str">
        <f ca="1">IF(Country="United States",Activity_2,Country)</f>
        <v>NA</v>
      </c>
      <c r="O7" s="131"/>
      <c r="P7" s="133"/>
      <c r="Q7" s="93"/>
      <c r="R7" s="95" t="str">
        <f ca="1">IF(Country="United States",Activity_3,Country)</f>
        <v>NA</v>
      </c>
      <c r="S7" s="95" t="str">
        <f ca="1">IF(Country="United States",Activity_3,Country)</f>
        <v>NA</v>
      </c>
      <c r="T7" s="95" t="str">
        <f ca="1">IF(Country="United States",Activity_3,Country)</f>
        <v>NA</v>
      </c>
      <c r="U7" s="131"/>
      <c r="V7" s="133"/>
      <c r="W7" s="93"/>
      <c r="X7" s="121"/>
      <c r="Y7" s="94"/>
      <c r="Z7" s="94"/>
      <c r="AA7" s="131"/>
      <c r="AB7" s="133"/>
      <c r="AC7" s="93"/>
      <c r="AD7" s="121" t="str">
        <f ca="1">Country</f>
        <v>NA</v>
      </c>
      <c r="AE7" s="121" t="str">
        <f ca="1">Country</f>
        <v>NA</v>
      </c>
      <c r="AF7" s="121" t="str">
        <f ca="1">Country</f>
        <v>NA</v>
      </c>
      <c r="AG7" s="131"/>
      <c r="AH7" s="133"/>
    </row>
    <row r="8" spans="1:54" s="136" customFormat="1" hidden="1" outlineLevel="1">
      <c r="C8" s="50"/>
      <c r="D8" s="95" t="s">
        <v>26</v>
      </c>
      <c r="E8" s="50"/>
      <c r="F8" s="95">
        <f ca="1">IF(LEFT(F4,1)="F",_xll.DBR("tango_core_model:ST_Currency",F4,MID(F5,1,LEN(F5)-4),Devise,"EUR",$D$8),_xll.DBR("tango_core_model:ST_Currency",LEFT(F4,7),MID(F5,1,LEN(F5)-4),Devise,"EUR",$D$8))</f>
        <v>1</v>
      </c>
      <c r="G8" s="95">
        <f ca="1">IF(LEFT(G4,1)="F",_xll.DBR("tango_core_model:ST_Currency",G4,MID(G5,1,LEN(G5)-4),Devise,"EUR",$D$8),_xll.DBR("tango_core_model:ST_Currency",LEFT(G4,7),MID(G5,1,LEN(G5)-4),Devise,"EUR",$D$8))</f>
        <v>1</v>
      </c>
      <c r="H8" s="95">
        <f ca="1">IF(LEFT(H4,1)="F",_xll.DBR("tango_core_model:ST_Currency",H4,MID(H5,1,LEN(H5)-4),Devise,"EUR",$D$8),_xll.DBR("tango_core_model:ST_Currency",LEFT(H4,7),MID(H5,1,LEN(H5)-4),Devise,"EUR",$D$8))</f>
        <v>1</v>
      </c>
      <c r="I8" s="137"/>
      <c r="J8" s="137"/>
      <c r="K8" s="50"/>
      <c r="L8" s="95">
        <f ca="1">IF(LEFT(L4,1)="F",_xll.DBR("tango_core_model:ST_Currency",L4,MID(L5,1,LEN(L5)-4),Devise,"EUR",$D$8),_xll.DBR("tango_core_model:ST_Currency",LEFT(L4,7),MID(L5,1,LEN(L5)-4),Devise,"EUR",$D$8))</f>
        <v>1</v>
      </c>
      <c r="M8" s="95">
        <f ca="1">IF(LEFT(M4,1)="F",_xll.DBR("tango_core_model:ST_Currency",M4,MID(M5,1,LEN(M5)-4),Devise,"EUR",$D$8),_xll.DBR("tango_core_model:ST_Currency",LEFT(M4,7),MID(M5,1,LEN(M5)-4),Devise,"EUR",$D$8))</f>
        <v>1</v>
      </c>
      <c r="N8" s="95">
        <f ca="1">IF(LEFT(N4,1)="F",_xll.DBR("tango_core_model:ST_Currency",N4,MID(N5,1,LEN(N5)-4),Devise,"EUR",$D$8),_xll.DBR("tango_core_model:ST_Currency",LEFT(N4,7),MID(N5,1,LEN(N5)-4),Devise,"EUR",$D$8))</f>
        <v>1</v>
      </c>
      <c r="O8" s="137"/>
      <c r="P8" s="137"/>
      <c r="Q8" s="50"/>
      <c r="R8" s="95">
        <f ca="1">IF(LEFT(R4,1)="F",_xll.DBR("tango_core_model:ST_Currency",R4,MID(R5,1,LEN(R5)-4),Devise,"EUR",$D$8),_xll.DBR("tango_core_model:ST_Currency",LEFT(R4,7),MID(R5,1,LEN(R5)-4),Devise,"EUR",$D$8))</f>
        <v>1</v>
      </c>
      <c r="S8" s="95">
        <f ca="1">IF(LEFT(S4,1)="F",_xll.DBR("tango_core_model:ST_Currency",S4,MID(S5,1,LEN(S5)-4),Devise,"EUR",$D$8),_xll.DBR("tango_core_model:ST_Currency",LEFT(S4,7),MID(S5,1,LEN(S5)-4),Devise,"EUR",$D$8))</f>
        <v>1</v>
      </c>
      <c r="T8" s="95">
        <f ca="1">IF(LEFT(T4,1)="F",_xll.DBR("tango_core_model:ST_Currency",T4,MID(T5,1,LEN(T5)-4),Devise,"EUR",$D$8),_xll.DBR("tango_core_model:ST_Currency",LEFT(T4,7),MID(T5,1,LEN(T5)-4),Devise,"EUR",$D$8))</f>
        <v>1</v>
      </c>
      <c r="U8" s="137"/>
      <c r="V8" s="137"/>
      <c r="W8" s="50"/>
      <c r="X8" s="95">
        <f ca="1">IF(LEFT(X4,1)="F",_xll.DBR("tango_core_model:ST_Currency",X4,MID(X5,1,LEN(X5)-4),Devise,"EUR",$D$8),_xll.DBR("tango_core_model:ST_Currency",LEFT(X4,7),MID(X5,1,LEN(X5)-4),Devise,"EUR",$D$8))</f>
        <v>1</v>
      </c>
      <c r="Y8" s="95">
        <f ca="1">IF(LEFT(Y4,1)="F",_xll.DBR("tango_core_model:ST_Currency",Y4,MID(Y5,1,LEN(Y5)-4),Devise,"EUR",$D$8),_xll.DBR("tango_core_model:ST_Currency",LEFT(Y4,7),MID(Y5,1,LEN(Y5)-4),Devise,"EUR",$D$8))</f>
        <v>1</v>
      </c>
      <c r="Z8" s="95">
        <f ca="1">IF(LEFT(Z4,1)="F",_xll.DBR("tango_core_model:ST_Currency",Z4,MID(Z5,1,LEN(Z5)-4),Devise,"EUR",$D$8),_xll.DBR("tango_core_model:ST_Currency",LEFT(Z4,7),MID(Z5,1,LEN(Z5)-4),Devise,"EUR",$D$8))</f>
        <v>1</v>
      </c>
      <c r="AA8" s="137"/>
      <c r="AB8" s="137"/>
      <c r="AC8" s="50"/>
      <c r="AD8" s="95">
        <f ca="1">IF(LEFT(AD4,1)="F",_xll.DBR("tango_core_model:ST_Currency",AD4,MID(AD5,1,LEN(AD5)-4),Devise,"EUR",$D$8),_xll.DBR("tango_core_model:ST_Currency",LEFT(AD4,7),MID(AD5,1,LEN(AD5)-4),Devise,"EUR",$D$8))</f>
        <v>1</v>
      </c>
      <c r="AE8" s="95">
        <f ca="1">IF(LEFT(AE4,1)="F",_xll.DBR("tango_core_model:ST_Currency",AE4,MID(AE5,1,LEN(AE5)-4),Devise,"EUR",$D$8),_xll.DBR("tango_core_model:ST_Currency",LEFT(AE4,7),MID(AE5,1,LEN(AE5)-4),Devise,"EUR",$D$8))</f>
        <v>1</v>
      </c>
      <c r="AF8" s="95">
        <f ca="1">IF(LEFT(AF4,1)="F",_xll.DBR("tango_core_model:ST_Currency",AF4,MID(AF5,1,LEN(AF5)-4),Devise,"EUR",$D$8),_xll.DBR("tango_core_model:ST_Currency",LEFT(AF4,7),MID(AF5,1,LEN(AF5)-4),Devise,"EUR",$D$8))</f>
        <v>1</v>
      </c>
      <c r="AG8" s="137"/>
      <c r="AH8" s="137"/>
    </row>
    <row r="9" spans="1:54" s="136" customFormat="1" hidden="1" outlineLevel="1">
      <c r="A9" s="95" t="s">
        <v>24</v>
      </c>
      <c r="B9" s="95" t="str">
        <f ca="1">Management_Organization</f>
        <v>TRANSDEV All</v>
      </c>
      <c r="C9" s="50"/>
      <c r="D9" s="96" t="s">
        <v>25</v>
      </c>
      <c r="E9" s="138"/>
      <c r="F9" s="95">
        <f ca="1">IF(LEFT(F4,1)="F",_xll.DBR("tango_core_model:ST_Currency",F4,MID(F5,1,LEN(F5)-4),Devise,"EUR",$D$9),_xll.DBR("tango_core_model:ST_Currency",LEFT(F4,7),MID(F5,1,LEN(F5)-4),Devise,"EUR",$D$9))</f>
        <v>1</v>
      </c>
      <c r="G9" s="95">
        <f ca="1">IF(LEFT(G4,1)="F",_xll.DBR("tango_core_model:ST_Currency",G4,MID(G5,1,LEN(G5)-4),Devise,"EUR",$D$9),_xll.DBR("tango_core_model:ST_Currency",LEFT(G4,7),MID(G5,1,LEN(G5)-4),Devise,"EUR",$D$9))</f>
        <v>1</v>
      </c>
      <c r="H9" s="95">
        <f ca="1">IF(LEFT(H4,1)="F",_xll.DBR("tango_core_model:ST_Currency",H4,MID(H5,1,LEN(H5)-4),Devise,"EUR",$D$9),_xll.DBR("tango_core_model:ST_Currency",LEFT(H4,7),MID(H5,1,LEN(H5)-4),Devise,"EUR",$D$9))</f>
        <v>1</v>
      </c>
      <c r="I9" s="137"/>
      <c r="J9" s="137"/>
      <c r="K9" s="138"/>
      <c r="L9" s="95">
        <f ca="1">IF(LEFT(L4,1)="F",_xll.DBR("tango_core_model:ST_Currency",L4,MID(L5,1,LEN(L5)-4),Devise,"EUR",$D$9),_xll.DBR("tango_core_model:ST_Currency",LEFT(L4,7),MID(L5,1,LEN(L5)-4),Devise,"EUR",$D$9))</f>
        <v>1</v>
      </c>
      <c r="M9" s="95">
        <f ca="1">IF(LEFT(M4,1)="F",_xll.DBR("tango_core_model:ST_Currency",M4,MID(M5,1,LEN(M5)-4),Devise,"EUR",$D$9),_xll.DBR("tango_core_model:ST_Currency",LEFT(M4,7),MID(M5,1,LEN(M5)-4),Devise,"EUR",$D$9))</f>
        <v>1</v>
      </c>
      <c r="N9" s="95">
        <f ca="1">IF(LEFT(N4,1)="F",_xll.DBR("tango_core_model:ST_Currency",N4,MID(N5,1,LEN(N5)-4),Devise,"EUR",$D$9),_xll.DBR("tango_core_model:ST_Currency",LEFT(N4,7),MID(N5,1,LEN(N5)-4),Devise,"EUR",$D$9))</f>
        <v>1</v>
      </c>
      <c r="O9" s="137"/>
      <c r="P9" s="137"/>
      <c r="Q9" s="138"/>
      <c r="R9" s="95">
        <f ca="1">IF(LEFT(R4,1)="F",_xll.DBR("tango_core_model:ST_Currency",R4,MID(R5,1,LEN(R5)-4),Devise,"EUR",$D$9),_xll.DBR("tango_core_model:ST_Currency",LEFT(R4,7),MID(R5,1,LEN(R5)-4),Devise,"EUR",$D$9))</f>
        <v>1</v>
      </c>
      <c r="S9" s="95">
        <f ca="1">IF(LEFT(S4,1)="F",_xll.DBR("tango_core_model:ST_Currency",S4,MID(S5,1,LEN(S5)-4),Devise,"EUR",$D$9),_xll.DBR("tango_core_model:ST_Currency",LEFT(S4,7),MID(S5,1,LEN(S5)-4),Devise,"EUR",$D$9))</f>
        <v>1</v>
      </c>
      <c r="T9" s="95">
        <f ca="1">IF(LEFT(T4,1)="F",_xll.DBR("tango_core_model:ST_Currency",T4,MID(T5,1,LEN(T5)-4),Devise,"EUR",$D$9),_xll.DBR("tango_core_model:ST_Currency",LEFT(T4,7),MID(T5,1,LEN(T5)-4),Devise,"EUR",$D$9))</f>
        <v>1</v>
      </c>
      <c r="U9" s="137"/>
      <c r="V9" s="137"/>
      <c r="W9" s="138"/>
      <c r="X9" s="95">
        <f ca="1">IF(LEFT(X4,1)="F",_xll.DBR("tango_core_model:ST_Currency",X4,MID(X5,1,LEN(X5)-4),Devise,"EUR",$D$9),_xll.DBR("tango_core_model:ST_Currency",LEFT(X4,7),MID(X5,1,LEN(X5)-4),Devise,"EUR",$D$9))</f>
        <v>1</v>
      </c>
      <c r="Y9" s="95">
        <f ca="1">IF(LEFT(Y4,1)="F",_xll.DBR("tango_core_model:ST_Currency",Y4,MID(Y5,1,LEN(Y5)-4),Devise,"EUR",$D$9),_xll.DBR("tango_core_model:ST_Currency",LEFT(Y4,7),MID(Y5,1,LEN(Y5)-4),Devise,"EUR",$D$9))</f>
        <v>1</v>
      </c>
      <c r="Z9" s="95">
        <f ca="1">IF(LEFT(Z4,1)="F",_xll.DBR("tango_core_model:ST_Currency",Z4,MID(Z5,1,LEN(Z5)-4),Devise,"EUR",$D$9),_xll.DBR("tango_core_model:ST_Currency",LEFT(Z4,7),MID(Z5,1,LEN(Z5)-4),Devise,"EUR",$D$9))</f>
        <v>1</v>
      </c>
      <c r="AA9" s="137"/>
      <c r="AB9" s="137"/>
      <c r="AC9" s="138"/>
      <c r="AD9" s="95">
        <f ca="1">IF(LEFT(AD4,1)="F",_xll.DBR("tango_core_model:ST_Currency",AD4,MID(AD5,1,LEN(AD5)-4),Devise,"EUR",$D$9),_xll.DBR("tango_core_model:ST_Currency",LEFT(AD4,7),MID(AD5,1,LEN(AD5)-4),Devise,"EUR",$D$9))</f>
        <v>1</v>
      </c>
      <c r="AE9" s="95">
        <f ca="1">IF(LEFT(AE4,1)="F",_xll.DBR("tango_core_model:ST_Currency",AE4,MID(AE5,1,LEN(AE5)-4),Devise,"EUR",$D$9),_xll.DBR("tango_core_model:ST_Currency",LEFT(AE4,7),MID(AE5,1,LEN(AE5)-4),Devise,"EUR",$D$9))</f>
        <v>1</v>
      </c>
      <c r="AF9" s="95">
        <f ca="1">IF(LEFT(AF4,1)="F",_xll.DBR("tango_core_model:ST_Currency",AF4,MID(AF5,1,LEN(AF5)-4),Devise,"EUR",$D$9),_xll.DBR("tango_core_model:ST_Currency",LEFT(AF4,7),MID(AF5,1,LEN(AF5)-4),Devise,"EUR",$D$9))</f>
        <v>1</v>
      </c>
      <c r="AG9" s="137"/>
      <c r="AH9" s="137"/>
    </row>
    <row r="10" spans="1:54" hidden="1" outlineLevel="1">
      <c r="D10" s="46"/>
      <c r="E10" s="140"/>
      <c r="F10" s="47"/>
      <c r="G10" s="47"/>
      <c r="H10" s="47"/>
      <c r="I10" s="48"/>
      <c r="J10" s="48"/>
      <c r="K10" s="140"/>
      <c r="L10" s="47"/>
      <c r="M10" s="47"/>
      <c r="N10" s="47"/>
      <c r="O10" s="48"/>
      <c r="P10" s="48"/>
      <c r="Q10" s="140"/>
      <c r="R10" s="47"/>
      <c r="S10" s="47"/>
      <c r="T10" s="47"/>
      <c r="U10" s="48"/>
      <c r="V10" s="48"/>
      <c r="W10" s="140"/>
      <c r="X10" s="47"/>
      <c r="Y10" s="47"/>
      <c r="Z10" s="47"/>
      <c r="AA10" s="48"/>
      <c r="AB10" s="48"/>
      <c r="AC10" s="140"/>
      <c r="AD10" s="47"/>
      <c r="AE10" s="47"/>
      <c r="AF10" s="47"/>
      <c r="AG10" s="48"/>
      <c r="AH10" s="48"/>
    </row>
    <row r="11" spans="1:54" ht="13.5" collapsed="1" thickBot="1">
      <c r="D11" s="46"/>
      <c r="E11" s="140"/>
      <c r="F11" s="47"/>
      <c r="G11" s="47"/>
      <c r="H11" s="47"/>
      <c r="I11" s="48"/>
      <c r="J11" s="48"/>
      <c r="K11" s="140"/>
      <c r="L11" s="47"/>
      <c r="M11" s="47"/>
      <c r="N11" s="47"/>
      <c r="O11" s="48"/>
      <c r="P11" s="48"/>
      <c r="Q11" s="140"/>
      <c r="R11" s="47"/>
      <c r="S11" s="47"/>
      <c r="T11" s="47"/>
      <c r="U11" s="48"/>
      <c r="V11" s="48"/>
      <c r="W11" s="140"/>
      <c r="X11" s="47"/>
      <c r="Y11" s="47"/>
      <c r="Z11" s="47"/>
      <c r="AA11" s="48"/>
      <c r="AB11" s="48"/>
      <c r="AC11" s="140"/>
      <c r="AD11" s="47"/>
      <c r="AE11" s="47"/>
      <c r="AF11" s="47"/>
      <c r="AG11" s="48"/>
      <c r="AH11" s="48"/>
    </row>
    <row r="12" spans="1:54" s="221" customFormat="1" ht="33" customHeight="1" thickTop="1" thickBot="1">
      <c r="A12" s="220"/>
      <c r="F12" s="270" t="str">
        <f ca="1">IF(Country="United States",F7,_xll.DBRA("tango_core_model:activity",F6,Language))</f>
        <v>Urbain</v>
      </c>
      <c r="G12" s="271"/>
      <c r="H12" s="271"/>
      <c r="I12" s="271"/>
      <c r="J12" s="272"/>
      <c r="L12" s="270" t="str">
        <f ca="1">IF(Country="United States",L7,_xll.DBRA("tango_core_model:activity",L6,Language))</f>
        <v>Interurbain</v>
      </c>
      <c r="M12" s="271"/>
      <c r="N12" s="271"/>
      <c r="O12" s="271"/>
      <c r="P12" s="272"/>
      <c r="R12" s="270" t="str">
        <f ca="1">IF(Country="United States",R7,_xll.DBRA("tango_core_model:activity",R6,Language))</f>
        <v>Périurbain</v>
      </c>
      <c r="S12" s="271"/>
      <c r="T12" s="271"/>
      <c r="U12" s="271"/>
      <c r="V12" s="272"/>
      <c r="X12" s="270" t="str">
        <f>IF(Language="French","Autres","Others")</f>
        <v>Autres</v>
      </c>
      <c r="Y12" s="271"/>
      <c r="Z12" s="271"/>
      <c r="AA12" s="271"/>
      <c r="AB12" s="272"/>
      <c r="AD12" s="275" t="str">
        <f ca="1">_xll.DBRA("tango_core_model:legal_organization",Context!E7,Language)</f>
        <v>Non affecté</v>
      </c>
      <c r="AE12" s="276"/>
      <c r="AF12" s="276"/>
      <c r="AG12" s="277"/>
      <c r="AH12" s="278"/>
    </row>
    <row r="13" spans="1:54" s="41" customFormat="1" ht="13.5" thickTop="1">
      <c r="A13" s="40"/>
      <c r="D13" s="97" t="str">
        <f ca="1">_xll.DBRA("tango_core_model:gaap",B4,Language)</f>
        <v>Gaap local outils de pilotage</v>
      </c>
      <c r="F13" s="44" t="str">
        <f ca="1">SUBSTITUTE(F4,"_YTD","")</f>
        <v>2019.02</v>
      </c>
      <c r="G13" s="44" t="str">
        <f ca="1">SUBSTITUTE(G4,"_YTD","")</f>
        <v>2019.02</v>
      </c>
      <c r="H13" s="44" t="str">
        <f ca="1">SUBSTITUTE(H4,"_YTD","")</f>
        <v>2018.02</v>
      </c>
      <c r="I13" s="268" t="str">
        <f ca="1">IF(LEFT(G13,1)="F","Var vs "&amp;G14&amp;" "&amp;RIGHT(G13,4),"Var vs "&amp;G14&amp;" "&amp;LEFT(G13,4))</f>
        <v>Var vs BUDG_VC 2019</v>
      </c>
      <c r="J13" s="268" t="str">
        <f ca="1">IF(LEFT(H13,1)="F","Var vs "&amp;H14&amp;" "&amp;RIGHT(H13,4),"Var vs "&amp;H14&amp;" "&amp;LEFT(H13,4))</f>
        <v>Var vs ACT 2018</v>
      </c>
      <c r="L13" s="44" t="str">
        <f ca="1">SUBSTITUTE(L4,"_YTD","")</f>
        <v>2019.02</v>
      </c>
      <c r="M13" s="44" t="str">
        <f ca="1">SUBSTITUTE(M4,"_YTD","")</f>
        <v>2019.02</v>
      </c>
      <c r="N13" s="44" t="str">
        <f ca="1">SUBSTITUTE(N4,"_YTD","")</f>
        <v>2018.02</v>
      </c>
      <c r="O13" s="268" t="str">
        <f ca="1">IF(LEFT(M13,1)="F","Var vs "&amp;M14&amp;" "&amp;RIGHT(M13,4),"Var vs "&amp;M14&amp;" "&amp;LEFT(M13,4))</f>
        <v>Var vs BUDG_VC 2019</v>
      </c>
      <c r="P13" s="268" t="str">
        <f ca="1">IF(LEFT(N13,1)="F","Var vs "&amp;N14&amp;" "&amp;RIGHT(N13,4),"Var vs "&amp;N14&amp;" "&amp;LEFT(N13,4))</f>
        <v>Var vs ACT 2018</v>
      </c>
      <c r="R13" s="44" t="str">
        <f ca="1">SUBSTITUTE(R4,"_YTD","")</f>
        <v>2019.02</v>
      </c>
      <c r="S13" s="44" t="str">
        <f ca="1">SUBSTITUTE(S4,"_YTD","")</f>
        <v>2019.02</v>
      </c>
      <c r="T13" s="44" t="str">
        <f ca="1">SUBSTITUTE(T4,"_YTD","")</f>
        <v>2018.02</v>
      </c>
      <c r="U13" s="268" t="str">
        <f ca="1">IF(LEFT(S13,1)="F","Var vs "&amp;S14&amp;" "&amp;RIGHT(S13,4),"Var vs "&amp;S14&amp;" "&amp;LEFT(S13,4))</f>
        <v>Var vs BUDG_VC 2019</v>
      </c>
      <c r="V13" s="268" t="str">
        <f ca="1">IF(LEFT(T13,1)="F","Var vs "&amp;T14&amp;" "&amp;RIGHT(T13,4),"Var vs "&amp;T14&amp;" "&amp;LEFT(T13,4))</f>
        <v>Var vs ACT 2018</v>
      </c>
      <c r="X13" s="44" t="str">
        <f ca="1">SUBSTITUTE(X4,"_YTD","")</f>
        <v>2019.02</v>
      </c>
      <c r="Y13" s="44" t="str">
        <f ca="1">SUBSTITUTE(Y4,"_YTD","")</f>
        <v>2019.02</v>
      </c>
      <c r="Z13" s="44" t="str">
        <f ca="1">SUBSTITUTE(Z4,"_YTD","")</f>
        <v>2018.02</v>
      </c>
      <c r="AA13" s="268" t="str">
        <f ca="1">IF(LEFT(Y13,1)="F","Var vs "&amp;Y14&amp;" "&amp;RIGHT(Y13,4),"Var vs "&amp;Y14&amp;" "&amp;LEFT(Y13,4))</f>
        <v>Var vs BUDG_VC 2019</v>
      </c>
      <c r="AB13" s="268" t="str">
        <f ca="1">IF(LEFT(Z13,1)="F","Var vs "&amp;Z14&amp;" "&amp;RIGHT(Z13,4),"Var vs "&amp;Z14&amp;" "&amp;LEFT(Z13,4))</f>
        <v>Var vs ACT 2018</v>
      </c>
      <c r="AD13" s="141" t="str">
        <f ca="1">SUBSTITUTE(AD4,"_YTD","")</f>
        <v>2019.02</v>
      </c>
      <c r="AE13" s="142" t="str">
        <f ca="1">SUBSTITUTE(AE4,"_YTD","")</f>
        <v>2019.02</v>
      </c>
      <c r="AF13" s="143" t="str">
        <f ca="1">SUBSTITUTE(AF4,"_YTD","")</f>
        <v>2018.02</v>
      </c>
      <c r="AG13" s="268" t="str">
        <f ca="1">IF(LEFT(AE13,1)="F","Var vs "&amp;AE14&amp;" "&amp;RIGHT(AE13,4),"Var vs "&amp;AE14&amp;" "&amp;LEFT(AE13,4))</f>
        <v>Var vs BUDG_VC 2019</v>
      </c>
      <c r="AH13" s="279" t="str">
        <f ca="1">IF(LEFT(AF13,1)="F","Var vs "&amp;AF14&amp;" "&amp;RIGHT(AF13,4),"Var vs "&amp;AF14&amp;" "&amp;LEFT(AF13,4))</f>
        <v>Var vs ACT 2018</v>
      </c>
    </row>
    <row r="14" spans="1:54" s="41" customFormat="1">
      <c r="A14" s="40"/>
      <c r="D14" s="97" t="str">
        <f ca="1">"K"&amp;Devise</f>
        <v>KEUR</v>
      </c>
      <c r="F14" s="44" t="str">
        <f>SUBSTITUTE(F5,"_TOT","")</f>
        <v>ACT</v>
      </c>
      <c r="G14" s="44" t="str">
        <f>SUBSTITUTE(G5,"_TOT","")</f>
        <v>BUDG_VC</v>
      </c>
      <c r="H14" s="44" t="str">
        <f ca="1">SUBSTITUTE(H5,"_TOT","")</f>
        <v>ACT</v>
      </c>
      <c r="I14" s="269"/>
      <c r="J14" s="269"/>
      <c r="L14" s="44" t="str">
        <f>SUBSTITUTE(L5,"_TOT","")</f>
        <v>ACT</v>
      </c>
      <c r="M14" s="44" t="str">
        <f>SUBSTITUTE(M5,"_TOT","")</f>
        <v>BUDG_VC</v>
      </c>
      <c r="N14" s="44" t="str">
        <f ca="1">SUBSTITUTE(N5,"_TOT","")</f>
        <v>ACT</v>
      </c>
      <c r="O14" s="269"/>
      <c r="P14" s="269"/>
      <c r="R14" s="44" t="str">
        <f>SUBSTITUTE(R5,"_TOT","")</f>
        <v>ACT</v>
      </c>
      <c r="S14" s="44" t="str">
        <f>SUBSTITUTE(S5,"_TOT","")</f>
        <v>BUDG_VC</v>
      </c>
      <c r="T14" s="44" t="str">
        <f ca="1">SUBSTITUTE(T5,"_TOT","")</f>
        <v>ACT</v>
      </c>
      <c r="U14" s="269"/>
      <c r="V14" s="269"/>
      <c r="X14" s="44" t="str">
        <f>SUBSTITUTE(X5,"_TOT","")</f>
        <v>ACT</v>
      </c>
      <c r="Y14" s="44" t="str">
        <f>SUBSTITUTE(Y5,"_TOT","")</f>
        <v>BUDG_VC</v>
      </c>
      <c r="Z14" s="44" t="str">
        <f ca="1">SUBSTITUTE(Z5,"_TOT","")</f>
        <v>ACT</v>
      </c>
      <c r="AA14" s="269"/>
      <c r="AB14" s="269"/>
      <c r="AD14" s="144" t="str">
        <f>SUBSTITUTE(AD5,"_TOT","")</f>
        <v>ACT</v>
      </c>
      <c r="AE14" s="44" t="str">
        <f>SUBSTITUTE(AE5,"_TOT","")</f>
        <v>BUDG_VC</v>
      </c>
      <c r="AF14" s="145" t="str">
        <f ca="1">SUBSTITUTE(AF5,"_TOT","")</f>
        <v>ACT</v>
      </c>
      <c r="AG14" s="269"/>
      <c r="AH14" s="280"/>
    </row>
    <row r="15" spans="1:54" s="49" customFormat="1" ht="9.75" customHeight="1">
      <c r="A15" s="121"/>
      <c r="B15" s="40"/>
      <c r="C15" s="40"/>
      <c r="D15" s="46"/>
      <c r="E15" s="140"/>
      <c r="F15" s="47"/>
      <c r="G15" s="47"/>
      <c r="H15" s="47"/>
      <c r="I15" s="48"/>
      <c r="J15" s="48"/>
      <c r="K15" s="140"/>
      <c r="L15" s="47"/>
      <c r="M15" s="47"/>
      <c r="N15" s="47"/>
      <c r="O15" s="48"/>
      <c r="P15" s="48"/>
      <c r="Q15" s="140"/>
      <c r="R15" s="47"/>
      <c r="S15" s="47"/>
      <c r="T15" s="47"/>
      <c r="U15" s="48"/>
      <c r="V15" s="48"/>
      <c r="W15" s="140"/>
      <c r="X15" s="47"/>
      <c r="Y15" s="47"/>
      <c r="Z15" s="47"/>
      <c r="AA15" s="48"/>
      <c r="AB15" s="48"/>
      <c r="AC15" s="140"/>
      <c r="AD15" s="146"/>
      <c r="AE15" s="47"/>
      <c r="AF15" s="147"/>
      <c r="AG15" s="48"/>
      <c r="AH15" s="148"/>
      <c r="AJ15" s="41"/>
    </row>
    <row r="16" spans="1:54" s="157" customFormat="1" ht="26.1" customHeight="1">
      <c r="A16" s="149" t="s">
        <v>48</v>
      </c>
      <c r="B16" s="150"/>
      <c r="C16" s="150"/>
      <c r="D16" s="98" t="str">
        <f ca="1">_xll.DBRA("tango_core_model:indicator",A16,Language)</f>
        <v>PRODUIT DES ACTIVITES ORDINAIRES (par destination)</v>
      </c>
      <c r="E16" s="151"/>
      <c r="F16" s="152">
        <f ca="1">_xll.DBRW($B$3,F$6,$B$5,$B$4,$B$6,F$7,$B$9,F$4,F$5,$A16)*F$8</f>
        <v>0</v>
      </c>
      <c r="G16" s="152">
        <f ca="1">_xll.DBRW($B$3,G$6,$B$5,$B$4,$B$6,G$7,$B$9,G$4,G$5,$A16)*G$8</f>
        <v>0</v>
      </c>
      <c r="H16" s="152">
        <f ca="1">_xll.DBRW($B$3,H$6,$B$5,$B$4,$B$6,H$7,$B$9,H$4,H$5,$A16)*H$8</f>
        <v>0</v>
      </c>
      <c r="I16" s="153">
        <f ca="1">IF(OR(F16="",G16=""),"-",IFERROR((F16-G16),""))</f>
        <v>0</v>
      </c>
      <c r="J16" s="153">
        <f ca="1">IF(OR(F16="",H16=""),"-",IFERROR((F16-H16),""))</f>
        <v>0</v>
      </c>
      <c r="K16" s="151"/>
      <c r="L16" s="152">
        <f ca="1">_xll.DBRW($B$3,L$6,$B$5,$B$4,$B$6,L$7,$B$9,L$4,L$5,$A16)*L$8</f>
        <v>0</v>
      </c>
      <c r="M16" s="152">
        <f ca="1">_xll.DBRW($B$3,M$6,$B$5,$B$4,$B$6,M$7,$B$9,M$4,M$5,$A16)*M$8</f>
        <v>0</v>
      </c>
      <c r="N16" s="152">
        <f ca="1">_xll.DBRW($B$3,N$6,$B$5,$B$4,$B$6,N$7,$B$9,N$4,N$5,$A16)*N$8</f>
        <v>0</v>
      </c>
      <c r="O16" s="153">
        <f ca="1">IF(OR(L16="",M16=""),"-",IFERROR((L16-M16),""))</f>
        <v>0</v>
      </c>
      <c r="P16" s="153">
        <f ca="1">IF(OR(L16="",N16=""),"-",IFERROR((L16-N16),""))</f>
        <v>0</v>
      </c>
      <c r="Q16" s="151"/>
      <c r="R16" s="152">
        <f ca="1">_xll.DBRW($B$3,R$6,$B$5,$B$4,$B$6,R$7,$B$9,R$4,R$5,$A16)*R$8</f>
        <v>0</v>
      </c>
      <c r="S16" s="152">
        <f ca="1">_xll.DBRW($B$3,S$6,$B$5,$B$4,$B$6,S$7,$B$9,S$4,S$5,$A16)*S$8</f>
        <v>0</v>
      </c>
      <c r="T16" s="152">
        <f ca="1">_xll.DBRW($B$3,T$6,$B$5,$B$4,$B$6,T$7,$B$9,T$4,T$5,$A16)*T$8</f>
        <v>0</v>
      </c>
      <c r="U16" s="153">
        <f ca="1">IF(OR(R16="",S16=""),"-",IFERROR((R16-S16),""))</f>
        <v>0</v>
      </c>
      <c r="V16" s="153">
        <f ca="1">IF(OR(R16="",T16=""),"-",IFERROR((R16-T16),""))</f>
        <v>0</v>
      </c>
      <c r="W16" s="151"/>
      <c r="X16" s="152">
        <f t="shared" ref="X16:Z17" ca="1" si="0">AD16-(F16+L16+R16)</f>
        <v>0</v>
      </c>
      <c r="Y16" s="152">
        <f t="shared" ca="1" si="0"/>
        <v>0</v>
      </c>
      <c r="Z16" s="152">
        <f t="shared" ca="1" si="0"/>
        <v>0</v>
      </c>
      <c r="AA16" s="153">
        <f ca="1">IF(OR(X16="",Y16=""),"-",IFERROR((X16-Y16),""))</f>
        <v>0</v>
      </c>
      <c r="AB16" s="153">
        <f ca="1">IF(OR(X16="",Z16=""),"-",IFERROR((X16-Z16),""))</f>
        <v>0</v>
      </c>
      <c r="AC16" s="151"/>
      <c r="AD16" s="154">
        <f ca="1">_xll.DBRW($B$3,AD$6,$B$5,$B$4,$B$6,AD$7,$B$9,AD$4,AD$5,$A16)*AD$8</f>
        <v>0</v>
      </c>
      <c r="AE16" s="152">
        <f ca="1">_xll.DBRW($B$3,AE$6,$B$5,$B$4,$B$6,AE$7,$B$9,AE$4,AE$5,$A16)*AE$8</f>
        <v>0</v>
      </c>
      <c r="AF16" s="155">
        <f ca="1">_xll.DBRW($B$3,AF$6,$B$5,$B$4,$B$6,AF$7,$B$9,AF$4,AF$5,$A16)*AF$8</f>
        <v>0</v>
      </c>
      <c r="AG16" s="153">
        <f ca="1">IF(OR(AD16="",AE16=""),"-",IFERROR((AD16-AE16),""))</f>
        <v>0</v>
      </c>
      <c r="AH16" s="156">
        <f ca="1">IF(OR(AD16="",AF16=""),"-",IFERROR((AD16-AF16),""))</f>
        <v>0</v>
      </c>
    </row>
    <row r="17" spans="1:34" s="165" customFormat="1" ht="21" customHeight="1">
      <c r="A17" s="158" t="str">
        <f ca="1">_xll.SUBNM("Tango_Core_Model:Indicator","","PL1003_RC_55","Code_English")</f>
        <v>PL1003_RC_55 - Energy indexation</v>
      </c>
      <c r="B17" s="159"/>
      <c r="C17" s="159"/>
      <c r="D17" s="99" t="str">
        <f ca="1">_xll.DBRA("tango_core_model:indicator",A17,Language)</f>
        <v>Indexation energie</v>
      </c>
      <c r="E17" s="99"/>
      <c r="F17" s="160">
        <f ca="1">_xll.DBRW($B$3,F$6,$B$5,$B$4,$B$6,F$7,$B$9,F$4,F$5,$A17)*F$8</f>
        <v>0</v>
      </c>
      <c r="G17" s="160">
        <f ca="1">_xll.DBRW($B$3,G$6,$B$5,$B$4,$B$6,G$7,$B$9,G$4,G$5,$A17)*G$8</f>
        <v>0</v>
      </c>
      <c r="H17" s="160">
        <f ca="1">_xll.DBRW($B$3,H$6,$B$5,$B$4,$B$6,H$7,$B$9,H$4,H$5,$A17)*H$8</f>
        <v>0</v>
      </c>
      <c r="I17" s="161">
        <f ca="1">IF(OR(F17="",G17=""),"-",IFERROR((F17-G17),""))</f>
        <v>0</v>
      </c>
      <c r="J17" s="161">
        <f ca="1">IF(OR(F17="",H17=""),"-",IFERROR((F17-H17),""))</f>
        <v>0</v>
      </c>
      <c r="K17" s="99"/>
      <c r="L17" s="160">
        <f ca="1">_xll.DBRW($B$3,L$6,$B$5,$B$4,$B$6,L$7,$B$9,L$4,L$5,$A17)*L$8</f>
        <v>0</v>
      </c>
      <c r="M17" s="160">
        <f ca="1">_xll.DBRW($B$3,M$6,$B$5,$B$4,$B$6,M$7,$B$9,M$4,M$5,$A17)*M$8</f>
        <v>0</v>
      </c>
      <c r="N17" s="160">
        <f ca="1">_xll.DBRW($B$3,N$6,$B$5,$B$4,$B$6,N$7,$B$9,N$4,N$5,$A17)*N$8</f>
        <v>0</v>
      </c>
      <c r="O17" s="161">
        <f ca="1">IF(OR(L17="",M17=""),"-",IFERROR((L17-M17),""))</f>
        <v>0</v>
      </c>
      <c r="P17" s="161">
        <f ca="1">IF(OR(L17="",N17=""),"-",IFERROR((L17-N17),""))</f>
        <v>0</v>
      </c>
      <c r="Q17" s="99"/>
      <c r="R17" s="160">
        <f ca="1">_xll.DBRW($B$3,R$6,$B$5,$B$4,$B$6,R$7,$B$9,R$4,R$5,$A17)*R$8</f>
        <v>0</v>
      </c>
      <c r="S17" s="160">
        <f ca="1">_xll.DBRW($B$3,S$6,$B$5,$B$4,$B$6,S$7,$B$9,S$4,S$5,$A17)*S$8</f>
        <v>0</v>
      </c>
      <c r="T17" s="160">
        <f ca="1">_xll.DBRW($B$3,T$6,$B$5,$B$4,$B$6,T$7,$B$9,T$4,T$5,$A17)*T$8</f>
        <v>0</v>
      </c>
      <c r="U17" s="161">
        <f ca="1">IF(OR(R17="",S17=""),"-",IFERROR((R17-S17),""))</f>
        <v>0</v>
      </c>
      <c r="V17" s="161">
        <f ca="1">IF(OR(R17="",T17=""),"-",IFERROR((R17-T17),""))</f>
        <v>0</v>
      </c>
      <c r="W17" s="99"/>
      <c r="X17" s="160">
        <f t="shared" ca="1" si="0"/>
        <v>0</v>
      </c>
      <c r="Y17" s="160">
        <f t="shared" ca="1" si="0"/>
        <v>0</v>
      </c>
      <c r="Z17" s="160">
        <f t="shared" ca="1" si="0"/>
        <v>0</v>
      </c>
      <c r="AA17" s="161">
        <f ca="1">IF(OR(X17="",Y17=""),"-",IFERROR((X17-Y17),""))</f>
        <v>0</v>
      </c>
      <c r="AB17" s="161">
        <f ca="1">IF(OR(X17="",Z17=""),"-",IFERROR((X17-Z17),""))</f>
        <v>0</v>
      </c>
      <c r="AC17" s="99"/>
      <c r="AD17" s="162">
        <f ca="1">_xll.DBRW($B$3,AD$6,$B$5,$B$4,$B$6,AD$7,$B$9,AD$4,AD$5,$A17)*AD$8</f>
        <v>0</v>
      </c>
      <c r="AE17" s="160">
        <f ca="1">_xll.DBRW($B$3,AE$6,$B$5,$B$4,$B$6,AE$7,$B$9,AE$4,AE$5,$A17)*AE$8</f>
        <v>0</v>
      </c>
      <c r="AF17" s="163">
        <f ca="1">_xll.DBRW($B$3,AF$6,$B$5,$B$4,$B$6,AF$7,$B$9,AF$4,AF$5,$A17)*AF$8</f>
        <v>0</v>
      </c>
      <c r="AG17" s="161">
        <f ca="1">IF(OR(AD17="",AE17=""),"-",IFERROR((AD17-AE17),""))</f>
        <v>0</v>
      </c>
      <c r="AH17" s="164">
        <f ca="1">IF(OR(AD17="",AF17=""),"-",IFERROR((AD17-AF17),""))</f>
        <v>0</v>
      </c>
    </row>
    <row r="18" spans="1:34" ht="18.75" customHeight="1">
      <c r="AD18" s="167"/>
      <c r="AE18" s="49"/>
      <c r="AF18" s="168"/>
      <c r="AG18" s="169"/>
      <c r="AH18" s="170"/>
    </row>
    <row r="19" spans="1:34" s="157" customFormat="1" ht="26.1" customHeight="1">
      <c r="A19" s="149" t="s">
        <v>49</v>
      </c>
      <c r="B19" s="150"/>
      <c r="C19" s="150"/>
      <c r="D19" s="98" t="str">
        <f ca="1">_xll.DBRA("tango_core_model:indicator",A19,Language)</f>
        <v>Energie</v>
      </c>
      <c r="E19" s="151"/>
      <c r="F19" s="152">
        <f ca="1">_xll.DBRW($B$3,F$6,$B$5,$B$4,$B$6,F$7,$B$9,F$4,F$5,$A19)*F$8</f>
        <v>0</v>
      </c>
      <c r="G19" s="152">
        <f ca="1">_xll.DBRW($B$3,G$6,$B$5,$B$4,$B$6,G$7,$B$9,G$4,G$5,$A19)*G$8</f>
        <v>0</v>
      </c>
      <c r="H19" s="152">
        <f ca="1">_xll.DBRW($B$3,H$6,$B$5,$B$4,$B$6,H$7,$B$9,H$4,H$5,$A19)*H$8</f>
        <v>0</v>
      </c>
      <c r="I19" s="153">
        <f ca="1">IF(OR(F19="",G19=""),"-",IFERROR((F19-G19),""))</f>
        <v>0</v>
      </c>
      <c r="J19" s="153">
        <f ca="1">IF(OR(F19="",H19=""),"-",IFERROR((F19-H19),""))</f>
        <v>0</v>
      </c>
      <c r="K19" s="151"/>
      <c r="L19" s="152">
        <f ca="1">_xll.DBRW($B$3,L$6,$B$5,$B$4,$B$6,L$7,$B$9,L$4,L$5,$A19)*L$8</f>
        <v>0</v>
      </c>
      <c r="M19" s="152">
        <f ca="1">_xll.DBRW($B$3,M$6,$B$5,$B$4,$B$6,M$7,$B$9,M$4,M$5,$A19)*M$8</f>
        <v>0</v>
      </c>
      <c r="N19" s="152">
        <f ca="1">_xll.DBRW($B$3,N$6,$B$5,$B$4,$B$6,N$7,$B$9,N$4,N$5,$A19)*N$8</f>
        <v>0</v>
      </c>
      <c r="O19" s="153">
        <f ca="1">IF(OR(L19="",M19=""),"-",IFERROR((L19-M19),""))</f>
        <v>0</v>
      </c>
      <c r="P19" s="153">
        <f ca="1">IF(OR(L19="",N19=""),"-",IFERROR((L19-N19),""))</f>
        <v>0</v>
      </c>
      <c r="Q19" s="151"/>
      <c r="R19" s="152">
        <f ca="1">_xll.DBRW($B$3,R$6,$B$5,$B$4,$B$6,R$7,$B$9,R$4,R$5,$A19)*R$8</f>
        <v>0</v>
      </c>
      <c r="S19" s="152">
        <f ca="1">_xll.DBRW($B$3,S$6,$B$5,$B$4,$B$6,S$7,$B$9,S$4,S$5,$A19)*S$8</f>
        <v>0</v>
      </c>
      <c r="T19" s="152">
        <f ca="1">_xll.DBRW($B$3,T$6,$B$5,$B$4,$B$6,T$7,$B$9,T$4,T$5,$A19)*T$8</f>
        <v>0</v>
      </c>
      <c r="U19" s="153">
        <f ca="1">IF(OR(R19="",S19=""),"-",IFERROR((R19-S19),""))</f>
        <v>0</v>
      </c>
      <c r="V19" s="153">
        <f ca="1">IF(OR(R19="",T19=""),"-",IFERROR((R19-T19),""))</f>
        <v>0</v>
      </c>
      <c r="W19" s="151"/>
      <c r="X19" s="152">
        <f t="shared" ref="X19" ca="1" si="1">AD19-(F19+L19+R19)</f>
        <v>0</v>
      </c>
      <c r="Y19" s="152">
        <f t="shared" ref="Y19" ca="1" si="2">AE19-(G19+M19+S19)</f>
        <v>0</v>
      </c>
      <c r="Z19" s="152">
        <f t="shared" ref="Z19" ca="1" si="3">AF19-(H19+N19+T19)</f>
        <v>0</v>
      </c>
      <c r="AA19" s="153">
        <f ca="1">IF(OR(X19="",Y19=""),"-",IFERROR((X19-Y19),""))</f>
        <v>0</v>
      </c>
      <c r="AB19" s="153">
        <f ca="1">IF(OR(X19="",Z19=""),"-",IFERROR((X19-Z19),""))</f>
        <v>0</v>
      </c>
      <c r="AC19" s="151"/>
      <c r="AD19" s="154">
        <f ca="1">_xll.DBRW($B$3,AD$6,$B$5,$B$4,$B$6,AD$7,$B$9,AD$4,AD$5,$A19)*AD$8</f>
        <v>0</v>
      </c>
      <c r="AE19" s="152">
        <f ca="1">_xll.DBRW($B$3,AE$6,$B$5,$B$4,$B$6,AE$7,$B$9,AE$4,AE$5,$A19)*AE$8</f>
        <v>0</v>
      </c>
      <c r="AF19" s="155">
        <f ca="1">_xll.DBRW($B$3,AF$6,$B$5,$B$4,$B$6,AF$7,$B$9,AF$4,AF$5,$A19)*AF$8</f>
        <v>0</v>
      </c>
      <c r="AG19" s="153">
        <f ca="1">IF(OR(AD19="",AE19=""),"-",IFERROR((AD19-AE19),""))</f>
        <v>0</v>
      </c>
      <c r="AH19" s="156">
        <f ca="1">IF(OR(AD19="",AF19=""),"-",IFERROR((AD19-AF19),""))</f>
        <v>0</v>
      </c>
    </row>
    <row r="20" spans="1:34" s="178" customFormat="1" ht="24.75" customHeight="1">
      <c r="A20" s="171" t="s">
        <v>59</v>
      </c>
      <c r="B20" s="172"/>
      <c r="C20" s="172"/>
      <c r="D20" s="101" t="str">
        <f>IF(Language="French","% PAO","% revenues")</f>
        <v>% PAO</v>
      </c>
      <c r="E20" s="101"/>
      <c r="F20" s="173" t="str">
        <f ca="1">IF(OR(F19=0,F$16=0),"-",IF(ABS(F19/F$16)&gt;2,"-",-F19/F$16))</f>
        <v>-</v>
      </c>
      <c r="G20" s="173" t="str">
        <f ca="1">IF(OR(G19=0,G$16=0),"-",IF(ABS(G19/G$16)&gt;2,"-",-G19/G$16))</f>
        <v>-</v>
      </c>
      <c r="H20" s="173" t="str">
        <f ca="1">IF(OR(H19=0,H$16=0),"-",IF(ABS(H19/H$16)&gt;2,"-",-H19/H$16))</f>
        <v>-</v>
      </c>
      <c r="I20" s="174"/>
      <c r="J20" s="174"/>
      <c r="K20" s="101"/>
      <c r="L20" s="173" t="str">
        <f ca="1">IF(OR(L19=0,L$16=0),"-",IF(ABS(L19/L$16)&gt;2,"-",-L19/L$16))</f>
        <v>-</v>
      </c>
      <c r="M20" s="173" t="str">
        <f ca="1">IF(OR(M19=0,M$16=0),"-",IF(ABS(M19/M$16)&gt;2,"-",-M19/M$16))</f>
        <v>-</v>
      </c>
      <c r="N20" s="173" t="str">
        <f ca="1">IF(OR(N19=0,N$16=0),"-",IF(ABS(N19/N$16)&gt;2,"-",-N19/N$16))</f>
        <v>-</v>
      </c>
      <c r="O20" s="174"/>
      <c r="P20" s="174"/>
      <c r="Q20" s="101"/>
      <c r="R20" s="173" t="str">
        <f ca="1">IF(OR(R19=0,R$16=0),"-",IF(ABS(R19/R$16)&gt;2,"-",-R19/R$16))</f>
        <v>-</v>
      </c>
      <c r="S20" s="173" t="str">
        <f ca="1">IF(OR(S19=0,S$16=0),"-",IF(ABS(S19/S$16)&gt;2,"-",-S19/S$16))</f>
        <v>-</v>
      </c>
      <c r="T20" s="173" t="str">
        <f ca="1">IF(OR(T19=0,T$16=0),"-",IF(ABS(T19/T$16)&gt;2,"-",-T19/T$16))</f>
        <v>-</v>
      </c>
      <c r="U20" s="174"/>
      <c r="V20" s="174"/>
      <c r="W20" s="101"/>
      <c r="X20" s="173" t="str">
        <f ca="1">IF(OR(X19=0,X$16=0),"-",IF(ABS(X19/X$16)&gt;2,"-",-X19/X$16))</f>
        <v>-</v>
      </c>
      <c r="Y20" s="173" t="str">
        <f ca="1">IF(OR(Y19=0,Y$16=0),"-",IF(ABS(Y19/Y$16)&gt;2,"-",-Y19/Y$16))</f>
        <v>-</v>
      </c>
      <c r="Z20" s="173" t="str">
        <f ca="1">IF(OR(Z19=0,Z$16=0),"-",IF(ABS(Z19/Z$16)&gt;2,"-",-Z19/Z$16))</f>
        <v>-</v>
      </c>
      <c r="AA20" s="174"/>
      <c r="AB20" s="174"/>
      <c r="AC20" s="101"/>
      <c r="AD20" s="175" t="str">
        <f ca="1">IF(OR(AD19=0,AD$16=0),"-",IF(ABS(AD19/AD$16)&gt;2,"-",-AD19/AD$16))</f>
        <v>-</v>
      </c>
      <c r="AE20" s="173" t="str">
        <f ca="1">IF(OR(AE19=0,AE$16=0),"-",IF(ABS(AE19/AE$16)&gt;2,"-",-AE19/AE$16))</f>
        <v>-</v>
      </c>
      <c r="AF20" s="176" t="str">
        <f ca="1">IF(OR(AF19=0,AF$16=0),"-",IF(ABS(AF19/AF$16)&gt;2,"-",-AF19/AF$16))</f>
        <v>-</v>
      </c>
      <c r="AG20" s="174"/>
      <c r="AH20" s="177"/>
    </row>
    <row r="21" spans="1:34" s="165" customFormat="1" ht="17.25" customHeight="1">
      <c r="A21" s="158" t="s">
        <v>53</v>
      </c>
      <c r="B21" s="159"/>
      <c r="C21" s="159"/>
      <c r="D21" s="99" t="str">
        <f ca="1">_xll.DBRA("tango_core_model:indicator",A21,Language)</f>
        <v>Coût Carburant</v>
      </c>
      <c r="E21" s="99"/>
      <c r="F21" s="160">
        <f ca="1">_xll.DBRW($B$3,F$6,$B$5,$B$4,$B$6,F$7,$B$9,F$4,F$5,$A21)*F$8</f>
        <v>0</v>
      </c>
      <c r="G21" s="160">
        <f ca="1">_xll.DBRW($B$3,G$6,$B$5,$B$4,$B$6,G$7,$B$9,G$4,G$5,$A21)*G$8</f>
        <v>0</v>
      </c>
      <c r="H21" s="160">
        <f ca="1">_xll.DBRW($B$3,H$6,$B$5,$B$4,$B$6,H$7,$B$9,H$4,H$5,$A21)*H$8</f>
        <v>0</v>
      </c>
      <c r="I21" s="161">
        <f t="shared" ref="I21:I31" ca="1" si="4">IF(OR(F21="",G21=""),"-",IFERROR((F21-G21),""))</f>
        <v>0</v>
      </c>
      <c r="J21" s="161">
        <f t="shared" ref="J21:J31" ca="1" si="5">IF(OR(F21="",H21=""),"-",IFERROR((F21-H21),""))</f>
        <v>0</v>
      </c>
      <c r="K21" s="99"/>
      <c r="L21" s="160">
        <f ca="1">_xll.DBRW($B$3,L$6,$B$5,$B$4,$B$6,L$7,$B$9,L$4,L$5,$A21)*L$8</f>
        <v>0</v>
      </c>
      <c r="M21" s="160">
        <f ca="1">_xll.DBRW($B$3,M$6,$B$5,$B$4,$B$6,M$7,$B$9,M$4,M$5,$A21)*M$8</f>
        <v>0</v>
      </c>
      <c r="N21" s="160">
        <f ca="1">_xll.DBRW($B$3,N$6,$B$5,$B$4,$B$6,N$7,$B$9,N$4,N$5,$A21)*N$8</f>
        <v>0</v>
      </c>
      <c r="O21" s="161">
        <f t="shared" ref="O21:O31" ca="1" si="6">IF(OR(L21="",M21=""),"-",IFERROR((L21-M21),""))</f>
        <v>0</v>
      </c>
      <c r="P21" s="161">
        <f t="shared" ref="P21:P31" ca="1" si="7">IF(OR(L21="",N21=""),"-",IFERROR((L21-N21),""))</f>
        <v>0</v>
      </c>
      <c r="Q21" s="99"/>
      <c r="R21" s="160">
        <f ca="1">_xll.DBRW($B$3,R$6,$B$5,$B$4,$B$6,R$7,$B$9,R$4,R$5,$A21)*R$8</f>
        <v>0</v>
      </c>
      <c r="S21" s="160">
        <f ca="1">_xll.DBRW($B$3,S$6,$B$5,$B$4,$B$6,S$7,$B$9,S$4,S$5,$A21)*S$8</f>
        <v>0</v>
      </c>
      <c r="T21" s="160">
        <f ca="1">_xll.DBRW($B$3,T$6,$B$5,$B$4,$B$6,T$7,$B$9,T$4,T$5,$A21)*T$8</f>
        <v>0</v>
      </c>
      <c r="U21" s="161">
        <f t="shared" ref="U21:U31" ca="1" si="8">IF(OR(R21="",S21=""),"-",IFERROR((R21-S21),""))</f>
        <v>0</v>
      </c>
      <c r="V21" s="161">
        <f t="shared" ref="V21:V31" ca="1" si="9">IF(OR(R21="",T21=""),"-",IFERROR((R21-T21),""))</f>
        <v>0</v>
      </c>
      <c r="W21" s="99"/>
      <c r="X21" s="160">
        <f t="shared" ref="X21:X28" ca="1" si="10">AD21-(F21+L21+R21)</f>
        <v>0</v>
      </c>
      <c r="Y21" s="160">
        <f t="shared" ref="Y21:Y28" ca="1" si="11">AE21-(G21+M21+S21)</f>
        <v>0</v>
      </c>
      <c r="Z21" s="160">
        <f t="shared" ref="Z21:Z28" ca="1" si="12">AF21-(H21+N21+T21)</f>
        <v>0</v>
      </c>
      <c r="AA21" s="161">
        <f t="shared" ref="AA21:AA31" ca="1" si="13">IF(OR(X21="",Y21=""),"-",IFERROR((X21-Y21),""))</f>
        <v>0</v>
      </c>
      <c r="AB21" s="161">
        <f t="shared" ref="AB21:AB31" ca="1" si="14">IF(OR(X21="",Z21=""),"-",IFERROR((X21-Z21),""))</f>
        <v>0</v>
      </c>
      <c r="AC21" s="99"/>
      <c r="AD21" s="162">
        <f ca="1">_xll.DBRW($B$3,AD$6,$B$5,$B$4,$B$6,AD$7,$B$9,AD$4,AD$5,$A21)*AD$8</f>
        <v>0</v>
      </c>
      <c r="AE21" s="160">
        <f ca="1">_xll.DBRW($B$3,AE$6,$B$5,$B$4,$B$6,AE$7,$B$9,AE$4,AE$5,$A21)*AE$8</f>
        <v>0</v>
      </c>
      <c r="AF21" s="163">
        <f ca="1">_xll.DBRW($B$3,AF$6,$B$5,$B$4,$B$6,AF$7,$B$9,AF$4,AF$5,$A21)*AF$8</f>
        <v>0</v>
      </c>
      <c r="AG21" s="161">
        <f t="shared" ref="AG21:AG31" ca="1" si="15">IF(OR(AD21="",AE21=""),"-",IFERROR((AD21-AE21),""))</f>
        <v>0</v>
      </c>
      <c r="AH21" s="164">
        <f t="shared" ref="AH21:AH31" ca="1" si="16">IF(OR(AD21="",AF21=""),"-",IFERROR((AD21-AF21),""))</f>
        <v>0</v>
      </c>
    </row>
    <row r="22" spans="1:34" s="165" customFormat="1" ht="17.25" customHeight="1">
      <c r="A22" s="158" t="s">
        <v>54</v>
      </c>
      <c r="B22" s="159"/>
      <c r="C22" s="159"/>
      <c r="D22" s="99" t="str">
        <f ca="1">_xll.DBRA("tango_core_model:indicator",A22,Language)</f>
        <v>Résultat des Couvertures Carburant</v>
      </c>
      <c r="E22" s="99"/>
      <c r="F22" s="160">
        <f ca="1">_xll.DBRW($B$3,F$6,$B$5,$B$4,$B$6,F$7,$B$9,F$4,F$5,$A22)*F$8</f>
        <v>0</v>
      </c>
      <c r="G22" s="160">
        <f ca="1">_xll.DBRW($B$3,G$6,$B$5,$B$4,$B$6,G$7,$B$9,G$4,G$5,$A22)*G$8</f>
        <v>0</v>
      </c>
      <c r="H22" s="160">
        <f ca="1">_xll.DBRW($B$3,H$6,$B$5,$B$4,$B$6,H$7,$B$9,H$4,H$5,$A22)*H$8</f>
        <v>0</v>
      </c>
      <c r="I22" s="161">
        <f t="shared" ca="1" si="4"/>
        <v>0</v>
      </c>
      <c r="J22" s="161">
        <f t="shared" ca="1" si="5"/>
        <v>0</v>
      </c>
      <c r="K22" s="99"/>
      <c r="L22" s="160">
        <f ca="1">_xll.DBRW($B$3,L$6,$B$5,$B$4,$B$6,L$7,$B$9,L$4,L$5,$A22)*L$8</f>
        <v>0</v>
      </c>
      <c r="M22" s="160">
        <f ca="1">_xll.DBRW($B$3,M$6,$B$5,$B$4,$B$6,M$7,$B$9,M$4,M$5,$A22)*M$8</f>
        <v>0</v>
      </c>
      <c r="N22" s="160">
        <f ca="1">_xll.DBRW($B$3,N$6,$B$5,$B$4,$B$6,N$7,$B$9,N$4,N$5,$A22)*N$8</f>
        <v>0</v>
      </c>
      <c r="O22" s="161">
        <f t="shared" ca="1" si="6"/>
        <v>0</v>
      </c>
      <c r="P22" s="161">
        <f t="shared" ca="1" si="7"/>
        <v>0</v>
      </c>
      <c r="Q22" s="99"/>
      <c r="R22" s="160">
        <f ca="1">_xll.DBRW($B$3,R$6,$B$5,$B$4,$B$6,R$7,$B$9,R$4,R$5,$A22)*R$8</f>
        <v>0</v>
      </c>
      <c r="S22" s="160">
        <f ca="1">_xll.DBRW($B$3,S$6,$B$5,$B$4,$B$6,S$7,$B$9,S$4,S$5,$A22)*S$8</f>
        <v>0</v>
      </c>
      <c r="T22" s="160">
        <f ca="1">_xll.DBRW($B$3,T$6,$B$5,$B$4,$B$6,T$7,$B$9,T$4,T$5,$A22)*T$8</f>
        <v>0</v>
      </c>
      <c r="U22" s="161">
        <f t="shared" ca="1" si="8"/>
        <v>0</v>
      </c>
      <c r="V22" s="161">
        <f t="shared" ca="1" si="9"/>
        <v>0</v>
      </c>
      <c r="W22" s="99"/>
      <c r="X22" s="160">
        <f t="shared" ca="1" si="10"/>
        <v>0</v>
      </c>
      <c r="Y22" s="160">
        <f t="shared" ca="1" si="11"/>
        <v>0</v>
      </c>
      <c r="Z22" s="160">
        <f t="shared" ca="1" si="12"/>
        <v>0</v>
      </c>
      <c r="AA22" s="161">
        <f t="shared" ca="1" si="13"/>
        <v>0</v>
      </c>
      <c r="AB22" s="161">
        <f t="shared" ca="1" si="14"/>
        <v>0</v>
      </c>
      <c r="AC22" s="99"/>
      <c r="AD22" s="162">
        <f ca="1">_xll.DBRW($B$3,AD$6,$B$5,$B$4,$B$6,AD$7,$B$9,AD$4,AD$5,$A22)*AD$8</f>
        <v>0</v>
      </c>
      <c r="AE22" s="160">
        <f ca="1">_xll.DBRW($B$3,AE$6,$B$5,$B$4,$B$6,AE$7,$B$9,AE$4,AE$5,$A22)*AE$8</f>
        <v>0</v>
      </c>
      <c r="AF22" s="163">
        <f ca="1">_xll.DBRW($B$3,AF$6,$B$5,$B$4,$B$6,AF$7,$B$9,AF$4,AF$5,$A22)*AF$8</f>
        <v>0</v>
      </c>
      <c r="AG22" s="161">
        <f t="shared" ca="1" si="15"/>
        <v>0</v>
      </c>
      <c r="AH22" s="164">
        <f t="shared" ca="1" si="16"/>
        <v>0</v>
      </c>
    </row>
    <row r="23" spans="1:34" s="165" customFormat="1" ht="17.25" customHeight="1">
      <c r="A23" s="158" t="s">
        <v>55</v>
      </c>
      <c r="B23" s="159"/>
      <c r="C23" s="159"/>
      <c r="D23" s="99" t="str">
        <f ca="1">_xll.DBRA("tango_core_model:indicator",A23,Language)</f>
        <v>Remboursement taxes carburant</v>
      </c>
      <c r="E23" s="99"/>
      <c r="F23" s="160">
        <f ca="1">_xll.DBRW($B$3,F$6,$B$5,$B$4,$B$6,F$7,$B$9,F$4,F$5,$A23)*F$8</f>
        <v>0</v>
      </c>
      <c r="G23" s="160">
        <f ca="1">_xll.DBRW($B$3,G$6,$B$5,$B$4,$B$6,G$7,$B$9,G$4,G$5,$A23)*G$8</f>
        <v>0</v>
      </c>
      <c r="H23" s="160">
        <f ca="1">_xll.DBRW($B$3,H$6,$B$5,$B$4,$B$6,H$7,$B$9,H$4,H$5,$A23)*H$8</f>
        <v>0</v>
      </c>
      <c r="I23" s="161">
        <f t="shared" ca="1" si="4"/>
        <v>0</v>
      </c>
      <c r="J23" s="161">
        <f t="shared" ca="1" si="5"/>
        <v>0</v>
      </c>
      <c r="K23" s="99"/>
      <c r="L23" s="160">
        <f ca="1">_xll.DBRW($B$3,L$6,$B$5,$B$4,$B$6,L$7,$B$9,L$4,L$5,$A23)*L$8</f>
        <v>0</v>
      </c>
      <c r="M23" s="160">
        <f ca="1">_xll.DBRW($B$3,M$6,$B$5,$B$4,$B$6,M$7,$B$9,M$4,M$5,$A23)*M$8</f>
        <v>0</v>
      </c>
      <c r="N23" s="160">
        <f ca="1">_xll.DBRW($B$3,N$6,$B$5,$B$4,$B$6,N$7,$B$9,N$4,N$5,$A23)*N$8</f>
        <v>0</v>
      </c>
      <c r="O23" s="161">
        <f t="shared" ca="1" si="6"/>
        <v>0</v>
      </c>
      <c r="P23" s="161">
        <f t="shared" ca="1" si="7"/>
        <v>0</v>
      </c>
      <c r="Q23" s="99"/>
      <c r="R23" s="160">
        <f ca="1">_xll.DBRW($B$3,R$6,$B$5,$B$4,$B$6,R$7,$B$9,R$4,R$5,$A23)*R$8</f>
        <v>0</v>
      </c>
      <c r="S23" s="160">
        <f ca="1">_xll.DBRW($B$3,S$6,$B$5,$B$4,$B$6,S$7,$B$9,S$4,S$5,$A23)*S$8</f>
        <v>0</v>
      </c>
      <c r="T23" s="160">
        <f ca="1">_xll.DBRW($B$3,T$6,$B$5,$B$4,$B$6,T$7,$B$9,T$4,T$5,$A23)*T$8</f>
        <v>0</v>
      </c>
      <c r="U23" s="161">
        <f t="shared" ca="1" si="8"/>
        <v>0</v>
      </c>
      <c r="V23" s="161">
        <f t="shared" ca="1" si="9"/>
        <v>0</v>
      </c>
      <c r="W23" s="99"/>
      <c r="X23" s="160">
        <f t="shared" ca="1" si="10"/>
        <v>0</v>
      </c>
      <c r="Y23" s="160">
        <f t="shared" ca="1" si="11"/>
        <v>0</v>
      </c>
      <c r="Z23" s="160">
        <f t="shared" ca="1" si="12"/>
        <v>0</v>
      </c>
      <c r="AA23" s="161">
        <f t="shared" ca="1" si="13"/>
        <v>0</v>
      </c>
      <c r="AB23" s="161">
        <f t="shared" ca="1" si="14"/>
        <v>0</v>
      </c>
      <c r="AC23" s="99"/>
      <c r="AD23" s="162">
        <f ca="1">_xll.DBRW($B$3,AD$6,$B$5,$B$4,$B$6,AD$7,$B$9,AD$4,AD$5,$A23)*AD$8</f>
        <v>0</v>
      </c>
      <c r="AE23" s="160">
        <f ca="1">_xll.DBRW($B$3,AE$6,$B$5,$B$4,$B$6,AE$7,$B$9,AE$4,AE$5,$A23)*AE$8</f>
        <v>0</v>
      </c>
      <c r="AF23" s="163">
        <f ca="1">_xll.DBRW($B$3,AF$6,$B$5,$B$4,$B$6,AF$7,$B$9,AF$4,AF$5,$A23)*AF$8</f>
        <v>0</v>
      </c>
      <c r="AG23" s="161">
        <f t="shared" ca="1" si="15"/>
        <v>0</v>
      </c>
      <c r="AH23" s="164">
        <f t="shared" ca="1" si="16"/>
        <v>0</v>
      </c>
    </row>
    <row r="24" spans="1:34" s="165" customFormat="1" ht="17.25" customHeight="1">
      <c r="A24" s="158" t="s">
        <v>56</v>
      </c>
      <c r="B24" s="159"/>
      <c r="C24" s="159"/>
      <c r="D24" s="99" t="str">
        <f ca="1">_xll.DBRA("tango_core_model:indicator",A24,Language)</f>
        <v>Coût Bio carburant</v>
      </c>
      <c r="E24" s="99"/>
      <c r="F24" s="160">
        <f ca="1">_xll.DBRW($B$3,F$6,$B$5,$B$4,$B$6,F$7,$B$9,F$4,F$5,$A24)*F$8</f>
        <v>0</v>
      </c>
      <c r="G24" s="160">
        <f ca="1">_xll.DBRW($B$3,G$6,$B$5,$B$4,$B$6,G$7,$B$9,G$4,G$5,$A24)*G$8</f>
        <v>0</v>
      </c>
      <c r="H24" s="160">
        <f ca="1">_xll.DBRW($B$3,H$6,$B$5,$B$4,$B$6,H$7,$B$9,H$4,H$5,$A24)*H$8</f>
        <v>0</v>
      </c>
      <c r="I24" s="161">
        <f t="shared" ca="1" si="4"/>
        <v>0</v>
      </c>
      <c r="J24" s="161">
        <f t="shared" ca="1" si="5"/>
        <v>0</v>
      </c>
      <c r="K24" s="99"/>
      <c r="L24" s="160">
        <f ca="1">_xll.DBRW($B$3,L$6,$B$5,$B$4,$B$6,L$7,$B$9,L$4,L$5,$A24)*L$8</f>
        <v>0</v>
      </c>
      <c r="M24" s="160">
        <f ca="1">_xll.DBRW($B$3,M$6,$B$5,$B$4,$B$6,M$7,$B$9,M$4,M$5,$A24)*M$8</f>
        <v>0</v>
      </c>
      <c r="N24" s="160">
        <f ca="1">_xll.DBRW($B$3,N$6,$B$5,$B$4,$B$6,N$7,$B$9,N$4,N$5,$A24)*N$8</f>
        <v>0</v>
      </c>
      <c r="O24" s="161">
        <f t="shared" ca="1" si="6"/>
        <v>0</v>
      </c>
      <c r="P24" s="161">
        <f t="shared" ca="1" si="7"/>
        <v>0</v>
      </c>
      <c r="Q24" s="99"/>
      <c r="R24" s="160">
        <f ca="1">_xll.DBRW($B$3,R$6,$B$5,$B$4,$B$6,R$7,$B$9,R$4,R$5,$A24)*R$8</f>
        <v>0</v>
      </c>
      <c r="S24" s="160">
        <f ca="1">_xll.DBRW($B$3,S$6,$B$5,$B$4,$B$6,S$7,$B$9,S$4,S$5,$A24)*S$8</f>
        <v>0</v>
      </c>
      <c r="T24" s="160">
        <f ca="1">_xll.DBRW($B$3,T$6,$B$5,$B$4,$B$6,T$7,$B$9,T$4,T$5,$A24)*T$8</f>
        <v>0</v>
      </c>
      <c r="U24" s="161">
        <f t="shared" ca="1" si="8"/>
        <v>0</v>
      </c>
      <c r="V24" s="161">
        <f t="shared" ca="1" si="9"/>
        <v>0</v>
      </c>
      <c r="W24" s="99"/>
      <c r="X24" s="160">
        <f t="shared" ca="1" si="10"/>
        <v>0</v>
      </c>
      <c r="Y24" s="160">
        <f t="shared" ca="1" si="11"/>
        <v>0</v>
      </c>
      <c r="Z24" s="160">
        <f t="shared" ca="1" si="12"/>
        <v>0</v>
      </c>
      <c r="AA24" s="161">
        <f t="shared" ca="1" si="13"/>
        <v>0</v>
      </c>
      <c r="AB24" s="161">
        <f t="shared" ca="1" si="14"/>
        <v>0</v>
      </c>
      <c r="AC24" s="99"/>
      <c r="AD24" s="162">
        <f ca="1">_xll.DBRW($B$3,AD$6,$B$5,$B$4,$B$6,AD$7,$B$9,AD$4,AD$5,$A24)*AD$8</f>
        <v>0</v>
      </c>
      <c r="AE24" s="160">
        <f ca="1">_xll.DBRW($B$3,AE$6,$B$5,$B$4,$B$6,AE$7,$B$9,AE$4,AE$5,$A24)*AE$8</f>
        <v>0</v>
      </c>
      <c r="AF24" s="163">
        <f ca="1">_xll.DBRW($B$3,AF$6,$B$5,$B$4,$B$6,AF$7,$B$9,AF$4,AF$5,$A24)*AF$8</f>
        <v>0</v>
      </c>
      <c r="AG24" s="161">
        <f t="shared" ca="1" si="15"/>
        <v>0</v>
      </c>
      <c r="AH24" s="164">
        <f t="shared" ca="1" si="16"/>
        <v>0</v>
      </c>
    </row>
    <row r="25" spans="1:34" s="165" customFormat="1" ht="17.25" customHeight="1">
      <c r="A25" s="158" t="s">
        <v>57</v>
      </c>
      <c r="B25" s="159"/>
      <c r="C25" s="159"/>
      <c r="D25" s="99" t="str">
        <f ca="1">_xll.DBRA("tango_core_model:indicator",A25,Language)</f>
        <v>Coût Gaz</v>
      </c>
      <c r="E25" s="99"/>
      <c r="F25" s="160">
        <f ca="1">_xll.DBRW($B$3,F$6,$B$5,$B$4,$B$6,F$7,$B$9,F$4,F$5,$A25)*F$8</f>
        <v>0</v>
      </c>
      <c r="G25" s="160">
        <f ca="1">_xll.DBRW($B$3,G$6,$B$5,$B$4,$B$6,G$7,$B$9,G$4,G$5,$A25)*G$8</f>
        <v>0</v>
      </c>
      <c r="H25" s="160">
        <f ca="1">_xll.DBRW($B$3,H$6,$B$5,$B$4,$B$6,H$7,$B$9,H$4,H$5,$A25)*H$8</f>
        <v>0</v>
      </c>
      <c r="I25" s="161">
        <f t="shared" ca="1" si="4"/>
        <v>0</v>
      </c>
      <c r="J25" s="161">
        <f t="shared" ca="1" si="5"/>
        <v>0</v>
      </c>
      <c r="K25" s="99"/>
      <c r="L25" s="160">
        <f ca="1">_xll.DBRW($B$3,L$6,$B$5,$B$4,$B$6,L$7,$B$9,L$4,L$5,$A25)*L$8</f>
        <v>0</v>
      </c>
      <c r="M25" s="160">
        <f ca="1">_xll.DBRW($B$3,M$6,$B$5,$B$4,$B$6,M$7,$B$9,M$4,M$5,$A25)*M$8</f>
        <v>0</v>
      </c>
      <c r="N25" s="160">
        <f ca="1">_xll.DBRW($B$3,N$6,$B$5,$B$4,$B$6,N$7,$B$9,N$4,N$5,$A25)*N$8</f>
        <v>0</v>
      </c>
      <c r="O25" s="161">
        <f t="shared" ca="1" si="6"/>
        <v>0</v>
      </c>
      <c r="P25" s="161">
        <f t="shared" ca="1" si="7"/>
        <v>0</v>
      </c>
      <c r="Q25" s="99"/>
      <c r="R25" s="160">
        <f ca="1">_xll.DBRW($B$3,R$6,$B$5,$B$4,$B$6,R$7,$B$9,R$4,R$5,$A25)*R$8</f>
        <v>0</v>
      </c>
      <c r="S25" s="160">
        <f ca="1">_xll.DBRW($B$3,S$6,$B$5,$B$4,$B$6,S$7,$B$9,S$4,S$5,$A25)*S$8</f>
        <v>0</v>
      </c>
      <c r="T25" s="160">
        <f ca="1">_xll.DBRW($B$3,T$6,$B$5,$B$4,$B$6,T$7,$B$9,T$4,T$5,$A25)*T$8</f>
        <v>0</v>
      </c>
      <c r="U25" s="161">
        <f t="shared" ca="1" si="8"/>
        <v>0</v>
      </c>
      <c r="V25" s="161">
        <f t="shared" ca="1" si="9"/>
        <v>0</v>
      </c>
      <c r="W25" s="99"/>
      <c r="X25" s="160">
        <f t="shared" ca="1" si="10"/>
        <v>0</v>
      </c>
      <c r="Y25" s="160">
        <f t="shared" ca="1" si="11"/>
        <v>0</v>
      </c>
      <c r="Z25" s="160">
        <f t="shared" ca="1" si="12"/>
        <v>0</v>
      </c>
      <c r="AA25" s="161">
        <f t="shared" ca="1" si="13"/>
        <v>0</v>
      </c>
      <c r="AB25" s="161">
        <f t="shared" ca="1" si="14"/>
        <v>0</v>
      </c>
      <c r="AC25" s="99"/>
      <c r="AD25" s="162">
        <f ca="1">_xll.DBRW($B$3,AD$6,$B$5,$B$4,$B$6,AD$7,$B$9,AD$4,AD$5,$A25)*AD$8</f>
        <v>0</v>
      </c>
      <c r="AE25" s="160">
        <f ca="1">_xll.DBRW($B$3,AE$6,$B$5,$B$4,$B$6,AE$7,$B$9,AE$4,AE$5,$A25)*AE$8</f>
        <v>0</v>
      </c>
      <c r="AF25" s="163">
        <f ca="1">_xll.DBRW($B$3,AF$6,$B$5,$B$4,$B$6,AF$7,$B$9,AF$4,AF$5,$A25)*AF$8</f>
        <v>0</v>
      </c>
      <c r="AG25" s="161">
        <f t="shared" ca="1" si="15"/>
        <v>0</v>
      </c>
      <c r="AH25" s="164">
        <f t="shared" ca="1" si="16"/>
        <v>0</v>
      </c>
    </row>
    <row r="26" spans="1:34" s="165" customFormat="1" ht="17.25" customHeight="1">
      <c r="A26" s="158" t="s">
        <v>58</v>
      </c>
      <c r="B26" s="159"/>
      <c r="C26" s="159"/>
      <c r="D26" s="99" t="str">
        <f ca="1">_xll.DBRA("tango_core_model:indicator",A26,Language)</f>
        <v>Electricité</v>
      </c>
      <c r="E26" s="99"/>
      <c r="F26" s="160">
        <f ca="1">_xll.DBRW($B$3,F$6,$B$5,$B$4,$B$6,F$7,$B$9,F$4,F$5,$A26)*F$8</f>
        <v>0</v>
      </c>
      <c r="G26" s="160">
        <f ca="1">_xll.DBRW($B$3,G$6,$B$5,$B$4,$B$6,G$7,$B$9,G$4,G$5,$A26)*G$8</f>
        <v>0</v>
      </c>
      <c r="H26" s="160">
        <f ca="1">_xll.DBRW($B$3,H$6,$B$5,$B$4,$B$6,H$7,$B$9,H$4,H$5,$A26)*H$8</f>
        <v>0</v>
      </c>
      <c r="I26" s="161">
        <f t="shared" ca="1" si="4"/>
        <v>0</v>
      </c>
      <c r="J26" s="161">
        <f t="shared" ca="1" si="5"/>
        <v>0</v>
      </c>
      <c r="K26" s="99"/>
      <c r="L26" s="160">
        <f ca="1">_xll.DBRW($B$3,L$6,$B$5,$B$4,$B$6,L$7,$B$9,L$4,L$5,$A26)*L$8</f>
        <v>0</v>
      </c>
      <c r="M26" s="160">
        <f ca="1">_xll.DBRW($B$3,M$6,$B$5,$B$4,$B$6,M$7,$B$9,M$4,M$5,$A26)*M$8</f>
        <v>0</v>
      </c>
      <c r="N26" s="160">
        <f ca="1">_xll.DBRW($B$3,N$6,$B$5,$B$4,$B$6,N$7,$B$9,N$4,N$5,$A26)*N$8</f>
        <v>0</v>
      </c>
      <c r="O26" s="161">
        <f t="shared" ca="1" si="6"/>
        <v>0</v>
      </c>
      <c r="P26" s="161">
        <f t="shared" ca="1" si="7"/>
        <v>0</v>
      </c>
      <c r="Q26" s="99"/>
      <c r="R26" s="160">
        <f ca="1">_xll.DBRW($B$3,R$6,$B$5,$B$4,$B$6,R$7,$B$9,R$4,R$5,$A26)*R$8</f>
        <v>0</v>
      </c>
      <c r="S26" s="160">
        <f ca="1">_xll.DBRW($B$3,S$6,$B$5,$B$4,$B$6,S$7,$B$9,S$4,S$5,$A26)*S$8</f>
        <v>0</v>
      </c>
      <c r="T26" s="160">
        <f ca="1">_xll.DBRW($B$3,T$6,$B$5,$B$4,$B$6,T$7,$B$9,T$4,T$5,$A26)*T$8</f>
        <v>0</v>
      </c>
      <c r="U26" s="161">
        <f t="shared" ca="1" si="8"/>
        <v>0</v>
      </c>
      <c r="V26" s="161">
        <f t="shared" ca="1" si="9"/>
        <v>0</v>
      </c>
      <c r="W26" s="99"/>
      <c r="X26" s="160">
        <f t="shared" ca="1" si="10"/>
        <v>0</v>
      </c>
      <c r="Y26" s="160">
        <f t="shared" ca="1" si="11"/>
        <v>0</v>
      </c>
      <c r="Z26" s="160">
        <f t="shared" ca="1" si="12"/>
        <v>0</v>
      </c>
      <c r="AA26" s="161">
        <f t="shared" ca="1" si="13"/>
        <v>0</v>
      </c>
      <c r="AB26" s="161">
        <f t="shared" ca="1" si="14"/>
        <v>0</v>
      </c>
      <c r="AC26" s="99"/>
      <c r="AD26" s="162">
        <f ca="1">_xll.DBRW($B$3,AD$6,$B$5,$B$4,$B$6,AD$7,$B$9,AD$4,AD$5,$A26)*AD$8</f>
        <v>0</v>
      </c>
      <c r="AE26" s="160">
        <f ca="1">_xll.DBRW($B$3,AE$6,$B$5,$B$4,$B$6,AE$7,$B$9,AE$4,AE$5,$A26)*AE$8</f>
        <v>0</v>
      </c>
      <c r="AF26" s="163">
        <f ca="1">_xll.DBRW($B$3,AF$6,$B$5,$B$4,$B$6,AF$7,$B$9,AF$4,AF$5,$A26)*AF$8</f>
        <v>0</v>
      </c>
      <c r="AG26" s="161">
        <f t="shared" ca="1" si="15"/>
        <v>0</v>
      </c>
      <c r="AH26" s="164">
        <f t="shared" ca="1" si="16"/>
        <v>0</v>
      </c>
    </row>
    <row r="27" spans="1:34" s="165" customFormat="1" ht="17.25" customHeight="1">
      <c r="A27" s="179" t="s">
        <v>59</v>
      </c>
      <c r="B27" s="159"/>
      <c r="C27" s="159"/>
      <c r="D27" s="99" t="str">
        <f>IF(Language="French","Autres","Other")</f>
        <v>Autres</v>
      </c>
      <c r="E27" s="99"/>
      <c r="F27" s="160">
        <f ca="1">F19-SUM(F21:F26)</f>
        <v>0</v>
      </c>
      <c r="G27" s="160">
        <f ca="1">G19-SUM(G21:G26)</f>
        <v>0</v>
      </c>
      <c r="H27" s="160">
        <f ca="1">H19-SUM(H21:H26)</f>
        <v>0</v>
      </c>
      <c r="I27" s="161">
        <f t="shared" ca="1" si="4"/>
        <v>0</v>
      </c>
      <c r="J27" s="161">
        <f t="shared" ca="1" si="5"/>
        <v>0</v>
      </c>
      <c r="K27" s="99"/>
      <c r="L27" s="160">
        <f ca="1">L19-SUM(L21:L26)</f>
        <v>0</v>
      </c>
      <c r="M27" s="160">
        <f ca="1">M19-SUM(M21:M26)</f>
        <v>0</v>
      </c>
      <c r="N27" s="160">
        <f ca="1">N19-SUM(N21:N26)</f>
        <v>0</v>
      </c>
      <c r="O27" s="161">
        <f t="shared" ca="1" si="6"/>
        <v>0</v>
      </c>
      <c r="P27" s="161">
        <f t="shared" ca="1" si="7"/>
        <v>0</v>
      </c>
      <c r="Q27" s="99"/>
      <c r="R27" s="160">
        <f ca="1">R19-SUM(R21:R26)</f>
        <v>0</v>
      </c>
      <c r="S27" s="160">
        <f ca="1">S19-SUM(S21:S26)</f>
        <v>0</v>
      </c>
      <c r="T27" s="160">
        <f ca="1">T19-SUM(T21:T26)</f>
        <v>0</v>
      </c>
      <c r="U27" s="161">
        <f t="shared" ca="1" si="8"/>
        <v>0</v>
      </c>
      <c r="V27" s="161">
        <f t="shared" ca="1" si="9"/>
        <v>0</v>
      </c>
      <c r="W27" s="99"/>
      <c r="X27" s="160">
        <f t="shared" ca="1" si="10"/>
        <v>0</v>
      </c>
      <c r="Y27" s="160">
        <f t="shared" ca="1" si="11"/>
        <v>0</v>
      </c>
      <c r="Z27" s="160">
        <f t="shared" ca="1" si="12"/>
        <v>0</v>
      </c>
      <c r="AA27" s="161">
        <f t="shared" ca="1" si="13"/>
        <v>0</v>
      </c>
      <c r="AB27" s="161">
        <f t="shared" ca="1" si="14"/>
        <v>0</v>
      </c>
      <c r="AC27" s="99"/>
      <c r="AD27" s="162">
        <f ca="1">AD19-SUM(AD21:AD26)</f>
        <v>0</v>
      </c>
      <c r="AE27" s="160">
        <f ca="1">AE19-SUM(AE21:AE26)</f>
        <v>0</v>
      </c>
      <c r="AF27" s="163">
        <f ca="1">AF19-SUM(AF21:AF26)</f>
        <v>0</v>
      </c>
      <c r="AG27" s="161">
        <f t="shared" ca="1" si="15"/>
        <v>0</v>
      </c>
      <c r="AH27" s="164">
        <f t="shared" ca="1" si="16"/>
        <v>0</v>
      </c>
    </row>
    <row r="28" spans="1:34" s="187" customFormat="1" ht="17.25" customHeight="1">
      <c r="A28" s="180" t="s">
        <v>52</v>
      </c>
      <c r="B28" s="181" t="s">
        <v>60</v>
      </c>
      <c r="C28" s="181" t="s">
        <v>99</v>
      </c>
      <c r="D28" s="102" t="str">
        <f ca="1">_xll.DBRA("tango_core_model:indicator",A28,Language)&amp;"(K)"</f>
        <v>Consommation de carburant (litres)(K)</v>
      </c>
      <c r="E28" s="102"/>
      <c r="F28" s="182">
        <f ca="1">_xll.DBRW($B$3,F$6,$C28,$B28,$B$6,F$7,$B$9,F$4,F$5,$A28)</f>
        <v>0</v>
      </c>
      <c r="G28" s="182">
        <f ca="1">_xll.DBRW($B$3,G$6,$C28,$B28,$B$6,G$7,$B$9,G$4,G$5,$A28)</f>
        <v>0</v>
      </c>
      <c r="H28" s="182">
        <f ca="1">_xll.DBRW($B$3,H$6,$C28,$B28,$B$6,H$7,$B$9,H$4,H$5,$A28)</f>
        <v>0</v>
      </c>
      <c r="I28" s="183">
        <f t="shared" ca="1" si="4"/>
        <v>0</v>
      </c>
      <c r="J28" s="183">
        <f t="shared" ca="1" si="5"/>
        <v>0</v>
      </c>
      <c r="K28" s="102"/>
      <c r="L28" s="182">
        <f ca="1">_xll.DBRW($B$3,L$6,$C28,$B28,$B$6,L$7,$B$9,L$4,L$5,$A28)</f>
        <v>0</v>
      </c>
      <c r="M28" s="182">
        <f ca="1">_xll.DBRW($B$3,M$6,$C28,$B28,$B$6,M$7,$B$9,M$4,M$5,$A28)</f>
        <v>0</v>
      </c>
      <c r="N28" s="182">
        <f ca="1">_xll.DBRW($B$3,N$6,$C28,$B28,$B$6,N$7,$B$9,N$4,N$5,$A28)</f>
        <v>0</v>
      </c>
      <c r="O28" s="183">
        <f t="shared" ca="1" si="6"/>
        <v>0</v>
      </c>
      <c r="P28" s="183">
        <f t="shared" ca="1" si="7"/>
        <v>0</v>
      </c>
      <c r="Q28" s="102"/>
      <c r="R28" s="182">
        <f ca="1">_xll.DBRW($B$3,R$6,$C28,$B28,$B$6,R$7,$B$9,R$4,R$5,$A28)</f>
        <v>0</v>
      </c>
      <c r="S28" s="182">
        <f ca="1">_xll.DBRW($B$3,S$6,$C28,$B28,$B$6,S$7,$B$9,S$4,S$5,$A28)</f>
        <v>0</v>
      </c>
      <c r="T28" s="182">
        <f ca="1">_xll.DBRW($B$3,T$6,$C28,$B28,$B$6,T$7,$B$9,T$4,T$5,$A28)</f>
        <v>0</v>
      </c>
      <c r="U28" s="183">
        <f t="shared" ca="1" si="8"/>
        <v>0</v>
      </c>
      <c r="V28" s="183">
        <f t="shared" ca="1" si="9"/>
        <v>0</v>
      </c>
      <c r="W28" s="102"/>
      <c r="X28" s="182">
        <f t="shared" ca="1" si="10"/>
        <v>0</v>
      </c>
      <c r="Y28" s="182">
        <f t="shared" ca="1" si="11"/>
        <v>0</v>
      </c>
      <c r="Z28" s="182">
        <f t="shared" ca="1" si="12"/>
        <v>0</v>
      </c>
      <c r="AA28" s="183">
        <f t="shared" ca="1" si="13"/>
        <v>0</v>
      </c>
      <c r="AB28" s="183">
        <f t="shared" ca="1" si="14"/>
        <v>0</v>
      </c>
      <c r="AC28" s="102"/>
      <c r="AD28" s="184">
        <f ca="1">_xll.DBRW($B$3,AD$6,$C28,$B28,$B$6,AD$7,$B$9,AD$4,AD$5,$A28)</f>
        <v>0</v>
      </c>
      <c r="AE28" s="182">
        <f ca="1">_xll.DBRW($B$3,AE$6,$C28,$B28,$B$6,AE$7,$B$9,AE$4,AE$5,$A28)</f>
        <v>0</v>
      </c>
      <c r="AF28" s="185">
        <f ca="1">_xll.DBRW($B$3,AF$6,$C28,$B28,$B$6,AF$7,$B$9,AF$4,AF$5,$A28)</f>
        <v>0</v>
      </c>
      <c r="AG28" s="183">
        <f t="shared" ca="1" si="15"/>
        <v>0</v>
      </c>
      <c r="AH28" s="186">
        <f t="shared" ca="1" si="16"/>
        <v>0</v>
      </c>
    </row>
    <row r="29" spans="1:34" s="194" customFormat="1" ht="17.25" customHeight="1">
      <c r="A29" s="188" t="s">
        <v>59</v>
      </c>
      <c r="B29" s="189"/>
      <c r="C29" s="189"/>
      <c r="D29" s="103" t="str">
        <f>IF(Language="French","Prix au litre","Price per liter")</f>
        <v>Prix au litre</v>
      </c>
      <c r="E29" s="103"/>
      <c r="F29" s="190" t="str">
        <f ca="1">IF(OR(F21=0,F28=0),"-",F21/F28)</f>
        <v>-</v>
      </c>
      <c r="G29" s="190" t="str">
        <f t="shared" ref="G29:H29" ca="1" si="17">IF(OR(G21=0,G28=0),"-",G21/G28)</f>
        <v>-</v>
      </c>
      <c r="H29" s="190" t="str">
        <f t="shared" ca="1" si="17"/>
        <v>-</v>
      </c>
      <c r="I29" s="190" t="str">
        <f t="shared" ca="1" si="4"/>
        <v/>
      </c>
      <c r="J29" s="190" t="str">
        <f t="shared" ca="1" si="5"/>
        <v/>
      </c>
      <c r="K29" s="191"/>
      <c r="L29" s="190" t="str">
        <f t="shared" ref="L29:N29" ca="1" si="18">IF(OR(L21=0,L28=0),"-",L21/L28)</f>
        <v>-</v>
      </c>
      <c r="M29" s="190" t="str">
        <f t="shared" ca="1" si="18"/>
        <v>-</v>
      </c>
      <c r="N29" s="190" t="str">
        <f t="shared" ca="1" si="18"/>
        <v>-</v>
      </c>
      <c r="O29" s="190" t="str">
        <f t="shared" ca="1" si="6"/>
        <v/>
      </c>
      <c r="P29" s="190" t="str">
        <f t="shared" ca="1" si="7"/>
        <v/>
      </c>
      <c r="Q29" s="191"/>
      <c r="R29" s="190" t="str">
        <f t="shared" ref="R29:T29" ca="1" si="19">IF(OR(R21=0,R28=0),"-",R21/R28)</f>
        <v>-</v>
      </c>
      <c r="S29" s="190" t="str">
        <f t="shared" ca="1" si="19"/>
        <v>-</v>
      </c>
      <c r="T29" s="190" t="str">
        <f t="shared" ca="1" si="19"/>
        <v>-</v>
      </c>
      <c r="U29" s="190" t="str">
        <f t="shared" ca="1" si="8"/>
        <v/>
      </c>
      <c r="V29" s="190" t="str">
        <f t="shared" ca="1" si="9"/>
        <v/>
      </c>
      <c r="W29" s="191"/>
      <c r="X29" s="190" t="str">
        <f t="shared" ref="X29:Z29" ca="1" si="20">IF(OR(X21=0,X28=0),"-",X21/X28)</f>
        <v>-</v>
      </c>
      <c r="Y29" s="190" t="str">
        <f t="shared" ca="1" si="20"/>
        <v>-</v>
      </c>
      <c r="Z29" s="190" t="str">
        <f t="shared" ca="1" si="20"/>
        <v>-</v>
      </c>
      <c r="AA29" s="190" t="str">
        <f t="shared" ca="1" si="13"/>
        <v/>
      </c>
      <c r="AB29" s="190" t="str">
        <f t="shared" ca="1" si="14"/>
        <v/>
      </c>
      <c r="AC29" s="191"/>
      <c r="AD29" s="192" t="str">
        <f t="shared" ref="AD29:AF29" ca="1" si="21">IF(OR(AD21=0,AD28=0),"-",AD21/AD28)</f>
        <v>-</v>
      </c>
      <c r="AE29" s="190" t="str">
        <f t="shared" ca="1" si="21"/>
        <v>-</v>
      </c>
      <c r="AF29" s="193" t="str">
        <f t="shared" ca="1" si="21"/>
        <v>-</v>
      </c>
      <c r="AG29" s="190" t="str">
        <f t="shared" ca="1" si="15"/>
        <v/>
      </c>
      <c r="AH29" s="193" t="str">
        <f t="shared" ca="1" si="16"/>
        <v/>
      </c>
    </row>
    <row r="30" spans="1:34" s="187" customFormat="1" ht="17.25" customHeight="1">
      <c r="A30" s="180" t="s">
        <v>51</v>
      </c>
      <c r="B30" s="181" t="s">
        <v>60</v>
      </c>
      <c r="C30" s="181" t="s">
        <v>99</v>
      </c>
      <c r="D30" s="102" t="str">
        <f ca="1">_xll.DBRA("tango_core_model:indicator",A30,Language)&amp;"(K)"</f>
        <v>Total KM en propre(K)</v>
      </c>
      <c r="E30" s="102"/>
      <c r="F30" s="182">
        <f ca="1">_xll.DBRW($B$3,F$6,$C30,$B30,$B$6,F$7,$B$9,F$4,F$5,$A30)</f>
        <v>0</v>
      </c>
      <c r="G30" s="182">
        <f ca="1">_xll.DBRW($B$3,G$6,$C30,$B30,$B$6,G$7,$B$9,G$4,G$5,$A30)</f>
        <v>0</v>
      </c>
      <c r="H30" s="182">
        <f ca="1">_xll.DBRW($B$3,H$6,$C30,$B30,$B$6,H$7,$B$9,H$4,H$5,$A30)</f>
        <v>0</v>
      </c>
      <c r="I30" s="183">
        <f t="shared" ca="1" si="4"/>
        <v>0</v>
      </c>
      <c r="J30" s="183">
        <f t="shared" ca="1" si="5"/>
        <v>0</v>
      </c>
      <c r="K30" s="102"/>
      <c r="L30" s="182">
        <f ca="1">_xll.DBRW($B$3,L$6,$C30,$B30,$B$6,L$7,$B$9,L$4,L$5,$A30)</f>
        <v>0</v>
      </c>
      <c r="M30" s="182">
        <f ca="1">_xll.DBRW($B$3,M$6,$C30,$B30,$B$6,M$7,$B$9,M$4,M$5,$A30)</f>
        <v>0</v>
      </c>
      <c r="N30" s="182">
        <f ca="1">_xll.DBRW($B$3,N$6,$C30,$B30,$B$6,N$7,$B$9,N$4,N$5,$A30)</f>
        <v>0</v>
      </c>
      <c r="O30" s="183">
        <f t="shared" ca="1" si="6"/>
        <v>0</v>
      </c>
      <c r="P30" s="183">
        <f t="shared" ca="1" si="7"/>
        <v>0</v>
      </c>
      <c r="Q30" s="102"/>
      <c r="R30" s="182">
        <f ca="1">_xll.DBRW($B$3,R$6,$C30,$B30,$B$6,R$7,$B$9,R$4,R$5,$A30)</f>
        <v>0</v>
      </c>
      <c r="S30" s="182">
        <f ca="1">_xll.DBRW($B$3,S$6,$C30,$B30,$B$6,S$7,$B$9,S$4,S$5,$A30)</f>
        <v>0</v>
      </c>
      <c r="T30" s="182">
        <f ca="1">_xll.DBRW($B$3,T$6,$C30,$B30,$B$6,T$7,$B$9,T$4,T$5,$A30)</f>
        <v>0</v>
      </c>
      <c r="U30" s="183">
        <f t="shared" ca="1" si="8"/>
        <v>0</v>
      </c>
      <c r="V30" s="183">
        <f t="shared" ca="1" si="9"/>
        <v>0</v>
      </c>
      <c r="W30" s="102"/>
      <c r="X30" s="182">
        <f t="shared" ref="X30" ca="1" si="22">AD30-(F30+L30+R30)</f>
        <v>0</v>
      </c>
      <c r="Y30" s="182">
        <f t="shared" ref="Y30" ca="1" si="23">AE30-(G30+M30+S30)</f>
        <v>0</v>
      </c>
      <c r="Z30" s="182">
        <f t="shared" ref="Z30" ca="1" si="24">AF30-(H30+N30+T30)</f>
        <v>0</v>
      </c>
      <c r="AA30" s="183">
        <f t="shared" ca="1" si="13"/>
        <v>0</v>
      </c>
      <c r="AB30" s="183">
        <f t="shared" ca="1" si="14"/>
        <v>0</v>
      </c>
      <c r="AC30" s="102"/>
      <c r="AD30" s="184">
        <f ca="1">_xll.DBRW($B$3,AD$6,$C30,$B30,$B$6,AD$7,$B$9,AD$4,AD$5,$A30)</f>
        <v>0</v>
      </c>
      <c r="AE30" s="182">
        <f ca="1">_xll.DBRW($B$3,AE$6,$C30,$B30,$B$6,AE$7,$B$9,AE$4,AE$5,$A30)</f>
        <v>0</v>
      </c>
      <c r="AF30" s="185">
        <f ca="1">_xll.DBRW($B$3,AF$6,$C30,$B30,$B$6,AF$7,$B$9,AF$4,AF$5,$A30)</f>
        <v>0</v>
      </c>
      <c r="AG30" s="183">
        <f t="shared" ca="1" si="15"/>
        <v>0</v>
      </c>
      <c r="AH30" s="186">
        <f t="shared" ca="1" si="16"/>
        <v>0</v>
      </c>
    </row>
    <row r="31" spans="1:34" s="200" customFormat="1" ht="17.25" customHeight="1" thickBot="1">
      <c r="A31" s="179" t="s">
        <v>59</v>
      </c>
      <c r="B31" s="195"/>
      <c r="C31" s="195"/>
      <c r="D31" s="104" t="str">
        <f>IF(Language="French","Consommation au 100 Km","Consumption per 100 Km")</f>
        <v>Consommation au 100 Km</v>
      </c>
      <c r="E31" s="104"/>
      <c r="F31" s="196" t="str">
        <f ca="1">IF(OR(F28=0,F30=0),"-",(F28/F30)*100)</f>
        <v>-</v>
      </c>
      <c r="G31" s="196" t="str">
        <f t="shared" ref="G31:H31" ca="1" si="25">IF(OR(G28=0,G30=0),"-",(G28/G30)*100)</f>
        <v>-</v>
      </c>
      <c r="H31" s="196" t="str">
        <f t="shared" ca="1" si="25"/>
        <v>-</v>
      </c>
      <c r="I31" s="196" t="str">
        <f t="shared" ca="1" si="4"/>
        <v/>
      </c>
      <c r="J31" s="196" t="str">
        <f t="shared" ca="1" si="5"/>
        <v/>
      </c>
      <c r="K31" s="104"/>
      <c r="L31" s="196" t="str">
        <f ca="1">IF(OR(L28=0,L30=0),"-",(L28/L30)*100)</f>
        <v>-</v>
      </c>
      <c r="M31" s="196" t="str">
        <f t="shared" ref="M31" ca="1" si="26">IF(OR(M28=0,M30=0),"-",(M28/M30)*100)</f>
        <v>-</v>
      </c>
      <c r="N31" s="196" t="str">
        <f t="shared" ref="N31" ca="1" si="27">IF(OR(N28=0,N30=0),"-",(N28/N30)*100)</f>
        <v>-</v>
      </c>
      <c r="O31" s="196" t="str">
        <f t="shared" ca="1" si="6"/>
        <v/>
      </c>
      <c r="P31" s="196" t="str">
        <f t="shared" ca="1" si="7"/>
        <v/>
      </c>
      <c r="Q31" s="104"/>
      <c r="R31" s="196" t="str">
        <f ca="1">IF(OR(R28=0,R30=0),"-",(R28/R30)*100)</f>
        <v>-</v>
      </c>
      <c r="S31" s="196" t="str">
        <f t="shared" ref="S31" ca="1" si="28">IF(OR(S28=0,S30=0),"-",(S28/S30)*100)</f>
        <v>-</v>
      </c>
      <c r="T31" s="196" t="str">
        <f t="shared" ref="T31" ca="1" si="29">IF(OR(T28=0,T30=0),"-",(T28/T30)*100)</f>
        <v>-</v>
      </c>
      <c r="U31" s="196" t="str">
        <f t="shared" ca="1" si="8"/>
        <v/>
      </c>
      <c r="V31" s="196" t="str">
        <f t="shared" ca="1" si="9"/>
        <v/>
      </c>
      <c r="W31" s="104"/>
      <c r="X31" s="196" t="str">
        <f ca="1">IF(OR(X28=0,X30=0),"-",(X28/X30)*100)</f>
        <v>-</v>
      </c>
      <c r="Y31" s="196" t="str">
        <f t="shared" ref="Y31" ca="1" si="30">IF(OR(Y28=0,Y30=0),"-",(Y28/Y30)*100)</f>
        <v>-</v>
      </c>
      <c r="Z31" s="196" t="str">
        <f t="shared" ref="Z31" ca="1" si="31">IF(OR(Z28=0,Z30=0),"-",(Z28/Z30)*100)</f>
        <v>-</v>
      </c>
      <c r="AA31" s="196" t="str">
        <f t="shared" ca="1" si="13"/>
        <v/>
      </c>
      <c r="AB31" s="196" t="str">
        <f t="shared" ca="1" si="14"/>
        <v/>
      </c>
      <c r="AC31" s="104"/>
      <c r="AD31" s="197" t="str">
        <f ca="1">IF(OR(AD28=0,AD30=0),"-",(AD28/AD30)*100)</f>
        <v>-</v>
      </c>
      <c r="AE31" s="198" t="str">
        <f t="shared" ref="AE31" ca="1" si="32">IF(OR(AE28=0,AE30=0),"-",(AE28/AE30)*100)</f>
        <v>-</v>
      </c>
      <c r="AF31" s="199" t="str">
        <f t="shared" ref="AF31" ca="1" si="33">IF(OR(AF28=0,AF30=0),"-",(AF28/AF30)*100)</f>
        <v>-</v>
      </c>
      <c r="AG31" s="198" t="str">
        <f t="shared" ca="1" si="15"/>
        <v/>
      </c>
      <c r="AH31" s="199" t="str">
        <f t="shared" ca="1" si="16"/>
        <v/>
      </c>
    </row>
    <row r="32" spans="1:34" ht="13.5" thickTop="1"/>
    <row r="33" spans="1:35" s="105" customFormat="1">
      <c r="C33" s="201"/>
      <c r="E33" s="201"/>
      <c r="G33" s="202"/>
      <c r="H33" s="202"/>
      <c r="I33" s="115"/>
      <c r="J33" s="115"/>
      <c r="K33" s="201"/>
      <c r="M33" s="202"/>
      <c r="N33" s="202"/>
      <c r="O33" s="115"/>
      <c r="P33" s="115"/>
      <c r="Q33" s="201"/>
      <c r="S33" s="202"/>
      <c r="T33" s="202"/>
      <c r="U33" s="115"/>
      <c r="V33" s="115"/>
      <c r="W33" s="201"/>
      <c r="Y33" s="202"/>
      <c r="Z33" s="202"/>
      <c r="AA33" s="115"/>
      <c r="AB33" s="115"/>
      <c r="AC33" s="201"/>
      <c r="AE33" s="202"/>
      <c r="AF33" s="202"/>
      <c r="AG33" s="115"/>
      <c r="AH33" s="115"/>
    </row>
    <row r="34" spans="1:35" s="105" customFormat="1" ht="13.5" thickBot="1">
      <c r="C34" s="201"/>
      <c r="E34" s="201"/>
      <c r="F34" s="201"/>
      <c r="G34" s="202"/>
      <c r="H34" s="202"/>
      <c r="I34" s="115"/>
      <c r="J34" s="115"/>
      <c r="K34" s="201"/>
      <c r="L34" s="201"/>
      <c r="M34" s="202"/>
      <c r="N34" s="202"/>
      <c r="O34" s="115"/>
      <c r="P34" s="115"/>
      <c r="Q34" s="201"/>
      <c r="R34" s="201"/>
      <c r="S34" s="202"/>
      <c r="T34" s="202"/>
      <c r="U34" s="115"/>
      <c r="V34" s="115"/>
      <c r="W34" s="201"/>
      <c r="X34" s="201"/>
      <c r="Y34" s="202"/>
      <c r="Z34" s="202"/>
      <c r="AA34" s="115"/>
      <c r="AB34" s="115"/>
      <c r="AC34" s="201"/>
      <c r="AG34" s="202"/>
      <c r="AH34" s="202"/>
      <c r="AI34" s="115"/>
    </row>
    <row r="35" spans="1:35" s="106" customFormat="1" ht="32.25" customHeight="1" thickTop="1" thickBot="1">
      <c r="C35" s="109"/>
      <c r="E35" s="109"/>
      <c r="F35" s="109"/>
      <c r="G35" s="110" t="str">
        <f ca="1">I13</f>
        <v>Var vs BUDG_VC 2019</v>
      </c>
      <c r="H35" s="111" t="str">
        <f ca="1">J13</f>
        <v>Var vs ACT 2018</v>
      </c>
      <c r="I35" s="112"/>
      <c r="J35" s="112"/>
      <c r="K35" s="109"/>
      <c r="L35" s="109"/>
      <c r="M35" s="110" t="str">
        <f ca="1">O13</f>
        <v>Var vs BUDG_VC 2019</v>
      </c>
      <c r="N35" s="111" t="str">
        <f ca="1">P13</f>
        <v>Var vs ACT 2018</v>
      </c>
      <c r="O35" s="112"/>
      <c r="P35" s="112"/>
      <c r="Q35" s="109"/>
      <c r="R35" s="109"/>
      <c r="S35" s="110" t="str">
        <f ca="1">U13</f>
        <v>Var vs BUDG_VC 2019</v>
      </c>
      <c r="T35" s="111" t="str">
        <f ca="1">V13</f>
        <v>Var vs ACT 2018</v>
      </c>
      <c r="U35" s="112"/>
      <c r="V35" s="112"/>
      <c r="W35" s="109"/>
      <c r="X35" s="109"/>
      <c r="Y35" s="110" t="str">
        <f ca="1">AA13</f>
        <v>Var vs BUDG_VC 2019</v>
      </c>
      <c r="Z35" s="111" t="str">
        <f ca="1">AB13</f>
        <v>Var vs ACT 2018</v>
      </c>
      <c r="AA35" s="112"/>
      <c r="AB35" s="112"/>
      <c r="AC35" s="109"/>
      <c r="AD35" s="109"/>
      <c r="AE35" s="113" t="str">
        <f ca="1">AG13</f>
        <v>Var vs BUDG_VC 2019</v>
      </c>
      <c r="AF35" s="114" t="str">
        <f ca="1">AH13</f>
        <v>Var vs ACT 2018</v>
      </c>
      <c r="AI35" s="115"/>
    </row>
    <row r="36" spans="1:35" s="105" customFormat="1">
      <c r="C36" s="201"/>
      <c r="E36" s="201"/>
      <c r="F36" s="201"/>
      <c r="G36" s="202"/>
      <c r="H36" s="202"/>
      <c r="I36" s="115"/>
      <c r="J36" s="115"/>
      <c r="K36" s="201"/>
      <c r="L36" s="201"/>
      <c r="M36" s="202"/>
      <c r="N36" s="202"/>
      <c r="O36" s="115"/>
      <c r="P36" s="115"/>
      <c r="Q36" s="201"/>
      <c r="R36" s="201"/>
      <c r="S36" s="202"/>
      <c r="T36" s="202"/>
      <c r="U36" s="115"/>
      <c r="V36" s="115"/>
      <c r="W36" s="201"/>
      <c r="X36" s="201"/>
      <c r="Y36" s="202"/>
      <c r="Z36" s="202"/>
      <c r="AA36" s="115"/>
      <c r="AB36" s="115"/>
      <c r="AC36" s="201"/>
      <c r="AD36" s="201"/>
      <c r="AE36" s="203"/>
      <c r="AF36" s="204"/>
      <c r="AI36" s="115"/>
    </row>
    <row r="37" spans="1:35" s="157" customFormat="1" ht="26.1" customHeight="1">
      <c r="A37" s="149" t="s">
        <v>59</v>
      </c>
      <c r="B37" s="150"/>
      <c r="C37" s="150"/>
      <c r="D37" s="107" t="str">
        <f>IF(Language="French","Effet Prix","Price Effect")</f>
        <v>Effet Prix</v>
      </c>
      <c r="E37" s="151"/>
      <c r="F37" s="151"/>
      <c r="G37" s="205" t="str">
        <f ca="1">IF(ISERROR((F29-G29)*F28),"-",(F29-G29)*F28)</f>
        <v>-</v>
      </c>
      <c r="H37" s="206" t="str">
        <f ca="1">IF(ISERROR((F29-H29)*F28),"-",(F29-H29)*F28)</f>
        <v>-</v>
      </c>
      <c r="I37" s="153"/>
      <c r="J37" s="153"/>
      <c r="K37" s="151"/>
      <c r="L37" s="151"/>
      <c r="M37" s="205" t="str">
        <f ca="1">IF(ISERROR((L29-M29)*L28),"-",(L29-M29)*L28)</f>
        <v>-</v>
      </c>
      <c r="N37" s="206" t="str">
        <f ca="1">IF(ISERROR((L29-N29)*L28),"-",(L29-N29)*L28)</f>
        <v>-</v>
      </c>
      <c r="O37" s="153"/>
      <c r="P37" s="153"/>
      <c r="Q37" s="151"/>
      <c r="R37" s="151"/>
      <c r="S37" s="205" t="str">
        <f ca="1">IF(ISERROR((R29-S29)*R28),"-",(R29-S29)*R28)</f>
        <v>-</v>
      </c>
      <c r="T37" s="206" t="str">
        <f ca="1">IF(ISERROR((R29-T29)*R28),"-",(R29-T29)*R28)</f>
        <v>-</v>
      </c>
      <c r="U37" s="153"/>
      <c r="V37" s="153"/>
      <c r="W37" s="151"/>
      <c r="X37" s="151"/>
      <c r="Y37" s="205" t="str">
        <f ca="1">IF(ISERROR((X29-Y29)*X28),"-",(X29-Y29)*X28)</f>
        <v>-</v>
      </c>
      <c r="Z37" s="206" t="str">
        <f ca="1">IF(ISERROR((X29-Z29)*X28),"-",(X29-Z29)*X28)</f>
        <v>-</v>
      </c>
      <c r="AA37" s="153"/>
      <c r="AB37" s="153"/>
      <c r="AC37" s="151"/>
      <c r="AD37" s="151"/>
      <c r="AE37" s="207" t="str">
        <f ca="1">IF(ISERROR((AD29-AE29)*AD28),"-",(AD29-AE29)*AD28)</f>
        <v>-</v>
      </c>
      <c r="AF37" s="208" t="str">
        <f ca="1">IF(ISERROR((AD29-AF29)*AD28),"-",(AD29-AF29)*AD28)</f>
        <v>-</v>
      </c>
      <c r="AI37" s="115"/>
    </row>
    <row r="38" spans="1:35" s="108" customFormat="1">
      <c r="C38" s="209"/>
      <c r="E38" s="209"/>
      <c r="F38" s="209"/>
      <c r="G38" s="210"/>
      <c r="H38" s="210"/>
      <c r="I38" s="211"/>
      <c r="J38" s="211"/>
      <c r="K38" s="209"/>
      <c r="L38" s="209"/>
      <c r="M38" s="210"/>
      <c r="N38" s="210"/>
      <c r="O38" s="211"/>
      <c r="P38" s="211"/>
      <c r="Q38" s="209"/>
      <c r="R38" s="209"/>
      <c r="S38" s="210"/>
      <c r="T38" s="210"/>
      <c r="U38" s="211"/>
      <c r="V38" s="211"/>
      <c r="W38" s="209"/>
      <c r="X38" s="209"/>
      <c r="Y38" s="210"/>
      <c r="Z38" s="210"/>
      <c r="AA38" s="211"/>
      <c r="AB38" s="211"/>
      <c r="AC38" s="209"/>
      <c r="AD38" s="209"/>
      <c r="AE38" s="212"/>
      <c r="AF38" s="213"/>
      <c r="AI38" s="211"/>
    </row>
    <row r="39" spans="1:35" s="157" customFormat="1" ht="26.1" customHeight="1">
      <c r="A39" s="149" t="s">
        <v>59</v>
      </c>
      <c r="B39" s="150"/>
      <c r="C39" s="150"/>
      <c r="D39" s="248" t="str">
        <f>IF(Language="French","Effet Volume","Volume Effect")</f>
        <v>Effet Volume</v>
      </c>
      <c r="E39" s="151"/>
      <c r="F39" s="151"/>
      <c r="G39" s="249" t="str">
        <f ca="1">IF(ISERROR((F28-G28)*G29),"-",(F28-G28)*G29)</f>
        <v>-</v>
      </c>
      <c r="H39" s="250" t="str">
        <f ca="1">IF(ISERROR((F28-H28)*H29),"-",(F28-H28)*H29)</f>
        <v>-</v>
      </c>
      <c r="I39" s="153"/>
      <c r="J39" s="153"/>
      <c r="K39" s="151"/>
      <c r="L39" s="151"/>
      <c r="M39" s="249" t="str">
        <f ca="1">IF(ISERROR((L28-M28)*M29),"-",(L28-M28)*M29)</f>
        <v>-</v>
      </c>
      <c r="N39" s="250" t="str">
        <f ca="1">IF(ISERROR((L28-N28)*N29),"-",(L28-N28)*N29)</f>
        <v>-</v>
      </c>
      <c r="O39" s="153"/>
      <c r="P39" s="153"/>
      <c r="Q39" s="151"/>
      <c r="R39" s="151"/>
      <c r="S39" s="249" t="str">
        <f ca="1">IF(ISERROR((R28-S28)*S29),"-",(R28-S28)*S29)</f>
        <v>-</v>
      </c>
      <c r="T39" s="250" t="str">
        <f ca="1">IF(ISERROR((R28-T28)*T29),"-",(R28-T28)*T29)</f>
        <v>-</v>
      </c>
      <c r="U39" s="153"/>
      <c r="V39" s="153"/>
      <c r="W39" s="151"/>
      <c r="X39" s="151"/>
      <c r="Y39" s="249" t="str">
        <f ca="1">IF(ISERROR((X28-Y28)*Y29),"-",(X28-Y28)*Y29)</f>
        <v>-</v>
      </c>
      <c r="Z39" s="250" t="str">
        <f ca="1">IF(ISERROR((X28-Z28)*Z29),"-",(X28-Z28)*Z29)</f>
        <v>-</v>
      </c>
      <c r="AA39" s="153"/>
      <c r="AB39" s="153"/>
      <c r="AC39" s="151"/>
      <c r="AD39" s="151"/>
      <c r="AE39" s="251" t="str">
        <f ca="1">IF(ISERROR((AD28-AE28)*AE29),"-",(AD28-AE28)*AE29)</f>
        <v>-</v>
      </c>
      <c r="AF39" s="252" t="str">
        <f ca="1">IF(ISERROR((AD28-AF28)*AF29),"-",(AD28-AF28)*AF29)</f>
        <v>-</v>
      </c>
      <c r="AI39" s="115"/>
    </row>
    <row r="40" spans="1:35">
      <c r="F40" s="139"/>
      <c r="G40" s="214"/>
      <c r="H40" s="214"/>
      <c r="L40" s="139"/>
      <c r="M40" s="214"/>
      <c r="N40" s="214"/>
      <c r="R40" s="139"/>
      <c r="S40" s="214"/>
      <c r="T40" s="214"/>
      <c r="X40" s="139"/>
      <c r="Y40" s="214"/>
      <c r="Z40" s="214"/>
      <c r="AD40" s="139"/>
      <c r="AE40" s="215"/>
      <c r="AF40" s="216"/>
      <c r="AG40" s="100"/>
      <c r="AH40" s="100"/>
      <c r="AI40" s="115"/>
    </row>
    <row r="41" spans="1:35" s="157" customFormat="1" ht="26.1" customHeight="1">
      <c r="A41" s="149" t="s">
        <v>59</v>
      </c>
      <c r="B41" s="150"/>
      <c r="C41" s="150"/>
      <c r="D41" s="107" t="str">
        <f>IF(Language="French","Effet Indexation","Indexation Effect")</f>
        <v>Effet Indexation</v>
      </c>
      <c r="E41" s="151"/>
      <c r="F41" s="151"/>
      <c r="G41" s="205">
        <f ca="1">I17</f>
        <v>0</v>
      </c>
      <c r="H41" s="206">
        <f ca="1">J17</f>
        <v>0</v>
      </c>
      <c r="I41" s="153"/>
      <c r="J41" s="153"/>
      <c r="K41" s="151"/>
      <c r="L41" s="151"/>
      <c r="M41" s="205">
        <f ca="1">O17</f>
        <v>0</v>
      </c>
      <c r="N41" s="206">
        <f ca="1">P17</f>
        <v>0</v>
      </c>
      <c r="O41" s="153"/>
      <c r="P41" s="153"/>
      <c r="Q41" s="151"/>
      <c r="R41" s="151"/>
      <c r="S41" s="205">
        <f ca="1">U17</f>
        <v>0</v>
      </c>
      <c r="T41" s="206">
        <f ca="1">V17</f>
        <v>0</v>
      </c>
      <c r="U41" s="153"/>
      <c r="V41" s="153"/>
      <c r="W41" s="151"/>
      <c r="X41" s="151"/>
      <c r="Y41" s="205">
        <f ca="1">AA17</f>
        <v>0</v>
      </c>
      <c r="Z41" s="206">
        <f ca="1">AB17</f>
        <v>0</v>
      </c>
      <c r="AA41" s="153"/>
      <c r="AB41" s="153"/>
      <c r="AC41" s="151"/>
      <c r="AD41" s="151"/>
      <c r="AE41" s="207">
        <f ca="1">AG17</f>
        <v>0</v>
      </c>
      <c r="AF41" s="208">
        <f ca="1">AH17</f>
        <v>0</v>
      </c>
      <c r="AI41" s="115"/>
    </row>
    <row r="42" spans="1:35">
      <c r="F42" s="139"/>
      <c r="G42" s="214"/>
      <c r="H42" s="214"/>
      <c r="L42" s="139"/>
      <c r="M42" s="214"/>
      <c r="N42" s="214"/>
      <c r="R42" s="139"/>
      <c r="S42" s="214"/>
      <c r="T42" s="214"/>
      <c r="X42" s="139"/>
      <c r="Y42" s="214"/>
      <c r="Z42" s="214"/>
      <c r="AD42" s="139"/>
      <c r="AE42" s="215"/>
      <c r="AF42" s="216"/>
      <c r="AG42" s="100"/>
      <c r="AH42" s="100"/>
      <c r="AI42" s="115"/>
    </row>
    <row r="43" spans="1:35" s="157" customFormat="1" ht="26.1" customHeight="1">
      <c r="A43" s="149" t="s">
        <v>59</v>
      </c>
      <c r="B43" s="150"/>
      <c r="C43" s="150"/>
      <c r="D43" s="107" t="str">
        <f>IF(Language="French","Effet Couverture","Hedging Effect")</f>
        <v>Effet Couverture</v>
      </c>
      <c r="E43" s="151"/>
      <c r="F43" s="151"/>
      <c r="G43" s="205">
        <f ca="1">I22</f>
        <v>0</v>
      </c>
      <c r="H43" s="206">
        <f ca="1">J22</f>
        <v>0</v>
      </c>
      <c r="I43" s="153"/>
      <c r="J43" s="153"/>
      <c r="K43" s="151"/>
      <c r="L43" s="151"/>
      <c r="M43" s="205">
        <f ca="1">O22</f>
        <v>0</v>
      </c>
      <c r="N43" s="206">
        <f ca="1">P22</f>
        <v>0</v>
      </c>
      <c r="O43" s="153"/>
      <c r="P43" s="153"/>
      <c r="Q43" s="151"/>
      <c r="R43" s="151"/>
      <c r="S43" s="205">
        <f ca="1">U22</f>
        <v>0</v>
      </c>
      <c r="T43" s="206">
        <f ca="1">V22</f>
        <v>0</v>
      </c>
      <c r="U43" s="153"/>
      <c r="V43" s="153"/>
      <c r="W43" s="151"/>
      <c r="X43" s="151"/>
      <c r="Y43" s="205">
        <f ca="1">AA22</f>
        <v>0</v>
      </c>
      <c r="Z43" s="206">
        <f ca="1">AB22</f>
        <v>0</v>
      </c>
      <c r="AA43" s="153"/>
      <c r="AB43" s="153"/>
      <c r="AC43" s="151"/>
      <c r="AD43" s="151"/>
      <c r="AE43" s="207">
        <f ca="1">AG22</f>
        <v>0</v>
      </c>
      <c r="AF43" s="208">
        <f ca="1">AH22</f>
        <v>0</v>
      </c>
      <c r="AI43" s="115"/>
    </row>
    <row r="44" spans="1:35">
      <c r="F44" s="139"/>
      <c r="G44" s="214"/>
      <c r="H44" s="214"/>
      <c r="L44" s="139"/>
      <c r="M44" s="214"/>
      <c r="N44" s="214"/>
      <c r="R44" s="139"/>
      <c r="S44" s="214"/>
      <c r="T44" s="214"/>
      <c r="X44" s="139"/>
      <c r="Y44" s="214"/>
      <c r="Z44" s="214"/>
      <c r="AD44" s="139"/>
      <c r="AE44" s="215"/>
      <c r="AF44" s="216"/>
      <c r="AG44" s="100"/>
      <c r="AH44" s="100"/>
      <c r="AI44" s="115"/>
    </row>
    <row r="45" spans="1:35" s="157" customFormat="1" ht="26.1" customHeight="1">
      <c r="A45" s="149" t="s">
        <v>59</v>
      </c>
      <c r="B45" s="150"/>
      <c r="C45" s="150"/>
      <c r="D45" s="107" t="str">
        <f>IF(Language="French","Effet Remboursement taxes ","Reimbursement Tax Effect")</f>
        <v xml:space="preserve">Effet Remboursement taxes </v>
      </c>
      <c r="E45" s="151"/>
      <c r="F45" s="151"/>
      <c r="G45" s="205">
        <f ca="1">I23</f>
        <v>0</v>
      </c>
      <c r="H45" s="206">
        <f ca="1">J23</f>
        <v>0</v>
      </c>
      <c r="I45" s="153"/>
      <c r="J45" s="153"/>
      <c r="K45" s="151"/>
      <c r="L45" s="151"/>
      <c r="M45" s="205">
        <f ca="1">O23</f>
        <v>0</v>
      </c>
      <c r="N45" s="206">
        <f ca="1">P23</f>
        <v>0</v>
      </c>
      <c r="O45" s="153"/>
      <c r="P45" s="153"/>
      <c r="Q45" s="151"/>
      <c r="R45" s="151"/>
      <c r="S45" s="205">
        <f ca="1">U23</f>
        <v>0</v>
      </c>
      <c r="T45" s="206">
        <f ca="1">V23</f>
        <v>0</v>
      </c>
      <c r="U45" s="153"/>
      <c r="V45" s="153"/>
      <c r="W45" s="151"/>
      <c r="X45" s="151"/>
      <c r="Y45" s="205">
        <f ca="1">AA23</f>
        <v>0</v>
      </c>
      <c r="Z45" s="206">
        <f ca="1">AB23</f>
        <v>0</v>
      </c>
      <c r="AA45" s="153"/>
      <c r="AB45" s="153"/>
      <c r="AC45" s="151"/>
      <c r="AD45" s="151"/>
      <c r="AE45" s="207">
        <f ca="1">AG23</f>
        <v>0</v>
      </c>
      <c r="AF45" s="208">
        <f ca="1">AH23</f>
        <v>0</v>
      </c>
      <c r="AI45" s="115"/>
    </row>
    <row r="46" spans="1:35">
      <c r="F46" s="139"/>
      <c r="G46" s="214"/>
      <c r="H46" s="214"/>
      <c r="L46" s="139"/>
      <c r="M46" s="214"/>
      <c r="N46" s="214"/>
      <c r="R46" s="139"/>
      <c r="S46" s="214"/>
      <c r="T46" s="214"/>
      <c r="X46" s="139"/>
      <c r="Y46" s="214"/>
      <c r="Z46" s="214"/>
      <c r="AD46" s="139"/>
      <c r="AE46" s="215"/>
      <c r="AF46" s="216"/>
      <c r="AG46" s="100"/>
      <c r="AH46" s="100"/>
      <c r="AI46" s="115"/>
    </row>
    <row r="47" spans="1:35" s="157" customFormat="1" ht="26.1" customHeight="1" thickBot="1">
      <c r="A47" s="149" t="s">
        <v>59</v>
      </c>
      <c r="B47" s="150"/>
      <c r="C47" s="150"/>
      <c r="D47" s="107" t="str">
        <f>IF(Language="French","Effet Net sur le RESOP","Net Effect on EBIT")</f>
        <v>Effet Net sur le RESOP</v>
      </c>
      <c r="E47" s="151"/>
      <c r="F47" s="151"/>
      <c r="G47" s="205">
        <f ca="1">SUM(G50:G53)</f>
        <v>0</v>
      </c>
      <c r="H47" s="206">
        <f ca="1">SUM(H50:H53)</f>
        <v>0</v>
      </c>
      <c r="I47" s="153"/>
      <c r="J47" s="153"/>
      <c r="K47" s="151"/>
      <c r="L47" s="151"/>
      <c r="M47" s="205">
        <f t="shared" ref="M47:N47" ca="1" si="34">SUM(M50:M53)</f>
        <v>0</v>
      </c>
      <c r="N47" s="206">
        <f t="shared" ca="1" si="34"/>
        <v>0</v>
      </c>
      <c r="O47" s="153"/>
      <c r="P47" s="153"/>
      <c r="Q47" s="151"/>
      <c r="R47" s="151"/>
      <c r="S47" s="205">
        <f t="shared" ref="S47:T47" ca="1" si="35">SUM(S50:S53)</f>
        <v>0</v>
      </c>
      <c r="T47" s="206">
        <f t="shared" ca="1" si="35"/>
        <v>0</v>
      </c>
      <c r="U47" s="153"/>
      <c r="V47" s="153"/>
      <c r="W47" s="151"/>
      <c r="X47" s="151"/>
      <c r="Y47" s="205">
        <f t="shared" ref="Y47:Z47" ca="1" si="36">SUM(Y50:Y53)</f>
        <v>0</v>
      </c>
      <c r="Z47" s="206">
        <f t="shared" ca="1" si="36"/>
        <v>0</v>
      </c>
      <c r="AA47" s="153"/>
      <c r="AB47" s="153"/>
      <c r="AC47" s="151"/>
      <c r="AD47" s="151"/>
      <c r="AE47" s="217">
        <f ca="1">SUM(AE50:AE52)</f>
        <v>0</v>
      </c>
      <c r="AF47" s="218">
        <f ca="1">SUM(AF50:AF52)</f>
        <v>0</v>
      </c>
      <c r="AI47" s="115"/>
    </row>
    <row r="48" spans="1:35" ht="13.5" thickTop="1">
      <c r="F48" s="139"/>
      <c r="L48" s="139"/>
      <c r="R48" s="139"/>
      <c r="X48" s="139"/>
      <c r="AD48" s="139"/>
      <c r="AG48" s="100"/>
      <c r="AH48" s="100"/>
      <c r="AI48" s="115"/>
    </row>
    <row r="49" spans="3:35" s="108" customFormat="1" hidden="1" outlineLevel="1">
      <c r="C49" s="209"/>
      <c r="E49" s="209"/>
      <c r="F49" s="209"/>
      <c r="G49" s="210"/>
      <c r="H49" s="210"/>
      <c r="I49" s="211"/>
      <c r="J49" s="211"/>
      <c r="K49" s="209"/>
      <c r="L49" s="209"/>
      <c r="M49" s="210"/>
      <c r="N49" s="210"/>
      <c r="O49" s="211"/>
      <c r="P49" s="211"/>
      <c r="Q49" s="209"/>
      <c r="R49" s="209"/>
      <c r="S49" s="210"/>
      <c r="T49" s="210"/>
      <c r="U49" s="211"/>
      <c r="V49" s="211"/>
      <c r="W49" s="209"/>
      <c r="X49" s="209"/>
      <c r="Y49" s="210"/>
      <c r="Z49" s="210"/>
      <c r="AA49" s="211"/>
      <c r="AB49" s="211"/>
      <c r="AC49" s="209"/>
      <c r="AD49" s="209"/>
      <c r="AI49" s="211"/>
    </row>
    <row r="50" spans="3:35" s="108" customFormat="1" hidden="1" outlineLevel="1">
      <c r="C50" s="209"/>
      <c r="E50" s="209"/>
      <c r="F50" s="209"/>
      <c r="G50" s="219">
        <f ca="1">IF(G37="-",0,G37)</f>
        <v>0</v>
      </c>
      <c r="H50" s="219">
        <f t="shared" ref="H50:AF50" ca="1" si="37">IF(H37="-",0,H37)</f>
        <v>0</v>
      </c>
      <c r="I50" s="219"/>
      <c r="J50" s="219"/>
      <c r="K50" s="219">
        <f t="shared" si="37"/>
        <v>0</v>
      </c>
      <c r="L50" s="219"/>
      <c r="M50" s="219">
        <f t="shared" ca="1" si="37"/>
        <v>0</v>
      </c>
      <c r="N50" s="219">
        <f t="shared" ca="1" si="37"/>
        <v>0</v>
      </c>
      <c r="O50" s="219"/>
      <c r="P50" s="219"/>
      <c r="Q50" s="219">
        <f t="shared" si="37"/>
        <v>0</v>
      </c>
      <c r="R50" s="219"/>
      <c r="S50" s="219">
        <f t="shared" ca="1" si="37"/>
        <v>0</v>
      </c>
      <c r="T50" s="219">
        <f t="shared" ca="1" si="37"/>
        <v>0</v>
      </c>
      <c r="U50" s="219"/>
      <c r="V50" s="219"/>
      <c r="W50" s="219"/>
      <c r="X50" s="219"/>
      <c r="Y50" s="219">
        <f t="shared" ca="1" si="37"/>
        <v>0</v>
      </c>
      <c r="Z50" s="219">
        <f t="shared" ca="1" si="37"/>
        <v>0</v>
      </c>
      <c r="AA50" s="219"/>
      <c r="AB50" s="219"/>
      <c r="AC50" s="219">
        <f t="shared" ref="AC50:AE50" si="38">IF(AC37="-",0,AC37)</f>
        <v>0</v>
      </c>
      <c r="AD50" s="219"/>
      <c r="AE50" s="219">
        <f t="shared" ca="1" si="38"/>
        <v>0</v>
      </c>
      <c r="AF50" s="219">
        <f t="shared" ca="1" si="37"/>
        <v>0</v>
      </c>
      <c r="AI50" s="211"/>
    </row>
    <row r="51" spans="3:35" s="108" customFormat="1" hidden="1" outlineLevel="1">
      <c r="C51" s="209"/>
      <c r="E51" s="209"/>
      <c r="F51" s="209"/>
      <c r="G51" s="219">
        <f ca="1">IF(G41="-",0,G41)</f>
        <v>0</v>
      </c>
      <c r="H51" s="219">
        <f t="shared" ref="H51:AF51" ca="1" si="39">IF(H41="-",0,H41)</f>
        <v>0</v>
      </c>
      <c r="I51" s="219"/>
      <c r="J51" s="219"/>
      <c r="K51" s="219">
        <f t="shared" si="39"/>
        <v>0</v>
      </c>
      <c r="L51" s="219"/>
      <c r="M51" s="219">
        <f t="shared" ca="1" si="39"/>
        <v>0</v>
      </c>
      <c r="N51" s="219">
        <f t="shared" ca="1" si="39"/>
        <v>0</v>
      </c>
      <c r="O51" s="219"/>
      <c r="P51" s="219"/>
      <c r="Q51" s="219">
        <f t="shared" si="39"/>
        <v>0</v>
      </c>
      <c r="R51" s="219"/>
      <c r="S51" s="219">
        <f t="shared" ca="1" si="39"/>
        <v>0</v>
      </c>
      <c r="T51" s="219">
        <f t="shared" ca="1" si="39"/>
        <v>0</v>
      </c>
      <c r="U51" s="219"/>
      <c r="V51" s="219"/>
      <c r="W51" s="219"/>
      <c r="X51" s="219"/>
      <c r="Y51" s="219">
        <f t="shared" ca="1" si="39"/>
        <v>0</v>
      </c>
      <c r="Z51" s="219">
        <f t="shared" ca="1" si="39"/>
        <v>0</v>
      </c>
      <c r="AA51" s="219"/>
      <c r="AB51" s="219"/>
      <c r="AC51" s="219">
        <f t="shared" ref="AC51:AE51" si="40">IF(AC41="-",0,AC41)</f>
        <v>0</v>
      </c>
      <c r="AD51" s="219"/>
      <c r="AE51" s="219">
        <f t="shared" ca="1" si="40"/>
        <v>0</v>
      </c>
      <c r="AF51" s="219">
        <f t="shared" ca="1" si="39"/>
        <v>0</v>
      </c>
      <c r="AI51" s="211"/>
    </row>
    <row r="52" spans="3:35" s="108" customFormat="1" hidden="1" outlineLevel="1">
      <c r="C52" s="209"/>
      <c r="E52" s="209"/>
      <c r="F52" s="209"/>
      <c r="G52" s="219">
        <f ca="1">IF(G43="-",0,G43)</f>
        <v>0</v>
      </c>
      <c r="H52" s="219">
        <f t="shared" ref="H52:AF52" ca="1" si="41">IF(H43="-",0,H43)</f>
        <v>0</v>
      </c>
      <c r="I52" s="219"/>
      <c r="J52" s="219"/>
      <c r="K52" s="219">
        <f t="shared" si="41"/>
        <v>0</v>
      </c>
      <c r="L52" s="219"/>
      <c r="M52" s="219">
        <f t="shared" ca="1" si="41"/>
        <v>0</v>
      </c>
      <c r="N52" s="219">
        <f t="shared" ca="1" si="41"/>
        <v>0</v>
      </c>
      <c r="O52" s="219"/>
      <c r="P52" s="219"/>
      <c r="Q52" s="219">
        <f t="shared" si="41"/>
        <v>0</v>
      </c>
      <c r="R52" s="219"/>
      <c r="S52" s="219">
        <f t="shared" ca="1" si="41"/>
        <v>0</v>
      </c>
      <c r="T52" s="219">
        <f t="shared" ca="1" si="41"/>
        <v>0</v>
      </c>
      <c r="U52" s="219"/>
      <c r="V52" s="219"/>
      <c r="W52" s="219"/>
      <c r="X52" s="219"/>
      <c r="Y52" s="219">
        <f t="shared" ca="1" si="41"/>
        <v>0</v>
      </c>
      <c r="Z52" s="219">
        <f t="shared" ca="1" si="41"/>
        <v>0</v>
      </c>
      <c r="AA52" s="219"/>
      <c r="AB52" s="219"/>
      <c r="AC52" s="219">
        <f t="shared" ref="AC52:AE52" si="42">IF(AC43="-",0,AC43)</f>
        <v>0</v>
      </c>
      <c r="AD52" s="219"/>
      <c r="AE52" s="219">
        <f t="shared" ca="1" si="42"/>
        <v>0</v>
      </c>
      <c r="AF52" s="219">
        <f t="shared" ca="1" si="41"/>
        <v>0</v>
      </c>
      <c r="AI52" s="211"/>
    </row>
    <row r="53" spans="3:35" s="108" customFormat="1" hidden="1" outlineLevel="1">
      <c r="C53" s="209"/>
      <c r="E53" s="209"/>
      <c r="F53" s="209"/>
      <c r="G53" s="219">
        <f ca="1">IF(G45="-",0,G45)</f>
        <v>0</v>
      </c>
      <c r="H53" s="219">
        <f ca="1">IF(H45="-",0,H45)</f>
        <v>0</v>
      </c>
      <c r="I53" s="219"/>
      <c r="J53" s="219"/>
      <c r="K53" s="219">
        <f>IF(K45="-",0,K45)</f>
        <v>0</v>
      </c>
      <c r="L53" s="219"/>
      <c r="M53" s="219">
        <f ca="1">IF(M45="-",0,M45)</f>
        <v>0</v>
      </c>
      <c r="N53" s="219">
        <f ca="1">IF(N45="-",0,N45)</f>
        <v>0</v>
      </c>
      <c r="O53" s="219"/>
      <c r="P53" s="219"/>
      <c r="Q53" s="219">
        <f>IF(Q45="-",0,Q45)</f>
        <v>0</v>
      </c>
      <c r="R53" s="219"/>
      <c r="S53" s="219">
        <f ca="1">IF(S45="-",0,S45)</f>
        <v>0</v>
      </c>
      <c r="T53" s="219">
        <f ca="1">IF(T45="-",0,T45)</f>
        <v>0</v>
      </c>
      <c r="U53" s="219"/>
      <c r="V53" s="219"/>
      <c r="W53" s="219"/>
      <c r="X53" s="219"/>
      <c r="Y53" s="219">
        <f ca="1">IF(Y45="-",0,Y45)</f>
        <v>0</v>
      </c>
      <c r="Z53" s="219">
        <f ca="1">IF(Z45="-",0,Z45)</f>
        <v>0</v>
      </c>
      <c r="AA53" s="219"/>
      <c r="AB53" s="219"/>
      <c r="AC53" s="219">
        <f>IF(AC45="-",0,AC45)</f>
        <v>0</v>
      </c>
      <c r="AD53" s="219"/>
      <c r="AE53" s="219">
        <f ca="1">IF(AE45="-",0,AE45)</f>
        <v>0</v>
      </c>
      <c r="AF53" s="219">
        <f ca="1">IF(AF45="-",0,AF45)</f>
        <v>0</v>
      </c>
      <c r="AI53" s="211"/>
    </row>
    <row r="54" spans="3:35" hidden="1" outlineLevel="1">
      <c r="F54" s="139"/>
      <c r="I54" s="100"/>
      <c r="J54" s="100"/>
      <c r="K54" s="100"/>
      <c r="O54" s="100"/>
      <c r="P54" s="100"/>
      <c r="Q54" s="100"/>
      <c r="U54" s="100"/>
      <c r="V54" s="100"/>
      <c r="W54" s="100"/>
      <c r="AA54" s="100"/>
      <c r="AB54" s="100"/>
      <c r="AC54" s="100"/>
      <c r="AG54" s="108"/>
      <c r="AH54" s="108"/>
    </row>
    <row r="55" spans="3:35" s="105" customFormat="1" ht="30" hidden="1" customHeight="1" outlineLevel="2">
      <c r="C55" s="201"/>
      <c r="D55" s="105" t="s">
        <v>98</v>
      </c>
      <c r="E55" s="201"/>
      <c r="G55" s="202" t="str">
        <f ca="1">IFERROR(G37+G39-I21,"-")</f>
        <v>-</v>
      </c>
      <c r="H55" s="202" t="str">
        <f t="shared" ref="H55:AF55" ca="1" si="43">IFERROR(H37+H39-J21,"-")</f>
        <v>-</v>
      </c>
      <c r="I55" s="202"/>
      <c r="J55" s="202"/>
      <c r="K55" s="202">
        <f t="shared" ca="1" si="43"/>
        <v>0</v>
      </c>
      <c r="L55" s="202"/>
      <c r="M55" s="202" t="str">
        <f t="shared" ca="1" si="43"/>
        <v>-</v>
      </c>
      <c r="N55" s="202" t="str">
        <f t="shared" ca="1" si="43"/>
        <v>-</v>
      </c>
      <c r="O55" s="202"/>
      <c r="P55" s="202"/>
      <c r="Q55" s="202">
        <f t="shared" ca="1" si="43"/>
        <v>0</v>
      </c>
      <c r="R55" s="202"/>
      <c r="S55" s="202" t="str">
        <f t="shared" ca="1" si="43"/>
        <v>-</v>
      </c>
      <c r="T55" s="202" t="str">
        <f t="shared" ca="1" si="43"/>
        <v>-</v>
      </c>
      <c r="U55" s="202"/>
      <c r="V55" s="202"/>
      <c r="W55" s="202"/>
      <c r="X55" s="202"/>
      <c r="Y55" s="202" t="str">
        <f t="shared" ca="1" si="43"/>
        <v>-</v>
      </c>
      <c r="Z55" s="202" t="str">
        <f t="shared" ca="1" si="43"/>
        <v>-</v>
      </c>
      <c r="AA55" s="202"/>
      <c r="AB55" s="202"/>
      <c r="AC55" s="202">
        <f t="shared" ref="AC55" ca="1" si="44">IFERROR(AC37+AC39-AE21,"-")</f>
        <v>0</v>
      </c>
      <c r="AD55" s="202"/>
      <c r="AE55" s="202" t="str">
        <f t="shared" ref="AE55" ca="1" si="45">IFERROR(AE37+AE39-AG21,"-")</f>
        <v>-</v>
      </c>
      <c r="AF55" s="202" t="str">
        <f t="shared" ca="1" si="43"/>
        <v>-</v>
      </c>
      <c r="AG55" s="202"/>
      <c r="AH55" s="202"/>
    </row>
    <row r="56" spans="3:35" collapsed="1"/>
  </sheetData>
  <mergeCells count="17">
    <mergeCell ref="AL4:BA4"/>
    <mergeCell ref="X12:AB12"/>
    <mergeCell ref="AA13:AA14"/>
    <mergeCell ref="AB13:AB14"/>
    <mergeCell ref="AD12:AH12"/>
    <mergeCell ref="AG13:AG14"/>
    <mergeCell ref="AH13:AH14"/>
    <mergeCell ref="I13:I14"/>
    <mergeCell ref="J13:J14"/>
    <mergeCell ref="L12:P12"/>
    <mergeCell ref="O13:O14"/>
    <mergeCell ref="D1:AH1"/>
    <mergeCell ref="P13:P14"/>
    <mergeCell ref="R12:V12"/>
    <mergeCell ref="U13:U14"/>
    <mergeCell ref="V13:V14"/>
    <mergeCell ref="F12:J12"/>
  </mergeCells>
  <pageMargins left="0.19685039370078741" right="0.19685039370078741" top="0.59055118110236227" bottom="0.59055118110236227" header="0.31496062992125984" footer="0.31496062992125984"/>
  <pageSetup paperSize="9" scale="63" orientation="landscape" r:id="rId1"/>
  <headerFooter alignWithMargins="0">
    <oddFooter>&amp;L&amp;Z
&amp;F&amp;C&amp;A&amp;R&amp;D&amp;T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FF0000"/>
    <pageSetUpPr fitToPage="1"/>
  </sheetPr>
  <dimension ref="A1:AZ61"/>
  <sheetViews>
    <sheetView showGridLines="0" topLeftCell="C22" zoomScaleNormal="100" workbookViewId="0">
      <selection activeCell="AD29" sqref="AD29"/>
    </sheetView>
  </sheetViews>
  <sheetFormatPr baseColWidth="10" defaultColWidth="10.7109375" defaultRowHeight="9.9499999999999993" customHeight="1" outlineLevelRow="1" outlineLevelCol="1"/>
  <cols>
    <col min="1" max="2" width="8.7109375" style="19" hidden="1" customWidth="1" outlineLevel="1"/>
    <col min="3" max="3" width="2.7109375" style="20" customWidth="1" collapsed="1"/>
    <col min="4" max="4" width="24.5703125" style="20" bestFit="1" customWidth="1"/>
    <col min="5" max="5" width="2.7109375" style="20" customWidth="1"/>
    <col min="6" max="8" width="9.7109375" style="90" customWidth="1"/>
    <col min="9" max="10" width="8" style="91" hidden="1" customWidth="1" outlineLevel="1"/>
    <col min="11" max="11" width="2.7109375" style="89" customWidth="1" collapsed="1"/>
    <col min="12" max="14" width="9.7109375" style="90" customWidth="1"/>
    <col min="15" max="16" width="8" style="91" hidden="1" customWidth="1" outlineLevel="1"/>
    <col min="17" max="17" width="2.7109375" style="89" customWidth="1" collapsed="1"/>
    <col min="18" max="20" width="9.7109375" style="74" customWidth="1"/>
    <col min="21" max="22" width="9.140625" style="75" hidden="1" customWidth="1" outlineLevel="1"/>
    <col min="23" max="23" width="2.7109375" style="89" hidden="1" customWidth="1" outlineLevel="1"/>
    <col min="24" max="26" width="9.7109375" style="90" hidden="1" customWidth="1" outlineLevel="1"/>
    <col min="27" max="28" width="9.140625" style="91" hidden="1" customWidth="1" outlineLevel="1"/>
    <col min="29" max="29" width="2.7109375" style="89" customWidth="1" collapsed="1"/>
    <col min="30" max="32" width="9.7109375" style="90" customWidth="1"/>
    <col min="33" max="34" width="9.140625" style="91" hidden="1" customWidth="1" outlineLevel="1"/>
    <col min="35" max="35" width="2.7109375" style="23" customWidth="1" collapsed="1"/>
    <col min="36" max="38" width="9.7109375" style="90" customWidth="1"/>
    <col min="39" max="40" width="9.140625" style="91" hidden="1" customWidth="1" outlineLevel="1"/>
    <col min="41" max="41" width="2.7109375" style="89" customWidth="1" collapsed="1"/>
    <col min="42" max="46" width="7.7109375" style="90" customWidth="1"/>
    <col min="47" max="47" width="2.7109375" style="88" customWidth="1"/>
    <col min="48" max="52" width="7.7109375" style="90" customWidth="1"/>
    <col min="53" max="16384" width="10.7109375" style="23"/>
  </cols>
  <sheetData>
    <row r="1" spans="1:52" s="33" customFormat="1" ht="55.5" customHeight="1">
      <c r="A1" s="273" t="str">
        <f ca="1">"FUEL - "&amp;_xll.DBRA("tango_core_model:phase",Context!E17,Language)&amp;" -  "&amp;_xll.DBRA("tango_core_model:period",Context!E16,Language)</f>
        <v>FUEL - Réalisé -  Cumul Août 2016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  <c r="AI1" s="273"/>
      <c r="AJ1" s="273"/>
      <c r="AK1" s="273"/>
      <c r="AL1" s="273"/>
      <c r="AM1" s="273"/>
      <c r="AN1" s="273"/>
      <c r="AO1" s="273"/>
      <c r="AP1" s="273"/>
      <c r="AQ1" s="273"/>
      <c r="AR1" s="273"/>
      <c r="AS1" s="273"/>
      <c r="AT1" s="273"/>
      <c r="AU1" s="273"/>
      <c r="AV1" s="273"/>
      <c r="AW1" s="273"/>
      <c r="AX1" s="273"/>
      <c r="AY1" s="273"/>
      <c r="AZ1" s="273"/>
    </row>
    <row r="2" spans="1:52" s="33" customFormat="1" ht="12">
      <c r="A2" s="16"/>
      <c r="B2" s="16"/>
      <c r="C2" s="16"/>
      <c r="D2" s="16"/>
      <c r="E2" s="16"/>
      <c r="F2" s="222"/>
      <c r="G2" s="223"/>
      <c r="H2" s="223"/>
      <c r="I2" s="224"/>
      <c r="J2" s="224"/>
      <c r="K2" s="225"/>
      <c r="L2" s="222"/>
      <c r="M2" s="223"/>
      <c r="N2" s="223"/>
      <c r="O2" s="224"/>
      <c r="P2" s="224"/>
      <c r="Q2" s="225"/>
      <c r="R2" s="57"/>
      <c r="S2" s="58"/>
      <c r="T2" s="58"/>
      <c r="U2" s="59"/>
      <c r="V2" s="59"/>
      <c r="W2" s="225"/>
      <c r="X2" s="222"/>
      <c r="Y2" s="223"/>
      <c r="Z2" s="223"/>
      <c r="AA2" s="224"/>
      <c r="AB2" s="224"/>
      <c r="AC2" s="225"/>
      <c r="AD2" s="222"/>
      <c r="AE2" s="223"/>
      <c r="AF2" s="223"/>
      <c r="AG2" s="224"/>
      <c r="AH2" s="224"/>
      <c r="AJ2" s="222"/>
      <c r="AK2" s="223"/>
      <c r="AL2" s="223"/>
      <c r="AM2" s="224"/>
      <c r="AN2" s="224"/>
      <c r="AO2" s="225"/>
      <c r="AP2" s="222"/>
      <c r="AQ2" s="222"/>
      <c r="AR2" s="222"/>
      <c r="AS2" s="222"/>
      <c r="AT2" s="222"/>
      <c r="AU2" s="87"/>
      <c r="AV2" s="223"/>
      <c r="AW2" s="223"/>
      <c r="AX2" s="222"/>
      <c r="AY2" s="222"/>
      <c r="AZ2" s="222"/>
    </row>
    <row r="3" spans="1:52" s="22" customFormat="1" ht="12" hidden="1" outlineLevel="1">
      <c r="A3" s="25" t="s">
        <v>23</v>
      </c>
      <c r="B3" s="25" t="str">
        <f>Cube</f>
        <v>tango_core_model:Report_PL</v>
      </c>
      <c r="C3" s="1"/>
      <c r="D3" s="1"/>
      <c r="E3" s="17"/>
      <c r="F3" s="222"/>
      <c r="G3" s="222"/>
      <c r="H3" s="222"/>
      <c r="I3" s="226"/>
      <c r="J3" s="224"/>
      <c r="K3" s="87"/>
      <c r="L3" s="222"/>
      <c r="M3" s="222"/>
      <c r="N3" s="222"/>
      <c r="O3" s="226"/>
      <c r="P3" s="224"/>
      <c r="Q3" s="87"/>
      <c r="R3" s="57"/>
      <c r="S3" s="57"/>
      <c r="T3" s="57"/>
      <c r="U3" s="60"/>
      <c r="V3" s="59"/>
      <c r="W3" s="87"/>
      <c r="X3" s="222"/>
      <c r="Y3" s="222"/>
      <c r="Z3" s="222"/>
      <c r="AA3" s="226"/>
      <c r="AB3" s="224"/>
      <c r="AC3" s="87"/>
      <c r="AD3" s="222"/>
      <c r="AE3" s="222"/>
      <c r="AF3" s="222"/>
      <c r="AG3" s="226"/>
      <c r="AH3" s="224"/>
      <c r="AJ3" s="222"/>
      <c r="AK3" s="222"/>
      <c r="AL3" s="222"/>
      <c r="AM3" s="226"/>
      <c r="AN3" s="224"/>
      <c r="AO3" s="87"/>
      <c r="AP3" s="222"/>
      <c r="AQ3" s="222"/>
      <c r="AR3" s="222"/>
      <c r="AS3" s="222"/>
      <c r="AT3" s="222"/>
      <c r="AU3" s="87"/>
      <c r="AV3" s="222"/>
      <c r="AW3" s="222"/>
      <c r="AX3" s="222"/>
      <c r="AY3" s="222"/>
      <c r="AZ3" s="222"/>
    </row>
    <row r="4" spans="1:52" s="18" customFormat="1" ht="48" hidden="1" outlineLevel="1">
      <c r="A4" s="26" t="s">
        <v>17</v>
      </c>
      <c r="B4" s="26" t="str">
        <f ca="1">Gaap</f>
        <v>Local Gaap Management tool</v>
      </c>
      <c r="C4" s="38"/>
      <c r="D4" s="24" t="s">
        <v>27</v>
      </c>
      <c r="F4" s="227" t="str">
        <f ca="1">Context!$E$16</f>
        <v>2016.08_YTD</v>
      </c>
      <c r="G4" s="227" t="str">
        <f ca="1">Context!$F$16</f>
        <v>2016.08_YTD</v>
      </c>
      <c r="H4" s="227" t="str">
        <f ca="1">Context!$G$16</f>
        <v>2015.08_YTD</v>
      </c>
      <c r="I4" s="228"/>
      <c r="J4" s="228"/>
      <c r="K4" s="88"/>
      <c r="L4" s="227" t="str">
        <f ca="1">Context!$E$16</f>
        <v>2016.08_YTD</v>
      </c>
      <c r="M4" s="227" t="str">
        <f ca="1">Context!$F$16</f>
        <v>2016.08_YTD</v>
      </c>
      <c r="N4" s="227" t="str">
        <f ca="1">Context!$G$16</f>
        <v>2015.08_YTD</v>
      </c>
      <c r="O4" s="228"/>
      <c r="P4" s="228"/>
      <c r="Q4" s="88"/>
      <c r="R4" s="36" t="s">
        <v>59</v>
      </c>
      <c r="S4" s="76"/>
      <c r="T4" s="76"/>
      <c r="U4" s="77"/>
      <c r="V4" s="77"/>
      <c r="W4" s="88"/>
      <c r="X4" s="227" t="str">
        <f ca="1">Context!$E$16</f>
        <v>2016.08_YTD</v>
      </c>
      <c r="Y4" s="227" t="str">
        <f ca="1">Context!$F$16</f>
        <v>2016.08_YTD</v>
      </c>
      <c r="Z4" s="227" t="str">
        <f ca="1">Context!$G$16</f>
        <v>2015.08_YTD</v>
      </c>
      <c r="AA4" s="228"/>
      <c r="AB4" s="228"/>
      <c r="AC4" s="88"/>
      <c r="AD4" s="227" t="str">
        <f ca="1">Context!$E$16</f>
        <v>2016.08_YTD</v>
      </c>
      <c r="AE4" s="227" t="str">
        <f ca="1">Context!$F$16</f>
        <v>2016.08_YTD</v>
      </c>
      <c r="AF4" s="227" t="str">
        <f ca="1">Context!$G$16</f>
        <v>2015.08_YTD</v>
      </c>
      <c r="AG4" s="228"/>
      <c r="AH4" s="228"/>
      <c r="AJ4" s="227" t="str">
        <f ca="1">Context!$E$16</f>
        <v>2016.08_YTD</v>
      </c>
      <c r="AK4" s="227" t="str">
        <f ca="1">Context!$F$16</f>
        <v>2016.08_YTD</v>
      </c>
      <c r="AL4" s="227" t="str">
        <f ca="1">Context!$G$16</f>
        <v>2015.08_YTD</v>
      </c>
      <c r="AM4" s="228"/>
      <c r="AN4" s="228"/>
      <c r="AO4" s="88"/>
      <c r="AP4" s="243"/>
      <c r="AQ4" s="243"/>
      <c r="AR4" s="243"/>
      <c r="AS4" s="243"/>
      <c r="AT4" s="243"/>
      <c r="AU4" s="244"/>
      <c r="AV4" s="243"/>
      <c r="AW4" s="243"/>
      <c r="AX4" s="243"/>
      <c r="AY4" s="243"/>
      <c r="AZ4" s="243"/>
    </row>
    <row r="5" spans="1:52" s="32" customFormat="1" ht="12" hidden="1" outlineLevel="1">
      <c r="A5" s="25" t="s">
        <v>20</v>
      </c>
      <c r="B5" s="80" t="str">
        <f ca="1">_xll.SUBNM("tango_core_model:Currency","","KEUR")</f>
        <v>KEUR</v>
      </c>
      <c r="C5" s="1"/>
      <c r="D5" s="27" t="s">
        <v>28</v>
      </c>
      <c r="F5" s="227" t="str">
        <f>Context!$E$17</f>
        <v>ACT_TOT</v>
      </c>
      <c r="G5" s="227" t="str">
        <f>Context!$F$17</f>
        <v>BUDG_VC_TOT</v>
      </c>
      <c r="H5" s="227" t="str">
        <f ca="1">Context!$G$17</f>
        <v>ACT_TOT</v>
      </c>
      <c r="I5" s="228"/>
      <c r="J5" s="229"/>
      <c r="K5" s="88"/>
      <c r="L5" s="227" t="str">
        <f>Context!$E$17</f>
        <v>ACT_TOT</v>
      </c>
      <c r="M5" s="227" t="str">
        <f>Context!$F$17</f>
        <v>BUDG_VC_TOT</v>
      </c>
      <c r="N5" s="227" t="str">
        <f ca="1">Context!$G$17</f>
        <v>ACT_TOT</v>
      </c>
      <c r="O5" s="228"/>
      <c r="P5" s="229"/>
      <c r="Q5" s="88"/>
      <c r="R5" s="76"/>
      <c r="S5" s="76"/>
      <c r="T5" s="76"/>
      <c r="U5" s="77"/>
      <c r="V5" s="78"/>
      <c r="W5" s="88"/>
      <c r="X5" s="227" t="str">
        <f>Context!$E$17</f>
        <v>ACT_TOT</v>
      </c>
      <c r="Y5" s="227" t="str">
        <f>Context!$F$17</f>
        <v>BUDG_VC_TOT</v>
      </c>
      <c r="Z5" s="227" t="str">
        <f ca="1">Context!$G$17</f>
        <v>ACT_TOT</v>
      </c>
      <c r="AA5" s="228"/>
      <c r="AB5" s="229"/>
      <c r="AC5" s="88"/>
      <c r="AD5" s="227" t="str">
        <f>Context!$E$17</f>
        <v>ACT_TOT</v>
      </c>
      <c r="AE5" s="227" t="str">
        <f>Context!$F$17</f>
        <v>BUDG_VC_TOT</v>
      </c>
      <c r="AF5" s="227" t="str">
        <f ca="1">Context!$G$17</f>
        <v>ACT_TOT</v>
      </c>
      <c r="AG5" s="228"/>
      <c r="AH5" s="229"/>
      <c r="AJ5" s="227" t="str">
        <f>Context!$E$17</f>
        <v>ACT_TOT</v>
      </c>
      <c r="AK5" s="227" t="str">
        <f>Context!$F$17</f>
        <v>BUDG_VC_TOT</v>
      </c>
      <c r="AL5" s="227" t="str">
        <f ca="1">Context!$G$17</f>
        <v>ACT_TOT</v>
      </c>
      <c r="AM5" s="228"/>
      <c r="AN5" s="229"/>
      <c r="AO5" s="88"/>
      <c r="AP5" s="243"/>
      <c r="AQ5" s="243"/>
      <c r="AR5" s="243"/>
      <c r="AS5" s="243"/>
      <c r="AT5" s="243"/>
      <c r="AU5" s="245"/>
      <c r="AV5" s="243"/>
      <c r="AW5" s="243"/>
      <c r="AX5" s="243"/>
      <c r="AY5" s="243"/>
      <c r="AZ5" s="243"/>
    </row>
    <row r="6" spans="1:52" s="32" customFormat="1" ht="12" hidden="1" outlineLevel="1">
      <c r="A6" s="25" t="s">
        <v>18</v>
      </c>
      <c r="B6" s="25" t="str">
        <f ca="1">Integration_Rate</f>
        <v>APP</v>
      </c>
      <c r="C6" s="1"/>
      <c r="D6" s="27" t="s">
        <v>65</v>
      </c>
      <c r="F6" s="86" t="str">
        <f ca="1">_xll.SUBNM("Tango_Core_Model:Indicator","","PL1115_ET_80")</f>
        <v>PL1115_ET_80</v>
      </c>
      <c r="G6" s="227" t="str">
        <f ca="1">F6</f>
        <v>PL1115_ET_80</v>
      </c>
      <c r="H6" s="227" t="str">
        <f ca="1">G6</f>
        <v>PL1115_ET_80</v>
      </c>
      <c r="I6" s="228"/>
      <c r="J6" s="229"/>
      <c r="K6" s="88"/>
      <c r="L6" s="86" t="str">
        <f ca="1">_xll.SUBNM("Tango_Core_Model:Indicator","","Fuel_consu")</f>
        <v>Fuel_consu</v>
      </c>
      <c r="M6" s="227" t="str">
        <f ca="1">L6</f>
        <v>Fuel_consu</v>
      </c>
      <c r="N6" s="227" t="str">
        <f ca="1">M6</f>
        <v>Fuel_consu</v>
      </c>
      <c r="O6" s="228"/>
      <c r="P6" s="229"/>
      <c r="Q6" s="88"/>
      <c r="R6" s="79"/>
      <c r="S6" s="76"/>
      <c r="T6" s="76"/>
      <c r="U6" s="77"/>
      <c r="V6" s="78"/>
      <c r="W6" s="88"/>
      <c r="X6" s="86" t="str">
        <f ca="1">_xll.SUBNM("Tango_Core_Model:Indicator","","PL1003_RC_55","Code_English")</f>
        <v>PL1003_RC_55 - Energy indexation</v>
      </c>
      <c r="Y6" s="227" t="str">
        <f ca="1">X6</f>
        <v>PL1003_RC_55 - Energy indexation</v>
      </c>
      <c r="Z6" s="227" t="str">
        <f ca="1">Y6</f>
        <v>PL1003_RC_55 - Energy indexation</v>
      </c>
      <c r="AA6" s="228"/>
      <c r="AB6" s="229"/>
      <c r="AC6" s="88"/>
      <c r="AD6" s="86" t="str">
        <f ca="1">_xll.SUBNM("Tango_Core_Model:Indicator","","PL1115_ET_801","Code_English")</f>
        <v>PL1115_ET_801 - Fuel Hedging Result</v>
      </c>
      <c r="AE6" s="227" t="str">
        <f ca="1">AD6</f>
        <v>PL1115_ET_801 - Fuel Hedging Result</v>
      </c>
      <c r="AF6" s="227" t="str">
        <f ca="1">AE6</f>
        <v>PL1115_ET_801 - Fuel Hedging Result</v>
      </c>
      <c r="AG6" s="228"/>
      <c r="AH6" s="229"/>
      <c r="AJ6" s="86" t="str">
        <f ca="1">_xll.SUBNM("Tango_Core_Model:Indicator","","PL1115_ET_802","Code_English")</f>
        <v>PL1115_ET_802 - Fuel Tax reimbursement</v>
      </c>
      <c r="AK6" s="227" t="str">
        <f ca="1">AJ6</f>
        <v>PL1115_ET_802 - Fuel Tax reimbursement</v>
      </c>
      <c r="AL6" s="227" t="str">
        <f ca="1">AK6</f>
        <v>PL1115_ET_802 - Fuel Tax reimbursement</v>
      </c>
      <c r="AM6" s="228"/>
      <c r="AN6" s="229"/>
      <c r="AO6" s="88"/>
      <c r="AP6" s="243"/>
      <c r="AQ6" s="243"/>
      <c r="AR6" s="243"/>
      <c r="AS6" s="243"/>
      <c r="AT6" s="243"/>
      <c r="AU6" s="245"/>
      <c r="AV6" s="243"/>
      <c r="AW6" s="243"/>
      <c r="AX6" s="243"/>
      <c r="AY6" s="243"/>
      <c r="AZ6" s="243"/>
    </row>
    <row r="7" spans="1:52" s="34" customFormat="1" ht="12.75" hidden="1" outlineLevel="1">
      <c r="A7" s="42" t="s">
        <v>19</v>
      </c>
      <c r="B7" s="81" t="s">
        <v>70</v>
      </c>
      <c r="C7" s="30"/>
      <c r="D7" s="29" t="s">
        <v>26</v>
      </c>
      <c r="F7" s="262">
        <v>1</v>
      </c>
      <c r="G7" s="262">
        <v>1</v>
      </c>
      <c r="H7" s="262">
        <v>1</v>
      </c>
      <c r="I7" s="263"/>
      <c r="J7" s="263"/>
      <c r="K7" s="264"/>
      <c r="L7" s="262">
        <v>1</v>
      </c>
      <c r="M7" s="262">
        <v>1</v>
      </c>
      <c r="N7" s="262">
        <v>1</v>
      </c>
      <c r="O7" s="263"/>
      <c r="P7" s="263"/>
      <c r="Q7" s="264"/>
      <c r="R7" s="265"/>
      <c r="S7" s="265"/>
      <c r="T7" s="265"/>
      <c r="U7" s="266"/>
      <c r="V7" s="266"/>
      <c r="W7" s="264"/>
      <c r="X7" s="262">
        <v>1</v>
      </c>
      <c r="Y7" s="262">
        <v>1</v>
      </c>
      <c r="Z7" s="262">
        <v>1</v>
      </c>
      <c r="AA7" s="263"/>
      <c r="AB7" s="263"/>
      <c r="AC7" s="264"/>
      <c r="AD7" s="262">
        <v>1</v>
      </c>
      <c r="AE7" s="262">
        <v>1</v>
      </c>
      <c r="AF7" s="262">
        <v>1</v>
      </c>
      <c r="AG7" s="263"/>
      <c r="AH7" s="263"/>
      <c r="AI7" s="264"/>
      <c r="AJ7" s="262">
        <v>1</v>
      </c>
      <c r="AK7" s="262">
        <v>1</v>
      </c>
      <c r="AL7" s="262">
        <v>1</v>
      </c>
      <c r="AM7" s="263"/>
      <c r="AN7" s="263"/>
      <c r="AO7" s="89"/>
      <c r="AP7" s="243"/>
      <c r="AQ7" s="243"/>
      <c r="AR7" s="243"/>
      <c r="AS7" s="243"/>
      <c r="AT7" s="243"/>
      <c r="AU7" s="244"/>
      <c r="AV7" s="243"/>
      <c r="AW7" s="243"/>
      <c r="AX7" s="243"/>
      <c r="AY7" s="243"/>
      <c r="AZ7" s="243"/>
    </row>
    <row r="8" spans="1:52" s="34" customFormat="1" ht="38.25" hidden="1" outlineLevel="1">
      <c r="A8" s="43" t="s">
        <v>24</v>
      </c>
      <c r="B8" s="82" t="str">
        <f ca="1">Management_Organization</f>
        <v>VTD_corp</v>
      </c>
      <c r="C8" s="39"/>
      <c r="D8" s="31" t="s">
        <v>25</v>
      </c>
      <c r="F8" s="262">
        <v>1</v>
      </c>
      <c r="G8" s="262">
        <v>1</v>
      </c>
      <c r="H8" s="262">
        <v>1</v>
      </c>
      <c r="I8" s="263"/>
      <c r="J8" s="263"/>
      <c r="K8" s="264"/>
      <c r="L8" s="80" t="str">
        <f ca="1">_xll.SUBNM("tango_core_model:Currency","","KLCL")</f>
        <v>KLCL</v>
      </c>
      <c r="M8" s="262">
        <v>1</v>
      </c>
      <c r="N8" s="262">
        <v>1</v>
      </c>
      <c r="O8" s="263"/>
      <c r="P8" s="263"/>
      <c r="Q8" s="264"/>
      <c r="R8" s="265"/>
      <c r="S8" s="265"/>
      <c r="T8" s="265"/>
      <c r="U8" s="266"/>
      <c r="V8" s="266"/>
      <c r="W8" s="264"/>
      <c r="X8" s="262">
        <v>1</v>
      </c>
      <c r="Y8" s="262">
        <v>1</v>
      </c>
      <c r="Z8" s="262">
        <v>1</v>
      </c>
      <c r="AA8" s="263"/>
      <c r="AB8" s="263"/>
      <c r="AC8" s="264"/>
      <c r="AD8" s="262">
        <v>1</v>
      </c>
      <c r="AE8" s="262">
        <v>1</v>
      </c>
      <c r="AF8" s="262">
        <v>1</v>
      </c>
      <c r="AG8" s="263"/>
      <c r="AH8" s="263"/>
      <c r="AI8" s="264"/>
      <c r="AJ8" s="262">
        <v>1</v>
      </c>
      <c r="AK8" s="262">
        <v>1</v>
      </c>
      <c r="AL8" s="262">
        <v>1</v>
      </c>
      <c r="AM8" s="263"/>
      <c r="AN8" s="263"/>
      <c r="AO8" s="89"/>
      <c r="AP8" s="243"/>
      <c r="AQ8" s="243"/>
      <c r="AR8" s="243"/>
      <c r="AS8" s="243"/>
      <c r="AT8" s="243"/>
      <c r="AU8" s="244"/>
      <c r="AV8" s="243"/>
      <c r="AW8" s="243"/>
      <c r="AX8" s="243"/>
      <c r="AY8" s="243"/>
      <c r="AZ8" s="243"/>
    </row>
    <row r="9" spans="1:52" ht="12" hidden="1" outlineLevel="1">
      <c r="E9" s="21"/>
      <c r="F9" s="230"/>
      <c r="G9" s="230"/>
      <c r="H9" s="230"/>
      <c r="I9" s="231"/>
      <c r="J9" s="231"/>
      <c r="L9" s="230"/>
      <c r="M9" s="230"/>
      <c r="N9" s="230"/>
      <c r="O9" s="231"/>
      <c r="P9" s="231"/>
      <c r="R9" s="61"/>
      <c r="S9" s="61"/>
      <c r="T9" s="61"/>
      <c r="U9" s="62"/>
      <c r="V9" s="62"/>
      <c r="X9" s="230"/>
      <c r="Y9" s="230"/>
      <c r="Z9" s="230"/>
      <c r="AA9" s="231"/>
      <c r="AB9" s="231"/>
      <c r="AD9" s="230"/>
      <c r="AE9" s="230"/>
      <c r="AF9" s="230"/>
      <c r="AG9" s="231"/>
      <c r="AH9" s="231"/>
      <c r="AJ9" s="230"/>
      <c r="AK9" s="230"/>
      <c r="AL9" s="230"/>
      <c r="AM9" s="231"/>
      <c r="AN9" s="231"/>
      <c r="AP9" s="230"/>
      <c r="AQ9" s="230"/>
      <c r="AR9" s="230"/>
      <c r="AS9" s="230"/>
      <c r="AT9" s="230"/>
      <c r="AV9" s="230"/>
      <c r="AW9" s="230"/>
      <c r="AX9" s="230"/>
      <c r="AY9" s="230"/>
      <c r="AZ9" s="230"/>
    </row>
    <row r="10" spans="1:52" ht="12.75" collapsed="1" thickBot="1">
      <c r="F10" s="230"/>
      <c r="G10" s="230"/>
      <c r="H10" s="230"/>
      <c r="I10" s="231"/>
      <c r="J10" s="231"/>
      <c r="L10" s="230"/>
      <c r="M10" s="230"/>
      <c r="N10" s="230"/>
      <c r="O10" s="231"/>
      <c r="P10" s="231"/>
      <c r="R10" s="61"/>
      <c r="S10" s="61"/>
      <c r="T10" s="61"/>
      <c r="U10" s="62"/>
      <c r="V10" s="62"/>
      <c r="X10" s="230"/>
      <c r="Y10" s="230"/>
      <c r="Z10" s="230"/>
      <c r="AA10" s="231"/>
      <c r="AB10" s="231"/>
      <c r="AD10" s="230"/>
      <c r="AE10" s="230"/>
      <c r="AF10" s="230"/>
      <c r="AG10" s="231"/>
      <c r="AH10" s="231"/>
      <c r="AJ10" s="230"/>
      <c r="AK10" s="230"/>
      <c r="AL10" s="230"/>
      <c r="AM10" s="231"/>
      <c r="AN10" s="231"/>
      <c r="AP10" s="230"/>
      <c r="AQ10" s="230"/>
      <c r="AR10" s="230"/>
      <c r="AS10" s="230"/>
      <c r="AT10" s="230"/>
      <c r="AV10" s="230"/>
      <c r="AW10" s="230"/>
      <c r="AX10" s="230"/>
      <c r="AY10" s="230"/>
      <c r="AZ10" s="230"/>
    </row>
    <row r="11" spans="1:52" s="40" customFormat="1" ht="22.5" customHeight="1">
      <c r="B11" s="41"/>
      <c r="C11" s="41"/>
      <c r="D11" s="41"/>
      <c r="F11" s="293" t="str">
        <f ca="1">_xll.DBRA("tango_core_model:indicator",F6,Language)</f>
        <v>Coût Carburant</v>
      </c>
      <c r="G11" s="294"/>
      <c r="H11" s="294"/>
      <c r="I11" s="294"/>
      <c r="J11" s="295"/>
      <c r="K11" s="159"/>
      <c r="L11" s="293" t="str">
        <f ca="1">_xll.DBRA("tango_core_model:indicator",L6,Language)</f>
        <v>Consommation de carburant (litres)</v>
      </c>
      <c r="M11" s="294"/>
      <c r="N11" s="294"/>
      <c r="O11" s="294"/>
      <c r="P11" s="295"/>
      <c r="Q11" s="159"/>
      <c r="R11" s="287" t="str">
        <f>IF(Language="French","Prix au litre","Price per liter")</f>
        <v>Prix au litre</v>
      </c>
      <c r="S11" s="288"/>
      <c r="T11" s="288"/>
      <c r="U11" s="288"/>
      <c r="V11" s="289"/>
      <c r="W11" s="159"/>
      <c r="X11" s="293" t="str">
        <f ca="1">_xll.DBRA("tango_core_model:indicator",X6,Language)</f>
        <v>Indexation energie</v>
      </c>
      <c r="Y11" s="294"/>
      <c r="Z11" s="294"/>
      <c r="AA11" s="294"/>
      <c r="AB11" s="295"/>
      <c r="AC11" s="159"/>
      <c r="AD11" s="293" t="str">
        <f ca="1">_xll.DBRA("tango_core_model:indicator",AD6,Language)</f>
        <v>Résultat des Couvertures Carburant</v>
      </c>
      <c r="AE11" s="294"/>
      <c r="AF11" s="294"/>
      <c r="AG11" s="294"/>
      <c r="AH11" s="295"/>
      <c r="AJ11" s="293" t="str">
        <f ca="1">_xll.DBRA("tango_core_model:indicator",AJ6,Language)</f>
        <v>Remboursement taxes carburant</v>
      </c>
      <c r="AK11" s="294"/>
      <c r="AL11" s="294"/>
      <c r="AM11" s="294"/>
      <c r="AN11" s="295"/>
      <c r="AO11" s="159"/>
      <c r="AP11" s="293" t="str">
        <f ca="1">IF(Language="French","IMPACT RESOP - "&amp;U13,"EBIT IMPACT - "&amp;U13)</f>
        <v>IMPACT RESOP - Var vs BUDG_VC 2016</v>
      </c>
      <c r="AQ11" s="294"/>
      <c r="AR11" s="294"/>
      <c r="AS11" s="294"/>
      <c r="AT11" s="295"/>
      <c r="AU11" s="159"/>
      <c r="AV11" s="293" t="str">
        <f ca="1">IF(Language="French","IMPACT RESOP - "&amp;V13,"EBIT IMPACT - "&amp;V13)</f>
        <v>IMPACT RESOP - Var vs ACT 2015</v>
      </c>
      <c r="AW11" s="294"/>
      <c r="AX11" s="294"/>
      <c r="AY11" s="294"/>
      <c r="AZ11" s="295"/>
    </row>
    <row r="12" spans="1:52" s="40" customFormat="1" ht="22.5" customHeight="1" thickBot="1">
      <c r="B12" s="41"/>
      <c r="C12" s="41"/>
      <c r="D12" s="41"/>
      <c r="F12" s="296"/>
      <c r="G12" s="297"/>
      <c r="H12" s="297"/>
      <c r="I12" s="297"/>
      <c r="J12" s="298"/>
      <c r="K12" s="159"/>
      <c r="L12" s="296"/>
      <c r="M12" s="297"/>
      <c r="N12" s="297"/>
      <c r="O12" s="297"/>
      <c r="P12" s="298"/>
      <c r="Q12" s="159"/>
      <c r="R12" s="290"/>
      <c r="S12" s="291"/>
      <c r="T12" s="291"/>
      <c r="U12" s="291"/>
      <c r="V12" s="292"/>
      <c r="W12" s="159"/>
      <c r="X12" s="296"/>
      <c r="Y12" s="297"/>
      <c r="Z12" s="297"/>
      <c r="AA12" s="297"/>
      <c r="AB12" s="298"/>
      <c r="AC12" s="159"/>
      <c r="AD12" s="296"/>
      <c r="AE12" s="297"/>
      <c r="AF12" s="297"/>
      <c r="AG12" s="297"/>
      <c r="AH12" s="298"/>
      <c r="AJ12" s="296"/>
      <c r="AK12" s="297"/>
      <c r="AL12" s="297"/>
      <c r="AM12" s="297"/>
      <c r="AN12" s="298"/>
      <c r="AO12" s="159"/>
      <c r="AP12" s="296"/>
      <c r="AQ12" s="297"/>
      <c r="AR12" s="297"/>
      <c r="AS12" s="297"/>
      <c r="AT12" s="298"/>
      <c r="AU12" s="159"/>
      <c r="AV12" s="296"/>
      <c r="AW12" s="297"/>
      <c r="AX12" s="297"/>
      <c r="AY12" s="297"/>
      <c r="AZ12" s="298"/>
    </row>
    <row r="13" spans="1:52" s="40" customFormat="1" ht="24" customHeight="1">
      <c r="C13" s="41"/>
      <c r="D13" s="84" t="str">
        <f ca="1">_xll.DBRA("tango_core_model:gaap",B4,Language)</f>
        <v>Gaap local outils de pilotage</v>
      </c>
      <c r="E13" s="56"/>
      <c r="F13" s="232" t="str">
        <f ca="1">SUBSTITUTE(F4,"_YTD","")</f>
        <v>2016.08</v>
      </c>
      <c r="G13" s="233" t="str">
        <f ca="1">SUBSTITUTE(G4,"_YTD","")</f>
        <v>2016.08</v>
      </c>
      <c r="H13" s="233" t="str">
        <f ca="1">SUBSTITUTE(H4,"_YTD","")</f>
        <v>2015.08</v>
      </c>
      <c r="I13" s="283" t="str">
        <f ca="1">IF(LEFT(G13,1)="F","Var vs "&amp;G14&amp;" "&amp;RIGHT(G13,4),"Var vs "&amp;G14&amp;" "&amp;LEFT(G13,4))</f>
        <v>Var vs BUDG_VC 2016</v>
      </c>
      <c r="J13" s="283" t="str">
        <f ca="1">IF(LEFT(H13,1)="F","Var vs "&amp;H14&amp;" "&amp;RIGHT(H13,4),"Var vs "&amp;H14&amp;" "&amp;LEFT(H13,4))</f>
        <v>Var vs ACT 2015</v>
      </c>
      <c r="K13" s="159"/>
      <c r="L13" s="232" t="str">
        <f ca="1">SUBSTITUTE(L4,"_YTD","")</f>
        <v>2016.08</v>
      </c>
      <c r="M13" s="233" t="str">
        <f ca="1">SUBSTITUTE(M4,"_YTD","")</f>
        <v>2016.08</v>
      </c>
      <c r="N13" s="233" t="str">
        <f ca="1">SUBSTITUTE(N4,"_YTD","")</f>
        <v>2015.08</v>
      </c>
      <c r="O13" s="283" t="str">
        <f ca="1">IF(LEFT(M13,1)="F","Var vs "&amp;M14&amp;" "&amp;RIGHT(M13,4),"Var vs "&amp;M14&amp;" "&amp;LEFT(M13,4))</f>
        <v>Var vs BUDG_VC 2016</v>
      </c>
      <c r="P13" s="283" t="str">
        <f ca="1">IF(LEFT(N13,1)="F","Var vs "&amp;N14&amp;" "&amp;RIGHT(N13,4),"Var vs "&amp;N14&amp;" "&amp;LEFT(N13,4))</f>
        <v>Var vs ACT 2015</v>
      </c>
      <c r="Q13" s="159"/>
      <c r="R13" s="63" t="str">
        <f ca="1">F13</f>
        <v>2016.08</v>
      </c>
      <c r="S13" s="64" t="str">
        <f ca="1">G13</f>
        <v>2016.08</v>
      </c>
      <c r="T13" s="64" t="str">
        <f ca="1">H13</f>
        <v>2015.08</v>
      </c>
      <c r="U13" s="268" t="str">
        <f ca="1">I13</f>
        <v>Var vs BUDG_VC 2016</v>
      </c>
      <c r="V13" s="268" t="str">
        <f ca="1">J13</f>
        <v>Var vs ACT 2015</v>
      </c>
      <c r="W13" s="159"/>
      <c r="X13" s="232" t="str">
        <f ca="1">SUBSTITUTE(X4,"_YTD","")</f>
        <v>2016.08</v>
      </c>
      <c r="Y13" s="233" t="str">
        <f ca="1">SUBSTITUTE(Y4,"_YTD","")</f>
        <v>2016.08</v>
      </c>
      <c r="Z13" s="233" t="str">
        <f ca="1">SUBSTITUTE(Z4,"_YTD","")</f>
        <v>2015.08</v>
      </c>
      <c r="AA13" s="283" t="str">
        <f ca="1">IF(LEFT(Y13,1)="F","Var vs "&amp;Y14&amp;" "&amp;RIGHT(Y13,4),"Var vs "&amp;Y14&amp;" "&amp;LEFT(Y13,4))</f>
        <v>Var vs BUDG_VC 2016</v>
      </c>
      <c r="AB13" s="283" t="str">
        <f ca="1">IF(LEFT(Z13,1)="F","Var vs "&amp;Z14&amp;" "&amp;RIGHT(Z13,4),"Var vs "&amp;Z14&amp;" "&amp;LEFT(Z13,4))</f>
        <v>Var vs ACT 2015</v>
      </c>
      <c r="AC13" s="159"/>
      <c r="AD13" s="232" t="str">
        <f ca="1">SUBSTITUTE(AD4,"_YTD","")</f>
        <v>2016.08</v>
      </c>
      <c r="AE13" s="233" t="str">
        <f ca="1">SUBSTITUTE(AE4,"_YTD","")</f>
        <v>2016.08</v>
      </c>
      <c r="AF13" s="233" t="str">
        <f ca="1">SUBSTITUTE(AF4,"_YTD","")</f>
        <v>2015.08</v>
      </c>
      <c r="AG13" s="283" t="str">
        <f ca="1">IF(LEFT(AE13,1)="F","Var vs "&amp;AE14&amp;" "&amp;RIGHT(AE13,4),"Var vs "&amp;AE14&amp;" "&amp;LEFT(AE13,4))</f>
        <v>Var vs BUDG_VC 2016</v>
      </c>
      <c r="AH13" s="283" t="str">
        <f ca="1">IF(LEFT(AF13,1)="F","Var vs "&amp;AF14&amp;" "&amp;RIGHT(AF13,4),"Var vs "&amp;AF14&amp;" "&amp;LEFT(AF13,4))</f>
        <v>Var vs ACT 2015</v>
      </c>
      <c r="AJ13" s="232" t="str">
        <f ca="1">SUBSTITUTE(AJ4,"_YTD","")</f>
        <v>2016.08</v>
      </c>
      <c r="AK13" s="233" t="str">
        <f ca="1">SUBSTITUTE(AK4,"_YTD","")</f>
        <v>2016.08</v>
      </c>
      <c r="AL13" s="233" t="str">
        <f ca="1">SUBSTITUTE(AL4,"_YTD","")</f>
        <v>2015.08</v>
      </c>
      <c r="AM13" s="283" t="str">
        <f ca="1">IF(LEFT(AK13,1)="F","Var vs "&amp;AK14&amp;" "&amp;RIGHT(AK13,4),"Var vs "&amp;AK14&amp;" "&amp;LEFT(AK13,4))</f>
        <v>Var vs BUDG_VC 2016</v>
      </c>
      <c r="AN13" s="283" t="str">
        <f ca="1">IF(LEFT(AL13,1)="F","Var vs "&amp;AL14&amp;" "&amp;RIGHT(AL13,4),"Var vs "&amp;AL14&amp;" "&amp;LEFT(AL13,4))</f>
        <v>Var vs ACT 2015</v>
      </c>
      <c r="AO13" s="159"/>
      <c r="AP13" s="281" t="str">
        <f>IF(Language="French","Effet Prix","Price Effect")</f>
        <v>Effet Prix</v>
      </c>
      <c r="AQ13" s="285" t="str">
        <f>IF(Language="French","Effet Volume","Volume Effect")</f>
        <v>Effet Volume</v>
      </c>
      <c r="AR13" s="281" t="str">
        <f>IF(Language="French","Effet Indexation","Indexation Effect")</f>
        <v>Effet Indexation</v>
      </c>
      <c r="AS13" s="281" t="str">
        <f>IF(Language="French","Effet Couverture","Hedging Effect")</f>
        <v>Effet Couverture</v>
      </c>
      <c r="AT13" s="281" t="str">
        <f>IF(Language="French","Effet Remboursement taxes ","Reimbursement Tax Effect")</f>
        <v xml:space="preserve">Effet Remboursement taxes </v>
      </c>
      <c r="AU13" s="159"/>
      <c r="AV13" s="281" t="str">
        <f>IF(Language="French","Effet Prix","Price Effect")</f>
        <v>Effet Prix</v>
      </c>
      <c r="AW13" s="285" t="str">
        <f>IF(Language="French","Effet Volume","Volume Effect")</f>
        <v>Effet Volume</v>
      </c>
      <c r="AX13" s="281" t="str">
        <f>IF(Language="French","Effet Indexation","Indexation Effect")</f>
        <v>Effet Indexation</v>
      </c>
      <c r="AY13" s="281" t="str">
        <f>IF(Language="French","Effet Couverture","Hedging Effect")</f>
        <v>Effet Couverture</v>
      </c>
      <c r="AZ13" s="281" t="str">
        <f>IF(Language="French","Effet Remboursement taxes ","Reimbursement Tax Effect")</f>
        <v xml:space="preserve">Effet Remboursement taxes </v>
      </c>
    </row>
    <row r="14" spans="1:52" s="40" customFormat="1" ht="24" customHeight="1">
      <c r="A14" s="29" t="s">
        <v>21</v>
      </c>
      <c r="C14" s="41"/>
      <c r="D14" s="85" t="str">
        <f ca="1">B5</f>
        <v>KEUR</v>
      </c>
      <c r="F14" s="232" t="str">
        <f>SUBSTITUTE(F5,"_TOT","")</f>
        <v>ACT</v>
      </c>
      <c r="G14" s="233" t="str">
        <f>SUBSTITUTE(G5,"_TOT","")</f>
        <v>BUDG_VC</v>
      </c>
      <c r="H14" s="233" t="str">
        <f ca="1">SUBSTITUTE(H5,"_TOT","")</f>
        <v>ACT</v>
      </c>
      <c r="I14" s="284"/>
      <c r="J14" s="284"/>
      <c r="K14" s="159"/>
      <c r="L14" s="232" t="str">
        <f>SUBSTITUTE(L5,"_TOT","")</f>
        <v>ACT</v>
      </c>
      <c r="M14" s="233" t="str">
        <f>SUBSTITUTE(M5,"_TOT","")</f>
        <v>BUDG_VC</v>
      </c>
      <c r="N14" s="233" t="str">
        <f ca="1">SUBSTITUTE(N5,"_TOT","")</f>
        <v>ACT</v>
      </c>
      <c r="O14" s="284"/>
      <c r="P14" s="284"/>
      <c r="Q14" s="159"/>
      <c r="R14" s="63" t="str">
        <f>F14</f>
        <v>ACT</v>
      </c>
      <c r="S14" s="64" t="str">
        <f>G14</f>
        <v>BUDG_VC</v>
      </c>
      <c r="T14" s="64" t="str">
        <f ca="1">H14</f>
        <v>ACT</v>
      </c>
      <c r="U14" s="269"/>
      <c r="V14" s="269">
        <f>J14</f>
        <v>0</v>
      </c>
      <c r="W14" s="159"/>
      <c r="X14" s="232" t="str">
        <f>SUBSTITUTE(X5,"_TOT","")</f>
        <v>ACT</v>
      </c>
      <c r="Y14" s="233" t="str">
        <f>SUBSTITUTE(Y5,"_TOT","")</f>
        <v>BUDG_VC</v>
      </c>
      <c r="Z14" s="233" t="str">
        <f ca="1">SUBSTITUTE(Z5,"_TOT","")</f>
        <v>ACT</v>
      </c>
      <c r="AA14" s="284"/>
      <c r="AB14" s="284"/>
      <c r="AC14" s="159"/>
      <c r="AD14" s="232" t="str">
        <f>SUBSTITUTE(AD5,"_TOT","")</f>
        <v>ACT</v>
      </c>
      <c r="AE14" s="233" t="str">
        <f>SUBSTITUTE(AE5,"_TOT","")</f>
        <v>BUDG_VC</v>
      </c>
      <c r="AF14" s="233" t="str">
        <f ca="1">SUBSTITUTE(AF5,"_TOT","")</f>
        <v>ACT</v>
      </c>
      <c r="AG14" s="284"/>
      <c r="AH14" s="284"/>
      <c r="AJ14" s="232" t="str">
        <f>SUBSTITUTE(AJ5,"_TOT","")</f>
        <v>ACT</v>
      </c>
      <c r="AK14" s="233" t="str">
        <f>SUBSTITUTE(AK5,"_TOT","")</f>
        <v>BUDG_VC</v>
      </c>
      <c r="AL14" s="233" t="str">
        <f ca="1">SUBSTITUTE(AL5,"_TOT","")</f>
        <v>ACT</v>
      </c>
      <c r="AM14" s="284"/>
      <c r="AN14" s="284"/>
      <c r="AO14" s="159"/>
      <c r="AP14" s="282"/>
      <c r="AQ14" s="286"/>
      <c r="AR14" s="282"/>
      <c r="AS14" s="282"/>
      <c r="AT14" s="282"/>
      <c r="AU14" s="159"/>
      <c r="AV14" s="282"/>
      <c r="AW14" s="286"/>
      <c r="AX14" s="282"/>
      <c r="AY14" s="282"/>
      <c r="AZ14" s="282"/>
    </row>
    <row r="15" spans="1:52" s="49" customFormat="1" ht="12.75">
      <c r="A15" s="40"/>
      <c r="C15" s="40"/>
      <c r="D15" s="40"/>
      <c r="E15" s="46"/>
      <c r="F15" s="234"/>
      <c r="G15" s="235"/>
      <c r="H15" s="235"/>
      <c r="I15" s="236"/>
      <c r="J15" s="236"/>
      <c r="K15" s="165"/>
      <c r="L15" s="234"/>
      <c r="M15" s="235"/>
      <c r="N15" s="235"/>
      <c r="O15" s="236"/>
      <c r="P15" s="236"/>
      <c r="Q15" s="165"/>
      <c r="R15" s="65"/>
      <c r="S15" s="66"/>
      <c r="T15" s="66"/>
      <c r="U15" s="67"/>
      <c r="V15" s="67"/>
      <c r="W15" s="165"/>
      <c r="X15" s="234"/>
      <c r="Y15" s="235"/>
      <c r="Z15" s="235"/>
      <c r="AA15" s="236"/>
      <c r="AB15" s="236"/>
      <c r="AC15" s="165"/>
      <c r="AD15" s="234"/>
      <c r="AE15" s="235"/>
      <c r="AF15" s="235"/>
      <c r="AG15" s="236"/>
      <c r="AH15" s="236"/>
      <c r="AJ15" s="234"/>
      <c r="AK15" s="235"/>
      <c r="AL15" s="235"/>
      <c r="AM15" s="236"/>
      <c r="AN15" s="236"/>
      <c r="AO15" s="165"/>
      <c r="AP15" s="234"/>
      <c r="AQ15" s="234"/>
      <c r="AR15" s="234"/>
      <c r="AS15" s="234"/>
      <c r="AT15" s="234"/>
      <c r="AU15" s="160"/>
      <c r="AV15" s="235"/>
      <c r="AW15" s="235"/>
      <c r="AX15" s="234"/>
      <c r="AY15" s="234"/>
      <c r="AZ15" s="234"/>
    </row>
    <row r="16" spans="1:52" s="28" customFormat="1" ht="20.100000000000001" customHeight="1">
      <c r="A16" s="29" t="s">
        <v>74</v>
      </c>
      <c r="C16" s="50"/>
      <c r="D16" s="52" t="str">
        <f ca="1">_xll.DBRA("tango_core_model:legal_organization",A16,Language)</f>
        <v>Zone France</v>
      </c>
      <c r="E16" s="20"/>
      <c r="F16" s="237" t="e">
        <f ca="1">_xll.DBRW($B$3,$B$7,$B$5,$B$4,$B$6,$A16,$B$8,F$4,F$5,F$6)*F$7</f>
        <v>#VALUE!</v>
      </c>
      <c r="G16" s="237" t="e">
        <f ca="1">_xll.DBRW($B$3,$B$7,$B$5,$B$4,$B$6,$A16,$B$8,G$4,G$5,G$6)*G$7</f>
        <v>#VALUE!</v>
      </c>
      <c r="H16" s="237" t="e">
        <f ca="1">_xll.DBRW($B$3,$B$7,$B$5,$B$4,$B$6,$A16,$B$8,H$4,H$5,H$6)*H$7</f>
        <v>#VALUE!</v>
      </c>
      <c r="I16" s="238" t="e">
        <f t="shared" ref="I16:I23" ca="1" si="0">IF(OR(F16="",G16=""),"-",IFERROR((F16-G16),""))</f>
        <v>#VALUE!</v>
      </c>
      <c r="J16" s="238" t="e">
        <f t="shared" ref="J16:J23" ca="1" si="1">IF(OR(F16="",H16=""),"-",IFERROR((F16-H16),""))</f>
        <v>#VALUE!</v>
      </c>
      <c r="K16" s="157"/>
      <c r="L16" s="237" t="e">
        <f ca="1">_xll.DBRW($B$3,$B$7,$L$8,$B$4,$B$6,$A16,$B$8,L$4,L$5,L$6)*L$7</f>
        <v>#VALUE!</v>
      </c>
      <c r="M16" s="237" t="e">
        <f ca="1">_xll.DBRW($B$3,$B$7,$L$8,$B$4,$B$6,$A16,$B$8,M$4,M$5,M$6)*M$7</f>
        <v>#VALUE!</v>
      </c>
      <c r="N16" s="237" t="e">
        <f ca="1">_xll.DBRW($B$3,$B$7,$L$8,$B$4,$B$6,$A16,$B$8,N$4,N$5,N$6)*N$7</f>
        <v>#VALUE!</v>
      </c>
      <c r="O16" s="238" t="e">
        <f t="shared" ref="O16:O23" ca="1" si="2">IF(OR(L16="",M16=""),"-",IFERROR((L16-M16),""))</f>
        <v>#VALUE!</v>
      </c>
      <c r="P16" s="238" t="e">
        <f t="shared" ref="P16:P23" ca="1" si="3">IF(OR(L16="",N16=""),"-",IFERROR((L16-N16),""))</f>
        <v>#VALUE!</v>
      </c>
      <c r="Q16" s="157"/>
      <c r="R16" s="68" t="str">
        <f t="shared" ref="R16:T23" ca="1" si="4">IFERROR((F16/L16),"")</f>
        <v/>
      </c>
      <c r="S16" s="68" t="str">
        <f t="shared" ca="1" si="4"/>
        <v/>
      </c>
      <c r="T16" s="68" t="str">
        <f t="shared" ca="1" si="4"/>
        <v/>
      </c>
      <c r="U16" s="69" t="str">
        <f t="shared" ref="U16:U23" ca="1" si="5">IF(OR(R16="",S16=""),"-",IFERROR((R16-S16),""))</f>
        <v>-</v>
      </c>
      <c r="V16" s="69" t="str">
        <f t="shared" ref="V16:V23" ca="1" si="6">IF(OR(R16="",T16=""),"-",IFERROR((R16-T16),""))</f>
        <v>-</v>
      </c>
      <c r="W16" s="157"/>
      <c r="X16" s="237" t="e">
        <f ca="1">_xll.DBRW($B$3,$B$7,$B$5,$B$4,$B$6,$A16,$B$8,X$4,X$5,X$6)*X$7</f>
        <v>#VALUE!</v>
      </c>
      <c r="Y16" s="237" t="e">
        <f ca="1">_xll.DBRW($B$3,$B$7,$B$5,$B$4,$B$6,$A16,$B$8,Y$4,Y$5,Y$6)*Y$7</f>
        <v>#VALUE!</v>
      </c>
      <c r="Z16" s="237" t="e">
        <f ca="1">_xll.DBRW($B$3,$B$7,$B$5,$B$4,$B$6,$A16,$B$8,Z$4,Z$5,Z$6)*Z$7</f>
        <v>#VALUE!</v>
      </c>
      <c r="AA16" s="238" t="e">
        <f t="shared" ref="AA16:AA59" ca="1" si="7">IF(OR(X16="",Y16=""),"-",IFERROR((X16-Y16),""))</f>
        <v>#VALUE!</v>
      </c>
      <c r="AB16" s="238" t="e">
        <f t="shared" ref="AB16:AB59" ca="1" si="8">IF(OR(X16="",Z16=""),"-",IFERROR((X16-Z16),""))</f>
        <v>#VALUE!</v>
      </c>
      <c r="AC16" s="157"/>
      <c r="AD16" s="237" t="e">
        <f ca="1">_xll.DBRW($B$3,$B$7,$B$5,$B$4,$B$6,$A16,$B$8,AD$4,AD$5,AD$6)*AD$7</f>
        <v>#VALUE!</v>
      </c>
      <c r="AE16" s="237" t="e">
        <f ca="1">_xll.DBRW($B$3,$B$7,$B$5,$B$4,$B$6,$A16,$B$8,AE$4,AE$5,AE$6)*AE$7</f>
        <v>#VALUE!</v>
      </c>
      <c r="AF16" s="237" t="e">
        <f ca="1">_xll.DBRW($B$3,$B$7,$B$5,$B$4,$B$6,$A16,$B$8,AF$4,AF$5,AF$6)*AF$7</f>
        <v>#VALUE!</v>
      </c>
      <c r="AG16" s="238" t="e">
        <f t="shared" ref="AG16:AG59" ca="1" si="9">IF(OR(AD16="",AE16=""),"-",IFERROR((AD16-AE16),""))</f>
        <v>#VALUE!</v>
      </c>
      <c r="AH16" s="238" t="e">
        <f t="shared" ref="AH16:AH59" ca="1" si="10">IF(OR(AD16="",AF16=""),"-",IFERROR((AD16-AF16),""))</f>
        <v>#VALUE!</v>
      </c>
      <c r="AJ16" s="237" t="e">
        <f ca="1">_xll.DBRW($B$3,$B$7,$B$5,$B$4,$B$6,$A16,$B$8,AJ$4,AJ$5,AJ$6)*AJ$7</f>
        <v>#VALUE!</v>
      </c>
      <c r="AK16" s="237" t="e">
        <f ca="1">_xll.DBRW($B$3,$B$7,$B$5,$B$4,$B$6,$A16,$B$8,AK$4,AK$5,AK$6)*AK$7</f>
        <v>#VALUE!</v>
      </c>
      <c r="AL16" s="237" t="e">
        <f ca="1">_xll.DBRW($B$3,$B$7,$B$5,$B$4,$B$6,$A16,$B$8,AL$4,AL$5,AL$6)*AL$7</f>
        <v>#VALUE!</v>
      </c>
      <c r="AM16" s="238" t="e">
        <f t="shared" ref="AM16:AM59" ca="1" si="11">IF(OR(AJ16="",AK16=""),"-",IFERROR((AJ16-AK16),""))</f>
        <v>#VALUE!</v>
      </c>
      <c r="AN16" s="238" t="e">
        <f t="shared" ref="AN16:AN59" ca="1" si="12">IF(OR(AJ16="",AL16=""),"-",IFERROR((AJ16-AL16),""))</f>
        <v>#VALUE!</v>
      </c>
      <c r="AO16" s="157"/>
      <c r="AP16" s="237" t="str">
        <f t="shared" ref="AP16:AP23" ca="1" si="13">IF(ISERROR(($R16-S16)*$L16),"-",($R16-S16)*$L16)</f>
        <v>-</v>
      </c>
      <c r="AQ16" s="237" t="str">
        <f t="shared" ref="AQ16:AQ23" ca="1" si="14">IF(ISERROR(($L16-M16)*$S16),"-",($L16-M16)*$S16)</f>
        <v>-</v>
      </c>
      <c r="AR16" s="237" t="e">
        <f t="shared" ref="AR16:AR23" ca="1" si="15">IF(AA16="-",0,AA16)</f>
        <v>#VALUE!</v>
      </c>
      <c r="AS16" s="237" t="e">
        <f t="shared" ref="AS16:AS23" ca="1" si="16">IF(AG16="-",0,AG16)</f>
        <v>#VALUE!</v>
      </c>
      <c r="AT16" s="237" t="e">
        <f t="shared" ref="AT16:AT23" ca="1" si="17">IF(AM16="-",0,AM16)</f>
        <v>#VALUE!</v>
      </c>
      <c r="AU16" s="246"/>
      <c r="AV16" s="237" t="str">
        <f t="shared" ref="AV16:AV23" ca="1" si="18">IF(ISERROR(($R16-T16)*$L16),"-",($R16-T16)*$L16)</f>
        <v>-</v>
      </c>
      <c r="AW16" s="237" t="str">
        <f t="shared" ref="AW16:AW23" ca="1" si="19">IF(ISERROR(($L16-N16)*$T16),"-",($L16-N16)*$T16)</f>
        <v>-</v>
      </c>
      <c r="AX16" s="237" t="e">
        <f t="shared" ref="AX16:AX23" ca="1" si="20">IF(AB16="-",0,AB16)</f>
        <v>#VALUE!</v>
      </c>
      <c r="AY16" s="237" t="e">
        <f t="shared" ref="AY16:AY23" ca="1" si="21">IF(AH16="-",0,AH16)</f>
        <v>#VALUE!</v>
      </c>
      <c r="AZ16" s="237" t="e">
        <f t="shared" ref="AZ16:AZ23" ca="1" si="22">IF(AN16="-",0,AN16)</f>
        <v>#VALUE!</v>
      </c>
    </row>
    <row r="17" spans="1:52" s="51" customFormat="1" ht="15" customHeight="1">
      <c r="A17" s="29" t="s">
        <v>3</v>
      </c>
      <c r="C17" s="50"/>
      <c r="D17" s="53" t="str">
        <f ca="1">_xll.DBRA("tango_core_model:legal_organization",A17,Language)</f>
        <v>France</v>
      </c>
      <c r="E17" s="20"/>
      <c r="F17" s="239" t="e">
        <f ca="1">_xll.DBRW($B$3,$B$7,$B$5,$B$4,$B$6,$A17,$B$8,F$4,F$5,F$6)*F$7</f>
        <v>#VALUE!</v>
      </c>
      <c r="G17" s="239" t="e">
        <f ca="1">_xll.DBRW($B$3,$B$7,$B$5,$B$4,$B$6,$A17,$B$8,G$4,G$5,G$6)*G$7</f>
        <v>#VALUE!</v>
      </c>
      <c r="H17" s="239" t="e">
        <f ca="1">_xll.DBRW($B$3,$B$7,$B$5,$B$4,$B$6,$A17,$B$8,H$4,H$5,H$6)*H$7</f>
        <v>#VALUE!</v>
      </c>
      <c r="I17" s="240" t="e">
        <f t="shared" ca="1" si="0"/>
        <v>#VALUE!</v>
      </c>
      <c r="J17" s="240" t="e">
        <f t="shared" ca="1" si="1"/>
        <v>#VALUE!</v>
      </c>
      <c r="K17" s="241"/>
      <c r="L17" s="239" t="e">
        <f ca="1">_xll.DBRW($B$3,$B$7,$L$8,$B$4,$B$6,$A17,$B$8,L$4,L$5,L$6)*L$7</f>
        <v>#VALUE!</v>
      </c>
      <c r="M17" s="239" t="e">
        <f ca="1">_xll.DBRW($B$3,$B$7,$L$8,$B$4,$B$6,$A17,$B$8,M$4,M$5,M$6)*M$7</f>
        <v>#VALUE!</v>
      </c>
      <c r="N17" s="239" t="e">
        <f ca="1">_xll.DBRW($B$3,$B$7,$L$8,$B$4,$B$6,$A17,$B$8,N$4,N$5,N$6)*N$7</f>
        <v>#VALUE!</v>
      </c>
      <c r="O17" s="240" t="e">
        <f t="shared" ca="1" si="2"/>
        <v>#VALUE!</v>
      </c>
      <c r="P17" s="240" t="e">
        <f t="shared" ca="1" si="3"/>
        <v>#VALUE!</v>
      </c>
      <c r="Q17" s="241"/>
      <c r="R17" s="70" t="str">
        <f t="shared" ca="1" si="4"/>
        <v/>
      </c>
      <c r="S17" s="70" t="str">
        <f t="shared" ca="1" si="4"/>
        <v/>
      </c>
      <c r="T17" s="70" t="str">
        <f t="shared" ca="1" si="4"/>
        <v/>
      </c>
      <c r="U17" s="71" t="str">
        <f t="shared" ca="1" si="5"/>
        <v>-</v>
      </c>
      <c r="V17" s="71" t="str">
        <f t="shared" ca="1" si="6"/>
        <v>-</v>
      </c>
      <c r="W17" s="241"/>
      <c r="X17" s="239" t="e">
        <f ca="1">_xll.DBRW($B$3,$B$7,$B$5,$B$4,$B$6,$A17,$B$8,X$4,X$5,X$6)*X$7</f>
        <v>#VALUE!</v>
      </c>
      <c r="Y17" s="239" t="e">
        <f ca="1">_xll.DBRW($B$3,$B$7,$B$5,$B$4,$B$6,$A17,$B$8,Y$4,Y$5,Y$6)*Y$7</f>
        <v>#VALUE!</v>
      </c>
      <c r="Z17" s="239" t="e">
        <f ca="1">_xll.DBRW($B$3,$B$7,$B$5,$B$4,$B$6,$A17,$B$8,Z$4,Z$5,Z$6)*Z$7</f>
        <v>#VALUE!</v>
      </c>
      <c r="AA17" s="240" t="e">
        <f t="shared" ca="1" si="7"/>
        <v>#VALUE!</v>
      </c>
      <c r="AB17" s="240" t="e">
        <f t="shared" ca="1" si="8"/>
        <v>#VALUE!</v>
      </c>
      <c r="AC17" s="241"/>
      <c r="AD17" s="239" t="e">
        <f ca="1">_xll.DBRW($B$3,$B$7,$B$5,$B$4,$B$6,$A17,$B$8,AD$4,AD$5,AD$6)*AD$7</f>
        <v>#VALUE!</v>
      </c>
      <c r="AE17" s="239" t="e">
        <f ca="1">_xll.DBRW($B$3,$B$7,$B$5,$B$4,$B$6,$A17,$B$8,AE$4,AE$5,AE$6)*AE$7</f>
        <v>#VALUE!</v>
      </c>
      <c r="AF17" s="239" t="e">
        <f ca="1">_xll.DBRW($B$3,$B$7,$B$5,$B$4,$B$6,$A17,$B$8,AF$4,AF$5,AF$6)*AF$7</f>
        <v>#VALUE!</v>
      </c>
      <c r="AG17" s="240" t="e">
        <f t="shared" ca="1" si="9"/>
        <v>#VALUE!</v>
      </c>
      <c r="AH17" s="240" t="e">
        <f t="shared" ca="1" si="10"/>
        <v>#VALUE!</v>
      </c>
      <c r="AJ17" s="239" t="e">
        <f ca="1">_xll.DBRW($B$3,$B$7,$B$5,$B$4,$B$6,$A17,$B$8,AJ$4,AJ$5,AJ$6)*AJ$7</f>
        <v>#VALUE!</v>
      </c>
      <c r="AK17" s="239" t="e">
        <f ca="1">_xll.DBRW($B$3,$B$7,$B$5,$B$4,$B$6,$A17,$B$8,AK$4,AK$5,AK$6)*AK$7</f>
        <v>#VALUE!</v>
      </c>
      <c r="AL17" s="239" t="e">
        <f ca="1">_xll.DBRW($B$3,$B$7,$B$5,$B$4,$B$6,$A17,$B$8,AL$4,AL$5,AL$6)*AL$7</f>
        <v>#VALUE!</v>
      </c>
      <c r="AM17" s="240" t="e">
        <f t="shared" ca="1" si="11"/>
        <v>#VALUE!</v>
      </c>
      <c r="AN17" s="240" t="e">
        <f t="shared" ca="1" si="12"/>
        <v>#VALUE!</v>
      </c>
      <c r="AO17" s="241"/>
      <c r="AP17" s="239" t="str">
        <f t="shared" ca="1" si="13"/>
        <v>-</v>
      </c>
      <c r="AQ17" s="239" t="str">
        <f t="shared" ca="1" si="14"/>
        <v>-</v>
      </c>
      <c r="AR17" s="239" t="e">
        <f t="shared" ca="1" si="15"/>
        <v>#VALUE!</v>
      </c>
      <c r="AS17" s="239" t="e">
        <f t="shared" ca="1" si="16"/>
        <v>#VALUE!</v>
      </c>
      <c r="AT17" s="239" t="e">
        <f t="shared" ca="1" si="17"/>
        <v>#VALUE!</v>
      </c>
      <c r="AU17" s="247"/>
      <c r="AV17" s="239" t="str">
        <f t="shared" ca="1" si="18"/>
        <v>-</v>
      </c>
      <c r="AW17" s="239" t="str">
        <f t="shared" ca="1" si="19"/>
        <v>-</v>
      </c>
      <c r="AX17" s="239" t="e">
        <f t="shared" ca="1" si="20"/>
        <v>#VALUE!</v>
      </c>
      <c r="AY17" s="239" t="e">
        <f t="shared" ca="1" si="21"/>
        <v>#VALUE!</v>
      </c>
      <c r="AZ17" s="239" t="e">
        <f t="shared" ca="1" si="22"/>
        <v>#VALUE!</v>
      </c>
    </row>
    <row r="18" spans="1:52" s="51" customFormat="1" ht="15" customHeight="1">
      <c r="A18" s="29" t="s">
        <v>75</v>
      </c>
      <c r="C18" s="50"/>
      <c r="D18" s="54" t="str">
        <f ca="1">_xll.DBRA("tango_core_model:legal_organization",A18,Language)</f>
        <v>Zone Ile de France</v>
      </c>
      <c r="E18" s="1"/>
      <c r="F18" s="88" t="e">
        <f ca="1">_xll.DBRW($B$3,$B$7,$B$5,$B$4,$B$6,$A18,$B$8,F$4,F$5,F$6)*F$7</f>
        <v>#VALUE!</v>
      </c>
      <c r="G18" s="88" t="e">
        <f ca="1">_xll.DBRW($B$3,$B$7,$B$5,$B$4,$B$6,$A18,$B$8,G$4,G$5,G$6)*G$7</f>
        <v>#VALUE!</v>
      </c>
      <c r="H18" s="88" t="e">
        <f ca="1">_xll.DBRW($B$3,$B$7,$B$5,$B$4,$B$6,$A18,$B$8,H$4,H$5,H$6)*H$7</f>
        <v>#VALUE!</v>
      </c>
      <c r="I18" s="88" t="e">
        <f t="shared" ca="1" si="0"/>
        <v>#VALUE!</v>
      </c>
      <c r="J18" s="88" t="e">
        <f t="shared" ca="1" si="1"/>
        <v>#VALUE!</v>
      </c>
      <c r="K18" s="241"/>
      <c r="L18" s="88" t="e">
        <f ca="1">_xll.DBRW($B$3,$B$7,$L$8,$B$4,$B$6,$A18,$B$8,L$4,L$5,L$6)*L$7</f>
        <v>#VALUE!</v>
      </c>
      <c r="M18" s="88" t="e">
        <f ca="1">_xll.DBRW($B$3,$B$7,$L$8,$B$4,$B$6,$A18,$B$8,M$4,M$5,M$6)*M$7</f>
        <v>#VALUE!</v>
      </c>
      <c r="N18" s="88" t="e">
        <f ca="1">_xll.DBRW($B$3,$B$7,$L$8,$B$4,$B$6,$A18,$B$8,N$4,N$5,N$6)*N$7</f>
        <v>#VALUE!</v>
      </c>
      <c r="O18" s="88" t="e">
        <f t="shared" ca="1" si="2"/>
        <v>#VALUE!</v>
      </c>
      <c r="P18" s="88" t="e">
        <f t="shared" ca="1" si="3"/>
        <v>#VALUE!</v>
      </c>
      <c r="Q18" s="241"/>
      <c r="R18" s="72" t="str">
        <f t="shared" ca="1" si="4"/>
        <v/>
      </c>
      <c r="S18" s="72" t="str">
        <f t="shared" ca="1" si="4"/>
        <v/>
      </c>
      <c r="T18" s="72" t="str">
        <f t="shared" ca="1" si="4"/>
        <v/>
      </c>
      <c r="U18" s="72" t="str">
        <f t="shared" ca="1" si="5"/>
        <v>-</v>
      </c>
      <c r="V18" s="72" t="str">
        <f t="shared" ca="1" si="6"/>
        <v>-</v>
      </c>
      <c r="W18" s="241"/>
      <c r="X18" s="88" t="e">
        <f ca="1">_xll.DBRW($B$3,$B$7,$B$5,$B$4,$B$6,$A18,$B$8,X$4,X$5,X$6)*X$7</f>
        <v>#VALUE!</v>
      </c>
      <c r="Y18" s="88" t="e">
        <f ca="1">_xll.DBRW($B$3,$B$7,$B$5,$B$4,$B$6,$A18,$B$8,Y$4,Y$5,Y$6)*Y$7</f>
        <v>#VALUE!</v>
      </c>
      <c r="Z18" s="88" t="e">
        <f ca="1">_xll.DBRW($B$3,$B$7,$B$5,$B$4,$B$6,$A18,$B$8,Z$4,Z$5,Z$6)*Z$7</f>
        <v>#VALUE!</v>
      </c>
      <c r="AA18" s="88" t="e">
        <f t="shared" ca="1" si="7"/>
        <v>#VALUE!</v>
      </c>
      <c r="AB18" s="88" t="e">
        <f t="shared" ca="1" si="8"/>
        <v>#VALUE!</v>
      </c>
      <c r="AC18" s="241"/>
      <c r="AD18" s="88" t="e">
        <f ca="1">_xll.DBRW($B$3,$B$7,$B$5,$B$4,$B$6,$A18,$B$8,AD$4,AD$5,AD$6)*AD$7</f>
        <v>#VALUE!</v>
      </c>
      <c r="AE18" s="88" t="e">
        <f ca="1">_xll.DBRW($B$3,$B$7,$B$5,$B$4,$B$6,$A18,$B$8,AE$4,AE$5,AE$6)*AE$7</f>
        <v>#VALUE!</v>
      </c>
      <c r="AF18" s="88" t="e">
        <f ca="1">_xll.DBRW($B$3,$B$7,$B$5,$B$4,$B$6,$A18,$B$8,AF$4,AF$5,AF$6)*AF$7</f>
        <v>#VALUE!</v>
      </c>
      <c r="AG18" s="88" t="e">
        <f t="shared" ca="1" si="9"/>
        <v>#VALUE!</v>
      </c>
      <c r="AH18" s="88" t="e">
        <f t="shared" ca="1" si="10"/>
        <v>#VALUE!</v>
      </c>
      <c r="AJ18" s="88" t="e">
        <f ca="1">_xll.DBRW($B$3,$B$7,$B$5,$B$4,$B$6,$A18,$B$8,AJ$4,AJ$5,AJ$6)*AJ$7</f>
        <v>#VALUE!</v>
      </c>
      <c r="AK18" s="88" t="e">
        <f ca="1">_xll.DBRW($B$3,$B$7,$B$5,$B$4,$B$6,$A18,$B$8,AK$4,AK$5,AK$6)*AK$7</f>
        <v>#VALUE!</v>
      </c>
      <c r="AL18" s="88" t="e">
        <f ca="1">_xll.DBRW($B$3,$B$7,$B$5,$B$4,$B$6,$A18,$B$8,AL$4,AL$5,AL$6)*AL$7</f>
        <v>#VALUE!</v>
      </c>
      <c r="AM18" s="88" t="e">
        <f t="shared" ca="1" si="11"/>
        <v>#VALUE!</v>
      </c>
      <c r="AN18" s="88" t="e">
        <f t="shared" ca="1" si="12"/>
        <v>#VALUE!</v>
      </c>
      <c r="AO18" s="241"/>
      <c r="AP18" s="88" t="str">
        <f t="shared" ca="1" si="13"/>
        <v>-</v>
      </c>
      <c r="AQ18" s="88" t="str">
        <f t="shared" ca="1" si="14"/>
        <v>-</v>
      </c>
      <c r="AR18" s="88" t="e">
        <f t="shared" ca="1" si="15"/>
        <v>#VALUE!</v>
      </c>
      <c r="AS18" s="88" t="e">
        <f t="shared" ca="1" si="16"/>
        <v>#VALUE!</v>
      </c>
      <c r="AT18" s="88" t="e">
        <f t="shared" ca="1" si="17"/>
        <v>#VALUE!</v>
      </c>
      <c r="AU18" s="247"/>
      <c r="AV18" s="88" t="str">
        <f t="shared" ca="1" si="18"/>
        <v>-</v>
      </c>
      <c r="AW18" s="88" t="str">
        <f t="shared" ca="1" si="19"/>
        <v>-</v>
      </c>
      <c r="AX18" s="88" t="e">
        <f t="shared" ca="1" si="20"/>
        <v>#VALUE!</v>
      </c>
      <c r="AY18" s="88" t="e">
        <f t="shared" ca="1" si="21"/>
        <v>#VALUE!</v>
      </c>
      <c r="AZ18" s="88" t="e">
        <f t="shared" ca="1" si="22"/>
        <v>#VALUE!</v>
      </c>
    </row>
    <row r="19" spans="1:52" s="51" customFormat="1" ht="15" customHeight="1">
      <c r="A19" s="29" t="s">
        <v>76</v>
      </c>
      <c r="C19" s="50"/>
      <c r="D19" s="54" t="str">
        <f ca="1">_xll.DBRA("tango_core_model:legal_organization",A19,Language)</f>
        <v>Zone Nord</v>
      </c>
      <c r="E19" s="1"/>
      <c r="F19" s="88" t="e">
        <f ca="1">_xll.DBRW($B$3,$B$7,$B$5,$B$4,$B$6,$A19,$B$8,F$4,F$5,F$6)*F$7</f>
        <v>#VALUE!</v>
      </c>
      <c r="G19" s="88" t="e">
        <f ca="1">_xll.DBRW($B$3,$B$7,$B$5,$B$4,$B$6,$A19,$B$8,G$4,G$5,G$6)*G$7</f>
        <v>#VALUE!</v>
      </c>
      <c r="H19" s="88" t="e">
        <f ca="1">_xll.DBRW($B$3,$B$7,$B$5,$B$4,$B$6,$A19,$B$8,H$4,H$5,H$6)*H$7</f>
        <v>#VALUE!</v>
      </c>
      <c r="I19" s="88" t="e">
        <f t="shared" ca="1" si="0"/>
        <v>#VALUE!</v>
      </c>
      <c r="J19" s="88" t="e">
        <f t="shared" ca="1" si="1"/>
        <v>#VALUE!</v>
      </c>
      <c r="K19" s="241"/>
      <c r="L19" s="88" t="e">
        <f ca="1">_xll.DBRW($B$3,$B$7,$L$8,$B$4,$B$6,$A19,$B$8,L$4,L$5,L$6)*L$7</f>
        <v>#VALUE!</v>
      </c>
      <c r="M19" s="88" t="e">
        <f ca="1">_xll.DBRW($B$3,$B$7,$L$8,$B$4,$B$6,$A19,$B$8,M$4,M$5,M$6)*M$7</f>
        <v>#VALUE!</v>
      </c>
      <c r="N19" s="88" t="e">
        <f ca="1">_xll.DBRW($B$3,$B$7,$L$8,$B$4,$B$6,$A19,$B$8,N$4,N$5,N$6)*N$7</f>
        <v>#VALUE!</v>
      </c>
      <c r="O19" s="88" t="e">
        <f t="shared" ca="1" si="2"/>
        <v>#VALUE!</v>
      </c>
      <c r="P19" s="88" t="e">
        <f t="shared" ca="1" si="3"/>
        <v>#VALUE!</v>
      </c>
      <c r="Q19" s="241"/>
      <c r="R19" s="72" t="str">
        <f t="shared" ca="1" si="4"/>
        <v/>
      </c>
      <c r="S19" s="72" t="str">
        <f t="shared" ca="1" si="4"/>
        <v/>
      </c>
      <c r="T19" s="72" t="str">
        <f t="shared" ca="1" si="4"/>
        <v/>
      </c>
      <c r="U19" s="72" t="str">
        <f t="shared" ca="1" si="5"/>
        <v>-</v>
      </c>
      <c r="V19" s="72" t="str">
        <f t="shared" ca="1" si="6"/>
        <v>-</v>
      </c>
      <c r="W19" s="241"/>
      <c r="X19" s="88" t="e">
        <f ca="1">_xll.DBRW($B$3,$B$7,$B$5,$B$4,$B$6,$A19,$B$8,X$4,X$5,X$6)*X$7</f>
        <v>#VALUE!</v>
      </c>
      <c r="Y19" s="88" t="e">
        <f ca="1">_xll.DBRW($B$3,$B$7,$B$5,$B$4,$B$6,$A19,$B$8,Y$4,Y$5,Y$6)*Y$7</f>
        <v>#VALUE!</v>
      </c>
      <c r="Z19" s="88" t="e">
        <f ca="1">_xll.DBRW($B$3,$B$7,$B$5,$B$4,$B$6,$A19,$B$8,Z$4,Z$5,Z$6)*Z$7</f>
        <v>#VALUE!</v>
      </c>
      <c r="AA19" s="88" t="e">
        <f t="shared" ca="1" si="7"/>
        <v>#VALUE!</v>
      </c>
      <c r="AB19" s="88" t="e">
        <f t="shared" ca="1" si="8"/>
        <v>#VALUE!</v>
      </c>
      <c r="AC19" s="241"/>
      <c r="AD19" s="88" t="e">
        <f ca="1">_xll.DBRW($B$3,$B$7,$B$5,$B$4,$B$6,$A19,$B$8,AD$4,AD$5,AD$6)*AD$7</f>
        <v>#VALUE!</v>
      </c>
      <c r="AE19" s="88" t="e">
        <f ca="1">_xll.DBRW($B$3,$B$7,$B$5,$B$4,$B$6,$A19,$B$8,AE$4,AE$5,AE$6)*AE$7</f>
        <v>#VALUE!</v>
      </c>
      <c r="AF19" s="88" t="e">
        <f ca="1">_xll.DBRW($B$3,$B$7,$B$5,$B$4,$B$6,$A19,$B$8,AF$4,AF$5,AF$6)*AF$7</f>
        <v>#VALUE!</v>
      </c>
      <c r="AG19" s="88" t="e">
        <f t="shared" ca="1" si="9"/>
        <v>#VALUE!</v>
      </c>
      <c r="AH19" s="88" t="e">
        <f t="shared" ca="1" si="10"/>
        <v>#VALUE!</v>
      </c>
      <c r="AJ19" s="88" t="e">
        <f ca="1">_xll.DBRW($B$3,$B$7,$B$5,$B$4,$B$6,$A19,$B$8,AJ$4,AJ$5,AJ$6)*AJ$7</f>
        <v>#VALUE!</v>
      </c>
      <c r="AK19" s="88" t="e">
        <f ca="1">_xll.DBRW($B$3,$B$7,$B$5,$B$4,$B$6,$A19,$B$8,AK$4,AK$5,AK$6)*AK$7</f>
        <v>#VALUE!</v>
      </c>
      <c r="AL19" s="88" t="e">
        <f ca="1">_xll.DBRW($B$3,$B$7,$B$5,$B$4,$B$6,$A19,$B$8,AL$4,AL$5,AL$6)*AL$7</f>
        <v>#VALUE!</v>
      </c>
      <c r="AM19" s="88" t="e">
        <f t="shared" ca="1" si="11"/>
        <v>#VALUE!</v>
      </c>
      <c r="AN19" s="88" t="e">
        <f t="shared" ca="1" si="12"/>
        <v>#VALUE!</v>
      </c>
      <c r="AO19" s="241"/>
      <c r="AP19" s="88" t="str">
        <f t="shared" ca="1" si="13"/>
        <v>-</v>
      </c>
      <c r="AQ19" s="88" t="str">
        <f t="shared" ca="1" si="14"/>
        <v>-</v>
      </c>
      <c r="AR19" s="88" t="e">
        <f t="shared" ca="1" si="15"/>
        <v>#VALUE!</v>
      </c>
      <c r="AS19" s="88" t="e">
        <f t="shared" ca="1" si="16"/>
        <v>#VALUE!</v>
      </c>
      <c r="AT19" s="88" t="e">
        <f t="shared" ca="1" si="17"/>
        <v>#VALUE!</v>
      </c>
      <c r="AU19" s="247"/>
      <c r="AV19" s="88" t="str">
        <f t="shared" ca="1" si="18"/>
        <v>-</v>
      </c>
      <c r="AW19" s="88" t="str">
        <f t="shared" ca="1" si="19"/>
        <v>-</v>
      </c>
      <c r="AX19" s="88" t="e">
        <f t="shared" ca="1" si="20"/>
        <v>#VALUE!</v>
      </c>
      <c r="AY19" s="88" t="e">
        <f t="shared" ca="1" si="21"/>
        <v>#VALUE!</v>
      </c>
      <c r="AZ19" s="88" t="e">
        <f t="shared" ca="1" si="22"/>
        <v>#VALUE!</v>
      </c>
    </row>
    <row r="20" spans="1:52" s="51" customFormat="1" ht="15" customHeight="1">
      <c r="A20" s="29" t="s">
        <v>77</v>
      </c>
      <c r="C20" s="50"/>
      <c r="D20" s="55" t="str">
        <f ca="1">_xll.DBRA("tango_core_model:legal_organization",A20,Language)</f>
        <v>Urbains Nord</v>
      </c>
      <c r="E20" s="1"/>
      <c r="F20" s="88" t="e">
        <f ca="1">_xll.DBRW($B$3,$B$7,$B$5,$B$4,$B$6,$A20,$B$8,F$4,F$5,F$6)*F$7</f>
        <v>#VALUE!</v>
      </c>
      <c r="G20" s="88" t="e">
        <f ca="1">_xll.DBRW($B$3,$B$7,$B$5,$B$4,$B$6,$A20,$B$8,G$4,G$5,G$6)*G$7</f>
        <v>#VALUE!</v>
      </c>
      <c r="H20" s="88" t="e">
        <f ca="1">_xll.DBRW($B$3,$B$7,$B$5,$B$4,$B$6,$A20,$B$8,H$4,H$5,H$6)*H$7</f>
        <v>#VALUE!</v>
      </c>
      <c r="I20" s="88" t="e">
        <f t="shared" ca="1" si="0"/>
        <v>#VALUE!</v>
      </c>
      <c r="J20" s="88" t="e">
        <f t="shared" ca="1" si="1"/>
        <v>#VALUE!</v>
      </c>
      <c r="K20" s="241"/>
      <c r="L20" s="88" t="e">
        <f ca="1">_xll.DBRW($B$3,$B$7,$L$8,$B$4,$B$6,$A20,$B$8,L$4,L$5,L$6)*L$7</f>
        <v>#VALUE!</v>
      </c>
      <c r="M20" s="88" t="e">
        <f ca="1">_xll.DBRW($B$3,$B$7,$L$8,$B$4,$B$6,$A20,$B$8,M$4,M$5,M$6)*M$7</f>
        <v>#VALUE!</v>
      </c>
      <c r="N20" s="88" t="e">
        <f ca="1">_xll.DBRW($B$3,$B$7,$L$8,$B$4,$B$6,$A20,$B$8,N$4,N$5,N$6)*N$7</f>
        <v>#VALUE!</v>
      </c>
      <c r="O20" s="88" t="e">
        <f t="shared" ca="1" si="2"/>
        <v>#VALUE!</v>
      </c>
      <c r="P20" s="88" t="e">
        <f t="shared" ca="1" si="3"/>
        <v>#VALUE!</v>
      </c>
      <c r="Q20" s="241"/>
      <c r="R20" s="72" t="str">
        <f t="shared" ca="1" si="4"/>
        <v/>
      </c>
      <c r="S20" s="72" t="str">
        <f t="shared" ca="1" si="4"/>
        <v/>
      </c>
      <c r="T20" s="72" t="str">
        <f t="shared" ca="1" si="4"/>
        <v/>
      </c>
      <c r="U20" s="72" t="str">
        <f t="shared" ca="1" si="5"/>
        <v>-</v>
      </c>
      <c r="V20" s="72" t="str">
        <f t="shared" ca="1" si="6"/>
        <v>-</v>
      </c>
      <c r="W20" s="241"/>
      <c r="X20" s="88" t="e">
        <f ca="1">_xll.DBRW($B$3,$B$7,$B$5,$B$4,$B$6,$A20,$B$8,X$4,X$5,X$6)*X$7</f>
        <v>#VALUE!</v>
      </c>
      <c r="Y20" s="88" t="e">
        <f ca="1">_xll.DBRW($B$3,$B$7,$B$5,$B$4,$B$6,$A20,$B$8,Y$4,Y$5,Y$6)*Y$7</f>
        <v>#VALUE!</v>
      </c>
      <c r="Z20" s="88" t="e">
        <f ca="1">_xll.DBRW($B$3,$B$7,$B$5,$B$4,$B$6,$A20,$B$8,Z$4,Z$5,Z$6)*Z$7</f>
        <v>#VALUE!</v>
      </c>
      <c r="AA20" s="88" t="e">
        <f t="shared" ca="1" si="7"/>
        <v>#VALUE!</v>
      </c>
      <c r="AB20" s="88" t="e">
        <f t="shared" ca="1" si="8"/>
        <v>#VALUE!</v>
      </c>
      <c r="AC20" s="241"/>
      <c r="AD20" s="88" t="e">
        <f ca="1">_xll.DBRW($B$3,$B$7,$B$5,$B$4,$B$6,$A20,$B$8,AD$4,AD$5,AD$6)*AD$7</f>
        <v>#VALUE!</v>
      </c>
      <c r="AE20" s="88" t="e">
        <f ca="1">_xll.DBRW($B$3,$B$7,$B$5,$B$4,$B$6,$A20,$B$8,AE$4,AE$5,AE$6)*AE$7</f>
        <v>#VALUE!</v>
      </c>
      <c r="AF20" s="88" t="e">
        <f ca="1">_xll.DBRW($B$3,$B$7,$B$5,$B$4,$B$6,$A20,$B$8,AF$4,AF$5,AF$6)*AF$7</f>
        <v>#VALUE!</v>
      </c>
      <c r="AG20" s="88" t="e">
        <f t="shared" ca="1" si="9"/>
        <v>#VALUE!</v>
      </c>
      <c r="AH20" s="88" t="e">
        <f t="shared" ca="1" si="10"/>
        <v>#VALUE!</v>
      </c>
      <c r="AJ20" s="88" t="e">
        <f ca="1">_xll.DBRW($B$3,$B$7,$B$5,$B$4,$B$6,$A20,$B$8,AJ$4,AJ$5,AJ$6)*AJ$7</f>
        <v>#VALUE!</v>
      </c>
      <c r="AK20" s="88" t="e">
        <f ca="1">_xll.DBRW($B$3,$B$7,$B$5,$B$4,$B$6,$A20,$B$8,AK$4,AK$5,AK$6)*AK$7</f>
        <v>#VALUE!</v>
      </c>
      <c r="AL20" s="88" t="e">
        <f ca="1">_xll.DBRW($B$3,$B$7,$B$5,$B$4,$B$6,$A20,$B$8,AL$4,AL$5,AL$6)*AL$7</f>
        <v>#VALUE!</v>
      </c>
      <c r="AM20" s="88" t="e">
        <f t="shared" ca="1" si="11"/>
        <v>#VALUE!</v>
      </c>
      <c r="AN20" s="88" t="e">
        <f t="shared" ca="1" si="12"/>
        <v>#VALUE!</v>
      </c>
      <c r="AO20" s="241"/>
      <c r="AP20" s="88" t="str">
        <f t="shared" ca="1" si="13"/>
        <v>-</v>
      </c>
      <c r="AQ20" s="88" t="str">
        <f t="shared" ca="1" si="14"/>
        <v>-</v>
      </c>
      <c r="AR20" s="88" t="e">
        <f t="shared" ca="1" si="15"/>
        <v>#VALUE!</v>
      </c>
      <c r="AS20" s="88" t="e">
        <f t="shared" ca="1" si="16"/>
        <v>#VALUE!</v>
      </c>
      <c r="AT20" s="88" t="e">
        <f t="shared" ca="1" si="17"/>
        <v>#VALUE!</v>
      </c>
      <c r="AU20" s="247"/>
      <c r="AV20" s="88" t="str">
        <f t="shared" ca="1" si="18"/>
        <v>-</v>
      </c>
      <c r="AW20" s="88" t="str">
        <f t="shared" ca="1" si="19"/>
        <v>-</v>
      </c>
      <c r="AX20" s="88" t="e">
        <f t="shared" ca="1" si="20"/>
        <v>#VALUE!</v>
      </c>
      <c r="AY20" s="88" t="e">
        <f t="shared" ca="1" si="21"/>
        <v>#VALUE!</v>
      </c>
      <c r="AZ20" s="88" t="e">
        <f t="shared" ca="1" si="22"/>
        <v>#VALUE!</v>
      </c>
    </row>
    <row r="21" spans="1:52" s="51" customFormat="1" ht="15" customHeight="1">
      <c r="A21" s="29" t="s">
        <v>78</v>
      </c>
      <c r="C21" s="50"/>
      <c r="D21" s="54" t="str">
        <f ca="1">_xll.DBRA("tango_core_model:legal_organization",A21,Language)</f>
        <v>Zone Sud</v>
      </c>
      <c r="E21" s="1"/>
      <c r="F21" s="88" t="e">
        <f ca="1">_xll.DBRW($B$3,$B$7,$B$5,$B$4,$B$6,$A21,$B$8,F$4,F$5,F$6)*F$7</f>
        <v>#VALUE!</v>
      </c>
      <c r="G21" s="88" t="e">
        <f ca="1">_xll.DBRW($B$3,$B$7,$B$5,$B$4,$B$6,$A21,$B$8,G$4,G$5,G$6)*G$7</f>
        <v>#VALUE!</v>
      </c>
      <c r="H21" s="88" t="e">
        <f ca="1">_xll.DBRW($B$3,$B$7,$B$5,$B$4,$B$6,$A21,$B$8,H$4,H$5,H$6)*H$7</f>
        <v>#VALUE!</v>
      </c>
      <c r="I21" s="88" t="e">
        <f t="shared" ca="1" si="0"/>
        <v>#VALUE!</v>
      </c>
      <c r="J21" s="88" t="e">
        <f t="shared" ca="1" si="1"/>
        <v>#VALUE!</v>
      </c>
      <c r="K21" s="241"/>
      <c r="L21" s="88" t="e">
        <f ca="1">_xll.DBRW($B$3,$B$7,$L$8,$B$4,$B$6,$A21,$B$8,L$4,L$5,L$6)*L$7</f>
        <v>#VALUE!</v>
      </c>
      <c r="M21" s="88" t="e">
        <f ca="1">_xll.DBRW($B$3,$B$7,$L$8,$B$4,$B$6,$A21,$B$8,M$4,M$5,M$6)*M$7</f>
        <v>#VALUE!</v>
      </c>
      <c r="N21" s="88" t="e">
        <f ca="1">_xll.DBRW($B$3,$B$7,$L$8,$B$4,$B$6,$A21,$B$8,N$4,N$5,N$6)*N$7</f>
        <v>#VALUE!</v>
      </c>
      <c r="O21" s="88" t="e">
        <f t="shared" ca="1" si="2"/>
        <v>#VALUE!</v>
      </c>
      <c r="P21" s="88" t="e">
        <f t="shared" ca="1" si="3"/>
        <v>#VALUE!</v>
      </c>
      <c r="Q21" s="241"/>
      <c r="R21" s="72" t="str">
        <f t="shared" ca="1" si="4"/>
        <v/>
      </c>
      <c r="S21" s="72" t="str">
        <f t="shared" ca="1" si="4"/>
        <v/>
      </c>
      <c r="T21" s="72" t="str">
        <f t="shared" ca="1" si="4"/>
        <v/>
      </c>
      <c r="U21" s="72" t="str">
        <f t="shared" ca="1" si="5"/>
        <v>-</v>
      </c>
      <c r="V21" s="72" t="str">
        <f t="shared" ca="1" si="6"/>
        <v>-</v>
      </c>
      <c r="W21" s="241"/>
      <c r="X21" s="88" t="e">
        <f ca="1">_xll.DBRW($B$3,$B$7,$B$5,$B$4,$B$6,$A21,$B$8,X$4,X$5,X$6)*X$7</f>
        <v>#VALUE!</v>
      </c>
      <c r="Y21" s="88" t="e">
        <f ca="1">_xll.DBRW($B$3,$B$7,$B$5,$B$4,$B$6,$A21,$B$8,Y$4,Y$5,Y$6)*Y$7</f>
        <v>#VALUE!</v>
      </c>
      <c r="Z21" s="88" t="e">
        <f ca="1">_xll.DBRW($B$3,$B$7,$B$5,$B$4,$B$6,$A21,$B$8,Z$4,Z$5,Z$6)*Z$7</f>
        <v>#VALUE!</v>
      </c>
      <c r="AA21" s="88" t="e">
        <f t="shared" ca="1" si="7"/>
        <v>#VALUE!</v>
      </c>
      <c r="AB21" s="88" t="e">
        <f t="shared" ca="1" si="8"/>
        <v>#VALUE!</v>
      </c>
      <c r="AC21" s="241"/>
      <c r="AD21" s="88" t="e">
        <f ca="1">_xll.DBRW($B$3,$B$7,$B$5,$B$4,$B$6,$A21,$B$8,AD$4,AD$5,AD$6)*AD$7</f>
        <v>#VALUE!</v>
      </c>
      <c r="AE21" s="88" t="e">
        <f ca="1">_xll.DBRW($B$3,$B$7,$B$5,$B$4,$B$6,$A21,$B$8,AE$4,AE$5,AE$6)*AE$7</f>
        <v>#VALUE!</v>
      </c>
      <c r="AF21" s="88" t="e">
        <f ca="1">_xll.DBRW($B$3,$B$7,$B$5,$B$4,$B$6,$A21,$B$8,AF$4,AF$5,AF$6)*AF$7</f>
        <v>#VALUE!</v>
      </c>
      <c r="AG21" s="88" t="e">
        <f t="shared" ca="1" si="9"/>
        <v>#VALUE!</v>
      </c>
      <c r="AH21" s="88" t="e">
        <f t="shared" ca="1" si="10"/>
        <v>#VALUE!</v>
      </c>
      <c r="AJ21" s="88" t="e">
        <f ca="1">_xll.DBRW($B$3,$B$7,$B$5,$B$4,$B$6,$A21,$B$8,AJ$4,AJ$5,AJ$6)*AJ$7</f>
        <v>#VALUE!</v>
      </c>
      <c r="AK21" s="88" t="e">
        <f ca="1">_xll.DBRW($B$3,$B$7,$B$5,$B$4,$B$6,$A21,$B$8,AK$4,AK$5,AK$6)*AK$7</f>
        <v>#VALUE!</v>
      </c>
      <c r="AL21" s="88" t="e">
        <f ca="1">_xll.DBRW($B$3,$B$7,$B$5,$B$4,$B$6,$A21,$B$8,AL$4,AL$5,AL$6)*AL$7</f>
        <v>#VALUE!</v>
      </c>
      <c r="AM21" s="88" t="e">
        <f t="shared" ca="1" si="11"/>
        <v>#VALUE!</v>
      </c>
      <c r="AN21" s="88" t="e">
        <f t="shared" ca="1" si="12"/>
        <v>#VALUE!</v>
      </c>
      <c r="AO21" s="241"/>
      <c r="AP21" s="88" t="str">
        <f t="shared" ca="1" si="13"/>
        <v>-</v>
      </c>
      <c r="AQ21" s="88" t="str">
        <f t="shared" ca="1" si="14"/>
        <v>-</v>
      </c>
      <c r="AR21" s="88" t="e">
        <f t="shared" ca="1" si="15"/>
        <v>#VALUE!</v>
      </c>
      <c r="AS21" s="88" t="e">
        <f t="shared" ca="1" si="16"/>
        <v>#VALUE!</v>
      </c>
      <c r="AT21" s="88" t="e">
        <f t="shared" ca="1" si="17"/>
        <v>#VALUE!</v>
      </c>
      <c r="AU21" s="247"/>
      <c r="AV21" s="88" t="str">
        <f t="shared" ca="1" si="18"/>
        <v>-</v>
      </c>
      <c r="AW21" s="88" t="str">
        <f t="shared" ca="1" si="19"/>
        <v>-</v>
      </c>
      <c r="AX21" s="88" t="e">
        <f t="shared" ca="1" si="20"/>
        <v>#VALUE!</v>
      </c>
      <c r="AY21" s="88" t="e">
        <f t="shared" ca="1" si="21"/>
        <v>#VALUE!</v>
      </c>
      <c r="AZ21" s="88" t="e">
        <f t="shared" ca="1" si="22"/>
        <v>#VALUE!</v>
      </c>
    </row>
    <row r="22" spans="1:52" s="51" customFormat="1" ht="15" customHeight="1">
      <c r="A22" s="29" t="s">
        <v>79</v>
      </c>
      <c r="C22" s="50"/>
      <c r="D22" s="55" t="str">
        <f ca="1">_xll.DBRA("tango_core_model:legal_organization",A22,Language)</f>
        <v>Urbains Sud</v>
      </c>
      <c r="E22" s="1"/>
      <c r="F22" s="88" t="e">
        <f ca="1">_xll.DBRW($B$3,$B$7,$B$5,$B$4,$B$6,$A22,$B$8,F$4,F$5,F$6)*F$7</f>
        <v>#VALUE!</v>
      </c>
      <c r="G22" s="88" t="e">
        <f ca="1">_xll.DBRW($B$3,$B$7,$B$5,$B$4,$B$6,$A22,$B$8,G$4,G$5,G$6)*G$7</f>
        <v>#VALUE!</v>
      </c>
      <c r="H22" s="88" t="e">
        <f ca="1">_xll.DBRW($B$3,$B$7,$B$5,$B$4,$B$6,$A22,$B$8,H$4,H$5,H$6)*H$7</f>
        <v>#VALUE!</v>
      </c>
      <c r="I22" s="88" t="e">
        <f t="shared" ca="1" si="0"/>
        <v>#VALUE!</v>
      </c>
      <c r="J22" s="88" t="e">
        <f t="shared" ca="1" si="1"/>
        <v>#VALUE!</v>
      </c>
      <c r="K22" s="241"/>
      <c r="L22" s="88" t="e">
        <f ca="1">_xll.DBRW($B$3,$B$7,$L$8,$B$4,$B$6,$A22,$B$8,L$4,L$5,L$6)*L$7</f>
        <v>#VALUE!</v>
      </c>
      <c r="M22" s="88" t="e">
        <f ca="1">_xll.DBRW($B$3,$B$7,$L$8,$B$4,$B$6,$A22,$B$8,M$4,M$5,M$6)*M$7</f>
        <v>#VALUE!</v>
      </c>
      <c r="N22" s="88" t="e">
        <f ca="1">_xll.DBRW($B$3,$B$7,$L$8,$B$4,$B$6,$A22,$B$8,N$4,N$5,N$6)*N$7</f>
        <v>#VALUE!</v>
      </c>
      <c r="O22" s="88" t="e">
        <f t="shared" ca="1" si="2"/>
        <v>#VALUE!</v>
      </c>
      <c r="P22" s="88" t="e">
        <f t="shared" ca="1" si="3"/>
        <v>#VALUE!</v>
      </c>
      <c r="Q22" s="241"/>
      <c r="R22" s="72" t="str">
        <f t="shared" ca="1" si="4"/>
        <v/>
      </c>
      <c r="S22" s="72" t="str">
        <f t="shared" ca="1" si="4"/>
        <v/>
      </c>
      <c r="T22" s="72" t="str">
        <f t="shared" ca="1" si="4"/>
        <v/>
      </c>
      <c r="U22" s="72" t="str">
        <f t="shared" ca="1" si="5"/>
        <v>-</v>
      </c>
      <c r="V22" s="72" t="str">
        <f t="shared" ca="1" si="6"/>
        <v>-</v>
      </c>
      <c r="W22" s="241"/>
      <c r="X22" s="88" t="e">
        <f ca="1">_xll.DBRW($B$3,$B$7,$B$5,$B$4,$B$6,$A22,$B$8,X$4,X$5,X$6)*X$7</f>
        <v>#VALUE!</v>
      </c>
      <c r="Y22" s="88" t="e">
        <f ca="1">_xll.DBRW($B$3,$B$7,$B$5,$B$4,$B$6,$A22,$B$8,Y$4,Y$5,Y$6)*Y$7</f>
        <v>#VALUE!</v>
      </c>
      <c r="Z22" s="88" t="e">
        <f ca="1">_xll.DBRW($B$3,$B$7,$B$5,$B$4,$B$6,$A22,$B$8,Z$4,Z$5,Z$6)*Z$7</f>
        <v>#VALUE!</v>
      </c>
      <c r="AA22" s="88" t="e">
        <f t="shared" ca="1" si="7"/>
        <v>#VALUE!</v>
      </c>
      <c r="AB22" s="88" t="e">
        <f t="shared" ca="1" si="8"/>
        <v>#VALUE!</v>
      </c>
      <c r="AC22" s="241"/>
      <c r="AD22" s="88" t="e">
        <f ca="1">_xll.DBRW($B$3,$B$7,$B$5,$B$4,$B$6,$A22,$B$8,AD$4,AD$5,AD$6)*AD$7</f>
        <v>#VALUE!</v>
      </c>
      <c r="AE22" s="88" t="e">
        <f ca="1">_xll.DBRW($B$3,$B$7,$B$5,$B$4,$B$6,$A22,$B$8,AE$4,AE$5,AE$6)*AE$7</f>
        <v>#VALUE!</v>
      </c>
      <c r="AF22" s="88" t="e">
        <f ca="1">_xll.DBRW($B$3,$B$7,$B$5,$B$4,$B$6,$A22,$B$8,AF$4,AF$5,AF$6)*AF$7</f>
        <v>#VALUE!</v>
      </c>
      <c r="AG22" s="88" t="e">
        <f t="shared" ca="1" si="9"/>
        <v>#VALUE!</v>
      </c>
      <c r="AH22" s="88" t="e">
        <f t="shared" ca="1" si="10"/>
        <v>#VALUE!</v>
      </c>
      <c r="AJ22" s="88" t="e">
        <f ca="1">_xll.DBRW($B$3,$B$7,$B$5,$B$4,$B$6,$A22,$B$8,AJ$4,AJ$5,AJ$6)*AJ$7</f>
        <v>#VALUE!</v>
      </c>
      <c r="AK22" s="88" t="e">
        <f ca="1">_xll.DBRW($B$3,$B$7,$B$5,$B$4,$B$6,$A22,$B$8,AK$4,AK$5,AK$6)*AK$7</f>
        <v>#VALUE!</v>
      </c>
      <c r="AL22" s="88" t="e">
        <f ca="1">_xll.DBRW($B$3,$B$7,$B$5,$B$4,$B$6,$A22,$B$8,AL$4,AL$5,AL$6)*AL$7</f>
        <v>#VALUE!</v>
      </c>
      <c r="AM22" s="88" t="e">
        <f t="shared" ca="1" si="11"/>
        <v>#VALUE!</v>
      </c>
      <c r="AN22" s="88" t="e">
        <f t="shared" ca="1" si="12"/>
        <v>#VALUE!</v>
      </c>
      <c r="AO22" s="241"/>
      <c r="AP22" s="88" t="str">
        <f t="shared" ca="1" si="13"/>
        <v>-</v>
      </c>
      <c r="AQ22" s="88" t="str">
        <f t="shared" ca="1" si="14"/>
        <v>-</v>
      </c>
      <c r="AR22" s="88" t="e">
        <f t="shared" ca="1" si="15"/>
        <v>#VALUE!</v>
      </c>
      <c r="AS22" s="88" t="e">
        <f t="shared" ca="1" si="16"/>
        <v>#VALUE!</v>
      </c>
      <c r="AT22" s="88" t="e">
        <f t="shared" ca="1" si="17"/>
        <v>#VALUE!</v>
      </c>
      <c r="AU22" s="247"/>
      <c r="AV22" s="88" t="str">
        <f t="shared" ca="1" si="18"/>
        <v>-</v>
      </c>
      <c r="AW22" s="88" t="str">
        <f t="shared" ca="1" si="19"/>
        <v>-</v>
      </c>
      <c r="AX22" s="88" t="e">
        <f t="shared" ca="1" si="20"/>
        <v>#VALUE!</v>
      </c>
      <c r="AY22" s="88" t="e">
        <f t="shared" ca="1" si="21"/>
        <v>#VALUE!</v>
      </c>
      <c r="AZ22" s="88" t="e">
        <f t="shared" ca="1" si="22"/>
        <v>#VALUE!</v>
      </c>
    </row>
    <row r="23" spans="1:52" s="51" customFormat="1" ht="15" customHeight="1">
      <c r="A23" s="29" t="s">
        <v>80</v>
      </c>
      <c r="C23" s="50"/>
      <c r="D23" s="54" t="str">
        <f ca="1">_xll.DBRA("tango_core_model:legal_organization",A23,Language)</f>
        <v>Pôle Ferroviaire</v>
      </c>
      <c r="E23" s="1"/>
      <c r="F23" s="88" t="e">
        <f ca="1">_xll.DBRW($B$3,$B$7,$B$5,$B$4,$B$6,$A23,$B$8,F$4,F$5,F$6)*F$7</f>
        <v>#VALUE!</v>
      </c>
      <c r="G23" s="88" t="e">
        <f ca="1">_xll.DBRW($B$3,$B$7,$B$5,$B$4,$B$6,$A23,$B$8,G$4,G$5,G$6)*G$7</f>
        <v>#VALUE!</v>
      </c>
      <c r="H23" s="88" t="e">
        <f ca="1">_xll.DBRW($B$3,$B$7,$B$5,$B$4,$B$6,$A23,$B$8,H$4,H$5,H$6)*H$7</f>
        <v>#VALUE!</v>
      </c>
      <c r="I23" s="88" t="e">
        <f t="shared" ca="1" si="0"/>
        <v>#VALUE!</v>
      </c>
      <c r="J23" s="88" t="e">
        <f t="shared" ca="1" si="1"/>
        <v>#VALUE!</v>
      </c>
      <c r="K23" s="241"/>
      <c r="L23" s="88" t="e">
        <f ca="1">_xll.DBRW($B$3,$B$7,$L$8,$B$4,$B$6,$A23,$B$8,L$4,L$5,L$6)*L$7</f>
        <v>#VALUE!</v>
      </c>
      <c r="M23" s="88" t="e">
        <f ca="1">_xll.DBRW($B$3,$B$7,$L$8,$B$4,$B$6,$A23,$B$8,M$4,M$5,M$6)*M$7</f>
        <v>#VALUE!</v>
      </c>
      <c r="N23" s="88" t="e">
        <f ca="1">_xll.DBRW($B$3,$B$7,$L$8,$B$4,$B$6,$A23,$B$8,N$4,N$5,N$6)*N$7</f>
        <v>#VALUE!</v>
      </c>
      <c r="O23" s="88" t="e">
        <f t="shared" ca="1" si="2"/>
        <v>#VALUE!</v>
      </c>
      <c r="P23" s="88" t="e">
        <f t="shared" ca="1" si="3"/>
        <v>#VALUE!</v>
      </c>
      <c r="Q23" s="241"/>
      <c r="R23" s="72" t="str">
        <f t="shared" ca="1" si="4"/>
        <v/>
      </c>
      <c r="S23" s="72" t="str">
        <f t="shared" ca="1" si="4"/>
        <v/>
      </c>
      <c r="T23" s="72" t="str">
        <f t="shared" ca="1" si="4"/>
        <v/>
      </c>
      <c r="U23" s="72" t="str">
        <f t="shared" ca="1" si="5"/>
        <v>-</v>
      </c>
      <c r="V23" s="72" t="str">
        <f t="shared" ca="1" si="6"/>
        <v>-</v>
      </c>
      <c r="W23" s="241"/>
      <c r="X23" s="88" t="e">
        <f ca="1">_xll.DBRW($B$3,$B$7,$B$5,$B$4,$B$6,$A23,$B$8,X$4,X$5,X$6)*X$7</f>
        <v>#VALUE!</v>
      </c>
      <c r="Y23" s="88" t="e">
        <f ca="1">_xll.DBRW($B$3,$B$7,$B$5,$B$4,$B$6,$A23,$B$8,Y$4,Y$5,Y$6)*Y$7</f>
        <v>#VALUE!</v>
      </c>
      <c r="Z23" s="88" t="e">
        <f ca="1">_xll.DBRW($B$3,$B$7,$B$5,$B$4,$B$6,$A23,$B$8,Z$4,Z$5,Z$6)*Z$7</f>
        <v>#VALUE!</v>
      </c>
      <c r="AA23" s="88" t="e">
        <f t="shared" ca="1" si="7"/>
        <v>#VALUE!</v>
      </c>
      <c r="AB23" s="88" t="e">
        <f t="shared" ca="1" si="8"/>
        <v>#VALUE!</v>
      </c>
      <c r="AC23" s="241"/>
      <c r="AD23" s="88" t="e">
        <f ca="1">_xll.DBRW($B$3,$B$7,$B$5,$B$4,$B$6,$A23,$B$8,AD$4,AD$5,AD$6)*AD$7</f>
        <v>#VALUE!</v>
      </c>
      <c r="AE23" s="88" t="e">
        <f ca="1">_xll.DBRW($B$3,$B$7,$B$5,$B$4,$B$6,$A23,$B$8,AE$4,AE$5,AE$6)*AE$7</f>
        <v>#VALUE!</v>
      </c>
      <c r="AF23" s="88" t="e">
        <f ca="1">_xll.DBRW($B$3,$B$7,$B$5,$B$4,$B$6,$A23,$B$8,AF$4,AF$5,AF$6)*AF$7</f>
        <v>#VALUE!</v>
      </c>
      <c r="AG23" s="88" t="e">
        <f t="shared" ca="1" si="9"/>
        <v>#VALUE!</v>
      </c>
      <c r="AH23" s="88" t="e">
        <f t="shared" ca="1" si="10"/>
        <v>#VALUE!</v>
      </c>
      <c r="AJ23" s="88" t="e">
        <f ca="1">_xll.DBRW($B$3,$B$7,$B$5,$B$4,$B$6,$A23,$B$8,AJ$4,AJ$5,AJ$6)*AJ$7</f>
        <v>#VALUE!</v>
      </c>
      <c r="AK23" s="88" t="e">
        <f ca="1">_xll.DBRW($B$3,$B$7,$B$5,$B$4,$B$6,$A23,$B$8,AK$4,AK$5,AK$6)*AK$7</f>
        <v>#VALUE!</v>
      </c>
      <c r="AL23" s="88" t="e">
        <f ca="1">_xll.DBRW($B$3,$B$7,$B$5,$B$4,$B$6,$A23,$B$8,AL$4,AL$5,AL$6)*AL$7</f>
        <v>#VALUE!</v>
      </c>
      <c r="AM23" s="88" t="e">
        <f t="shared" ca="1" si="11"/>
        <v>#VALUE!</v>
      </c>
      <c r="AN23" s="88" t="e">
        <f t="shared" ca="1" si="12"/>
        <v>#VALUE!</v>
      </c>
      <c r="AO23" s="241"/>
      <c r="AP23" s="88" t="str">
        <f t="shared" ca="1" si="13"/>
        <v>-</v>
      </c>
      <c r="AQ23" s="88" t="str">
        <f t="shared" ca="1" si="14"/>
        <v>-</v>
      </c>
      <c r="AR23" s="88" t="e">
        <f t="shared" ca="1" si="15"/>
        <v>#VALUE!</v>
      </c>
      <c r="AS23" s="88" t="e">
        <f t="shared" ca="1" si="16"/>
        <v>#VALUE!</v>
      </c>
      <c r="AT23" s="88" t="e">
        <f t="shared" ca="1" si="17"/>
        <v>#VALUE!</v>
      </c>
      <c r="AU23" s="247"/>
      <c r="AV23" s="88" t="str">
        <f t="shared" ca="1" si="18"/>
        <v>-</v>
      </c>
      <c r="AW23" s="88" t="str">
        <f t="shared" ca="1" si="19"/>
        <v>-</v>
      </c>
      <c r="AX23" s="88" t="e">
        <f t="shared" ca="1" si="20"/>
        <v>#VALUE!</v>
      </c>
      <c r="AY23" s="88" t="e">
        <f t="shared" ca="1" si="21"/>
        <v>#VALUE!</v>
      </c>
      <c r="AZ23" s="88" t="e">
        <f t="shared" ca="1" si="22"/>
        <v>#VALUE!</v>
      </c>
    </row>
    <row r="24" spans="1:52" s="51" customFormat="1" ht="15" customHeight="1">
      <c r="A24" s="36" t="s">
        <v>59</v>
      </c>
      <c r="C24" s="50"/>
      <c r="D24" s="54" t="str">
        <f>IF(Language="French","Autres","Other")</f>
        <v>Autres</v>
      </c>
      <c r="E24" s="1"/>
      <c r="F24" s="88" t="e">
        <f ca="1">F17-F18-F19-F21-F23</f>
        <v>#VALUE!</v>
      </c>
      <c r="G24" s="88" t="e">
        <f t="shared" ref="G24:J24" ca="1" si="23">G17-G18-G19-G21-G23</f>
        <v>#VALUE!</v>
      </c>
      <c r="H24" s="88" t="e">
        <f t="shared" ca="1" si="23"/>
        <v>#VALUE!</v>
      </c>
      <c r="I24" s="88" t="e">
        <f t="shared" ca="1" si="23"/>
        <v>#VALUE!</v>
      </c>
      <c r="J24" s="88" t="e">
        <f t="shared" ca="1" si="23"/>
        <v>#VALUE!</v>
      </c>
      <c r="K24" s="241"/>
      <c r="L24" s="88" t="e">
        <f ca="1">L17-L18-L19-L21-L23</f>
        <v>#VALUE!</v>
      </c>
      <c r="M24" s="88" t="e">
        <f t="shared" ref="M24:P24" ca="1" si="24">M17-M18-M19-M21-M23</f>
        <v>#VALUE!</v>
      </c>
      <c r="N24" s="88" t="e">
        <f t="shared" ca="1" si="24"/>
        <v>#VALUE!</v>
      </c>
      <c r="O24" s="88" t="e">
        <f t="shared" ca="1" si="24"/>
        <v>#VALUE!</v>
      </c>
      <c r="P24" s="88" t="e">
        <f t="shared" ca="1" si="24"/>
        <v>#VALUE!</v>
      </c>
      <c r="Q24" s="241"/>
      <c r="R24" s="72"/>
      <c r="S24" s="72"/>
      <c r="T24" s="72"/>
      <c r="U24" s="72"/>
      <c r="V24" s="72"/>
      <c r="W24" s="241"/>
      <c r="X24" s="88" t="e">
        <f ca="1">X17-X18-X19-X21-X23</f>
        <v>#VALUE!</v>
      </c>
      <c r="Y24" s="88" t="e">
        <f t="shared" ref="Y24:Z24" ca="1" si="25">Y17-Y18-Y19-Y21-Y23</f>
        <v>#VALUE!</v>
      </c>
      <c r="Z24" s="88" t="e">
        <f t="shared" ca="1" si="25"/>
        <v>#VALUE!</v>
      </c>
      <c r="AA24" s="88" t="e">
        <f t="shared" ca="1" si="7"/>
        <v>#VALUE!</v>
      </c>
      <c r="AB24" s="88" t="e">
        <f t="shared" ca="1" si="8"/>
        <v>#VALUE!</v>
      </c>
      <c r="AC24" s="241"/>
      <c r="AD24" s="88" t="e">
        <f ca="1">AD17-AD18-AD19-AD21-AD23</f>
        <v>#VALUE!</v>
      </c>
      <c r="AE24" s="88" t="e">
        <f t="shared" ref="AE24:AF24" ca="1" si="26">AE17-AE18-AE19-AE21-AE23</f>
        <v>#VALUE!</v>
      </c>
      <c r="AF24" s="88" t="e">
        <f t="shared" ca="1" si="26"/>
        <v>#VALUE!</v>
      </c>
      <c r="AG24" s="88" t="e">
        <f t="shared" ca="1" si="9"/>
        <v>#VALUE!</v>
      </c>
      <c r="AH24" s="88" t="e">
        <f t="shared" ca="1" si="10"/>
        <v>#VALUE!</v>
      </c>
      <c r="AJ24" s="88" t="e">
        <f ca="1">AJ17-AJ18-AJ19-AJ21-AJ23</f>
        <v>#VALUE!</v>
      </c>
      <c r="AK24" s="88" t="e">
        <f t="shared" ref="AK24:AL24" ca="1" si="27">AK17-AK18-AK19-AK21-AK23</f>
        <v>#VALUE!</v>
      </c>
      <c r="AL24" s="88" t="e">
        <f t="shared" ca="1" si="27"/>
        <v>#VALUE!</v>
      </c>
      <c r="AM24" s="88" t="e">
        <f t="shared" ca="1" si="11"/>
        <v>#VALUE!</v>
      </c>
      <c r="AN24" s="88" t="e">
        <f t="shared" ca="1" si="12"/>
        <v>#VALUE!</v>
      </c>
      <c r="AO24" s="241"/>
      <c r="AP24" s="88"/>
      <c r="AQ24" s="88"/>
      <c r="AR24" s="88"/>
      <c r="AS24" s="88"/>
      <c r="AT24" s="88"/>
      <c r="AU24" s="247"/>
      <c r="AV24" s="88"/>
      <c r="AW24" s="88"/>
      <c r="AX24" s="88"/>
      <c r="AY24" s="88"/>
      <c r="AZ24" s="88"/>
    </row>
    <row r="25" spans="1:52" s="51" customFormat="1" ht="15" customHeight="1">
      <c r="A25" s="29" t="s">
        <v>73</v>
      </c>
      <c r="C25" s="50"/>
      <c r="D25" s="53" t="str">
        <f ca="1">_xll.DBRA("tango_core_model:legal_organization",A25,Language)</f>
        <v>Autres entités Zone France</v>
      </c>
      <c r="E25" s="20"/>
      <c r="F25" s="239" t="e">
        <f ca="1">_xll.DBRW($B$3,$B$7,$B$5,$B$4,$B$6,$A25,$B$8,F$4,F$5,F$6)*F$7</f>
        <v>#VALUE!</v>
      </c>
      <c r="G25" s="239" t="e">
        <f ca="1">_xll.DBRW($B$3,$B$7,$B$5,$B$4,$B$6,$A25,$B$8,G$4,G$5,G$6)*G$7</f>
        <v>#VALUE!</v>
      </c>
      <c r="H25" s="239" t="e">
        <f ca="1">_xll.DBRW($B$3,$B$7,$B$5,$B$4,$B$6,$A25,$B$8,H$4,H$5,H$6)*H$7</f>
        <v>#VALUE!</v>
      </c>
      <c r="I25" s="240" t="e">
        <f t="shared" ref="I25:I59" ca="1" si="28">IF(OR(F25="",G25=""),"-",IFERROR((F25-G25),""))</f>
        <v>#VALUE!</v>
      </c>
      <c r="J25" s="240" t="e">
        <f t="shared" ref="J25:J59" ca="1" si="29">IF(OR(F25="",H25=""),"-",IFERROR((F25-H25),""))</f>
        <v>#VALUE!</v>
      </c>
      <c r="K25" s="241"/>
      <c r="L25" s="239" t="e">
        <f ca="1">_xll.DBRW($B$3,$B$7,$L$8,$B$4,$B$6,$A25,$B$8,L$4,L$5,L$6)*L$7</f>
        <v>#VALUE!</v>
      </c>
      <c r="M25" s="239" t="e">
        <f ca="1">_xll.DBRW($B$3,$B$7,$L$8,$B$4,$B$6,$A25,$B$8,M$4,M$5,M$6)*M$7</f>
        <v>#VALUE!</v>
      </c>
      <c r="N25" s="239" t="e">
        <f ca="1">_xll.DBRW($B$3,$B$7,$L$8,$B$4,$B$6,$A25,$B$8,N$4,N$5,N$6)*N$7</f>
        <v>#VALUE!</v>
      </c>
      <c r="O25" s="240" t="e">
        <f t="shared" ref="O25:O59" ca="1" si="30">IF(OR(L25="",M25=""),"-",IFERROR((L25-M25),""))</f>
        <v>#VALUE!</v>
      </c>
      <c r="P25" s="240" t="e">
        <f t="shared" ref="P25:P59" ca="1" si="31">IF(OR(L25="",N25=""),"-",IFERROR((L25-N25),""))</f>
        <v>#VALUE!</v>
      </c>
      <c r="Q25" s="241"/>
      <c r="R25" s="70" t="str">
        <f t="shared" ref="R25:R59" ca="1" si="32">IFERROR((F25/L25),"")</f>
        <v/>
      </c>
      <c r="S25" s="70" t="str">
        <f t="shared" ref="S25:S59" ca="1" si="33">IFERROR((G25/M25),"")</f>
        <v/>
      </c>
      <c r="T25" s="70" t="str">
        <f t="shared" ref="T25:T59" ca="1" si="34">IFERROR((H25/N25),"")</f>
        <v/>
      </c>
      <c r="U25" s="71" t="str">
        <f t="shared" ref="U25:U59" ca="1" si="35">IF(OR(R25="",S25=""),"-",IFERROR((R25-S25),""))</f>
        <v>-</v>
      </c>
      <c r="V25" s="71" t="str">
        <f t="shared" ref="V25:V59" ca="1" si="36">IF(OR(R25="",T25=""),"-",IFERROR((R25-T25),""))</f>
        <v>-</v>
      </c>
      <c r="W25" s="241"/>
      <c r="X25" s="239" t="e">
        <f ca="1">_xll.DBRW($B$3,$B$7,$B$5,$B$4,$B$6,$A25,$B$8,X$4,X$5,X$6)*X$7</f>
        <v>#VALUE!</v>
      </c>
      <c r="Y25" s="239" t="e">
        <f ca="1">_xll.DBRW($B$3,$B$7,$B$5,$B$4,$B$6,$A25,$B$8,Y$4,Y$5,Y$6)*Y$7</f>
        <v>#VALUE!</v>
      </c>
      <c r="Z25" s="239" t="e">
        <f ca="1">_xll.DBRW($B$3,$B$7,$B$5,$B$4,$B$6,$A25,$B$8,Z$4,Z$5,Z$6)*Z$7</f>
        <v>#VALUE!</v>
      </c>
      <c r="AA25" s="240" t="e">
        <f t="shared" ca="1" si="7"/>
        <v>#VALUE!</v>
      </c>
      <c r="AB25" s="240" t="e">
        <f t="shared" ca="1" si="8"/>
        <v>#VALUE!</v>
      </c>
      <c r="AC25" s="241"/>
      <c r="AD25" s="239" t="e">
        <f ca="1">_xll.DBRW($B$3,$B$7,$B$5,$B$4,$B$6,$A25,$B$8,AD$4,AD$5,AD$6)*AD$7</f>
        <v>#VALUE!</v>
      </c>
      <c r="AE25" s="239" t="e">
        <f ca="1">_xll.DBRW($B$3,$B$7,$B$5,$B$4,$B$6,$A25,$B$8,AE$4,AE$5,AE$6)*AE$7</f>
        <v>#VALUE!</v>
      </c>
      <c r="AF25" s="239" t="e">
        <f ca="1">_xll.DBRW($B$3,$B$7,$B$5,$B$4,$B$6,$A25,$B$8,AF$4,AF$5,AF$6)*AF$7</f>
        <v>#VALUE!</v>
      </c>
      <c r="AG25" s="240" t="e">
        <f t="shared" ca="1" si="9"/>
        <v>#VALUE!</v>
      </c>
      <c r="AH25" s="240" t="e">
        <f t="shared" ca="1" si="10"/>
        <v>#VALUE!</v>
      </c>
      <c r="AJ25" s="239" t="e">
        <f ca="1">_xll.DBRW($B$3,$B$7,$B$5,$B$4,$B$6,$A25,$B$8,AJ$4,AJ$5,AJ$6)*AJ$7</f>
        <v>#VALUE!</v>
      </c>
      <c r="AK25" s="239" t="e">
        <f ca="1">_xll.DBRW($B$3,$B$7,$B$5,$B$4,$B$6,$A25,$B$8,AK$4,AK$5,AK$6)*AK$7</f>
        <v>#VALUE!</v>
      </c>
      <c r="AL25" s="239" t="e">
        <f ca="1">_xll.DBRW($B$3,$B$7,$B$5,$B$4,$B$6,$A25,$B$8,AL$4,AL$5,AL$6)*AL$7</f>
        <v>#VALUE!</v>
      </c>
      <c r="AM25" s="240" t="e">
        <f t="shared" ca="1" si="11"/>
        <v>#VALUE!</v>
      </c>
      <c r="AN25" s="240" t="e">
        <f t="shared" ca="1" si="12"/>
        <v>#VALUE!</v>
      </c>
      <c r="AO25" s="241"/>
      <c r="AP25" s="239" t="str">
        <f t="shared" ref="AP25:AP59" ca="1" si="37">IF(ISERROR(($R25-S25)*$L25),"-",($R25-S25)*$L25)</f>
        <v>-</v>
      </c>
      <c r="AQ25" s="239" t="str">
        <f t="shared" ref="AQ25:AQ59" ca="1" si="38">IF(ISERROR(($L25-M25)*$S25),"-",($L25-M25)*$S25)</f>
        <v>-</v>
      </c>
      <c r="AR25" s="239" t="e">
        <f t="shared" ref="AR25:AR59" ca="1" si="39">IF(AA25="-",0,AA25)</f>
        <v>#VALUE!</v>
      </c>
      <c r="AS25" s="239" t="e">
        <f t="shared" ref="AS25:AS59" ca="1" si="40">IF(AG25="-",0,AG25)</f>
        <v>#VALUE!</v>
      </c>
      <c r="AT25" s="239" t="e">
        <f t="shared" ref="AT25:AT59" ca="1" si="41">IF(AM25="-",0,AM25)</f>
        <v>#VALUE!</v>
      </c>
      <c r="AU25" s="247"/>
      <c r="AV25" s="239" t="str">
        <f t="shared" ref="AV25:AV59" ca="1" si="42">IF(ISERROR(($R25-T25)*$L25),"-",($R25-T25)*$L25)</f>
        <v>-</v>
      </c>
      <c r="AW25" s="239" t="str">
        <f t="shared" ref="AW25:AW59" ca="1" si="43">IF(ISERROR(($L25-N25)*$T25),"-",($L25-N25)*$T25)</f>
        <v>-</v>
      </c>
      <c r="AX25" s="239" t="e">
        <f t="shared" ref="AX25:AX59" ca="1" si="44">IF(AB25="-",0,AB25)</f>
        <v>#VALUE!</v>
      </c>
      <c r="AY25" s="239" t="e">
        <f t="shared" ref="AY25:AY59" ca="1" si="45">IF(AH25="-",0,AH25)</f>
        <v>#VALUE!</v>
      </c>
      <c r="AZ25" s="239" t="e">
        <f t="shared" ref="AZ25:AZ59" ca="1" si="46">IF(AN25="-",0,AN25)</f>
        <v>#VALUE!</v>
      </c>
    </row>
    <row r="26" spans="1:52" s="28" customFormat="1" ht="20.100000000000001" customHeight="1">
      <c r="A26" s="29" t="s">
        <v>81</v>
      </c>
      <c r="C26" s="50"/>
      <c r="D26" s="52" t="str">
        <f ca="1">_xll.DBRA("tango_core_model:legal_organization",A26,Language)</f>
        <v>Pays-Bas</v>
      </c>
      <c r="E26" s="20"/>
      <c r="F26" s="237" t="e">
        <f ca="1">_xll.DBRW($B$3,$B$7,$B$5,$B$4,$B$6,$A26,$B$8,F$4,F$5,F$6)*F$7</f>
        <v>#VALUE!</v>
      </c>
      <c r="G26" s="237" t="e">
        <f ca="1">_xll.DBRW($B$3,$B$7,$B$5,$B$4,$B$6,$A26,$B$8,G$4,G$5,G$6)*G$7</f>
        <v>#VALUE!</v>
      </c>
      <c r="H26" s="237" t="e">
        <f ca="1">_xll.DBRW($B$3,$B$7,$B$5,$B$4,$B$6,$A26,$B$8,H$4,H$5,H$6)*H$7</f>
        <v>#VALUE!</v>
      </c>
      <c r="I26" s="238" t="e">
        <f t="shared" ca="1" si="28"/>
        <v>#VALUE!</v>
      </c>
      <c r="J26" s="238" t="e">
        <f t="shared" ca="1" si="29"/>
        <v>#VALUE!</v>
      </c>
      <c r="K26" s="157"/>
      <c r="L26" s="237" t="e">
        <f ca="1">_xll.DBRW($B$3,$B$7,$L$8,$B$4,$B$6,$A26,$B$8,L$4,L$5,L$6)*L$7</f>
        <v>#VALUE!</v>
      </c>
      <c r="M26" s="237" t="e">
        <f ca="1">_xll.DBRW($B$3,$B$7,$L$8,$B$4,$B$6,$A26,$B$8,M$4,M$5,M$6)*M$7</f>
        <v>#VALUE!</v>
      </c>
      <c r="N26" s="237" t="e">
        <f ca="1">_xll.DBRW($B$3,$B$7,$L$8,$B$4,$B$6,$A26,$B$8,N$4,N$5,N$6)*N$7</f>
        <v>#VALUE!</v>
      </c>
      <c r="O26" s="238" t="e">
        <f t="shared" ca="1" si="30"/>
        <v>#VALUE!</v>
      </c>
      <c r="P26" s="238" t="e">
        <f t="shared" ca="1" si="31"/>
        <v>#VALUE!</v>
      </c>
      <c r="Q26" s="157"/>
      <c r="R26" s="68" t="str">
        <f t="shared" ca="1" si="32"/>
        <v/>
      </c>
      <c r="S26" s="68" t="str">
        <f t="shared" ca="1" si="33"/>
        <v/>
      </c>
      <c r="T26" s="68" t="str">
        <f t="shared" ca="1" si="34"/>
        <v/>
      </c>
      <c r="U26" s="69" t="str">
        <f t="shared" ca="1" si="35"/>
        <v>-</v>
      </c>
      <c r="V26" s="69" t="str">
        <f t="shared" ca="1" si="36"/>
        <v>-</v>
      </c>
      <c r="W26" s="157"/>
      <c r="X26" s="237" t="e">
        <f ca="1">_xll.DBRW($B$3,$B$7,$B$5,$B$4,$B$6,$A26,$B$8,X$4,X$5,X$6)*X$7</f>
        <v>#VALUE!</v>
      </c>
      <c r="Y26" s="237" t="e">
        <f ca="1">_xll.DBRW($B$3,$B$7,$B$5,$B$4,$B$6,$A26,$B$8,Y$4,Y$5,Y$6)*Y$7</f>
        <v>#VALUE!</v>
      </c>
      <c r="Z26" s="237" t="e">
        <f ca="1">_xll.DBRW($B$3,$B$7,$B$5,$B$4,$B$6,$A26,$B$8,Z$4,Z$5,Z$6)*Z$7</f>
        <v>#VALUE!</v>
      </c>
      <c r="AA26" s="238" t="e">
        <f t="shared" ca="1" si="7"/>
        <v>#VALUE!</v>
      </c>
      <c r="AB26" s="238" t="e">
        <f t="shared" ca="1" si="8"/>
        <v>#VALUE!</v>
      </c>
      <c r="AC26" s="157"/>
      <c r="AD26" s="237" t="e">
        <f ca="1">_xll.DBRW($B$3,$B$7,$B$5,$B$4,$B$6,$A26,$B$8,AD$4,AD$5,AD$6)*AD$7</f>
        <v>#VALUE!</v>
      </c>
      <c r="AE26" s="237" t="e">
        <f ca="1">_xll.DBRW($B$3,$B$7,$B$5,$B$4,$B$6,$A26,$B$8,AE$4,AE$5,AE$6)*AE$7</f>
        <v>#VALUE!</v>
      </c>
      <c r="AF26" s="237" t="e">
        <f ca="1">_xll.DBRW($B$3,$B$7,$B$5,$B$4,$B$6,$A26,$B$8,AF$4,AF$5,AF$6)*AF$7</f>
        <v>#VALUE!</v>
      </c>
      <c r="AG26" s="238" t="e">
        <f t="shared" ca="1" si="9"/>
        <v>#VALUE!</v>
      </c>
      <c r="AH26" s="238" t="e">
        <f t="shared" ca="1" si="10"/>
        <v>#VALUE!</v>
      </c>
      <c r="AJ26" s="237" t="e">
        <f ca="1">_xll.DBRW($B$3,$B$7,$B$5,$B$4,$B$6,$A26,$B$8,AJ$4,AJ$5,AJ$6)*AJ$7</f>
        <v>#VALUE!</v>
      </c>
      <c r="AK26" s="237" t="e">
        <f ca="1">_xll.DBRW($B$3,$B$7,$B$5,$B$4,$B$6,$A26,$B$8,AK$4,AK$5,AK$6)*AK$7</f>
        <v>#VALUE!</v>
      </c>
      <c r="AL26" s="237" t="e">
        <f ca="1">_xll.DBRW($B$3,$B$7,$B$5,$B$4,$B$6,$A26,$B$8,AL$4,AL$5,AL$6)*AL$7</f>
        <v>#VALUE!</v>
      </c>
      <c r="AM26" s="238" t="e">
        <f t="shared" ca="1" si="11"/>
        <v>#VALUE!</v>
      </c>
      <c r="AN26" s="238" t="e">
        <f t="shared" ca="1" si="12"/>
        <v>#VALUE!</v>
      </c>
      <c r="AO26" s="157"/>
      <c r="AP26" s="237" t="str">
        <f t="shared" ca="1" si="37"/>
        <v>-</v>
      </c>
      <c r="AQ26" s="237" t="str">
        <f t="shared" ca="1" si="38"/>
        <v>-</v>
      </c>
      <c r="AR26" s="237" t="e">
        <f t="shared" ca="1" si="39"/>
        <v>#VALUE!</v>
      </c>
      <c r="AS26" s="237" t="e">
        <f t="shared" ca="1" si="40"/>
        <v>#VALUE!</v>
      </c>
      <c r="AT26" s="237" t="e">
        <f t="shared" ca="1" si="41"/>
        <v>#VALUE!</v>
      </c>
      <c r="AU26" s="246"/>
      <c r="AV26" s="237" t="str">
        <f t="shared" ca="1" si="42"/>
        <v>-</v>
      </c>
      <c r="AW26" s="237" t="str">
        <f t="shared" ca="1" si="43"/>
        <v>-</v>
      </c>
      <c r="AX26" s="237" t="e">
        <f t="shared" ca="1" si="44"/>
        <v>#VALUE!</v>
      </c>
      <c r="AY26" s="237" t="e">
        <f t="shared" ca="1" si="45"/>
        <v>#VALUE!</v>
      </c>
      <c r="AZ26" s="237" t="e">
        <f t="shared" ca="1" si="46"/>
        <v>#VALUE!</v>
      </c>
    </row>
    <row r="27" spans="1:52" s="51" customFormat="1" ht="15" customHeight="1">
      <c r="A27" s="29" t="s">
        <v>14</v>
      </c>
      <c r="C27" s="50"/>
      <c r="D27" s="54" t="str">
        <f ca="1">_xll.DBRA("tango_core_model:legal_organization",A27,Language)</f>
        <v>Connexxion NL</v>
      </c>
      <c r="E27" s="1"/>
      <c r="F27" s="88" t="e">
        <f ca="1">_xll.DBRW($B$3,$B$7,$B$5,$B$4,$B$6,$A27,$B$8,F$4,F$5,F$6)*F$7</f>
        <v>#VALUE!</v>
      </c>
      <c r="G27" s="88" t="e">
        <f ca="1">_xll.DBRW($B$3,$B$7,$B$5,$B$4,$B$6,$A27,$B$8,G$4,G$5,G$6)*G$7</f>
        <v>#VALUE!</v>
      </c>
      <c r="H27" s="88" t="e">
        <f ca="1">_xll.DBRW($B$3,$B$7,$B$5,$B$4,$B$6,$A27,$B$8,H$4,H$5,H$6)*H$7</f>
        <v>#VALUE!</v>
      </c>
      <c r="I27" s="88" t="e">
        <f t="shared" ca="1" si="28"/>
        <v>#VALUE!</v>
      </c>
      <c r="J27" s="88" t="e">
        <f t="shared" ca="1" si="29"/>
        <v>#VALUE!</v>
      </c>
      <c r="K27" s="241"/>
      <c r="L27" s="88" t="e">
        <f ca="1">_xll.DBRW($B$3,$B$7,$L$8,$B$4,$B$6,$A27,$B$8,L$4,L$5,L$6)*L$7</f>
        <v>#VALUE!</v>
      </c>
      <c r="M27" s="88" t="e">
        <f ca="1">_xll.DBRW($B$3,$B$7,$L$8,$B$4,$B$6,$A27,$B$8,M$4,M$5,M$6)*M$7</f>
        <v>#VALUE!</v>
      </c>
      <c r="N27" s="88" t="e">
        <f ca="1">_xll.DBRW($B$3,$B$7,$L$8,$B$4,$B$6,$A27,$B$8,N$4,N$5,N$6)*N$7</f>
        <v>#VALUE!</v>
      </c>
      <c r="O27" s="88" t="e">
        <f t="shared" ca="1" si="30"/>
        <v>#VALUE!</v>
      </c>
      <c r="P27" s="88" t="e">
        <f t="shared" ca="1" si="31"/>
        <v>#VALUE!</v>
      </c>
      <c r="Q27" s="241"/>
      <c r="R27" s="72" t="str">
        <f t="shared" ca="1" si="32"/>
        <v/>
      </c>
      <c r="S27" s="72" t="str">
        <f t="shared" ca="1" si="33"/>
        <v/>
      </c>
      <c r="T27" s="72" t="str">
        <f t="shared" ca="1" si="34"/>
        <v/>
      </c>
      <c r="U27" s="72" t="str">
        <f t="shared" ca="1" si="35"/>
        <v>-</v>
      </c>
      <c r="V27" s="72" t="str">
        <f t="shared" ca="1" si="36"/>
        <v>-</v>
      </c>
      <c r="W27" s="241"/>
      <c r="X27" s="88" t="e">
        <f ca="1">_xll.DBRW($B$3,$B$7,$B$5,$B$4,$B$6,$A27,$B$8,X$4,X$5,X$6)*X$7</f>
        <v>#VALUE!</v>
      </c>
      <c r="Y27" s="88" t="e">
        <f ca="1">_xll.DBRW($B$3,$B$7,$B$5,$B$4,$B$6,$A27,$B$8,Y$4,Y$5,Y$6)*Y$7</f>
        <v>#VALUE!</v>
      </c>
      <c r="Z27" s="88" t="e">
        <f ca="1">_xll.DBRW($B$3,$B$7,$B$5,$B$4,$B$6,$A27,$B$8,Z$4,Z$5,Z$6)*Z$7</f>
        <v>#VALUE!</v>
      </c>
      <c r="AA27" s="88" t="e">
        <f t="shared" ca="1" si="7"/>
        <v>#VALUE!</v>
      </c>
      <c r="AB27" s="88" t="e">
        <f t="shared" ca="1" si="8"/>
        <v>#VALUE!</v>
      </c>
      <c r="AC27" s="241"/>
      <c r="AD27" s="88" t="e">
        <f ca="1">_xll.DBRW($B$3,$B$7,$B$5,$B$4,$B$6,$A27,$B$8,AD$4,AD$5,AD$6)*AD$7</f>
        <v>#VALUE!</v>
      </c>
      <c r="AE27" s="88" t="e">
        <f ca="1">_xll.DBRW($B$3,$B$7,$B$5,$B$4,$B$6,$A27,$B$8,AE$4,AE$5,AE$6)*AE$7</f>
        <v>#VALUE!</v>
      </c>
      <c r="AF27" s="88" t="e">
        <f ca="1">_xll.DBRW($B$3,$B$7,$B$5,$B$4,$B$6,$A27,$B$8,AF$4,AF$5,AF$6)*AF$7</f>
        <v>#VALUE!</v>
      </c>
      <c r="AG27" s="88" t="e">
        <f t="shared" ca="1" si="9"/>
        <v>#VALUE!</v>
      </c>
      <c r="AH27" s="88" t="e">
        <f t="shared" ca="1" si="10"/>
        <v>#VALUE!</v>
      </c>
      <c r="AJ27" s="88" t="e">
        <f ca="1">_xll.DBRW($B$3,$B$7,$B$5,$B$4,$B$6,$A27,$B$8,AJ$4,AJ$5,AJ$6)*AJ$7</f>
        <v>#VALUE!</v>
      </c>
      <c r="AK27" s="88" t="e">
        <f ca="1">_xll.DBRW($B$3,$B$7,$B$5,$B$4,$B$6,$A27,$B$8,AK$4,AK$5,AK$6)*AK$7</f>
        <v>#VALUE!</v>
      </c>
      <c r="AL27" s="88" t="e">
        <f ca="1">_xll.DBRW($B$3,$B$7,$B$5,$B$4,$B$6,$A27,$B$8,AL$4,AL$5,AL$6)*AL$7</f>
        <v>#VALUE!</v>
      </c>
      <c r="AM27" s="88" t="e">
        <f t="shared" ca="1" si="11"/>
        <v>#VALUE!</v>
      </c>
      <c r="AN27" s="88" t="e">
        <f t="shared" ca="1" si="12"/>
        <v>#VALUE!</v>
      </c>
      <c r="AO27" s="241"/>
      <c r="AP27" s="88" t="str">
        <f t="shared" ca="1" si="37"/>
        <v>-</v>
      </c>
      <c r="AQ27" s="88" t="str">
        <f t="shared" ca="1" si="38"/>
        <v>-</v>
      </c>
      <c r="AR27" s="88" t="e">
        <f t="shared" ca="1" si="39"/>
        <v>#VALUE!</v>
      </c>
      <c r="AS27" s="88" t="e">
        <f t="shared" ca="1" si="40"/>
        <v>#VALUE!</v>
      </c>
      <c r="AT27" s="88" t="e">
        <f t="shared" ca="1" si="41"/>
        <v>#VALUE!</v>
      </c>
      <c r="AU27" s="247"/>
      <c r="AV27" s="88" t="str">
        <f t="shared" ca="1" si="42"/>
        <v>-</v>
      </c>
      <c r="AW27" s="88" t="str">
        <f t="shared" ca="1" si="43"/>
        <v>-</v>
      </c>
      <c r="AX27" s="88" t="e">
        <f t="shared" ca="1" si="44"/>
        <v>#VALUE!</v>
      </c>
      <c r="AY27" s="88" t="e">
        <f t="shared" ca="1" si="45"/>
        <v>#VALUE!</v>
      </c>
      <c r="AZ27" s="88" t="e">
        <f t="shared" ca="1" si="46"/>
        <v>#VALUE!</v>
      </c>
    </row>
    <row r="28" spans="1:52" s="51" customFormat="1" ht="15" customHeight="1">
      <c r="A28" s="29" t="s">
        <v>15</v>
      </c>
      <c r="C28" s="50"/>
      <c r="D28" s="54" t="str">
        <f ca="1">_xll.DBRA("tango_core_model:legal_organization",A28,Language)</f>
        <v>VTNL</v>
      </c>
      <c r="E28" s="1"/>
      <c r="F28" s="88" t="e">
        <f ca="1">_xll.DBRW($B$3,$B$7,$B$5,$B$4,$B$6,$A28,$B$8,F$4,F$5,F$6)*F$7</f>
        <v>#VALUE!</v>
      </c>
      <c r="G28" s="88" t="e">
        <f ca="1">_xll.DBRW($B$3,$B$7,$B$5,$B$4,$B$6,$A28,$B$8,G$4,G$5,G$6)*G$7</f>
        <v>#VALUE!</v>
      </c>
      <c r="H28" s="88" t="e">
        <f ca="1">_xll.DBRW($B$3,$B$7,$B$5,$B$4,$B$6,$A28,$B$8,H$4,H$5,H$6)*H$7</f>
        <v>#VALUE!</v>
      </c>
      <c r="I28" s="88" t="e">
        <f t="shared" ca="1" si="28"/>
        <v>#VALUE!</v>
      </c>
      <c r="J28" s="88" t="e">
        <f t="shared" ca="1" si="29"/>
        <v>#VALUE!</v>
      </c>
      <c r="K28" s="241"/>
      <c r="L28" s="88" t="e">
        <f ca="1">_xll.DBRW($B$3,$B$7,$L$8,$B$4,$B$6,$A28,$B$8,L$4,L$5,L$6)*L$7</f>
        <v>#VALUE!</v>
      </c>
      <c r="M28" s="88" t="e">
        <f ca="1">_xll.DBRW($B$3,$B$7,$L$8,$B$4,$B$6,$A28,$B$8,M$4,M$5,M$6)*M$7</f>
        <v>#VALUE!</v>
      </c>
      <c r="N28" s="88" t="e">
        <f ca="1">_xll.DBRW($B$3,$B$7,$L$8,$B$4,$B$6,$A28,$B$8,N$4,N$5,N$6)*N$7</f>
        <v>#VALUE!</v>
      </c>
      <c r="O28" s="88" t="e">
        <f t="shared" ca="1" si="30"/>
        <v>#VALUE!</v>
      </c>
      <c r="P28" s="88" t="e">
        <f t="shared" ca="1" si="31"/>
        <v>#VALUE!</v>
      </c>
      <c r="Q28" s="241"/>
      <c r="R28" s="72" t="str">
        <f t="shared" ca="1" si="32"/>
        <v/>
      </c>
      <c r="S28" s="72" t="str">
        <f t="shared" ca="1" si="33"/>
        <v/>
      </c>
      <c r="T28" s="72" t="str">
        <f t="shared" ca="1" si="34"/>
        <v/>
      </c>
      <c r="U28" s="72" t="str">
        <f t="shared" ca="1" si="35"/>
        <v>-</v>
      </c>
      <c r="V28" s="72" t="str">
        <f t="shared" ca="1" si="36"/>
        <v>-</v>
      </c>
      <c r="W28" s="241"/>
      <c r="X28" s="88" t="e">
        <f ca="1">_xll.DBRW($B$3,$B$7,$B$5,$B$4,$B$6,$A28,$B$8,X$4,X$5,X$6)*X$7</f>
        <v>#VALUE!</v>
      </c>
      <c r="Y28" s="88" t="e">
        <f ca="1">_xll.DBRW($B$3,$B$7,$B$5,$B$4,$B$6,$A28,$B$8,Y$4,Y$5,Y$6)*Y$7</f>
        <v>#VALUE!</v>
      </c>
      <c r="Z28" s="88" t="e">
        <f ca="1">_xll.DBRW($B$3,$B$7,$B$5,$B$4,$B$6,$A28,$B$8,Z$4,Z$5,Z$6)*Z$7</f>
        <v>#VALUE!</v>
      </c>
      <c r="AA28" s="88" t="e">
        <f t="shared" ca="1" si="7"/>
        <v>#VALUE!</v>
      </c>
      <c r="AB28" s="88" t="e">
        <f t="shared" ca="1" si="8"/>
        <v>#VALUE!</v>
      </c>
      <c r="AC28" s="241"/>
      <c r="AD28" s="88" t="e">
        <f ca="1">_xll.DBRW($B$3,$B$7,$B$5,$B$4,$B$6,$A28,$B$8,AD$4,AD$5,AD$6)*AD$7</f>
        <v>#VALUE!</v>
      </c>
      <c r="AE28" s="88" t="e">
        <f ca="1">_xll.DBRW($B$3,$B$7,$B$5,$B$4,$B$6,$A28,$B$8,AE$4,AE$5,AE$6)*AE$7</f>
        <v>#VALUE!</v>
      </c>
      <c r="AF28" s="88" t="e">
        <f ca="1">_xll.DBRW($B$3,$B$7,$B$5,$B$4,$B$6,$A28,$B$8,AF$4,AF$5,AF$6)*AF$7</f>
        <v>#VALUE!</v>
      </c>
      <c r="AG28" s="88" t="e">
        <f t="shared" ca="1" si="9"/>
        <v>#VALUE!</v>
      </c>
      <c r="AH28" s="88" t="e">
        <f t="shared" ca="1" si="10"/>
        <v>#VALUE!</v>
      </c>
      <c r="AJ28" s="88" t="e">
        <f ca="1">_xll.DBRW($B$3,$B$7,$B$5,$B$4,$B$6,$A28,$B$8,AJ$4,AJ$5,AJ$6)*AJ$7</f>
        <v>#VALUE!</v>
      </c>
      <c r="AK28" s="88" t="e">
        <f ca="1">_xll.DBRW($B$3,$B$7,$B$5,$B$4,$B$6,$A28,$B$8,AK$4,AK$5,AK$6)*AK$7</f>
        <v>#VALUE!</v>
      </c>
      <c r="AL28" s="88" t="e">
        <f ca="1">_xll.DBRW($B$3,$B$7,$B$5,$B$4,$B$6,$A28,$B$8,AL$4,AL$5,AL$6)*AL$7</f>
        <v>#VALUE!</v>
      </c>
      <c r="AM28" s="88" t="e">
        <f t="shared" ca="1" si="11"/>
        <v>#VALUE!</v>
      </c>
      <c r="AN28" s="88" t="e">
        <f t="shared" ca="1" si="12"/>
        <v>#VALUE!</v>
      </c>
      <c r="AO28" s="241"/>
      <c r="AP28" s="88" t="str">
        <f t="shared" ca="1" si="37"/>
        <v>-</v>
      </c>
      <c r="AQ28" s="88" t="str">
        <f t="shared" ca="1" si="38"/>
        <v>-</v>
      </c>
      <c r="AR28" s="88" t="e">
        <f t="shared" ca="1" si="39"/>
        <v>#VALUE!</v>
      </c>
      <c r="AS28" s="88" t="e">
        <f t="shared" ca="1" si="40"/>
        <v>#VALUE!</v>
      </c>
      <c r="AT28" s="88" t="e">
        <f t="shared" ca="1" si="41"/>
        <v>#VALUE!</v>
      </c>
      <c r="AU28" s="247"/>
      <c r="AV28" s="88" t="str">
        <f t="shared" ca="1" si="42"/>
        <v>-</v>
      </c>
      <c r="AW28" s="88" t="str">
        <f t="shared" ca="1" si="43"/>
        <v>-</v>
      </c>
      <c r="AX28" s="88" t="e">
        <f t="shared" ca="1" si="44"/>
        <v>#VALUE!</v>
      </c>
      <c r="AY28" s="88" t="e">
        <f t="shared" ca="1" si="45"/>
        <v>#VALUE!</v>
      </c>
      <c r="AZ28" s="88" t="e">
        <f t="shared" ca="1" si="46"/>
        <v>#VALUE!</v>
      </c>
    </row>
    <row r="29" spans="1:52" s="51" customFormat="1" ht="15" customHeight="1">
      <c r="A29" s="29" t="s">
        <v>82</v>
      </c>
      <c r="C29" s="50"/>
      <c r="D29" s="54" t="str">
        <f ca="1">_xll.DBRA("tango_core_model:legal_organization",A29,Language)</f>
        <v>Autres entités Pays-Bas</v>
      </c>
      <c r="E29" s="1"/>
      <c r="F29" s="88" t="e">
        <f ca="1">_xll.DBRW($B$3,$B$7,$B$5,$B$4,$B$6,$A29,$B$8,F$4,F$5,F$6)*F$7</f>
        <v>#VALUE!</v>
      </c>
      <c r="G29" s="88" t="e">
        <f ca="1">_xll.DBRW($B$3,$B$7,$B$5,$B$4,$B$6,$A29,$B$8,G$4,G$5,G$6)*G$7</f>
        <v>#VALUE!</v>
      </c>
      <c r="H29" s="88" t="e">
        <f ca="1">_xll.DBRW($B$3,$B$7,$B$5,$B$4,$B$6,$A29,$B$8,H$4,H$5,H$6)*H$7</f>
        <v>#VALUE!</v>
      </c>
      <c r="I29" s="88" t="e">
        <f t="shared" ca="1" si="28"/>
        <v>#VALUE!</v>
      </c>
      <c r="J29" s="88" t="e">
        <f t="shared" ca="1" si="29"/>
        <v>#VALUE!</v>
      </c>
      <c r="K29" s="241"/>
      <c r="L29" s="88" t="e">
        <f ca="1">_xll.DBRW($B$3,$B$7,$L$8,$B$4,$B$6,$A29,$B$8,L$4,L$5,L$6)*L$7</f>
        <v>#VALUE!</v>
      </c>
      <c r="M29" s="88" t="e">
        <f ca="1">_xll.DBRW($B$3,$B$7,$L$8,$B$4,$B$6,$A29,$B$8,M$4,M$5,M$6)*M$7</f>
        <v>#VALUE!</v>
      </c>
      <c r="N29" s="88" t="e">
        <f ca="1">_xll.DBRW($B$3,$B$7,$L$8,$B$4,$B$6,$A29,$B$8,N$4,N$5,N$6)*N$7</f>
        <v>#VALUE!</v>
      </c>
      <c r="O29" s="88" t="e">
        <f t="shared" ca="1" si="30"/>
        <v>#VALUE!</v>
      </c>
      <c r="P29" s="88" t="e">
        <f t="shared" ca="1" si="31"/>
        <v>#VALUE!</v>
      </c>
      <c r="Q29" s="241"/>
      <c r="R29" s="72" t="str">
        <f t="shared" ca="1" si="32"/>
        <v/>
      </c>
      <c r="S29" s="72" t="str">
        <f t="shared" ca="1" si="33"/>
        <v/>
      </c>
      <c r="T29" s="72" t="str">
        <f t="shared" ca="1" si="34"/>
        <v/>
      </c>
      <c r="U29" s="72" t="str">
        <f t="shared" ca="1" si="35"/>
        <v>-</v>
      </c>
      <c r="V29" s="72" t="str">
        <f t="shared" ca="1" si="36"/>
        <v>-</v>
      </c>
      <c r="W29" s="241"/>
      <c r="X29" s="88" t="e">
        <f ca="1">_xll.DBRW($B$3,$B$7,$B$5,$B$4,$B$6,$A29,$B$8,X$4,X$5,X$6)*X$7</f>
        <v>#VALUE!</v>
      </c>
      <c r="Y29" s="88" t="e">
        <f ca="1">_xll.DBRW($B$3,$B$7,$B$5,$B$4,$B$6,$A29,$B$8,Y$4,Y$5,Y$6)*Y$7</f>
        <v>#VALUE!</v>
      </c>
      <c r="Z29" s="88" t="e">
        <f ca="1">_xll.DBRW($B$3,$B$7,$B$5,$B$4,$B$6,$A29,$B$8,Z$4,Z$5,Z$6)*Z$7</f>
        <v>#VALUE!</v>
      </c>
      <c r="AA29" s="88" t="e">
        <f t="shared" ca="1" si="7"/>
        <v>#VALUE!</v>
      </c>
      <c r="AB29" s="88" t="e">
        <f t="shared" ca="1" si="8"/>
        <v>#VALUE!</v>
      </c>
      <c r="AC29" s="241"/>
      <c r="AD29" s="88" t="e">
        <f ca="1">_xll.DBRW($B$3,$B$7,$B$5,$B$4,$B$6,$A29,$B$8,AD$4,AD$5,AD$6)*AD$7</f>
        <v>#VALUE!</v>
      </c>
      <c r="AE29" s="88" t="e">
        <f ca="1">_xll.DBRW($B$3,$B$7,$B$5,$B$4,$B$6,$A29,$B$8,AE$4,AE$5,AE$6)*AE$7</f>
        <v>#VALUE!</v>
      </c>
      <c r="AF29" s="88" t="e">
        <f ca="1">_xll.DBRW($B$3,$B$7,$B$5,$B$4,$B$6,$A29,$B$8,AF$4,AF$5,AF$6)*AF$7</f>
        <v>#VALUE!</v>
      </c>
      <c r="AG29" s="88" t="e">
        <f t="shared" ca="1" si="9"/>
        <v>#VALUE!</v>
      </c>
      <c r="AH29" s="88" t="e">
        <f t="shared" ca="1" si="10"/>
        <v>#VALUE!</v>
      </c>
      <c r="AJ29" s="88" t="e">
        <f ca="1">_xll.DBRW($B$3,$B$7,$B$5,$B$4,$B$6,$A29,$B$8,AJ$4,AJ$5,AJ$6)*AJ$7</f>
        <v>#VALUE!</v>
      </c>
      <c r="AK29" s="88" t="e">
        <f ca="1">_xll.DBRW($B$3,$B$7,$B$5,$B$4,$B$6,$A29,$B$8,AK$4,AK$5,AK$6)*AK$7</f>
        <v>#VALUE!</v>
      </c>
      <c r="AL29" s="88" t="e">
        <f ca="1">_xll.DBRW($B$3,$B$7,$B$5,$B$4,$B$6,$A29,$B$8,AL$4,AL$5,AL$6)*AL$7</f>
        <v>#VALUE!</v>
      </c>
      <c r="AM29" s="88" t="e">
        <f t="shared" ca="1" si="11"/>
        <v>#VALUE!</v>
      </c>
      <c r="AN29" s="88" t="e">
        <f t="shared" ca="1" si="12"/>
        <v>#VALUE!</v>
      </c>
      <c r="AO29" s="241"/>
      <c r="AP29" s="88" t="str">
        <f t="shared" ca="1" si="37"/>
        <v>-</v>
      </c>
      <c r="AQ29" s="88" t="str">
        <f t="shared" ca="1" si="38"/>
        <v>-</v>
      </c>
      <c r="AR29" s="88" t="e">
        <f t="shared" ca="1" si="39"/>
        <v>#VALUE!</v>
      </c>
      <c r="AS29" s="88" t="e">
        <f t="shared" ca="1" si="40"/>
        <v>#VALUE!</v>
      </c>
      <c r="AT29" s="88" t="e">
        <f t="shared" ca="1" si="41"/>
        <v>#VALUE!</v>
      </c>
      <c r="AU29" s="247"/>
      <c r="AV29" s="88" t="str">
        <f t="shared" ca="1" si="42"/>
        <v>-</v>
      </c>
      <c r="AW29" s="88" t="str">
        <f t="shared" ca="1" si="43"/>
        <v>-</v>
      </c>
      <c r="AX29" s="88" t="e">
        <f t="shared" ca="1" si="44"/>
        <v>#VALUE!</v>
      </c>
      <c r="AY29" s="88" t="e">
        <f t="shared" ca="1" si="45"/>
        <v>#VALUE!</v>
      </c>
      <c r="AZ29" s="88" t="e">
        <f t="shared" ca="1" si="46"/>
        <v>#VALUE!</v>
      </c>
    </row>
    <row r="30" spans="1:52" s="28" customFormat="1" ht="20.100000000000001" customHeight="1">
      <c r="A30" s="29" t="s">
        <v>72</v>
      </c>
      <c r="C30" s="50"/>
      <c r="D30" s="52" t="str">
        <f ca="1">_xll.DBRA("tango_core_model:legal_organization",A30,Language)</f>
        <v>Amérique du Nord</v>
      </c>
      <c r="E30" s="20"/>
      <c r="F30" s="237" t="e">
        <f ca="1">_xll.DBRW($B$3,$B$7,$B$5,$B$4,$B$6,$A30,$B$8,F$4,F$5,F$6)*F$7</f>
        <v>#VALUE!</v>
      </c>
      <c r="G30" s="237" t="e">
        <f ca="1">_xll.DBRW($B$3,$B$7,$B$5,$B$4,$B$6,$A30,$B$8,G$4,G$5,G$6)*G$7</f>
        <v>#VALUE!</v>
      </c>
      <c r="H30" s="237" t="e">
        <f ca="1">_xll.DBRW($B$3,$B$7,$B$5,$B$4,$B$6,$A30,$B$8,H$4,H$5,H$6)*H$7</f>
        <v>#VALUE!</v>
      </c>
      <c r="I30" s="238" t="e">
        <f t="shared" ca="1" si="28"/>
        <v>#VALUE!</v>
      </c>
      <c r="J30" s="238" t="e">
        <f t="shared" ca="1" si="29"/>
        <v>#VALUE!</v>
      </c>
      <c r="K30" s="157"/>
      <c r="L30" s="237" t="e">
        <f ca="1">_xll.DBRW($B$3,$B$7,$L$8,$B$4,$B$6,$A30,$B$8,L$4,L$5,L$6)*L$7</f>
        <v>#VALUE!</v>
      </c>
      <c r="M30" s="237" t="e">
        <f ca="1">_xll.DBRW($B$3,$B$7,$L$8,$B$4,$B$6,$A30,$B$8,M$4,M$5,M$6)*M$7</f>
        <v>#VALUE!</v>
      </c>
      <c r="N30" s="237" t="e">
        <f ca="1">_xll.DBRW($B$3,$B$7,$L$8,$B$4,$B$6,$A30,$B$8,N$4,N$5,N$6)*N$7</f>
        <v>#VALUE!</v>
      </c>
      <c r="O30" s="238" t="e">
        <f t="shared" ca="1" si="30"/>
        <v>#VALUE!</v>
      </c>
      <c r="P30" s="238" t="e">
        <f t="shared" ca="1" si="31"/>
        <v>#VALUE!</v>
      </c>
      <c r="Q30" s="157"/>
      <c r="R30" s="68" t="str">
        <f t="shared" ca="1" si="32"/>
        <v/>
      </c>
      <c r="S30" s="68" t="str">
        <f t="shared" ca="1" si="33"/>
        <v/>
      </c>
      <c r="T30" s="68" t="str">
        <f t="shared" ca="1" si="34"/>
        <v/>
      </c>
      <c r="U30" s="69" t="str">
        <f t="shared" ca="1" si="35"/>
        <v>-</v>
      </c>
      <c r="V30" s="69" t="str">
        <f t="shared" ca="1" si="36"/>
        <v>-</v>
      </c>
      <c r="W30" s="157"/>
      <c r="X30" s="237" t="e">
        <f ca="1">_xll.DBRW($B$3,$B$7,$B$5,$B$4,$B$6,$A30,$B$8,X$4,X$5,X$6)*X$7</f>
        <v>#VALUE!</v>
      </c>
      <c r="Y30" s="237" t="e">
        <f ca="1">_xll.DBRW($B$3,$B$7,$B$5,$B$4,$B$6,$A30,$B$8,Y$4,Y$5,Y$6)*Y$7</f>
        <v>#VALUE!</v>
      </c>
      <c r="Z30" s="237" t="e">
        <f ca="1">_xll.DBRW($B$3,$B$7,$B$5,$B$4,$B$6,$A30,$B$8,Z$4,Z$5,Z$6)*Z$7</f>
        <v>#VALUE!</v>
      </c>
      <c r="AA30" s="238" t="e">
        <f t="shared" ca="1" si="7"/>
        <v>#VALUE!</v>
      </c>
      <c r="AB30" s="238" t="e">
        <f t="shared" ca="1" si="8"/>
        <v>#VALUE!</v>
      </c>
      <c r="AC30" s="157"/>
      <c r="AD30" s="237" t="e">
        <f ca="1">_xll.DBRW($B$3,$B$7,$B$5,$B$4,$B$6,$A30,$B$8,AD$4,AD$5,AD$6)*AD$7</f>
        <v>#VALUE!</v>
      </c>
      <c r="AE30" s="237" t="e">
        <f ca="1">_xll.DBRW($B$3,$B$7,$B$5,$B$4,$B$6,$A30,$B$8,AE$4,AE$5,AE$6)*AE$7</f>
        <v>#VALUE!</v>
      </c>
      <c r="AF30" s="237" t="e">
        <f ca="1">_xll.DBRW($B$3,$B$7,$B$5,$B$4,$B$6,$A30,$B$8,AF$4,AF$5,AF$6)*AF$7</f>
        <v>#VALUE!</v>
      </c>
      <c r="AG30" s="238" t="e">
        <f t="shared" ca="1" si="9"/>
        <v>#VALUE!</v>
      </c>
      <c r="AH30" s="238" t="e">
        <f t="shared" ca="1" si="10"/>
        <v>#VALUE!</v>
      </c>
      <c r="AJ30" s="237" t="e">
        <f ca="1">_xll.DBRW($B$3,$B$7,$B$5,$B$4,$B$6,$A30,$B$8,AJ$4,AJ$5,AJ$6)*AJ$7</f>
        <v>#VALUE!</v>
      </c>
      <c r="AK30" s="237" t="e">
        <f ca="1">_xll.DBRW($B$3,$B$7,$B$5,$B$4,$B$6,$A30,$B$8,AK$4,AK$5,AK$6)*AK$7</f>
        <v>#VALUE!</v>
      </c>
      <c r="AL30" s="237" t="e">
        <f ca="1">_xll.DBRW($B$3,$B$7,$B$5,$B$4,$B$6,$A30,$B$8,AL$4,AL$5,AL$6)*AL$7</f>
        <v>#VALUE!</v>
      </c>
      <c r="AM30" s="238" t="e">
        <f t="shared" ca="1" si="11"/>
        <v>#VALUE!</v>
      </c>
      <c r="AN30" s="238" t="e">
        <f t="shared" ca="1" si="12"/>
        <v>#VALUE!</v>
      </c>
      <c r="AO30" s="157"/>
      <c r="AP30" s="237" t="str">
        <f t="shared" ca="1" si="37"/>
        <v>-</v>
      </c>
      <c r="AQ30" s="237" t="str">
        <f t="shared" ca="1" si="38"/>
        <v>-</v>
      </c>
      <c r="AR30" s="237" t="e">
        <f t="shared" ca="1" si="39"/>
        <v>#VALUE!</v>
      </c>
      <c r="AS30" s="237" t="e">
        <f t="shared" ca="1" si="40"/>
        <v>#VALUE!</v>
      </c>
      <c r="AT30" s="237" t="e">
        <f t="shared" ca="1" si="41"/>
        <v>#VALUE!</v>
      </c>
      <c r="AU30" s="246"/>
      <c r="AV30" s="237" t="str">
        <f t="shared" ca="1" si="42"/>
        <v>-</v>
      </c>
      <c r="AW30" s="237" t="str">
        <f t="shared" ca="1" si="43"/>
        <v>-</v>
      </c>
      <c r="AX30" s="237" t="e">
        <f t="shared" ca="1" si="44"/>
        <v>#VALUE!</v>
      </c>
      <c r="AY30" s="237" t="e">
        <f t="shared" ca="1" si="45"/>
        <v>#VALUE!</v>
      </c>
      <c r="AZ30" s="237" t="e">
        <f t="shared" ca="1" si="46"/>
        <v>#VALUE!</v>
      </c>
    </row>
    <row r="31" spans="1:52" s="51" customFormat="1" ht="15" customHeight="1">
      <c r="A31" s="29" t="s">
        <v>5</v>
      </c>
      <c r="C31" s="50"/>
      <c r="D31" s="54" t="str">
        <f ca="1">_xll.DBRA("tango_core_model:legal_organization",A31,Language)</f>
        <v>Canada</v>
      </c>
      <c r="E31" s="1"/>
      <c r="F31" s="88" t="e">
        <f ca="1">_xll.DBRW($B$3,$B$7,$B$5,$B$4,$B$6,$A31,$B$8,F$4,F$5,F$6)*F$7</f>
        <v>#VALUE!</v>
      </c>
      <c r="G31" s="88" t="e">
        <f ca="1">_xll.DBRW($B$3,$B$7,$B$5,$B$4,$B$6,$A31,$B$8,G$4,G$5,G$6)*G$7</f>
        <v>#VALUE!</v>
      </c>
      <c r="H31" s="88" t="e">
        <f ca="1">_xll.DBRW($B$3,$B$7,$B$5,$B$4,$B$6,$A31,$B$8,H$4,H$5,H$6)*H$7</f>
        <v>#VALUE!</v>
      </c>
      <c r="I31" s="88" t="e">
        <f t="shared" ca="1" si="28"/>
        <v>#VALUE!</v>
      </c>
      <c r="J31" s="88" t="e">
        <f t="shared" ca="1" si="29"/>
        <v>#VALUE!</v>
      </c>
      <c r="K31" s="241"/>
      <c r="L31" s="88" t="e">
        <f ca="1">_xll.DBRW($B$3,$B$7,$L$8,$B$4,$B$6,$A31,$B$8,L$4,L$5,L$6)*L$7</f>
        <v>#VALUE!</v>
      </c>
      <c r="M31" s="88" t="e">
        <f ca="1">_xll.DBRW($B$3,$B$7,$L$8,$B$4,$B$6,$A31,$B$8,M$4,M$5,M$6)*M$7</f>
        <v>#VALUE!</v>
      </c>
      <c r="N31" s="88" t="e">
        <f ca="1">_xll.DBRW($B$3,$B$7,$L$8,$B$4,$B$6,$A31,$B$8,N$4,N$5,N$6)*N$7</f>
        <v>#VALUE!</v>
      </c>
      <c r="O31" s="88" t="e">
        <f t="shared" ca="1" si="30"/>
        <v>#VALUE!</v>
      </c>
      <c r="P31" s="88" t="e">
        <f t="shared" ca="1" si="31"/>
        <v>#VALUE!</v>
      </c>
      <c r="Q31" s="241"/>
      <c r="R31" s="72" t="str">
        <f t="shared" ca="1" si="32"/>
        <v/>
      </c>
      <c r="S31" s="72" t="str">
        <f t="shared" ca="1" si="33"/>
        <v/>
      </c>
      <c r="T31" s="72" t="str">
        <f t="shared" ca="1" si="34"/>
        <v/>
      </c>
      <c r="U31" s="72" t="str">
        <f t="shared" ca="1" si="35"/>
        <v>-</v>
      </c>
      <c r="V31" s="72" t="str">
        <f t="shared" ca="1" si="36"/>
        <v>-</v>
      </c>
      <c r="W31" s="241"/>
      <c r="X31" s="88" t="e">
        <f ca="1">_xll.DBRW($B$3,$B$7,$B$5,$B$4,$B$6,$A31,$B$8,X$4,X$5,X$6)*X$7</f>
        <v>#VALUE!</v>
      </c>
      <c r="Y31" s="88" t="e">
        <f ca="1">_xll.DBRW($B$3,$B$7,$B$5,$B$4,$B$6,$A31,$B$8,Y$4,Y$5,Y$6)*Y$7</f>
        <v>#VALUE!</v>
      </c>
      <c r="Z31" s="88" t="e">
        <f ca="1">_xll.DBRW($B$3,$B$7,$B$5,$B$4,$B$6,$A31,$B$8,Z$4,Z$5,Z$6)*Z$7</f>
        <v>#VALUE!</v>
      </c>
      <c r="AA31" s="88" t="e">
        <f t="shared" ca="1" si="7"/>
        <v>#VALUE!</v>
      </c>
      <c r="AB31" s="88" t="e">
        <f t="shared" ca="1" si="8"/>
        <v>#VALUE!</v>
      </c>
      <c r="AC31" s="241"/>
      <c r="AD31" s="88" t="e">
        <f ca="1">_xll.DBRW($B$3,$B$7,$B$5,$B$4,$B$6,$A31,$B$8,AD$4,AD$5,AD$6)*AD$7</f>
        <v>#VALUE!</v>
      </c>
      <c r="AE31" s="88" t="e">
        <f ca="1">_xll.DBRW($B$3,$B$7,$B$5,$B$4,$B$6,$A31,$B$8,AE$4,AE$5,AE$6)*AE$7</f>
        <v>#VALUE!</v>
      </c>
      <c r="AF31" s="88" t="e">
        <f ca="1">_xll.DBRW($B$3,$B$7,$B$5,$B$4,$B$6,$A31,$B$8,AF$4,AF$5,AF$6)*AF$7</f>
        <v>#VALUE!</v>
      </c>
      <c r="AG31" s="88" t="e">
        <f t="shared" ca="1" si="9"/>
        <v>#VALUE!</v>
      </c>
      <c r="AH31" s="88" t="e">
        <f t="shared" ca="1" si="10"/>
        <v>#VALUE!</v>
      </c>
      <c r="AJ31" s="88" t="e">
        <f ca="1">_xll.DBRW($B$3,$B$7,$B$5,$B$4,$B$6,$A31,$B$8,AJ$4,AJ$5,AJ$6)*AJ$7</f>
        <v>#VALUE!</v>
      </c>
      <c r="AK31" s="88" t="e">
        <f ca="1">_xll.DBRW($B$3,$B$7,$B$5,$B$4,$B$6,$A31,$B$8,AK$4,AK$5,AK$6)*AK$7</f>
        <v>#VALUE!</v>
      </c>
      <c r="AL31" s="88" t="e">
        <f ca="1">_xll.DBRW($B$3,$B$7,$B$5,$B$4,$B$6,$A31,$B$8,AL$4,AL$5,AL$6)*AL$7</f>
        <v>#VALUE!</v>
      </c>
      <c r="AM31" s="88" t="e">
        <f t="shared" ca="1" si="11"/>
        <v>#VALUE!</v>
      </c>
      <c r="AN31" s="88" t="e">
        <f t="shared" ca="1" si="12"/>
        <v>#VALUE!</v>
      </c>
      <c r="AO31" s="241"/>
      <c r="AP31" s="88" t="str">
        <f t="shared" ca="1" si="37"/>
        <v>-</v>
      </c>
      <c r="AQ31" s="88" t="str">
        <f t="shared" ca="1" si="38"/>
        <v>-</v>
      </c>
      <c r="AR31" s="88" t="e">
        <f t="shared" ca="1" si="39"/>
        <v>#VALUE!</v>
      </c>
      <c r="AS31" s="88" t="e">
        <f t="shared" ca="1" si="40"/>
        <v>#VALUE!</v>
      </c>
      <c r="AT31" s="88" t="e">
        <f t="shared" ca="1" si="41"/>
        <v>#VALUE!</v>
      </c>
      <c r="AU31" s="247"/>
      <c r="AV31" s="88" t="str">
        <f t="shared" ca="1" si="42"/>
        <v>-</v>
      </c>
      <c r="AW31" s="88" t="str">
        <f t="shared" ca="1" si="43"/>
        <v>-</v>
      </c>
      <c r="AX31" s="88" t="e">
        <f t="shared" ca="1" si="44"/>
        <v>#VALUE!</v>
      </c>
      <c r="AY31" s="88" t="e">
        <f t="shared" ca="1" si="45"/>
        <v>#VALUE!</v>
      </c>
      <c r="AZ31" s="88" t="e">
        <f t="shared" ca="1" si="46"/>
        <v>#VALUE!</v>
      </c>
    </row>
    <row r="32" spans="1:52" s="51" customFormat="1" ht="15" customHeight="1">
      <c r="A32" s="29" t="s">
        <v>38</v>
      </c>
      <c r="C32" s="50"/>
      <c r="D32" s="54" t="str">
        <f ca="1">_xll.DBRA("tango_core_model:legal_organization",A32,Language)</f>
        <v>Etats-Unis</v>
      </c>
      <c r="E32" s="1"/>
      <c r="F32" s="88" t="e">
        <f ca="1">_xll.DBRW($B$3,$B$7,$B$5,$B$4,$B$6,$A32,$B$8,F$4,F$5,F$6)*F$7</f>
        <v>#VALUE!</v>
      </c>
      <c r="G32" s="88" t="e">
        <f ca="1">_xll.DBRW($B$3,$B$7,$B$5,$B$4,$B$6,$A32,$B$8,G$4,G$5,G$6)*G$7</f>
        <v>#VALUE!</v>
      </c>
      <c r="H32" s="88" t="e">
        <f ca="1">_xll.DBRW($B$3,$B$7,$B$5,$B$4,$B$6,$A32,$B$8,H$4,H$5,H$6)*H$7</f>
        <v>#VALUE!</v>
      </c>
      <c r="I32" s="88" t="e">
        <f t="shared" ca="1" si="28"/>
        <v>#VALUE!</v>
      </c>
      <c r="J32" s="88" t="e">
        <f t="shared" ca="1" si="29"/>
        <v>#VALUE!</v>
      </c>
      <c r="K32" s="241"/>
      <c r="L32" s="88" t="e">
        <f ca="1">_xll.DBRW($B$3,$B$7,$L$8,$B$4,$B$6,$A32,$B$8,L$4,L$5,L$6)*L$7</f>
        <v>#VALUE!</v>
      </c>
      <c r="M32" s="88" t="e">
        <f ca="1">_xll.DBRW($B$3,$B$7,$L$8,$B$4,$B$6,$A32,$B$8,M$4,M$5,M$6)*M$7</f>
        <v>#VALUE!</v>
      </c>
      <c r="N32" s="88" t="e">
        <f ca="1">_xll.DBRW($B$3,$B$7,$L$8,$B$4,$B$6,$A32,$B$8,N$4,N$5,N$6)*N$7</f>
        <v>#VALUE!</v>
      </c>
      <c r="O32" s="88" t="e">
        <f t="shared" ca="1" si="30"/>
        <v>#VALUE!</v>
      </c>
      <c r="P32" s="88" t="e">
        <f t="shared" ca="1" si="31"/>
        <v>#VALUE!</v>
      </c>
      <c r="Q32" s="241"/>
      <c r="R32" s="72" t="str">
        <f t="shared" ca="1" si="32"/>
        <v/>
      </c>
      <c r="S32" s="72" t="str">
        <f t="shared" ca="1" si="33"/>
        <v/>
      </c>
      <c r="T32" s="72" t="str">
        <f t="shared" ca="1" si="34"/>
        <v/>
      </c>
      <c r="U32" s="72" t="str">
        <f t="shared" ca="1" si="35"/>
        <v>-</v>
      </c>
      <c r="V32" s="72" t="str">
        <f t="shared" ca="1" si="36"/>
        <v>-</v>
      </c>
      <c r="W32" s="241"/>
      <c r="X32" s="88" t="e">
        <f ca="1">_xll.DBRW($B$3,$B$7,$B$5,$B$4,$B$6,$A32,$B$8,X$4,X$5,X$6)*X$7</f>
        <v>#VALUE!</v>
      </c>
      <c r="Y32" s="88" t="e">
        <f ca="1">_xll.DBRW($B$3,$B$7,$B$5,$B$4,$B$6,$A32,$B$8,Y$4,Y$5,Y$6)*Y$7</f>
        <v>#VALUE!</v>
      </c>
      <c r="Z32" s="88" t="e">
        <f ca="1">_xll.DBRW($B$3,$B$7,$B$5,$B$4,$B$6,$A32,$B$8,Z$4,Z$5,Z$6)*Z$7</f>
        <v>#VALUE!</v>
      </c>
      <c r="AA32" s="88" t="e">
        <f t="shared" ca="1" si="7"/>
        <v>#VALUE!</v>
      </c>
      <c r="AB32" s="88" t="e">
        <f t="shared" ca="1" si="8"/>
        <v>#VALUE!</v>
      </c>
      <c r="AC32" s="241"/>
      <c r="AD32" s="88" t="e">
        <f ca="1">_xll.DBRW($B$3,$B$7,$B$5,$B$4,$B$6,$A32,$B$8,AD$4,AD$5,AD$6)*AD$7</f>
        <v>#VALUE!</v>
      </c>
      <c r="AE32" s="88" t="e">
        <f ca="1">_xll.DBRW($B$3,$B$7,$B$5,$B$4,$B$6,$A32,$B$8,AE$4,AE$5,AE$6)*AE$7</f>
        <v>#VALUE!</v>
      </c>
      <c r="AF32" s="88" t="e">
        <f ca="1">_xll.DBRW($B$3,$B$7,$B$5,$B$4,$B$6,$A32,$B$8,AF$4,AF$5,AF$6)*AF$7</f>
        <v>#VALUE!</v>
      </c>
      <c r="AG32" s="88" t="e">
        <f t="shared" ca="1" si="9"/>
        <v>#VALUE!</v>
      </c>
      <c r="AH32" s="88" t="e">
        <f t="shared" ca="1" si="10"/>
        <v>#VALUE!</v>
      </c>
      <c r="AJ32" s="88" t="e">
        <f ca="1">_xll.DBRW($B$3,$B$7,$B$5,$B$4,$B$6,$A32,$B$8,AJ$4,AJ$5,AJ$6)*AJ$7</f>
        <v>#VALUE!</v>
      </c>
      <c r="AK32" s="88" t="e">
        <f ca="1">_xll.DBRW($B$3,$B$7,$B$5,$B$4,$B$6,$A32,$B$8,AK$4,AK$5,AK$6)*AK$7</f>
        <v>#VALUE!</v>
      </c>
      <c r="AL32" s="88" t="e">
        <f ca="1">_xll.DBRW($B$3,$B$7,$B$5,$B$4,$B$6,$A32,$B$8,AL$4,AL$5,AL$6)*AL$7</f>
        <v>#VALUE!</v>
      </c>
      <c r="AM32" s="88" t="e">
        <f t="shared" ca="1" si="11"/>
        <v>#VALUE!</v>
      </c>
      <c r="AN32" s="88" t="e">
        <f t="shared" ca="1" si="12"/>
        <v>#VALUE!</v>
      </c>
      <c r="AO32" s="241"/>
      <c r="AP32" s="88" t="str">
        <f t="shared" ca="1" si="37"/>
        <v>-</v>
      </c>
      <c r="AQ32" s="88" t="str">
        <f t="shared" ca="1" si="38"/>
        <v>-</v>
      </c>
      <c r="AR32" s="88" t="e">
        <f t="shared" ca="1" si="39"/>
        <v>#VALUE!</v>
      </c>
      <c r="AS32" s="88" t="e">
        <f t="shared" ca="1" si="40"/>
        <v>#VALUE!</v>
      </c>
      <c r="AT32" s="88" t="e">
        <f t="shared" ca="1" si="41"/>
        <v>#VALUE!</v>
      </c>
      <c r="AU32" s="247"/>
      <c r="AV32" s="88" t="str">
        <f t="shared" ca="1" si="42"/>
        <v>-</v>
      </c>
      <c r="AW32" s="88" t="str">
        <f t="shared" ca="1" si="43"/>
        <v>-</v>
      </c>
      <c r="AX32" s="88" t="e">
        <f t="shared" ca="1" si="44"/>
        <v>#VALUE!</v>
      </c>
      <c r="AY32" s="88" t="e">
        <f t="shared" ca="1" si="45"/>
        <v>#VALUE!</v>
      </c>
      <c r="AZ32" s="88" t="e">
        <f t="shared" ca="1" si="46"/>
        <v>#VALUE!</v>
      </c>
    </row>
    <row r="33" spans="1:52" s="28" customFormat="1" ht="20.100000000000001" customHeight="1">
      <c r="A33" s="29" t="s">
        <v>83</v>
      </c>
      <c r="C33" s="50"/>
      <c r="D33" s="52" t="str">
        <f ca="1">_xll.DBRA("tango_core_model:legal_organization",A33,Language)</f>
        <v>Royaume-Uni et Irlande</v>
      </c>
      <c r="E33" s="20"/>
      <c r="F33" s="237" t="e">
        <f ca="1">_xll.DBRW($B$3,$B$7,$B$5,$B$4,$B$6,$A33,$B$8,F$4,F$5,F$6)*F$7</f>
        <v>#VALUE!</v>
      </c>
      <c r="G33" s="237" t="e">
        <f ca="1">_xll.DBRW($B$3,$B$7,$B$5,$B$4,$B$6,$A33,$B$8,G$4,G$5,G$6)*G$7</f>
        <v>#VALUE!</v>
      </c>
      <c r="H33" s="237" t="e">
        <f ca="1">_xll.DBRW($B$3,$B$7,$B$5,$B$4,$B$6,$A33,$B$8,H$4,H$5,H$6)*H$7</f>
        <v>#VALUE!</v>
      </c>
      <c r="I33" s="238" t="e">
        <f t="shared" ca="1" si="28"/>
        <v>#VALUE!</v>
      </c>
      <c r="J33" s="238" t="e">
        <f t="shared" ca="1" si="29"/>
        <v>#VALUE!</v>
      </c>
      <c r="K33" s="157"/>
      <c r="L33" s="237" t="e">
        <f ca="1">_xll.DBRW($B$3,$B$7,$L$8,$B$4,$B$6,$A33,$B$8,L$4,L$5,L$6)*L$7</f>
        <v>#VALUE!</v>
      </c>
      <c r="M33" s="237" t="e">
        <f ca="1">_xll.DBRW($B$3,$B$7,$L$8,$B$4,$B$6,$A33,$B$8,M$4,M$5,M$6)*M$7</f>
        <v>#VALUE!</v>
      </c>
      <c r="N33" s="237" t="e">
        <f ca="1">_xll.DBRW($B$3,$B$7,$L$8,$B$4,$B$6,$A33,$B$8,N$4,N$5,N$6)*N$7</f>
        <v>#VALUE!</v>
      </c>
      <c r="O33" s="238" t="e">
        <f t="shared" ca="1" si="30"/>
        <v>#VALUE!</v>
      </c>
      <c r="P33" s="238" t="e">
        <f t="shared" ca="1" si="31"/>
        <v>#VALUE!</v>
      </c>
      <c r="Q33" s="157"/>
      <c r="R33" s="68" t="str">
        <f t="shared" ca="1" si="32"/>
        <v/>
      </c>
      <c r="S33" s="68" t="str">
        <f t="shared" ca="1" si="33"/>
        <v/>
      </c>
      <c r="T33" s="68" t="str">
        <f t="shared" ca="1" si="34"/>
        <v/>
      </c>
      <c r="U33" s="69" t="str">
        <f t="shared" ca="1" si="35"/>
        <v>-</v>
      </c>
      <c r="V33" s="69" t="str">
        <f t="shared" ca="1" si="36"/>
        <v>-</v>
      </c>
      <c r="W33" s="157"/>
      <c r="X33" s="237" t="e">
        <f ca="1">_xll.DBRW($B$3,$B$7,$B$5,$B$4,$B$6,$A33,$B$8,X$4,X$5,X$6)*X$7</f>
        <v>#VALUE!</v>
      </c>
      <c r="Y33" s="237" t="e">
        <f ca="1">_xll.DBRW($B$3,$B$7,$B$5,$B$4,$B$6,$A33,$B$8,Y$4,Y$5,Y$6)*Y$7</f>
        <v>#VALUE!</v>
      </c>
      <c r="Z33" s="237" t="e">
        <f ca="1">_xll.DBRW($B$3,$B$7,$B$5,$B$4,$B$6,$A33,$B$8,Z$4,Z$5,Z$6)*Z$7</f>
        <v>#VALUE!</v>
      </c>
      <c r="AA33" s="238" t="e">
        <f t="shared" ca="1" si="7"/>
        <v>#VALUE!</v>
      </c>
      <c r="AB33" s="238" t="e">
        <f t="shared" ca="1" si="8"/>
        <v>#VALUE!</v>
      </c>
      <c r="AC33" s="157"/>
      <c r="AD33" s="237" t="e">
        <f ca="1">_xll.DBRW($B$3,$B$7,$B$5,$B$4,$B$6,$A33,$B$8,AD$4,AD$5,AD$6)*AD$7</f>
        <v>#VALUE!</v>
      </c>
      <c r="AE33" s="237" t="e">
        <f ca="1">_xll.DBRW($B$3,$B$7,$B$5,$B$4,$B$6,$A33,$B$8,AE$4,AE$5,AE$6)*AE$7</f>
        <v>#VALUE!</v>
      </c>
      <c r="AF33" s="237" t="e">
        <f ca="1">_xll.DBRW($B$3,$B$7,$B$5,$B$4,$B$6,$A33,$B$8,AF$4,AF$5,AF$6)*AF$7</f>
        <v>#VALUE!</v>
      </c>
      <c r="AG33" s="238" t="e">
        <f t="shared" ca="1" si="9"/>
        <v>#VALUE!</v>
      </c>
      <c r="AH33" s="238" t="e">
        <f t="shared" ca="1" si="10"/>
        <v>#VALUE!</v>
      </c>
      <c r="AJ33" s="237" t="e">
        <f ca="1">_xll.DBRW($B$3,$B$7,$B$5,$B$4,$B$6,$A33,$B$8,AJ$4,AJ$5,AJ$6)*AJ$7</f>
        <v>#VALUE!</v>
      </c>
      <c r="AK33" s="237" t="e">
        <f ca="1">_xll.DBRW($B$3,$B$7,$B$5,$B$4,$B$6,$A33,$B$8,AK$4,AK$5,AK$6)*AK$7</f>
        <v>#VALUE!</v>
      </c>
      <c r="AL33" s="237" t="e">
        <f ca="1">_xll.DBRW($B$3,$B$7,$B$5,$B$4,$B$6,$A33,$B$8,AL$4,AL$5,AL$6)*AL$7</f>
        <v>#VALUE!</v>
      </c>
      <c r="AM33" s="238" t="e">
        <f t="shared" ca="1" si="11"/>
        <v>#VALUE!</v>
      </c>
      <c r="AN33" s="238" t="e">
        <f t="shared" ca="1" si="12"/>
        <v>#VALUE!</v>
      </c>
      <c r="AO33" s="157"/>
      <c r="AP33" s="237" t="str">
        <f t="shared" ca="1" si="37"/>
        <v>-</v>
      </c>
      <c r="AQ33" s="237" t="str">
        <f t="shared" ca="1" si="38"/>
        <v>-</v>
      </c>
      <c r="AR33" s="237" t="e">
        <f t="shared" ca="1" si="39"/>
        <v>#VALUE!</v>
      </c>
      <c r="AS33" s="237" t="e">
        <f t="shared" ca="1" si="40"/>
        <v>#VALUE!</v>
      </c>
      <c r="AT33" s="237" t="e">
        <f t="shared" ca="1" si="41"/>
        <v>#VALUE!</v>
      </c>
      <c r="AU33" s="246"/>
      <c r="AV33" s="237" t="str">
        <f t="shared" ca="1" si="42"/>
        <v>-</v>
      </c>
      <c r="AW33" s="237" t="str">
        <f t="shared" ca="1" si="43"/>
        <v>-</v>
      </c>
      <c r="AX33" s="237" t="e">
        <f t="shared" ca="1" si="44"/>
        <v>#VALUE!</v>
      </c>
      <c r="AY33" s="237" t="e">
        <f t="shared" ca="1" si="45"/>
        <v>#VALUE!</v>
      </c>
      <c r="AZ33" s="237" t="e">
        <f t="shared" ca="1" si="46"/>
        <v>#VALUE!</v>
      </c>
    </row>
    <row r="34" spans="1:52" s="51" customFormat="1" ht="15" customHeight="1">
      <c r="A34" s="29" t="s">
        <v>39</v>
      </c>
      <c r="C34" s="50"/>
      <c r="D34" s="54" t="str">
        <f ca="1">_xll.DBRA("tango_core_model:legal_organization",A34,Language)</f>
        <v>Irlande</v>
      </c>
      <c r="E34" s="1"/>
      <c r="F34" s="88" t="e">
        <f ca="1">_xll.DBRW($B$3,$B$7,$B$5,$B$4,$B$6,$A34,$B$8,F$4,F$5,F$6)*F$7</f>
        <v>#VALUE!</v>
      </c>
      <c r="G34" s="88" t="e">
        <f ca="1">_xll.DBRW($B$3,$B$7,$B$5,$B$4,$B$6,$A34,$B$8,G$4,G$5,G$6)*G$7</f>
        <v>#VALUE!</v>
      </c>
      <c r="H34" s="88" t="e">
        <f ca="1">_xll.DBRW($B$3,$B$7,$B$5,$B$4,$B$6,$A34,$B$8,H$4,H$5,H$6)*H$7</f>
        <v>#VALUE!</v>
      </c>
      <c r="I34" s="88" t="e">
        <f t="shared" ca="1" si="28"/>
        <v>#VALUE!</v>
      </c>
      <c r="J34" s="88" t="e">
        <f t="shared" ca="1" si="29"/>
        <v>#VALUE!</v>
      </c>
      <c r="K34" s="241"/>
      <c r="L34" s="88" t="e">
        <f ca="1">_xll.DBRW($B$3,$B$7,$L$8,$B$4,$B$6,$A34,$B$8,L$4,L$5,L$6)*L$7</f>
        <v>#VALUE!</v>
      </c>
      <c r="M34" s="88" t="e">
        <f ca="1">_xll.DBRW($B$3,$B$7,$L$8,$B$4,$B$6,$A34,$B$8,M$4,M$5,M$6)*M$7</f>
        <v>#VALUE!</v>
      </c>
      <c r="N34" s="88" t="e">
        <f ca="1">_xll.DBRW($B$3,$B$7,$L$8,$B$4,$B$6,$A34,$B$8,N$4,N$5,N$6)*N$7</f>
        <v>#VALUE!</v>
      </c>
      <c r="O34" s="88" t="e">
        <f t="shared" ca="1" si="30"/>
        <v>#VALUE!</v>
      </c>
      <c r="P34" s="88" t="e">
        <f t="shared" ca="1" si="31"/>
        <v>#VALUE!</v>
      </c>
      <c r="Q34" s="241"/>
      <c r="R34" s="72" t="str">
        <f t="shared" ca="1" si="32"/>
        <v/>
      </c>
      <c r="S34" s="72" t="str">
        <f t="shared" ca="1" si="33"/>
        <v/>
      </c>
      <c r="T34" s="72" t="str">
        <f t="shared" ca="1" si="34"/>
        <v/>
      </c>
      <c r="U34" s="72" t="str">
        <f t="shared" ca="1" si="35"/>
        <v>-</v>
      </c>
      <c r="V34" s="72" t="str">
        <f t="shared" ca="1" si="36"/>
        <v>-</v>
      </c>
      <c r="W34" s="241"/>
      <c r="X34" s="88" t="e">
        <f ca="1">_xll.DBRW($B$3,$B$7,$B$5,$B$4,$B$6,$A34,$B$8,X$4,X$5,X$6)*X$7</f>
        <v>#VALUE!</v>
      </c>
      <c r="Y34" s="88" t="e">
        <f ca="1">_xll.DBRW($B$3,$B$7,$B$5,$B$4,$B$6,$A34,$B$8,Y$4,Y$5,Y$6)*Y$7</f>
        <v>#VALUE!</v>
      </c>
      <c r="Z34" s="88" t="e">
        <f ca="1">_xll.DBRW($B$3,$B$7,$B$5,$B$4,$B$6,$A34,$B$8,Z$4,Z$5,Z$6)*Z$7</f>
        <v>#VALUE!</v>
      </c>
      <c r="AA34" s="88" t="e">
        <f t="shared" ca="1" si="7"/>
        <v>#VALUE!</v>
      </c>
      <c r="AB34" s="88" t="e">
        <f t="shared" ca="1" si="8"/>
        <v>#VALUE!</v>
      </c>
      <c r="AC34" s="241"/>
      <c r="AD34" s="88" t="e">
        <f ca="1">_xll.DBRW($B$3,$B$7,$B$5,$B$4,$B$6,$A34,$B$8,AD$4,AD$5,AD$6)*AD$7</f>
        <v>#VALUE!</v>
      </c>
      <c r="AE34" s="88" t="e">
        <f ca="1">_xll.DBRW($B$3,$B$7,$B$5,$B$4,$B$6,$A34,$B$8,AE$4,AE$5,AE$6)*AE$7</f>
        <v>#VALUE!</v>
      </c>
      <c r="AF34" s="88" t="e">
        <f ca="1">_xll.DBRW($B$3,$B$7,$B$5,$B$4,$B$6,$A34,$B$8,AF$4,AF$5,AF$6)*AF$7</f>
        <v>#VALUE!</v>
      </c>
      <c r="AG34" s="88" t="e">
        <f t="shared" ca="1" si="9"/>
        <v>#VALUE!</v>
      </c>
      <c r="AH34" s="88" t="e">
        <f t="shared" ca="1" si="10"/>
        <v>#VALUE!</v>
      </c>
      <c r="AJ34" s="88" t="e">
        <f ca="1">_xll.DBRW($B$3,$B$7,$B$5,$B$4,$B$6,$A34,$B$8,AJ$4,AJ$5,AJ$6)*AJ$7</f>
        <v>#VALUE!</v>
      </c>
      <c r="AK34" s="88" t="e">
        <f ca="1">_xll.DBRW($B$3,$B$7,$B$5,$B$4,$B$6,$A34,$B$8,AK$4,AK$5,AK$6)*AK$7</f>
        <v>#VALUE!</v>
      </c>
      <c r="AL34" s="88" t="e">
        <f ca="1">_xll.DBRW($B$3,$B$7,$B$5,$B$4,$B$6,$A34,$B$8,AL$4,AL$5,AL$6)*AL$7</f>
        <v>#VALUE!</v>
      </c>
      <c r="AM34" s="88" t="e">
        <f t="shared" ca="1" si="11"/>
        <v>#VALUE!</v>
      </c>
      <c r="AN34" s="88" t="e">
        <f t="shared" ca="1" si="12"/>
        <v>#VALUE!</v>
      </c>
      <c r="AO34" s="241"/>
      <c r="AP34" s="88" t="str">
        <f t="shared" ca="1" si="37"/>
        <v>-</v>
      </c>
      <c r="AQ34" s="88" t="str">
        <f t="shared" ca="1" si="38"/>
        <v>-</v>
      </c>
      <c r="AR34" s="88" t="e">
        <f t="shared" ca="1" si="39"/>
        <v>#VALUE!</v>
      </c>
      <c r="AS34" s="88" t="e">
        <f t="shared" ca="1" si="40"/>
        <v>#VALUE!</v>
      </c>
      <c r="AT34" s="88" t="e">
        <f t="shared" ca="1" si="41"/>
        <v>#VALUE!</v>
      </c>
      <c r="AU34" s="247"/>
      <c r="AV34" s="88" t="str">
        <f t="shared" ca="1" si="42"/>
        <v>-</v>
      </c>
      <c r="AW34" s="88" t="str">
        <f t="shared" ca="1" si="43"/>
        <v>-</v>
      </c>
      <c r="AX34" s="88" t="e">
        <f t="shared" ca="1" si="44"/>
        <v>#VALUE!</v>
      </c>
      <c r="AY34" s="88" t="e">
        <f t="shared" ca="1" si="45"/>
        <v>#VALUE!</v>
      </c>
      <c r="AZ34" s="88" t="e">
        <f t="shared" ca="1" si="46"/>
        <v>#VALUE!</v>
      </c>
    </row>
    <row r="35" spans="1:52" s="51" customFormat="1" ht="15" customHeight="1">
      <c r="A35" s="29" t="s">
        <v>40</v>
      </c>
      <c r="C35" s="50"/>
      <c r="D35" s="54" t="str">
        <f ca="1">_xll.DBRA("tango_core_model:legal_organization",A35,Language)</f>
        <v>Royaume-Uni</v>
      </c>
      <c r="E35" s="1"/>
      <c r="F35" s="88" t="e">
        <f ca="1">_xll.DBRW($B$3,$B$7,$B$5,$B$4,$B$6,$A35,$B$8,F$4,F$5,F$6)*F$7</f>
        <v>#VALUE!</v>
      </c>
      <c r="G35" s="88" t="e">
        <f ca="1">_xll.DBRW($B$3,$B$7,$B$5,$B$4,$B$6,$A35,$B$8,G$4,G$5,G$6)*G$7</f>
        <v>#VALUE!</v>
      </c>
      <c r="H35" s="88" t="e">
        <f ca="1">_xll.DBRW($B$3,$B$7,$B$5,$B$4,$B$6,$A35,$B$8,H$4,H$5,H$6)*H$7</f>
        <v>#VALUE!</v>
      </c>
      <c r="I35" s="88" t="e">
        <f t="shared" ca="1" si="28"/>
        <v>#VALUE!</v>
      </c>
      <c r="J35" s="88" t="e">
        <f t="shared" ca="1" si="29"/>
        <v>#VALUE!</v>
      </c>
      <c r="K35" s="241"/>
      <c r="L35" s="88" t="e">
        <f ca="1">_xll.DBRW($B$3,$B$7,$L$8,$B$4,$B$6,$A35,$B$8,L$4,L$5,L$6)*L$7</f>
        <v>#VALUE!</v>
      </c>
      <c r="M35" s="88" t="e">
        <f ca="1">_xll.DBRW($B$3,$B$7,$L$8,$B$4,$B$6,$A35,$B$8,M$4,M$5,M$6)*M$7</f>
        <v>#VALUE!</v>
      </c>
      <c r="N35" s="88" t="e">
        <f ca="1">_xll.DBRW($B$3,$B$7,$L$8,$B$4,$B$6,$A35,$B$8,N$4,N$5,N$6)*N$7</f>
        <v>#VALUE!</v>
      </c>
      <c r="O35" s="88" t="e">
        <f t="shared" ca="1" si="30"/>
        <v>#VALUE!</v>
      </c>
      <c r="P35" s="88" t="e">
        <f t="shared" ca="1" si="31"/>
        <v>#VALUE!</v>
      </c>
      <c r="Q35" s="241"/>
      <c r="R35" s="72" t="str">
        <f t="shared" ca="1" si="32"/>
        <v/>
      </c>
      <c r="S35" s="72" t="str">
        <f t="shared" ca="1" si="33"/>
        <v/>
      </c>
      <c r="T35" s="72" t="str">
        <f t="shared" ca="1" si="34"/>
        <v/>
      </c>
      <c r="U35" s="72" t="str">
        <f t="shared" ca="1" si="35"/>
        <v>-</v>
      </c>
      <c r="V35" s="72" t="str">
        <f t="shared" ca="1" si="36"/>
        <v>-</v>
      </c>
      <c r="W35" s="241"/>
      <c r="X35" s="88" t="e">
        <f ca="1">_xll.DBRW($B$3,$B$7,$B$5,$B$4,$B$6,$A35,$B$8,X$4,X$5,X$6)*X$7</f>
        <v>#VALUE!</v>
      </c>
      <c r="Y35" s="88" t="e">
        <f ca="1">_xll.DBRW($B$3,$B$7,$B$5,$B$4,$B$6,$A35,$B$8,Y$4,Y$5,Y$6)*Y$7</f>
        <v>#VALUE!</v>
      </c>
      <c r="Z35" s="88" t="e">
        <f ca="1">_xll.DBRW($B$3,$B$7,$B$5,$B$4,$B$6,$A35,$B$8,Z$4,Z$5,Z$6)*Z$7</f>
        <v>#VALUE!</v>
      </c>
      <c r="AA35" s="88" t="e">
        <f t="shared" ca="1" si="7"/>
        <v>#VALUE!</v>
      </c>
      <c r="AB35" s="88" t="e">
        <f t="shared" ca="1" si="8"/>
        <v>#VALUE!</v>
      </c>
      <c r="AC35" s="241"/>
      <c r="AD35" s="88" t="e">
        <f ca="1">_xll.DBRW($B$3,$B$7,$B$5,$B$4,$B$6,$A35,$B$8,AD$4,AD$5,AD$6)*AD$7</f>
        <v>#VALUE!</v>
      </c>
      <c r="AE35" s="88" t="e">
        <f ca="1">_xll.DBRW($B$3,$B$7,$B$5,$B$4,$B$6,$A35,$B$8,AE$4,AE$5,AE$6)*AE$7</f>
        <v>#VALUE!</v>
      </c>
      <c r="AF35" s="88" t="e">
        <f ca="1">_xll.DBRW($B$3,$B$7,$B$5,$B$4,$B$6,$A35,$B$8,AF$4,AF$5,AF$6)*AF$7</f>
        <v>#VALUE!</v>
      </c>
      <c r="AG35" s="88" t="e">
        <f t="shared" ca="1" si="9"/>
        <v>#VALUE!</v>
      </c>
      <c r="AH35" s="88" t="e">
        <f t="shared" ca="1" si="10"/>
        <v>#VALUE!</v>
      </c>
      <c r="AJ35" s="88" t="e">
        <f ca="1">_xll.DBRW($B$3,$B$7,$B$5,$B$4,$B$6,$A35,$B$8,AJ$4,AJ$5,AJ$6)*AJ$7</f>
        <v>#VALUE!</v>
      </c>
      <c r="AK35" s="88" t="e">
        <f ca="1">_xll.DBRW($B$3,$B$7,$B$5,$B$4,$B$6,$A35,$B$8,AK$4,AK$5,AK$6)*AK$7</f>
        <v>#VALUE!</v>
      </c>
      <c r="AL35" s="88" t="e">
        <f ca="1">_xll.DBRW($B$3,$B$7,$B$5,$B$4,$B$6,$A35,$B$8,AL$4,AL$5,AL$6)*AL$7</f>
        <v>#VALUE!</v>
      </c>
      <c r="AM35" s="88" t="e">
        <f t="shared" ca="1" si="11"/>
        <v>#VALUE!</v>
      </c>
      <c r="AN35" s="88" t="e">
        <f t="shared" ca="1" si="12"/>
        <v>#VALUE!</v>
      </c>
      <c r="AO35" s="241"/>
      <c r="AP35" s="88" t="str">
        <f t="shared" ca="1" si="37"/>
        <v>-</v>
      </c>
      <c r="AQ35" s="88" t="str">
        <f t="shared" ca="1" si="38"/>
        <v>-</v>
      </c>
      <c r="AR35" s="88" t="e">
        <f t="shared" ca="1" si="39"/>
        <v>#VALUE!</v>
      </c>
      <c r="AS35" s="88" t="e">
        <f t="shared" ca="1" si="40"/>
        <v>#VALUE!</v>
      </c>
      <c r="AT35" s="88" t="e">
        <f t="shared" ca="1" si="41"/>
        <v>#VALUE!</v>
      </c>
      <c r="AU35" s="247"/>
      <c r="AV35" s="88" t="str">
        <f t="shared" ca="1" si="42"/>
        <v>-</v>
      </c>
      <c r="AW35" s="88" t="str">
        <f t="shared" ca="1" si="43"/>
        <v>-</v>
      </c>
      <c r="AX35" s="88" t="e">
        <f t="shared" ca="1" si="44"/>
        <v>#VALUE!</v>
      </c>
      <c r="AY35" s="88" t="e">
        <f t="shared" ca="1" si="45"/>
        <v>#VALUE!</v>
      </c>
      <c r="AZ35" s="88" t="e">
        <f t="shared" ca="1" si="46"/>
        <v>#VALUE!</v>
      </c>
    </row>
    <row r="36" spans="1:52" s="51" customFormat="1" ht="15" customHeight="1">
      <c r="A36" s="29" t="s">
        <v>8</v>
      </c>
      <c r="C36" s="50"/>
      <c r="D36" s="54" t="str">
        <f ca="1">_xll.DBRA("tango_core_model:legal_organization",A36,Language)</f>
        <v>TOD France</v>
      </c>
      <c r="E36" s="1"/>
      <c r="F36" s="88" t="e">
        <f ca="1">_xll.DBRW($B$3,$B$7,$B$5,$B$4,$B$6,$A36,$B$8,F$4,F$5,F$6)*F$7</f>
        <v>#VALUE!</v>
      </c>
      <c r="G36" s="88" t="e">
        <f ca="1">_xll.DBRW($B$3,$B$7,$B$5,$B$4,$B$6,$A36,$B$8,G$4,G$5,G$6)*G$7</f>
        <v>#VALUE!</v>
      </c>
      <c r="H36" s="88" t="e">
        <f ca="1">_xll.DBRW($B$3,$B$7,$B$5,$B$4,$B$6,$A36,$B$8,H$4,H$5,H$6)*H$7</f>
        <v>#VALUE!</v>
      </c>
      <c r="I36" s="88" t="e">
        <f t="shared" ca="1" si="28"/>
        <v>#VALUE!</v>
      </c>
      <c r="J36" s="88" t="e">
        <f t="shared" ca="1" si="29"/>
        <v>#VALUE!</v>
      </c>
      <c r="K36" s="241"/>
      <c r="L36" s="88" t="e">
        <f ca="1">_xll.DBRW($B$3,$B$7,$L$8,$B$4,$B$6,$A36,$B$8,L$4,L$5,L$6)*L$7</f>
        <v>#VALUE!</v>
      </c>
      <c r="M36" s="88" t="e">
        <f ca="1">_xll.DBRW($B$3,$B$7,$L$8,$B$4,$B$6,$A36,$B$8,M$4,M$5,M$6)*M$7</f>
        <v>#VALUE!</v>
      </c>
      <c r="N36" s="88" t="e">
        <f ca="1">_xll.DBRW($B$3,$B$7,$L$8,$B$4,$B$6,$A36,$B$8,N$4,N$5,N$6)*N$7</f>
        <v>#VALUE!</v>
      </c>
      <c r="O36" s="88" t="e">
        <f t="shared" ca="1" si="30"/>
        <v>#VALUE!</v>
      </c>
      <c r="P36" s="88" t="e">
        <f t="shared" ca="1" si="31"/>
        <v>#VALUE!</v>
      </c>
      <c r="Q36" s="241"/>
      <c r="R36" s="72" t="str">
        <f t="shared" ca="1" si="32"/>
        <v/>
      </c>
      <c r="S36" s="72" t="str">
        <f t="shared" ca="1" si="33"/>
        <v/>
      </c>
      <c r="T36" s="72" t="str">
        <f t="shared" ca="1" si="34"/>
        <v/>
      </c>
      <c r="U36" s="72" t="str">
        <f t="shared" ca="1" si="35"/>
        <v>-</v>
      </c>
      <c r="V36" s="72" t="str">
        <f t="shared" ca="1" si="36"/>
        <v>-</v>
      </c>
      <c r="W36" s="241"/>
      <c r="X36" s="88" t="e">
        <f ca="1">_xll.DBRW($B$3,$B$7,$B$5,$B$4,$B$6,$A36,$B$8,X$4,X$5,X$6)*X$7</f>
        <v>#VALUE!</v>
      </c>
      <c r="Y36" s="88" t="e">
        <f ca="1">_xll.DBRW($B$3,$B$7,$B$5,$B$4,$B$6,$A36,$B$8,Y$4,Y$5,Y$6)*Y$7</f>
        <v>#VALUE!</v>
      </c>
      <c r="Z36" s="88" t="e">
        <f ca="1">_xll.DBRW($B$3,$B$7,$B$5,$B$4,$B$6,$A36,$B$8,Z$4,Z$5,Z$6)*Z$7</f>
        <v>#VALUE!</v>
      </c>
      <c r="AA36" s="88" t="e">
        <f t="shared" ca="1" si="7"/>
        <v>#VALUE!</v>
      </c>
      <c r="AB36" s="88" t="e">
        <f t="shared" ca="1" si="8"/>
        <v>#VALUE!</v>
      </c>
      <c r="AC36" s="241"/>
      <c r="AD36" s="88" t="e">
        <f ca="1">_xll.DBRW($B$3,$B$7,$B$5,$B$4,$B$6,$A36,$B$8,AD$4,AD$5,AD$6)*AD$7</f>
        <v>#VALUE!</v>
      </c>
      <c r="AE36" s="88" t="e">
        <f ca="1">_xll.DBRW($B$3,$B$7,$B$5,$B$4,$B$6,$A36,$B$8,AE$4,AE$5,AE$6)*AE$7</f>
        <v>#VALUE!</v>
      </c>
      <c r="AF36" s="88" t="e">
        <f ca="1">_xll.DBRW($B$3,$B$7,$B$5,$B$4,$B$6,$A36,$B$8,AF$4,AF$5,AF$6)*AF$7</f>
        <v>#VALUE!</v>
      </c>
      <c r="AG36" s="88" t="e">
        <f t="shared" ca="1" si="9"/>
        <v>#VALUE!</v>
      </c>
      <c r="AH36" s="88" t="e">
        <f t="shared" ca="1" si="10"/>
        <v>#VALUE!</v>
      </c>
      <c r="AJ36" s="88" t="e">
        <f ca="1">_xll.DBRW($B$3,$B$7,$B$5,$B$4,$B$6,$A36,$B$8,AJ$4,AJ$5,AJ$6)*AJ$7</f>
        <v>#VALUE!</v>
      </c>
      <c r="AK36" s="88" t="e">
        <f ca="1">_xll.DBRW($B$3,$B$7,$B$5,$B$4,$B$6,$A36,$B$8,AK$4,AK$5,AK$6)*AK$7</f>
        <v>#VALUE!</v>
      </c>
      <c r="AL36" s="88" t="e">
        <f ca="1">_xll.DBRW($B$3,$B$7,$B$5,$B$4,$B$6,$A36,$B$8,AL$4,AL$5,AL$6)*AL$7</f>
        <v>#VALUE!</v>
      </c>
      <c r="AM36" s="88" t="e">
        <f t="shared" ca="1" si="11"/>
        <v>#VALUE!</v>
      </c>
      <c r="AN36" s="88" t="e">
        <f t="shared" ca="1" si="12"/>
        <v>#VALUE!</v>
      </c>
      <c r="AO36" s="241"/>
      <c r="AP36" s="88" t="str">
        <f t="shared" ca="1" si="37"/>
        <v>-</v>
      </c>
      <c r="AQ36" s="88" t="str">
        <f t="shared" ca="1" si="38"/>
        <v>-</v>
      </c>
      <c r="AR36" s="88" t="e">
        <f t="shared" ca="1" si="39"/>
        <v>#VALUE!</v>
      </c>
      <c r="AS36" s="88" t="e">
        <f t="shared" ca="1" si="40"/>
        <v>#VALUE!</v>
      </c>
      <c r="AT36" s="88" t="e">
        <f t="shared" ca="1" si="41"/>
        <v>#VALUE!</v>
      </c>
      <c r="AU36" s="247"/>
      <c r="AV36" s="88" t="str">
        <f t="shared" ca="1" si="42"/>
        <v>-</v>
      </c>
      <c r="AW36" s="88" t="str">
        <f t="shared" ca="1" si="43"/>
        <v>-</v>
      </c>
      <c r="AX36" s="88" t="e">
        <f t="shared" ca="1" si="44"/>
        <v>#VALUE!</v>
      </c>
      <c r="AY36" s="88" t="e">
        <f t="shared" ca="1" si="45"/>
        <v>#VALUE!</v>
      </c>
      <c r="AZ36" s="88" t="e">
        <f t="shared" ca="1" si="46"/>
        <v>#VALUE!</v>
      </c>
    </row>
    <row r="37" spans="1:52" s="28" customFormat="1" ht="20.100000000000001" customHeight="1">
      <c r="A37" s="29" t="s">
        <v>41</v>
      </c>
      <c r="C37" s="50"/>
      <c r="D37" s="52" t="str">
        <f ca="1">_xll.DBRA("tango_core_model:legal_organization",A37,Language)</f>
        <v>Allemagne</v>
      </c>
      <c r="E37" s="20"/>
      <c r="F37" s="237" t="e">
        <f ca="1">_xll.DBRW($B$3,$B$7,$B$5,$B$4,$B$6,$A37,$B$8,F$4,F$5,F$6)*F$7</f>
        <v>#VALUE!</v>
      </c>
      <c r="G37" s="237" t="e">
        <f ca="1">_xll.DBRW($B$3,$B$7,$B$5,$B$4,$B$6,$A37,$B$8,G$4,G$5,G$6)*G$7</f>
        <v>#VALUE!</v>
      </c>
      <c r="H37" s="237" t="e">
        <f ca="1">_xll.DBRW($B$3,$B$7,$B$5,$B$4,$B$6,$A37,$B$8,H$4,H$5,H$6)*H$7</f>
        <v>#VALUE!</v>
      </c>
      <c r="I37" s="238" t="e">
        <f t="shared" ca="1" si="28"/>
        <v>#VALUE!</v>
      </c>
      <c r="J37" s="238" t="e">
        <f t="shared" ca="1" si="29"/>
        <v>#VALUE!</v>
      </c>
      <c r="K37" s="157"/>
      <c r="L37" s="237" t="e">
        <f ca="1">_xll.DBRW($B$3,$B$7,$L$8,$B$4,$B$6,$A37,$B$8,L$4,L$5,L$6)*L$7</f>
        <v>#VALUE!</v>
      </c>
      <c r="M37" s="237" t="e">
        <f ca="1">_xll.DBRW($B$3,$B$7,$L$8,$B$4,$B$6,$A37,$B$8,M$4,M$5,M$6)*M$7</f>
        <v>#VALUE!</v>
      </c>
      <c r="N37" s="237" t="e">
        <f ca="1">_xll.DBRW($B$3,$B$7,$L$8,$B$4,$B$6,$A37,$B$8,N$4,N$5,N$6)*N$7</f>
        <v>#VALUE!</v>
      </c>
      <c r="O37" s="238" t="e">
        <f t="shared" ca="1" si="30"/>
        <v>#VALUE!</v>
      </c>
      <c r="P37" s="238" t="e">
        <f t="shared" ca="1" si="31"/>
        <v>#VALUE!</v>
      </c>
      <c r="Q37" s="157"/>
      <c r="R37" s="68" t="str">
        <f t="shared" ca="1" si="32"/>
        <v/>
      </c>
      <c r="S37" s="68" t="str">
        <f t="shared" ca="1" si="33"/>
        <v/>
      </c>
      <c r="T37" s="68" t="str">
        <f t="shared" ca="1" si="34"/>
        <v/>
      </c>
      <c r="U37" s="69" t="str">
        <f t="shared" ca="1" si="35"/>
        <v>-</v>
      </c>
      <c r="V37" s="69" t="str">
        <f t="shared" ca="1" si="36"/>
        <v>-</v>
      </c>
      <c r="W37" s="157"/>
      <c r="X37" s="237" t="e">
        <f ca="1">_xll.DBRW($B$3,$B$7,$B$5,$B$4,$B$6,$A37,$B$8,X$4,X$5,X$6)*X$7</f>
        <v>#VALUE!</v>
      </c>
      <c r="Y37" s="237" t="e">
        <f ca="1">_xll.DBRW($B$3,$B$7,$B$5,$B$4,$B$6,$A37,$B$8,Y$4,Y$5,Y$6)*Y$7</f>
        <v>#VALUE!</v>
      </c>
      <c r="Z37" s="237" t="e">
        <f ca="1">_xll.DBRW($B$3,$B$7,$B$5,$B$4,$B$6,$A37,$B$8,Z$4,Z$5,Z$6)*Z$7</f>
        <v>#VALUE!</v>
      </c>
      <c r="AA37" s="238" t="e">
        <f t="shared" ca="1" si="7"/>
        <v>#VALUE!</v>
      </c>
      <c r="AB37" s="238" t="e">
        <f t="shared" ca="1" si="8"/>
        <v>#VALUE!</v>
      </c>
      <c r="AC37" s="157"/>
      <c r="AD37" s="237" t="e">
        <f ca="1">_xll.DBRW($B$3,$B$7,$B$5,$B$4,$B$6,$A37,$B$8,AD$4,AD$5,AD$6)*AD$7</f>
        <v>#VALUE!</v>
      </c>
      <c r="AE37" s="237" t="e">
        <f ca="1">_xll.DBRW($B$3,$B$7,$B$5,$B$4,$B$6,$A37,$B$8,AE$4,AE$5,AE$6)*AE$7</f>
        <v>#VALUE!</v>
      </c>
      <c r="AF37" s="237" t="e">
        <f ca="1">_xll.DBRW($B$3,$B$7,$B$5,$B$4,$B$6,$A37,$B$8,AF$4,AF$5,AF$6)*AF$7</f>
        <v>#VALUE!</v>
      </c>
      <c r="AG37" s="238" t="e">
        <f t="shared" ca="1" si="9"/>
        <v>#VALUE!</v>
      </c>
      <c r="AH37" s="238" t="e">
        <f t="shared" ca="1" si="10"/>
        <v>#VALUE!</v>
      </c>
      <c r="AJ37" s="237" t="e">
        <f ca="1">_xll.DBRW($B$3,$B$7,$B$5,$B$4,$B$6,$A37,$B$8,AJ$4,AJ$5,AJ$6)*AJ$7</f>
        <v>#VALUE!</v>
      </c>
      <c r="AK37" s="237" t="e">
        <f ca="1">_xll.DBRW($B$3,$B$7,$B$5,$B$4,$B$6,$A37,$B$8,AK$4,AK$5,AK$6)*AK$7</f>
        <v>#VALUE!</v>
      </c>
      <c r="AL37" s="237" t="e">
        <f ca="1">_xll.DBRW($B$3,$B$7,$B$5,$B$4,$B$6,$A37,$B$8,AL$4,AL$5,AL$6)*AL$7</f>
        <v>#VALUE!</v>
      </c>
      <c r="AM37" s="238" t="e">
        <f t="shared" ca="1" si="11"/>
        <v>#VALUE!</v>
      </c>
      <c r="AN37" s="238" t="e">
        <f t="shared" ca="1" si="12"/>
        <v>#VALUE!</v>
      </c>
      <c r="AO37" s="157"/>
      <c r="AP37" s="237" t="str">
        <f t="shared" ca="1" si="37"/>
        <v>-</v>
      </c>
      <c r="AQ37" s="237" t="str">
        <f t="shared" ca="1" si="38"/>
        <v>-</v>
      </c>
      <c r="AR37" s="237" t="e">
        <f t="shared" ca="1" si="39"/>
        <v>#VALUE!</v>
      </c>
      <c r="AS37" s="237" t="e">
        <f t="shared" ca="1" si="40"/>
        <v>#VALUE!</v>
      </c>
      <c r="AT37" s="237" t="e">
        <f t="shared" ca="1" si="41"/>
        <v>#VALUE!</v>
      </c>
      <c r="AU37" s="246"/>
      <c r="AV37" s="237" t="str">
        <f t="shared" ca="1" si="42"/>
        <v>-</v>
      </c>
      <c r="AW37" s="237" t="str">
        <f t="shared" ca="1" si="43"/>
        <v>-</v>
      </c>
      <c r="AX37" s="237" t="e">
        <f t="shared" ca="1" si="44"/>
        <v>#VALUE!</v>
      </c>
      <c r="AY37" s="237" t="e">
        <f t="shared" ca="1" si="45"/>
        <v>#VALUE!</v>
      </c>
      <c r="AZ37" s="237" t="e">
        <f t="shared" ca="1" si="46"/>
        <v>#VALUE!</v>
      </c>
    </row>
    <row r="38" spans="1:52" s="28" customFormat="1" ht="20.100000000000001" customHeight="1">
      <c r="A38" s="29" t="s">
        <v>84</v>
      </c>
      <c r="C38" s="50"/>
      <c r="D38" s="52" t="str">
        <f ca="1">_xll.DBRA("tango_core_model:legal_organization",A38,Language)</f>
        <v>Europe du Nord</v>
      </c>
      <c r="E38" s="20"/>
      <c r="F38" s="237" t="e">
        <f ca="1">_xll.DBRW($B$3,$B$7,$B$5,$B$4,$B$6,$A38,$B$8,F$4,F$5,F$6)*F$7</f>
        <v>#VALUE!</v>
      </c>
      <c r="G38" s="237" t="e">
        <f ca="1">_xll.DBRW($B$3,$B$7,$B$5,$B$4,$B$6,$A38,$B$8,G$4,G$5,G$6)*G$7</f>
        <v>#VALUE!</v>
      </c>
      <c r="H38" s="237" t="e">
        <f ca="1">_xll.DBRW($B$3,$B$7,$B$5,$B$4,$B$6,$A38,$B$8,H$4,H$5,H$6)*H$7</f>
        <v>#VALUE!</v>
      </c>
      <c r="I38" s="238" t="e">
        <f t="shared" ca="1" si="28"/>
        <v>#VALUE!</v>
      </c>
      <c r="J38" s="238" t="e">
        <f t="shared" ca="1" si="29"/>
        <v>#VALUE!</v>
      </c>
      <c r="K38" s="157"/>
      <c r="L38" s="237" t="e">
        <f ca="1">_xll.DBRW($B$3,$B$7,$L$8,$B$4,$B$6,$A38,$B$8,L$4,L$5,L$6)*L$7</f>
        <v>#VALUE!</v>
      </c>
      <c r="M38" s="237" t="e">
        <f ca="1">_xll.DBRW($B$3,$B$7,$L$8,$B$4,$B$6,$A38,$B$8,M$4,M$5,M$6)*M$7</f>
        <v>#VALUE!</v>
      </c>
      <c r="N38" s="237" t="e">
        <f ca="1">_xll.DBRW($B$3,$B$7,$L$8,$B$4,$B$6,$A38,$B$8,N$4,N$5,N$6)*N$7</f>
        <v>#VALUE!</v>
      </c>
      <c r="O38" s="238" t="e">
        <f t="shared" ca="1" si="30"/>
        <v>#VALUE!</v>
      </c>
      <c r="P38" s="238" t="e">
        <f t="shared" ca="1" si="31"/>
        <v>#VALUE!</v>
      </c>
      <c r="Q38" s="157"/>
      <c r="R38" s="68" t="str">
        <f t="shared" ca="1" si="32"/>
        <v/>
      </c>
      <c r="S38" s="68" t="str">
        <f t="shared" ca="1" si="33"/>
        <v/>
      </c>
      <c r="T38" s="68" t="str">
        <f t="shared" ca="1" si="34"/>
        <v/>
      </c>
      <c r="U38" s="69" t="str">
        <f t="shared" ca="1" si="35"/>
        <v>-</v>
      </c>
      <c r="V38" s="69" t="str">
        <f t="shared" ca="1" si="36"/>
        <v>-</v>
      </c>
      <c r="W38" s="157"/>
      <c r="X38" s="237" t="e">
        <f ca="1">_xll.DBRW($B$3,$B$7,$B$5,$B$4,$B$6,$A38,$B$8,X$4,X$5,X$6)*X$7</f>
        <v>#VALUE!</v>
      </c>
      <c r="Y38" s="237" t="e">
        <f ca="1">_xll.DBRW($B$3,$B$7,$B$5,$B$4,$B$6,$A38,$B$8,Y$4,Y$5,Y$6)*Y$7</f>
        <v>#VALUE!</v>
      </c>
      <c r="Z38" s="237" t="e">
        <f ca="1">_xll.DBRW($B$3,$B$7,$B$5,$B$4,$B$6,$A38,$B$8,Z$4,Z$5,Z$6)*Z$7</f>
        <v>#VALUE!</v>
      </c>
      <c r="AA38" s="238" t="e">
        <f t="shared" ca="1" si="7"/>
        <v>#VALUE!</v>
      </c>
      <c r="AB38" s="238" t="e">
        <f t="shared" ca="1" si="8"/>
        <v>#VALUE!</v>
      </c>
      <c r="AC38" s="157"/>
      <c r="AD38" s="237" t="e">
        <f ca="1">_xll.DBRW($B$3,$B$7,$B$5,$B$4,$B$6,$A38,$B$8,AD$4,AD$5,AD$6)*AD$7</f>
        <v>#VALUE!</v>
      </c>
      <c r="AE38" s="237" t="e">
        <f ca="1">_xll.DBRW($B$3,$B$7,$B$5,$B$4,$B$6,$A38,$B$8,AE$4,AE$5,AE$6)*AE$7</f>
        <v>#VALUE!</v>
      </c>
      <c r="AF38" s="237" t="e">
        <f ca="1">_xll.DBRW($B$3,$B$7,$B$5,$B$4,$B$6,$A38,$B$8,AF$4,AF$5,AF$6)*AF$7</f>
        <v>#VALUE!</v>
      </c>
      <c r="AG38" s="238" t="e">
        <f t="shared" ca="1" si="9"/>
        <v>#VALUE!</v>
      </c>
      <c r="AH38" s="238" t="e">
        <f t="shared" ca="1" si="10"/>
        <v>#VALUE!</v>
      </c>
      <c r="AJ38" s="237" t="e">
        <f ca="1">_xll.DBRW($B$3,$B$7,$B$5,$B$4,$B$6,$A38,$B$8,AJ$4,AJ$5,AJ$6)*AJ$7</f>
        <v>#VALUE!</v>
      </c>
      <c r="AK38" s="237" t="e">
        <f ca="1">_xll.DBRW($B$3,$B$7,$B$5,$B$4,$B$6,$A38,$B$8,AK$4,AK$5,AK$6)*AK$7</f>
        <v>#VALUE!</v>
      </c>
      <c r="AL38" s="237" t="e">
        <f ca="1">_xll.DBRW($B$3,$B$7,$B$5,$B$4,$B$6,$A38,$B$8,AL$4,AL$5,AL$6)*AL$7</f>
        <v>#VALUE!</v>
      </c>
      <c r="AM38" s="238" t="e">
        <f t="shared" ca="1" si="11"/>
        <v>#VALUE!</v>
      </c>
      <c r="AN38" s="238" t="e">
        <f t="shared" ca="1" si="12"/>
        <v>#VALUE!</v>
      </c>
      <c r="AO38" s="157"/>
      <c r="AP38" s="237" t="str">
        <f t="shared" ca="1" si="37"/>
        <v>-</v>
      </c>
      <c r="AQ38" s="237" t="str">
        <f t="shared" ca="1" si="38"/>
        <v>-</v>
      </c>
      <c r="AR38" s="237" t="e">
        <f t="shared" ca="1" si="39"/>
        <v>#VALUE!</v>
      </c>
      <c r="AS38" s="237" t="e">
        <f t="shared" ca="1" si="40"/>
        <v>#VALUE!</v>
      </c>
      <c r="AT38" s="237" t="e">
        <f t="shared" ca="1" si="41"/>
        <v>#VALUE!</v>
      </c>
      <c r="AU38" s="246"/>
      <c r="AV38" s="237" t="str">
        <f t="shared" ca="1" si="42"/>
        <v>-</v>
      </c>
      <c r="AW38" s="237" t="str">
        <f t="shared" ca="1" si="43"/>
        <v>-</v>
      </c>
      <c r="AX38" s="237" t="e">
        <f t="shared" ca="1" si="44"/>
        <v>#VALUE!</v>
      </c>
      <c r="AY38" s="237" t="e">
        <f t="shared" ca="1" si="45"/>
        <v>#VALUE!</v>
      </c>
      <c r="AZ38" s="237" t="e">
        <f t="shared" ca="1" si="46"/>
        <v>#VALUE!</v>
      </c>
    </row>
    <row r="39" spans="1:52" s="51" customFormat="1" ht="15" customHeight="1">
      <c r="A39" s="29" t="s">
        <v>42</v>
      </c>
      <c r="C39" s="50"/>
      <c r="D39" s="54" t="str">
        <f ca="1">_xll.DBRA("tango_core_model:legal_organization",A39,Language)</f>
        <v>Finlande</v>
      </c>
      <c r="E39" s="1"/>
      <c r="F39" s="88" t="e">
        <f ca="1">_xll.DBRW($B$3,$B$7,$B$5,$B$4,$B$6,$A39,$B$8,F$4,F$5,F$6)*F$7</f>
        <v>#VALUE!</v>
      </c>
      <c r="G39" s="88" t="e">
        <f ca="1">_xll.DBRW($B$3,$B$7,$B$5,$B$4,$B$6,$A39,$B$8,G$4,G$5,G$6)*G$7</f>
        <v>#VALUE!</v>
      </c>
      <c r="H39" s="88" t="e">
        <f ca="1">_xll.DBRW($B$3,$B$7,$B$5,$B$4,$B$6,$A39,$B$8,H$4,H$5,H$6)*H$7</f>
        <v>#VALUE!</v>
      </c>
      <c r="I39" s="88" t="e">
        <f t="shared" ca="1" si="28"/>
        <v>#VALUE!</v>
      </c>
      <c r="J39" s="88" t="e">
        <f t="shared" ca="1" si="29"/>
        <v>#VALUE!</v>
      </c>
      <c r="K39" s="241"/>
      <c r="L39" s="88" t="e">
        <f ca="1">_xll.DBRW($B$3,$B$7,$L$8,$B$4,$B$6,$A39,$B$8,L$4,L$5,L$6)*L$7</f>
        <v>#VALUE!</v>
      </c>
      <c r="M39" s="88" t="e">
        <f ca="1">_xll.DBRW($B$3,$B$7,$L$8,$B$4,$B$6,$A39,$B$8,M$4,M$5,M$6)*M$7</f>
        <v>#VALUE!</v>
      </c>
      <c r="N39" s="88" t="e">
        <f ca="1">_xll.DBRW($B$3,$B$7,$L$8,$B$4,$B$6,$A39,$B$8,N$4,N$5,N$6)*N$7</f>
        <v>#VALUE!</v>
      </c>
      <c r="O39" s="88" t="e">
        <f t="shared" ca="1" si="30"/>
        <v>#VALUE!</v>
      </c>
      <c r="P39" s="88" t="e">
        <f t="shared" ca="1" si="31"/>
        <v>#VALUE!</v>
      </c>
      <c r="Q39" s="241"/>
      <c r="R39" s="72" t="str">
        <f t="shared" ca="1" si="32"/>
        <v/>
      </c>
      <c r="S39" s="72" t="str">
        <f t="shared" ca="1" si="33"/>
        <v/>
      </c>
      <c r="T39" s="72" t="str">
        <f t="shared" ca="1" si="34"/>
        <v/>
      </c>
      <c r="U39" s="72" t="str">
        <f t="shared" ca="1" si="35"/>
        <v>-</v>
      </c>
      <c r="V39" s="72" t="str">
        <f t="shared" ca="1" si="36"/>
        <v>-</v>
      </c>
      <c r="W39" s="241"/>
      <c r="X39" s="88" t="e">
        <f ca="1">_xll.DBRW($B$3,$B$7,$B$5,$B$4,$B$6,$A39,$B$8,X$4,X$5,X$6)*X$7</f>
        <v>#VALUE!</v>
      </c>
      <c r="Y39" s="88" t="e">
        <f ca="1">_xll.DBRW($B$3,$B$7,$B$5,$B$4,$B$6,$A39,$B$8,Y$4,Y$5,Y$6)*Y$7</f>
        <v>#VALUE!</v>
      </c>
      <c r="Z39" s="88" t="e">
        <f ca="1">_xll.DBRW($B$3,$B$7,$B$5,$B$4,$B$6,$A39,$B$8,Z$4,Z$5,Z$6)*Z$7</f>
        <v>#VALUE!</v>
      </c>
      <c r="AA39" s="88" t="e">
        <f t="shared" ca="1" si="7"/>
        <v>#VALUE!</v>
      </c>
      <c r="AB39" s="88" t="e">
        <f t="shared" ca="1" si="8"/>
        <v>#VALUE!</v>
      </c>
      <c r="AC39" s="241"/>
      <c r="AD39" s="88" t="e">
        <f ca="1">_xll.DBRW($B$3,$B$7,$B$5,$B$4,$B$6,$A39,$B$8,AD$4,AD$5,AD$6)*AD$7</f>
        <v>#VALUE!</v>
      </c>
      <c r="AE39" s="88" t="e">
        <f ca="1">_xll.DBRW($B$3,$B$7,$B$5,$B$4,$B$6,$A39,$B$8,AE$4,AE$5,AE$6)*AE$7</f>
        <v>#VALUE!</v>
      </c>
      <c r="AF39" s="88" t="e">
        <f ca="1">_xll.DBRW($B$3,$B$7,$B$5,$B$4,$B$6,$A39,$B$8,AF$4,AF$5,AF$6)*AF$7</f>
        <v>#VALUE!</v>
      </c>
      <c r="AG39" s="88" t="e">
        <f t="shared" ca="1" si="9"/>
        <v>#VALUE!</v>
      </c>
      <c r="AH39" s="88" t="e">
        <f t="shared" ca="1" si="10"/>
        <v>#VALUE!</v>
      </c>
      <c r="AJ39" s="88" t="e">
        <f ca="1">_xll.DBRW($B$3,$B$7,$B$5,$B$4,$B$6,$A39,$B$8,AJ$4,AJ$5,AJ$6)*AJ$7</f>
        <v>#VALUE!</v>
      </c>
      <c r="AK39" s="88" t="e">
        <f ca="1">_xll.DBRW($B$3,$B$7,$B$5,$B$4,$B$6,$A39,$B$8,AK$4,AK$5,AK$6)*AK$7</f>
        <v>#VALUE!</v>
      </c>
      <c r="AL39" s="88" t="e">
        <f ca="1">_xll.DBRW($B$3,$B$7,$B$5,$B$4,$B$6,$A39,$B$8,AL$4,AL$5,AL$6)*AL$7</f>
        <v>#VALUE!</v>
      </c>
      <c r="AM39" s="88" t="e">
        <f t="shared" ca="1" si="11"/>
        <v>#VALUE!</v>
      </c>
      <c r="AN39" s="88" t="e">
        <f t="shared" ca="1" si="12"/>
        <v>#VALUE!</v>
      </c>
      <c r="AO39" s="241"/>
      <c r="AP39" s="88" t="str">
        <f t="shared" ca="1" si="37"/>
        <v>-</v>
      </c>
      <c r="AQ39" s="88" t="str">
        <f t="shared" ca="1" si="38"/>
        <v>-</v>
      </c>
      <c r="AR39" s="88" t="e">
        <f t="shared" ca="1" si="39"/>
        <v>#VALUE!</v>
      </c>
      <c r="AS39" s="88" t="e">
        <f t="shared" ca="1" si="40"/>
        <v>#VALUE!</v>
      </c>
      <c r="AT39" s="88" t="e">
        <f t="shared" ca="1" si="41"/>
        <v>#VALUE!</v>
      </c>
      <c r="AU39" s="247"/>
      <c r="AV39" s="88" t="str">
        <f t="shared" ca="1" si="42"/>
        <v>-</v>
      </c>
      <c r="AW39" s="88" t="str">
        <f t="shared" ca="1" si="43"/>
        <v>-</v>
      </c>
      <c r="AX39" s="88" t="e">
        <f t="shared" ca="1" si="44"/>
        <v>#VALUE!</v>
      </c>
      <c r="AY39" s="88" t="e">
        <f t="shared" ca="1" si="45"/>
        <v>#VALUE!</v>
      </c>
      <c r="AZ39" s="88" t="e">
        <f t="shared" ca="1" si="46"/>
        <v>#VALUE!</v>
      </c>
    </row>
    <row r="40" spans="1:52" s="51" customFormat="1" ht="15" customHeight="1">
      <c r="A40" s="29" t="s">
        <v>43</v>
      </c>
      <c r="C40" s="50"/>
      <c r="D40" s="54" t="str">
        <f ca="1">_xll.DBRA("tango_core_model:legal_organization",A40,Language)</f>
        <v>Suède</v>
      </c>
      <c r="E40" s="1"/>
      <c r="F40" s="88" t="e">
        <f ca="1">_xll.DBRW($B$3,$B$7,$B$5,$B$4,$B$6,$A40,$B$8,F$4,F$5,F$6)*F$7</f>
        <v>#VALUE!</v>
      </c>
      <c r="G40" s="88" t="e">
        <f ca="1">_xll.DBRW($B$3,$B$7,$B$5,$B$4,$B$6,$A40,$B$8,G$4,G$5,G$6)*G$7</f>
        <v>#VALUE!</v>
      </c>
      <c r="H40" s="88" t="e">
        <f ca="1">_xll.DBRW($B$3,$B$7,$B$5,$B$4,$B$6,$A40,$B$8,H$4,H$5,H$6)*H$7</f>
        <v>#VALUE!</v>
      </c>
      <c r="I40" s="88" t="e">
        <f t="shared" ca="1" si="28"/>
        <v>#VALUE!</v>
      </c>
      <c r="J40" s="88" t="e">
        <f t="shared" ca="1" si="29"/>
        <v>#VALUE!</v>
      </c>
      <c r="K40" s="241"/>
      <c r="L40" s="88" t="e">
        <f ca="1">_xll.DBRW($B$3,$B$7,$L$8,$B$4,$B$6,$A40,$B$8,L$4,L$5,L$6)*L$7</f>
        <v>#VALUE!</v>
      </c>
      <c r="M40" s="88" t="e">
        <f ca="1">_xll.DBRW($B$3,$B$7,$L$8,$B$4,$B$6,$A40,$B$8,M$4,M$5,M$6)*M$7</f>
        <v>#VALUE!</v>
      </c>
      <c r="N40" s="88" t="e">
        <f ca="1">_xll.DBRW($B$3,$B$7,$L$8,$B$4,$B$6,$A40,$B$8,N$4,N$5,N$6)*N$7</f>
        <v>#VALUE!</v>
      </c>
      <c r="O40" s="88" t="e">
        <f t="shared" ca="1" si="30"/>
        <v>#VALUE!</v>
      </c>
      <c r="P40" s="88" t="e">
        <f t="shared" ca="1" si="31"/>
        <v>#VALUE!</v>
      </c>
      <c r="Q40" s="241"/>
      <c r="R40" s="72" t="str">
        <f t="shared" ca="1" si="32"/>
        <v/>
      </c>
      <c r="S40" s="72" t="str">
        <f t="shared" ca="1" si="33"/>
        <v/>
      </c>
      <c r="T40" s="72" t="str">
        <f t="shared" ca="1" si="34"/>
        <v/>
      </c>
      <c r="U40" s="72" t="str">
        <f t="shared" ca="1" si="35"/>
        <v>-</v>
      </c>
      <c r="V40" s="72" t="str">
        <f t="shared" ca="1" si="36"/>
        <v>-</v>
      </c>
      <c r="W40" s="241"/>
      <c r="X40" s="88" t="e">
        <f ca="1">_xll.DBRW($B$3,$B$7,$B$5,$B$4,$B$6,$A40,$B$8,X$4,X$5,X$6)*X$7</f>
        <v>#VALUE!</v>
      </c>
      <c r="Y40" s="88" t="e">
        <f ca="1">_xll.DBRW($B$3,$B$7,$B$5,$B$4,$B$6,$A40,$B$8,Y$4,Y$5,Y$6)*Y$7</f>
        <v>#VALUE!</v>
      </c>
      <c r="Z40" s="88" t="e">
        <f ca="1">_xll.DBRW($B$3,$B$7,$B$5,$B$4,$B$6,$A40,$B$8,Z$4,Z$5,Z$6)*Z$7</f>
        <v>#VALUE!</v>
      </c>
      <c r="AA40" s="88" t="e">
        <f t="shared" ca="1" si="7"/>
        <v>#VALUE!</v>
      </c>
      <c r="AB40" s="88" t="e">
        <f t="shared" ca="1" si="8"/>
        <v>#VALUE!</v>
      </c>
      <c r="AC40" s="241"/>
      <c r="AD40" s="88" t="e">
        <f ca="1">_xll.DBRW($B$3,$B$7,$B$5,$B$4,$B$6,$A40,$B$8,AD$4,AD$5,AD$6)*AD$7</f>
        <v>#VALUE!</v>
      </c>
      <c r="AE40" s="88" t="e">
        <f ca="1">_xll.DBRW($B$3,$B$7,$B$5,$B$4,$B$6,$A40,$B$8,AE$4,AE$5,AE$6)*AE$7</f>
        <v>#VALUE!</v>
      </c>
      <c r="AF40" s="88" t="e">
        <f ca="1">_xll.DBRW($B$3,$B$7,$B$5,$B$4,$B$6,$A40,$B$8,AF$4,AF$5,AF$6)*AF$7</f>
        <v>#VALUE!</v>
      </c>
      <c r="AG40" s="88" t="e">
        <f t="shared" ca="1" si="9"/>
        <v>#VALUE!</v>
      </c>
      <c r="AH40" s="88" t="e">
        <f t="shared" ca="1" si="10"/>
        <v>#VALUE!</v>
      </c>
      <c r="AJ40" s="88" t="e">
        <f ca="1">_xll.DBRW($B$3,$B$7,$B$5,$B$4,$B$6,$A40,$B$8,AJ$4,AJ$5,AJ$6)*AJ$7</f>
        <v>#VALUE!</v>
      </c>
      <c r="AK40" s="88" t="e">
        <f ca="1">_xll.DBRW($B$3,$B$7,$B$5,$B$4,$B$6,$A40,$B$8,AK$4,AK$5,AK$6)*AK$7</f>
        <v>#VALUE!</v>
      </c>
      <c r="AL40" s="88" t="e">
        <f ca="1">_xll.DBRW($B$3,$B$7,$B$5,$B$4,$B$6,$A40,$B$8,AL$4,AL$5,AL$6)*AL$7</f>
        <v>#VALUE!</v>
      </c>
      <c r="AM40" s="88" t="e">
        <f t="shared" ca="1" si="11"/>
        <v>#VALUE!</v>
      </c>
      <c r="AN40" s="88" t="e">
        <f t="shared" ca="1" si="12"/>
        <v>#VALUE!</v>
      </c>
      <c r="AO40" s="241"/>
      <c r="AP40" s="88" t="str">
        <f t="shared" ca="1" si="37"/>
        <v>-</v>
      </c>
      <c r="AQ40" s="88" t="str">
        <f t="shared" ca="1" si="38"/>
        <v>-</v>
      </c>
      <c r="AR40" s="88" t="e">
        <f t="shared" ca="1" si="39"/>
        <v>#VALUE!</v>
      </c>
      <c r="AS40" s="88" t="e">
        <f t="shared" ca="1" si="40"/>
        <v>#VALUE!</v>
      </c>
      <c r="AT40" s="88" t="e">
        <f t="shared" ca="1" si="41"/>
        <v>#VALUE!</v>
      </c>
      <c r="AU40" s="247"/>
      <c r="AV40" s="88" t="str">
        <f t="shared" ca="1" si="42"/>
        <v>-</v>
      </c>
      <c r="AW40" s="88" t="str">
        <f t="shared" ca="1" si="43"/>
        <v>-</v>
      </c>
      <c r="AX40" s="88" t="e">
        <f t="shared" ca="1" si="44"/>
        <v>#VALUE!</v>
      </c>
      <c r="AY40" s="88" t="e">
        <f t="shared" ca="1" si="45"/>
        <v>#VALUE!</v>
      </c>
      <c r="AZ40" s="88" t="e">
        <f t="shared" ca="1" si="46"/>
        <v>#VALUE!</v>
      </c>
    </row>
    <row r="41" spans="1:52" s="28" customFormat="1" ht="20.100000000000001" customHeight="1">
      <c r="A41" s="29" t="s">
        <v>85</v>
      </c>
      <c r="C41" s="50"/>
      <c r="D41" s="52" t="str">
        <f ca="1">_xll.DBRA("tango_core_model:legal_organization",A41,Language)</f>
        <v>Asie</v>
      </c>
      <c r="E41" s="20"/>
      <c r="F41" s="237" t="e">
        <f ca="1">_xll.DBRW($B$3,$B$7,$B$5,$B$4,$B$6,$A41,$B$8,F$4,F$5,F$6)*F$7</f>
        <v>#VALUE!</v>
      </c>
      <c r="G41" s="237" t="e">
        <f ca="1">_xll.DBRW($B$3,$B$7,$B$5,$B$4,$B$6,$A41,$B$8,G$4,G$5,G$6)*G$7</f>
        <v>#VALUE!</v>
      </c>
      <c r="H41" s="237" t="e">
        <f ca="1">_xll.DBRW($B$3,$B$7,$B$5,$B$4,$B$6,$A41,$B$8,H$4,H$5,H$6)*H$7</f>
        <v>#VALUE!</v>
      </c>
      <c r="I41" s="238" t="e">
        <f t="shared" ca="1" si="28"/>
        <v>#VALUE!</v>
      </c>
      <c r="J41" s="238" t="e">
        <f t="shared" ca="1" si="29"/>
        <v>#VALUE!</v>
      </c>
      <c r="K41" s="157"/>
      <c r="L41" s="237" t="e">
        <f ca="1">_xll.DBRW($B$3,$B$7,$L$8,$B$4,$B$6,$A41,$B$8,L$4,L$5,L$6)*L$7</f>
        <v>#VALUE!</v>
      </c>
      <c r="M41" s="237" t="e">
        <f ca="1">_xll.DBRW($B$3,$B$7,$L$8,$B$4,$B$6,$A41,$B$8,M$4,M$5,M$6)*M$7</f>
        <v>#VALUE!</v>
      </c>
      <c r="N41" s="237" t="e">
        <f ca="1">_xll.DBRW($B$3,$B$7,$L$8,$B$4,$B$6,$A41,$B$8,N$4,N$5,N$6)*N$7</f>
        <v>#VALUE!</v>
      </c>
      <c r="O41" s="238" t="e">
        <f t="shared" ca="1" si="30"/>
        <v>#VALUE!</v>
      </c>
      <c r="P41" s="238" t="e">
        <f t="shared" ca="1" si="31"/>
        <v>#VALUE!</v>
      </c>
      <c r="Q41" s="157"/>
      <c r="R41" s="68" t="str">
        <f t="shared" ca="1" si="32"/>
        <v/>
      </c>
      <c r="S41" s="68" t="str">
        <f t="shared" ca="1" si="33"/>
        <v/>
      </c>
      <c r="T41" s="68" t="str">
        <f t="shared" ca="1" si="34"/>
        <v/>
      </c>
      <c r="U41" s="69" t="str">
        <f t="shared" ca="1" si="35"/>
        <v>-</v>
      </c>
      <c r="V41" s="69" t="str">
        <f t="shared" ca="1" si="36"/>
        <v>-</v>
      </c>
      <c r="W41" s="157"/>
      <c r="X41" s="237" t="e">
        <f ca="1">_xll.DBRW($B$3,$B$7,$B$5,$B$4,$B$6,$A41,$B$8,X$4,X$5,X$6)*X$7</f>
        <v>#VALUE!</v>
      </c>
      <c r="Y41" s="237" t="e">
        <f ca="1">_xll.DBRW($B$3,$B$7,$B$5,$B$4,$B$6,$A41,$B$8,Y$4,Y$5,Y$6)*Y$7</f>
        <v>#VALUE!</v>
      </c>
      <c r="Z41" s="237" t="e">
        <f ca="1">_xll.DBRW($B$3,$B$7,$B$5,$B$4,$B$6,$A41,$B$8,Z$4,Z$5,Z$6)*Z$7</f>
        <v>#VALUE!</v>
      </c>
      <c r="AA41" s="238" t="e">
        <f t="shared" ca="1" si="7"/>
        <v>#VALUE!</v>
      </c>
      <c r="AB41" s="238" t="e">
        <f t="shared" ca="1" si="8"/>
        <v>#VALUE!</v>
      </c>
      <c r="AC41" s="157"/>
      <c r="AD41" s="237" t="e">
        <f ca="1">_xll.DBRW($B$3,$B$7,$B$5,$B$4,$B$6,$A41,$B$8,AD$4,AD$5,AD$6)*AD$7</f>
        <v>#VALUE!</v>
      </c>
      <c r="AE41" s="237" t="e">
        <f ca="1">_xll.DBRW($B$3,$B$7,$B$5,$B$4,$B$6,$A41,$B$8,AE$4,AE$5,AE$6)*AE$7</f>
        <v>#VALUE!</v>
      </c>
      <c r="AF41" s="237" t="e">
        <f ca="1">_xll.DBRW($B$3,$B$7,$B$5,$B$4,$B$6,$A41,$B$8,AF$4,AF$5,AF$6)*AF$7</f>
        <v>#VALUE!</v>
      </c>
      <c r="AG41" s="238" t="e">
        <f t="shared" ca="1" si="9"/>
        <v>#VALUE!</v>
      </c>
      <c r="AH41" s="238" t="e">
        <f t="shared" ca="1" si="10"/>
        <v>#VALUE!</v>
      </c>
      <c r="AJ41" s="237" t="e">
        <f ca="1">_xll.DBRW($B$3,$B$7,$B$5,$B$4,$B$6,$A41,$B$8,AJ$4,AJ$5,AJ$6)*AJ$7</f>
        <v>#VALUE!</v>
      </c>
      <c r="AK41" s="237" t="e">
        <f ca="1">_xll.DBRW($B$3,$B$7,$B$5,$B$4,$B$6,$A41,$B$8,AK$4,AK$5,AK$6)*AK$7</f>
        <v>#VALUE!</v>
      </c>
      <c r="AL41" s="237" t="e">
        <f ca="1">_xll.DBRW($B$3,$B$7,$B$5,$B$4,$B$6,$A41,$B$8,AL$4,AL$5,AL$6)*AL$7</f>
        <v>#VALUE!</v>
      </c>
      <c r="AM41" s="238" t="e">
        <f t="shared" ca="1" si="11"/>
        <v>#VALUE!</v>
      </c>
      <c r="AN41" s="238" t="e">
        <f t="shared" ca="1" si="12"/>
        <v>#VALUE!</v>
      </c>
      <c r="AO41" s="157"/>
      <c r="AP41" s="237" t="str">
        <f t="shared" ca="1" si="37"/>
        <v>-</v>
      </c>
      <c r="AQ41" s="237" t="str">
        <f t="shared" ca="1" si="38"/>
        <v>-</v>
      </c>
      <c r="AR41" s="237" t="e">
        <f t="shared" ca="1" si="39"/>
        <v>#VALUE!</v>
      </c>
      <c r="AS41" s="237" t="e">
        <f t="shared" ca="1" si="40"/>
        <v>#VALUE!</v>
      </c>
      <c r="AT41" s="237" t="e">
        <f t="shared" ca="1" si="41"/>
        <v>#VALUE!</v>
      </c>
      <c r="AU41" s="246"/>
      <c r="AV41" s="237" t="str">
        <f t="shared" ca="1" si="42"/>
        <v>-</v>
      </c>
      <c r="AW41" s="237" t="str">
        <f t="shared" ca="1" si="43"/>
        <v>-</v>
      </c>
      <c r="AX41" s="237" t="e">
        <f t="shared" ca="1" si="44"/>
        <v>#VALUE!</v>
      </c>
      <c r="AY41" s="237" t="e">
        <f t="shared" ca="1" si="45"/>
        <v>#VALUE!</v>
      </c>
      <c r="AZ41" s="237" t="e">
        <f t="shared" ca="1" si="46"/>
        <v>#VALUE!</v>
      </c>
    </row>
    <row r="42" spans="1:52" s="51" customFormat="1" ht="15" customHeight="1">
      <c r="A42" s="29" t="s">
        <v>86</v>
      </c>
      <c r="C42" s="50"/>
      <c r="D42" s="54" t="str">
        <f ca="1">_xll.DBRA("tango_core_model:legal_organization",A42,Language)</f>
        <v>Corporate Asie</v>
      </c>
      <c r="E42" s="1"/>
      <c r="F42" s="88" t="e">
        <f ca="1">_xll.DBRW($B$3,$B$7,$B$5,$B$4,$B$6,$A42,$B$8,F$4,F$5,F$6)*F$7</f>
        <v>#VALUE!</v>
      </c>
      <c r="G42" s="88" t="e">
        <f ca="1">_xll.DBRW($B$3,$B$7,$B$5,$B$4,$B$6,$A42,$B$8,G$4,G$5,G$6)*G$7</f>
        <v>#VALUE!</v>
      </c>
      <c r="H42" s="88" t="e">
        <f ca="1">_xll.DBRW($B$3,$B$7,$B$5,$B$4,$B$6,$A42,$B$8,H$4,H$5,H$6)*H$7</f>
        <v>#VALUE!</v>
      </c>
      <c r="I42" s="88" t="e">
        <f t="shared" ca="1" si="28"/>
        <v>#VALUE!</v>
      </c>
      <c r="J42" s="88" t="e">
        <f t="shared" ca="1" si="29"/>
        <v>#VALUE!</v>
      </c>
      <c r="K42" s="241"/>
      <c r="L42" s="88" t="e">
        <f ca="1">_xll.DBRW($B$3,$B$7,$L$8,$B$4,$B$6,$A42,$B$8,L$4,L$5,L$6)*L$7</f>
        <v>#VALUE!</v>
      </c>
      <c r="M42" s="88" t="e">
        <f ca="1">_xll.DBRW($B$3,$B$7,$L$8,$B$4,$B$6,$A42,$B$8,M$4,M$5,M$6)*M$7</f>
        <v>#VALUE!</v>
      </c>
      <c r="N42" s="88" t="e">
        <f ca="1">_xll.DBRW($B$3,$B$7,$L$8,$B$4,$B$6,$A42,$B$8,N$4,N$5,N$6)*N$7</f>
        <v>#VALUE!</v>
      </c>
      <c r="O42" s="88" t="e">
        <f t="shared" ca="1" si="30"/>
        <v>#VALUE!</v>
      </c>
      <c r="P42" s="88" t="e">
        <f t="shared" ca="1" si="31"/>
        <v>#VALUE!</v>
      </c>
      <c r="Q42" s="241"/>
      <c r="R42" s="72" t="str">
        <f t="shared" ca="1" si="32"/>
        <v/>
      </c>
      <c r="S42" s="72" t="str">
        <f t="shared" ca="1" si="33"/>
        <v/>
      </c>
      <c r="T42" s="72" t="str">
        <f t="shared" ca="1" si="34"/>
        <v/>
      </c>
      <c r="U42" s="72" t="str">
        <f t="shared" ca="1" si="35"/>
        <v>-</v>
      </c>
      <c r="V42" s="72" t="str">
        <f t="shared" ca="1" si="36"/>
        <v>-</v>
      </c>
      <c r="W42" s="241"/>
      <c r="X42" s="88" t="e">
        <f ca="1">_xll.DBRW($B$3,$B$7,$B$5,$B$4,$B$6,$A42,$B$8,X$4,X$5,X$6)*X$7</f>
        <v>#VALUE!</v>
      </c>
      <c r="Y42" s="88" t="e">
        <f ca="1">_xll.DBRW($B$3,$B$7,$B$5,$B$4,$B$6,$A42,$B$8,Y$4,Y$5,Y$6)*Y$7</f>
        <v>#VALUE!</v>
      </c>
      <c r="Z42" s="88" t="e">
        <f ca="1">_xll.DBRW($B$3,$B$7,$B$5,$B$4,$B$6,$A42,$B$8,Z$4,Z$5,Z$6)*Z$7</f>
        <v>#VALUE!</v>
      </c>
      <c r="AA42" s="88" t="e">
        <f t="shared" ca="1" si="7"/>
        <v>#VALUE!</v>
      </c>
      <c r="AB42" s="88" t="e">
        <f t="shared" ca="1" si="8"/>
        <v>#VALUE!</v>
      </c>
      <c r="AC42" s="241"/>
      <c r="AD42" s="88" t="e">
        <f ca="1">_xll.DBRW($B$3,$B$7,$B$5,$B$4,$B$6,$A42,$B$8,AD$4,AD$5,AD$6)*AD$7</f>
        <v>#VALUE!</v>
      </c>
      <c r="AE42" s="88" t="e">
        <f ca="1">_xll.DBRW($B$3,$B$7,$B$5,$B$4,$B$6,$A42,$B$8,AE$4,AE$5,AE$6)*AE$7</f>
        <v>#VALUE!</v>
      </c>
      <c r="AF42" s="88" t="e">
        <f ca="1">_xll.DBRW($B$3,$B$7,$B$5,$B$4,$B$6,$A42,$B$8,AF$4,AF$5,AF$6)*AF$7</f>
        <v>#VALUE!</v>
      </c>
      <c r="AG42" s="88" t="e">
        <f t="shared" ca="1" si="9"/>
        <v>#VALUE!</v>
      </c>
      <c r="AH42" s="88" t="e">
        <f t="shared" ca="1" si="10"/>
        <v>#VALUE!</v>
      </c>
      <c r="AJ42" s="88" t="e">
        <f ca="1">_xll.DBRW($B$3,$B$7,$B$5,$B$4,$B$6,$A42,$B$8,AJ$4,AJ$5,AJ$6)*AJ$7</f>
        <v>#VALUE!</v>
      </c>
      <c r="AK42" s="88" t="e">
        <f ca="1">_xll.DBRW($B$3,$B$7,$B$5,$B$4,$B$6,$A42,$B$8,AK$4,AK$5,AK$6)*AK$7</f>
        <v>#VALUE!</v>
      </c>
      <c r="AL42" s="88" t="e">
        <f ca="1">_xll.DBRW($B$3,$B$7,$B$5,$B$4,$B$6,$A42,$B$8,AL$4,AL$5,AL$6)*AL$7</f>
        <v>#VALUE!</v>
      </c>
      <c r="AM42" s="88" t="e">
        <f t="shared" ca="1" si="11"/>
        <v>#VALUE!</v>
      </c>
      <c r="AN42" s="88" t="e">
        <f t="shared" ca="1" si="12"/>
        <v>#VALUE!</v>
      </c>
      <c r="AO42" s="241"/>
      <c r="AP42" s="88" t="str">
        <f t="shared" ca="1" si="37"/>
        <v>-</v>
      </c>
      <c r="AQ42" s="88" t="str">
        <f t="shared" ca="1" si="38"/>
        <v>-</v>
      </c>
      <c r="AR42" s="88" t="e">
        <f t="shared" ca="1" si="39"/>
        <v>#VALUE!</v>
      </c>
      <c r="AS42" s="88" t="e">
        <f t="shared" ca="1" si="40"/>
        <v>#VALUE!</v>
      </c>
      <c r="AT42" s="88" t="e">
        <f t="shared" ca="1" si="41"/>
        <v>#VALUE!</v>
      </c>
      <c r="AU42" s="247"/>
      <c r="AV42" s="88" t="str">
        <f t="shared" ca="1" si="42"/>
        <v>-</v>
      </c>
      <c r="AW42" s="88" t="str">
        <f t="shared" ca="1" si="43"/>
        <v>-</v>
      </c>
      <c r="AX42" s="88" t="e">
        <f t="shared" ca="1" si="44"/>
        <v>#VALUE!</v>
      </c>
      <c r="AY42" s="88" t="e">
        <f t="shared" ca="1" si="45"/>
        <v>#VALUE!</v>
      </c>
      <c r="AZ42" s="88" t="e">
        <f t="shared" ca="1" si="46"/>
        <v>#VALUE!</v>
      </c>
    </row>
    <row r="43" spans="1:52" s="51" customFormat="1" ht="15" customHeight="1">
      <c r="A43" s="29" t="s">
        <v>87</v>
      </c>
      <c r="C43" s="50"/>
      <c r="D43" s="54" t="str">
        <f ca="1">_xll.DBRA("tango_core_model:legal_organization",A43,Language)</f>
        <v>Chine</v>
      </c>
      <c r="E43" s="1"/>
      <c r="F43" s="88" t="e">
        <f ca="1">_xll.DBRW($B$3,$B$7,$B$5,$B$4,$B$6,$A43,$B$8,F$4,F$5,F$6)*F$7</f>
        <v>#VALUE!</v>
      </c>
      <c r="G43" s="88" t="e">
        <f ca="1">_xll.DBRW($B$3,$B$7,$B$5,$B$4,$B$6,$A43,$B$8,G$4,G$5,G$6)*G$7</f>
        <v>#VALUE!</v>
      </c>
      <c r="H43" s="88" t="e">
        <f ca="1">_xll.DBRW($B$3,$B$7,$B$5,$B$4,$B$6,$A43,$B$8,H$4,H$5,H$6)*H$7</f>
        <v>#VALUE!</v>
      </c>
      <c r="I43" s="88" t="e">
        <f t="shared" ca="1" si="28"/>
        <v>#VALUE!</v>
      </c>
      <c r="J43" s="88" t="e">
        <f t="shared" ca="1" si="29"/>
        <v>#VALUE!</v>
      </c>
      <c r="K43" s="241"/>
      <c r="L43" s="88" t="e">
        <f ca="1">_xll.DBRW($B$3,$B$7,$L$8,$B$4,$B$6,$A43,$B$8,L$4,L$5,L$6)*L$7</f>
        <v>#VALUE!</v>
      </c>
      <c r="M43" s="88" t="e">
        <f ca="1">_xll.DBRW($B$3,$B$7,$L$8,$B$4,$B$6,$A43,$B$8,M$4,M$5,M$6)*M$7</f>
        <v>#VALUE!</v>
      </c>
      <c r="N43" s="88" t="e">
        <f ca="1">_xll.DBRW($B$3,$B$7,$L$8,$B$4,$B$6,$A43,$B$8,N$4,N$5,N$6)*N$7</f>
        <v>#VALUE!</v>
      </c>
      <c r="O43" s="88" t="e">
        <f t="shared" ca="1" si="30"/>
        <v>#VALUE!</v>
      </c>
      <c r="P43" s="88" t="e">
        <f t="shared" ca="1" si="31"/>
        <v>#VALUE!</v>
      </c>
      <c r="Q43" s="241"/>
      <c r="R43" s="72" t="str">
        <f t="shared" ca="1" si="32"/>
        <v/>
      </c>
      <c r="S43" s="72" t="str">
        <f t="shared" ca="1" si="33"/>
        <v/>
      </c>
      <c r="T43" s="72" t="str">
        <f t="shared" ca="1" si="34"/>
        <v/>
      </c>
      <c r="U43" s="72" t="str">
        <f t="shared" ca="1" si="35"/>
        <v>-</v>
      </c>
      <c r="V43" s="72" t="str">
        <f t="shared" ca="1" si="36"/>
        <v>-</v>
      </c>
      <c r="W43" s="241"/>
      <c r="X43" s="88" t="e">
        <f ca="1">_xll.DBRW($B$3,$B$7,$B$5,$B$4,$B$6,$A43,$B$8,X$4,X$5,X$6)*X$7</f>
        <v>#VALUE!</v>
      </c>
      <c r="Y43" s="88" t="e">
        <f ca="1">_xll.DBRW($B$3,$B$7,$B$5,$B$4,$B$6,$A43,$B$8,Y$4,Y$5,Y$6)*Y$7</f>
        <v>#VALUE!</v>
      </c>
      <c r="Z43" s="88" t="e">
        <f ca="1">_xll.DBRW($B$3,$B$7,$B$5,$B$4,$B$6,$A43,$B$8,Z$4,Z$5,Z$6)*Z$7</f>
        <v>#VALUE!</v>
      </c>
      <c r="AA43" s="88" t="e">
        <f t="shared" ca="1" si="7"/>
        <v>#VALUE!</v>
      </c>
      <c r="AB43" s="88" t="e">
        <f t="shared" ca="1" si="8"/>
        <v>#VALUE!</v>
      </c>
      <c r="AC43" s="241"/>
      <c r="AD43" s="88" t="e">
        <f ca="1">_xll.DBRW($B$3,$B$7,$B$5,$B$4,$B$6,$A43,$B$8,AD$4,AD$5,AD$6)*AD$7</f>
        <v>#VALUE!</v>
      </c>
      <c r="AE43" s="88" t="e">
        <f ca="1">_xll.DBRW($B$3,$B$7,$B$5,$B$4,$B$6,$A43,$B$8,AE$4,AE$5,AE$6)*AE$7</f>
        <v>#VALUE!</v>
      </c>
      <c r="AF43" s="88" t="e">
        <f ca="1">_xll.DBRW($B$3,$B$7,$B$5,$B$4,$B$6,$A43,$B$8,AF$4,AF$5,AF$6)*AF$7</f>
        <v>#VALUE!</v>
      </c>
      <c r="AG43" s="88" t="e">
        <f t="shared" ca="1" si="9"/>
        <v>#VALUE!</v>
      </c>
      <c r="AH43" s="88" t="e">
        <f t="shared" ca="1" si="10"/>
        <v>#VALUE!</v>
      </c>
      <c r="AJ43" s="88" t="e">
        <f ca="1">_xll.DBRW($B$3,$B$7,$B$5,$B$4,$B$6,$A43,$B$8,AJ$4,AJ$5,AJ$6)*AJ$7</f>
        <v>#VALUE!</v>
      </c>
      <c r="AK43" s="88" t="e">
        <f ca="1">_xll.DBRW($B$3,$B$7,$B$5,$B$4,$B$6,$A43,$B$8,AK$4,AK$5,AK$6)*AK$7</f>
        <v>#VALUE!</v>
      </c>
      <c r="AL43" s="88" t="e">
        <f ca="1">_xll.DBRW($B$3,$B$7,$B$5,$B$4,$B$6,$A43,$B$8,AL$4,AL$5,AL$6)*AL$7</f>
        <v>#VALUE!</v>
      </c>
      <c r="AM43" s="88" t="e">
        <f t="shared" ca="1" si="11"/>
        <v>#VALUE!</v>
      </c>
      <c r="AN43" s="88" t="e">
        <f t="shared" ca="1" si="12"/>
        <v>#VALUE!</v>
      </c>
      <c r="AO43" s="241"/>
      <c r="AP43" s="88" t="str">
        <f t="shared" ca="1" si="37"/>
        <v>-</v>
      </c>
      <c r="AQ43" s="88" t="str">
        <f t="shared" ca="1" si="38"/>
        <v>-</v>
      </c>
      <c r="AR43" s="88" t="e">
        <f t="shared" ca="1" si="39"/>
        <v>#VALUE!</v>
      </c>
      <c r="AS43" s="88" t="e">
        <f t="shared" ca="1" si="40"/>
        <v>#VALUE!</v>
      </c>
      <c r="AT43" s="88" t="e">
        <f t="shared" ca="1" si="41"/>
        <v>#VALUE!</v>
      </c>
      <c r="AU43" s="247"/>
      <c r="AV43" s="88" t="str">
        <f t="shared" ca="1" si="42"/>
        <v>-</v>
      </c>
      <c r="AW43" s="88" t="str">
        <f t="shared" ca="1" si="43"/>
        <v>-</v>
      </c>
      <c r="AX43" s="88" t="e">
        <f t="shared" ca="1" si="44"/>
        <v>#VALUE!</v>
      </c>
      <c r="AY43" s="88" t="e">
        <f t="shared" ca="1" si="45"/>
        <v>#VALUE!</v>
      </c>
      <c r="AZ43" s="88" t="e">
        <f t="shared" ca="1" si="46"/>
        <v>#VALUE!</v>
      </c>
    </row>
    <row r="44" spans="1:52" s="51" customFormat="1" ht="15" customHeight="1">
      <c r="A44" s="29" t="s">
        <v>88</v>
      </c>
      <c r="C44" s="50"/>
      <c r="D44" s="54" t="str">
        <f ca="1">_xll.DBRA("tango_core_model:legal_organization",A44,Language)</f>
        <v>Hong Kong</v>
      </c>
      <c r="E44" s="1"/>
      <c r="F44" s="88" t="e">
        <f ca="1">_xll.DBRW($B$3,$B$7,$B$5,$B$4,$B$6,$A44,$B$8,F$4,F$5,F$6)*F$7</f>
        <v>#VALUE!</v>
      </c>
      <c r="G44" s="88" t="e">
        <f ca="1">_xll.DBRW($B$3,$B$7,$B$5,$B$4,$B$6,$A44,$B$8,G$4,G$5,G$6)*G$7</f>
        <v>#VALUE!</v>
      </c>
      <c r="H44" s="88" t="e">
        <f ca="1">_xll.DBRW($B$3,$B$7,$B$5,$B$4,$B$6,$A44,$B$8,H$4,H$5,H$6)*H$7</f>
        <v>#VALUE!</v>
      </c>
      <c r="I44" s="88" t="e">
        <f t="shared" ca="1" si="28"/>
        <v>#VALUE!</v>
      </c>
      <c r="J44" s="88" t="e">
        <f t="shared" ca="1" si="29"/>
        <v>#VALUE!</v>
      </c>
      <c r="K44" s="241"/>
      <c r="L44" s="88" t="e">
        <f ca="1">_xll.DBRW($B$3,$B$7,$L$8,$B$4,$B$6,$A44,$B$8,L$4,L$5,L$6)*L$7</f>
        <v>#VALUE!</v>
      </c>
      <c r="M44" s="88" t="e">
        <f ca="1">_xll.DBRW($B$3,$B$7,$L$8,$B$4,$B$6,$A44,$B$8,M$4,M$5,M$6)*M$7</f>
        <v>#VALUE!</v>
      </c>
      <c r="N44" s="88" t="e">
        <f ca="1">_xll.DBRW($B$3,$B$7,$L$8,$B$4,$B$6,$A44,$B$8,N$4,N$5,N$6)*N$7</f>
        <v>#VALUE!</v>
      </c>
      <c r="O44" s="88" t="e">
        <f t="shared" ca="1" si="30"/>
        <v>#VALUE!</v>
      </c>
      <c r="P44" s="88" t="e">
        <f t="shared" ca="1" si="31"/>
        <v>#VALUE!</v>
      </c>
      <c r="Q44" s="241"/>
      <c r="R44" s="72" t="str">
        <f t="shared" ca="1" si="32"/>
        <v/>
      </c>
      <c r="S44" s="72" t="str">
        <f t="shared" ca="1" si="33"/>
        <v/>
      </c>
      <c r="T44" s="72" t="str">
        <f t="shared" ca="1" si="34"/>
        <v/>
      </c>
      <c r="U44" s="72" t="str">
        <f t="shared" ca="1" si="35"/>
        <v>-</v>
      </c>
      <c r="V44" s="72" t="str">
        <f t="shared" ca="1" si="36"/>
        <v>-</v>
      </c>
      <c r="W44" s="241"/>
      <c r="X44" s="88" t="e">
        <f ca="1">_xll.DBRW($B$3,$B$7,$B$5,$B$4,$B$6,$A44,$B$8,X$4,X$5,X$6)*X$7</f>
        <v>#VALUE!</v>
      </c>
      <c r="Y44" s="88" t="e">
        <f ca="1">_xll.DBRW($B$3,$B$7,$B$5,$B$4,$B$6,$A44,$B$8,Y$4,Y$5,Y$6)*Y$7</f>
        <v>#VALUE!</v>
      </c>
      <c r="Z44" s="88" t="e">
        <f ca="1">_xll.DBRW($B$3,$B$7,$B$5,$B$4,$B$6,$A44,$B$8,Z$4,Z$5,Z$6)*Z$7</f>
        <v>#VALUE!</v>
      </c>
      <c r="AA44" s="88" t="e">
        <f t="shared" ca="1" si="7"/>
        <v>#VALUE!</v>
      </c>
      <c r="AB44" s="88" t="e">
        <f t="shared" ca="1" si="8"/>
        <v>#VALUE!</v>
      </c>
      <c r="AC44" s="241"/>
      <c r="AD44" s="88" t="e">
        <f ca="1">_xll.DBRW($B$3,$B$7,$B$5,$B$4,$B$6,$A44,$B$8,AD$4,AD$5,AD$6)*AD$7</f>
        <v>#VALUE!</v>
      </c>
      <c r="AE44" s="88" t="e">
        <f ca="1">_xll.DBRW($B$3,$B$7,$B$5,$B$4,$B$6,$A44,$B$8,AE$4,AE$5,AE$6)*AE$7</f>
        <v>#VALUE!</v>
      </c>
      <c r="AF44" s="88" t="e">
        <f ca="1">_xll.DBRW($B$3,$B$7,$B$5,$B$4,$B$6,$A44,$B$8,AF$4,AF$5,AF$6)*AF$7</f>
        <v>#VALUE!</v>
      </c>
      <c r="AG44" s="88" t="e">
        <f t="shared" ca="1" si="9"/>
        <v>#VALUE!</v>
      </c>
      <c r="AH44" s="88" t="e">
        <f t="shared" ca="1" si="10"/>
        <v>#VALUE!</v>
      </c>
      <c r="AJ44" s="88" t="e">
        <f ca="1">_xll.DBRW($B$3,$B$7,$B$5,$B$4,$B$6,$A44,$B$8,AJ$4,AJ$5,AJ$6)*AJ$7</f>
        <v>#VALUE!</v>
      </c>
      <c r="AK44" s="88" t="e">
        <f ca="1">_xll.DBRW($B$3,$B$7,$B$5,$B$4,$B$6,$A44,$B$8,AK$4,AK$5,AK$6)*AK$7</f>
        <v>#VALUE!</v>
      </c>
      <c r="AL44" s="88" t="e">
        <f ca="1">_xll.DBRW($B$3,$B$7,$B$5,$B$4,$B$6,$A44,$B$8,AL$4,AL$5,AL$6)*AL$7</f>
        <v>#VALUE!</v>
      </c>
      <c r="AM44" s="88" t="e">
        <f t="shared" ca="1" si="11"/>
        <v>#VALUE!</v>
      </c>
      <c r="AN44" s="88" t="e">
        <f t="shared" ca="1" si="12"/>
        <v>#VALUE!</v>
      </c>
      <c r="AO44" s="241"/>
      <c r="AP44" s="88" t="str">
        <f t="shared" ca="1" si="37"/>
        <v>-</v>
      </c>
      <c r="AQ44" s="88" t="str">
        <f t="shared" ca="1" si="38"/>
        <v>-</v>
      </c>
      <c r="AR44" s="88" t="e">
        <f t="shared" ca="1" si="39"/>
        <v>#VALUE!</v>
      </c>
      <c r="AS44" s="88" t="e">
        <f t="shared" ca="1" si="40"/>
        <v>#VALUE!</v>
      </c>
      <c r="AT44" s="88" t="e">
        <f t="shared" ca="1" si="41"/>
        <v>#VALUE!</v>
      </c>
      <c r="AU44" s="247"/>
      <c r="AV44" s="88" t="str">
        <f t="shared" ca="1" si="42"/>
        <v>-</v>
      </c>
      <c r="AW44" s="88" t="str">
        <f t="shared" ca="1" si="43"/>
        <v>-</v>
      </c>
      <c r="AX44" s="88" t="e">
        <f t="shared" ca="1" si="44"/>
        <v>#VALUE!</v>
      </c>
      <c r="AY44" s="88" t="e">
        <f t="shared" ca="1" si="45"/>
        <v>#VALUE!</v>
      </c>
      <c r="AZ44" s="88" t="e">
        <f t="shared" ca="1" si="46"/>
        <v>#VALUE!</v>
      </c>
    </row>
    <row r="45" spans="1:52" s="51" customFormat="1" ht="15" customHeight="1">
      <c r="A45" s="29" t="s">
        <v>89</v>
      </c>
      <c r="C45" s="50"/>
      <c r="D45" s="54" t="str">
        <f ca="1">_xll.DBRA("tango_core_model:legal_organization",A45,Language)</f>
        <v>Inde</v>
      </c>
      <c r="E45" s="1"/>
      <c r="F45" s="88" t="e">
        <f ca="1">_xll.DBRW($B$3,$B$7,$B$5,$B$4,$B$6,$A45,$B$8,F$4,F$5,F$6)*F$7</f>
        <v>#VALUE!</v>
      </c>
      <c r="G45" s="88" t="e">
        <f ca="1">_xll.DBRW($B$3,$B$7,$B$5,$B$4,$B$6,$A45,$B$8,G$4,G$5,G$6)*G$7</f>
        <v>#VALUE!</v>
      </c>
      <c r="H45" s="88" t="e">
        <f ca="1">_xll.DBRW($B$3,$B$7,$B$5,$B$4,$B$6,$A45,$B$8,H$4,H$5,H$6)*H$7</f>
        <v>#VALUE!</v>
      </c>
      <c r="I45" s="88" t="e">
        <f t="shared" ca="1" si="28"/>
        <v>#VALUE!</v>
      </c>
      <c r="J45" s="88" t="e">
        <f t="shared" ca="1" si="29"/>
        <v>#VALUE!</v>
      </c>
      <c r="K45" s="241"/>
      <c r="L45" s="88" t="e">
        <f ca="1">_xll.DBRW($B$3,$B$7,$L$8,$B$4,$B$6,$A45,$B$8,L$4,L$5,L$6)*L$7</f>
        <v>#VALUE!</v>
      </c>
      <c r="M45" s="88" t="e">
        <f ca="1">_xll.DBRW($B$3,$B$7,$L$8,$B$4,$B$6,$A45,$B$8,M$4,M$5,M$6)*M$7</f>
        <v>#VALUE!</v>
      </c>
      <c r="N45" s="88" t="e">
        <f ca="1">_xll.DBRW($B$3,$B$7,$L$8,$B$4,$B$6,$A45,$B$8,N$4,N$5,N$6)*N$7</f>
        <v>#VALUE!</v>
      </c>
      <c r="O45" s="88" t="e">
        <f t="shared" ca="1" si="30"/>
        <v>#VALUE!</v>
      </c>
      <c r="P45" s="88" t="e">
        <f t="shared" ca="1" si="31"/>
        <v>#VALUE!</v>
      </c>
      <c r="Q45" s="241"/>
      <c r="R45" s="72" t="str">
        <f t="shared" ca="1" si="32"/>
        <v/>
      </c>
      <c r="S45" s="72" t="str">
        <f t="shared" ca="1" si="33"/>
        <v/>
      </c>
      <c r="T45" s="72" t="str">
        <f t="shared" ca="1" si="34"/>
        <v/>
      </c>
      <c r="U45" s="72" t="str">
        <f t="shared" ca="1" si="35"/>
        <v>-</v>
      </c>
      <c r="V45" s="72" t="str">
        <f t="shared" ca="1" si="36"/>
        <v>-</v>
      </c>
      <c r="W45" s="241"/>
      <c r="X45" s="88" t="e">
        <f ca="1">_xll.DBRW($B$3,$B$7,$B$5,$B$4,$B$6,$A45,$B$8,X$4,X$5,X$6)*X$7</f>
        <v>#VALUE!</v>
      </c>
      <c r="Y45" s="88" t="e">
        <f ca="1">_xll.DBRW($B$3,$B$7,$B$5,$B$4,$B$6,$A45,$B$8,Y$4,Y$5,Y$6)*Y$7</f>
        <v>#VALUE!</v>
      </c>
      <c r="Z45" s="88" t="e">
        <f ca="1">_xll.DBRW($B$3,$B$7,$B$5,$B$4,$B$6,$A45,$B$8,Z$4,Z$5,Z$6)*Z$7</f>
        <v>#VALUE!</v>
      </c>
      <c r="AA45" s="88" t="e">
        <f t="shared" ca="1" si="7"/>
        <v>#VALUE!</v>
      </c>
      <c r="AB45" s="88" t="e">
        <f t="shared" ca="1" si="8"/>
        <v>#VALUE!</v>
      </c>
      <c r="AC45" s="241"/>
      <c r="AD45" s="88" t="e">
        <f ca="1">_xll.DBRW($B$3,$B$7,$B$5,$B$4,$B$6,$A45,$B$8,AD$4,AD$5,AD$6)*AD$7</f>
        <v>#VALUE!</v>
      </c>
      <c r="AE45" s="88" t="e">
        <f ca="1">_xll.DBRW($B$3,$B$7,$B$5,$B$4,$B$6,$A45,$B$8,AE$4,AE$5,AE$6)*AE$7</f>
        <v>#VALUE!</v>
      </c>
      <c r="AF45" s="88" t="e">
        <f ca="1">_xll.DBRW($B$3,$B$7,$B$5,$B$4,$B$6,$A45,$B$8,AF$4,AF$5,AF$6)*AF$7</f>
        <v>#VALUE!</v>
      </c>
      <c r="AG45" s="88" t="e">
        <f t="shared" ca="1" si="9"/>
        <v>#VALUE!</v>
      </c>
      <c r="AH45" s="88" t="e">
        <f t="shared" ca="1" si="10"/>
        <v>#VALUE!</v>
      </c>
      <c r="AJ45" s="88" t="e">
        <f ca="1">_xll.DBRW($B$3,$B$7,$B$5,$B$4,$B$6,$A45,$B$8,AJ$4,AJ$5,AJ$6)*AJ$7</f>
        <v>#VALUE!</v>
      </c>
      <c r="AK45" s="88" t="e">
        <f ca="1">_xll.DBRW($B$3,$B$7,$B$5,$B$4,$B$6,$A45,$B$8,AK$4,AK$5,AK$6)*AK$7</f>
        <v>#VALUE!</v>
      </c>
      <c r="AL45" s="88" t="e">
        <f ca="1">_xll.DBRW($B$3,$B$7,$B$5,$B$4,$B$6,$A45,$B$8,AL$4,AL$5,AL$6)*AL$7</f>
        <v>#VALUE!</v>
      </c>
      <c r="AM45" s="88" t="e">
        <f t="shared" ca="1" si="11"/>
        <v>#VALUE!</v>
      </c>
      <c r="AN45" s="88" t="e">
        <f t="shared" ca="1" si="12"/>
        <v>#VALUE!</v>
      </c>
      <c r="AO45" s="241"/>
      <c r="AP45" s="88" t="str">
        <f t="shared" ca="1" si="37"/>
        <v>-</v>
      </c>
      <c r="AQ45" s="88" t="str">
        <f t="shared" ca="1" si="38"/>
        <v>-</v>
      </c>
      <c r="AR45" s="88" t="e">
        <f t="shared" ca="1" si="39"/>
        <v>#VALUE!</v>
      </c>
      <c r="AS45" s="88" t="e">
        <f t="shared" ca="1" si="40"/>
        <v>#VALUE!</v>
      </c>
      <c r="AT45" s="88" t="e">
        <f t="shared" ca="1" si="41"/>
        <v>#VALUE!</v>
      </c>
      <c r="AU45" s="247"/>
      <c r="AV45" s="88" t="str">
        <f t="shared" ca="1" si="42"/>
        <v>-</v>
      </c>
      <c r="AW45" s="88" t="str">
        <f t="shared" ca="1" si="43"/>
        <v>-</v>
      </c>
      <c r="AX45" s="88" t="e">
        <f t="shared" ca="1" si="44"/>
        <v>#VALUE!</v>
      </c>
      <c r="AY45" s="88" t="e">
        <f t="shared" ca="1" si="45"/>
        <v>#VALUE!</v>
      </c>
      <c r="AZ45" s="88" t="e">
        <f t="shared" ca="1" si="46"/>
        <v>#VALUE!</v>
      </c>
    </row>
    <row r="46" spans="1:52" s="51" customFormat="1" ht="15" customHeight="1">
      <c r="A46" s="29" t="s">
        <v>90</v>
      </c>
      <c r="C46" s="50"/>
      <c r="D46" s="54" t="str">
        <f ca="1">_xll.DBRA("tango_core_model:legal_organization",A46,Language)</f>
        <v>Corée du sud</v>
      </c>
      <c r="E46" s="1"/>
      <c r="F46" s="88" t="e">
        <f ca="1">_xll.DBRW($B$3,$B$7,$B$5,$B$4,$B$6,$A46,$B$8,F$4,F$5,F$6)*F$7</f>
        <v>#VALUE!</v>
      </c>
      <c r="G46" s="88" t="e">
        <f ca="1">_xll.DBRW($B$3,$B$7,$B$5,$B$4,$B$6,$A46,$B$8,G$4,G$5,G$6)*G$7</f>
        <v>#VALUE!</v>
      </c>
      <c r="H46" s="88" t="e">
        <f ca="1">_xll.DBRW($B$3,$B$7,$B$5,$B$4,$B$6,$A46,$B$8,H$4,H$5,H$6)*H$7</f>
        <v>#VALUE!</v>
      </c>
      <c r="I46" s="88" t="e">
        <f t="shared" ca="1" si="28"/>
        <v>#VALUE!</v>
      </c>
      <c r="J46" s="88" t="e">
        <f t="shared" ca="1" si="29"/>
        <v>#VALUE!</v>
      </c>
      <c r="K46" s="241"/>
      <c r="L46" s="88" t="e">
        <f ca="1">_xll.DBRW($B$3,$B$7,$L$8,$B$4,$B$6,$A46,$B$8,L$4,L$5,L$6)*L$7</f>
        <v>#VALUE!</v>
      </c>
      <c r="M46" s="88" t="e">
        <f ca="1">_xll.DBRW($B$3,$B$7,$L$8,$B$4,$B$6,$A46,$B$8,M$4,M$5,M$6)*M$7</f>
        <v>#VALUE!</v>
      </c>
      <c r="N46" s="88" t="e">
        <f ca="1">_xll.DBRW($B$3,$B$7,$L$8,$B$4,$B$6,$A46,$B$8,N$4,N$5,N$6)*N$7</f>
        <v>#VALUE!</v>
      </c>
      <c r="O46" s="88" t="e">
        <f t="shared" ca="1" si="30"/>
        <v>#VALUE!</v>
      </c>
      <c r="P46" s="88" t="e">
        <f t="shared" ca="1" si="31"/>
        <v>#VALUE!</v>
      </c>
      <c r="Q46" s="241"/>
      <c r="R46" s="72" t="str">
        <f t="shared" ca="1" si="32"/>
        <v/>
      </c>
      <c r="S46" s="72" t="str">
        <f t="shared" ca="1" si="33"/>
        <v/>
      </c>
      <c r="T46" s="72" t="str">
        <f t="shared" ca="1" si="34"/>
        <v/>
      </c>
      <c r="U46" s="72" t="str">
        <f t="shared" ca="1" si="35"/>
        <v>-</v>
      </c>
      <c r="V46" s="72" t="str">
        <f t="shared" ca="1" si="36"/>
        <v>-</v>
      </c>
      <c r="W46" s="241"/>
      <c r="X46" s="88" t="e">
        <f ca="1">_xll.DBRW($B$3,$B$7,$B$5,$B$4,$B$6,$A46,$B$8,X$4,X$5,X$6)*X$7</f>
        <v>#VALUE!</v>
      </c>
      <c r="Y46" s="88" t="e">
        <f ca="1">_xll.DBRW($B$3,$B$7,$B$5,$B$4,$B$6,$A46,$B$8,Y$4,Y$5,Y$6)*Y$7</f>
        <v>#VALUE!</v>
      </c>
      <c r="Z46" s="88" t="e">
        <f ca="1">_xll.DBRW($B$3,$B$7,$B$5,$B$4,$B$6,$A46,$B$8,Z$4,Z$5,Z$6)*Z$7</f>
        <v>#VALUE!</v>
      </c>
      <c r="AA46" s="88" t="e">
        <f t="shared" ca="1" si="7"/>
        <v>#VALUE!</v>
      </c>
      <c r="AB46" s="88" t="e">
        <f t="shared" ca="1" si="8"/>
        <v>#VALUE!</v>
      </c>
      <c r="AC46" s="241"/>
      <c r="AD46" s="88" t="e">
        <f ca="1">_xll.DBRW($B$3,$B$7,$B$5,$B$4,$B$6,$A46,$B$8,AD$4,AD$5,AD$6)*AD$7</f>
        <v>#VALUE!</v>
      </c>
      <c r="AE46" s="88" t="e">
        <f ca="1">_xll.DBRW($B$3,$B$7,$B$5,$B$4,$B$6,$A46,$B$8,AE$4,AE$5,AE$6)*AE$7</f>
        <v>#VALUE!</v>
      </c>
      <c r="AF46" s="88" t="e">
        <f ca="1">_xll.DBRW($B$3,$B$7,$B$5,$B$4,$B$6,$A46,$B$8,AF$4,AF$5,AF$6)*AF$7</f>
        <v>#VALUE!</v>
      </c>
      <c r="AG46" s="88" t="e">
        <f t="shared" ca="1" si="9"/>
        <v>#VALUE!</v>
      </c>
      <c r="AH46" s="88" t="e">
        <f t="shared" ca="1" si="10"/>
        <v>#VALUE!</v>
      </c>
      <c r="AJ46" s="88" t="e">
        <f ca="1">_xll.DBRW($B$3,$B$7,$B$5,$B$4,$B$6,$A46,$B$8,AJ$4,AJ$5,AJ$6)*AJ$7</f>
        <v>#VALUE!</v>
      </c>
      <c r="AK46" s="88" t="e">
        <f ca="1">_xll.DBRW($B$3,$B$7,$B$5,$B$4,$B$6,$A46,$B$8,AK$4,AK$5,AK$6)*AK$7</f>
        <v>#VALUE!</v>
      </c>
      <c r="AL46" s="88" t="e">
        <f ca="1">_xll.DBRW($B$3,$B$7,$B$5,$B$4,$B$6,$A46,$B$8,AL$4,AL$5,AL$6)*AL$7</f>
        <v>#VALUE!</v>
      </c>
      <c r="AM46" s="88" t="e">
        <f t="shared" ca="1" si="11"/>
        <v>#VALUE!</v>
      </c>
      <c r="AN46" s="88" t="e">
        <f t="shared" ca="1" si="12"/>
        <v>#VALUE!</v>
      </c>
      <c r="AO46" s="241"/>
      <c r="AP46" s="88" t="str">
        <f t="shared" ca="1" si="37"/>
        <v>-</v>
      </c>
      <c r="AQ46" s="88" t="str">
        <f t="shared" ca="1" si="38"/>
        <v>-</v>
      </c>
      <c r="AR46" s="88" t="e">
        <f t="shared" ca="1" si="39"/>
        <v>#VALUE!</v>
      </c>
      <c r="AS46" s="88" t="e">
        <f t="shared" ca="1" si="40"/>
        <v>#VALUE!</v>
      </c>
      <c r="AT46" s="88" t="e">
        <f t="shared" ca="1" si="41"/>
        <v>#VALUE!</v>
      </c>
      <c r="AU46" s="247"/>
      <c r="AV46" s="88" t="str">
        <f t="shared" ca="1" si="42"/>
        <v>-</v>
      </c>
      <c r="AW46" s="88" t="str">
        <f t="shared" ca="1" si="43"/>
        <v>-</v>
      </c>
      <c r="AX46" s="88" t="e">
        <f t="shared" ca="1" si="44"/>
        <v>#VALUE!</v>
      </c>
      <c r="AY46" s="88" t="e">
        <f t="shared" ca="1" si="45"/>
        <v>#VALUE!</v>
      </c>
      <c r="AZ46" s="88" t="e">
        <f t="shared" ca="1" si="46"/>
        <v>#VALUE!</v>
      </c>
    </row>
    <row r="47" spans="1:52" s="28" customFormat="1" ht="20.100000000000001" customHeight="1">
      <c r="A47" s="29" t="s">
        <v>44</v>
      </c>
      <c r="C47" s="50"/>
      <c r="D47" s="52" t="str">
        <f ca="1">_xll.DBRA("tango_core_model:legal_organization",A47,Language)</f>
        <v>Australie et Nouvelle-Zélande</v>
      </c>
      <c r="E47" s="20"/>
      <c r="F47" s="237" t="e">
        <f ca="1">_xll.DBRW($B$3,$B$7,$B$5,$B$4,$B$6,$A47,$B$8,F$4,F$5,F$6)*F$7</f>
        <v>#VALUE!</v>
      </c>
      <c r="G47" s="237" t="e">
        <f ca="1">_xll.DBRW($B$3,$B$7,$B$5,$B$4,$B$6,$A47,$B$8,G$4,G$5,G$6)*G$7</f>
        <v>#VALUE!</v>
      </c>
      <c r="H47" s="237" t="e">
        <f ca="1">_xll.DBRW($B$3,$B$7,$B$5,$B$4,$B$6,$A47,$B$8,H$4,H$5,H$6)*H$7</f>
        <v>#VALUE!</v>
      </c>
      <c r="I47" s="238" t="e">
        <f t="shared" ca="1" si="28"/>
        <v>#VALUE!</v>
      </c>
      <c r="J47" s="238" t="e">
        <f t="shared" ca="1" si="29"/>
        <v>#VALUE!</v>
      </c>
      <c r="K47" s="157"/>
      <c r="L47" s="237" t="e">
        <f ca="1">_xll.DBRW($B$3,$B$7,$L$8,$B$4,$B$6,$A47,$B$8,L$4,L$5,L$6)*L$7</f>
        <v>#VALUE!</v>
      </c>
      <c r="M47" s="237" t="e">
        <f ca="1">_xll.DBRW($B$3,$B$7,$L$8,$B$4,$B$6,$A47,$B$8,M$4,M$5,M$6)*M$7</f>
        <v>#VALUE!</v>
      </c>
      <c r="N47" s="237" t="e">
        <f ca="1">_xll.DBRW($B$3,$B$7,$L$8,$B$4,$B$6,$A47,$B$8,N$4,N$5,N$6)*N$7</f>
        <v>#VALUE!</v>
      </c>
      <c r="O47" s="238" t="e">
        <f t="shared" ca="1" si="30"/>
        <v>#VALUE!</v>
      </c>
      <c r="P47" s="238" t="e">
        <f t="shared" ca="1" si="31"/>
        <v>#VALUE!</v>
      </c>
      <c r="Q47" s="157"/>
      <c r="R47" s="68" t="str">
        <f t="shared" ca="1" si="32"/>
        <v/>
      </c>
      <c r="S47" s="68" t="str">
        <f t="shared" ca="1" si="33"/>
        <v/>
      </c>
      <c r="T47" s="68" t="str">
        <f t="shared" ca="1" si="34"/>
        <v/>
      </c>
      <c r="U47" s="69" t="str">
        <f t="shared" ca="1" si="35"/>
        <v>-</v>
      </c>
      <c r="V47" s="69" t="str">
        <f t="shared" ca="1" si="36"/>
        <v>-</v>
      </c>
      <c r="W47" s="157"/>
      <c r="X47" s="237" t="e">
        <f ca="1">_xll.DBRW($B$3,$B$7,$B$5,$B$4,$B$6,$A47,$B$8,X$4,X$5,X$6)*X$7</f>
        <v>#VALUE!</v>
      </c>
      <c r="Y47" s="237" t="e">
        <f ca="1">_xll.DBRW($B$3,$B$7,$B$5,$B$4,$B$6,$A47,$B$8,Y$4,Y$5,Y$6)*Y$7</f>
        <v>#VALUE!</v>
      </c>
      <c r="Z47" s="237" t="e">
        <f ca="1">_xll.DBRW($B$3,$B$7,$B$5,$B$4,$B$6,$A47,$B$8,Z$4,Z$5,Z$6)*Z$7</f>
        <v>#VALUE!</v>
      </c>
      <c r="AA47" s="238" t="e">
        <f t="shared" ca="1" si="7"/>
        <v>#VALUE!</v>
      </c>
      <c r="AB47" s="238" t="e">
        <f t="shared" ca="1" si="8"/>
        <v>#VALUE!</v>
      </c>
      <c r="AC47" s="157"/>
      <c r="AD47" s="237" t="e">
        <f ca="1">_xll.DBRW($B$3,$B$7,$B$5,$B$4,$B$6,$A47,$B$8,AD$4,AD$5,AD$6)*AD$7</f>
        <v>#VALUE!</v>
      </c>
      <c r="AE47" s="237" t="e">
        <f ca="1">_xll.DBRW($B$3,$B$7,$B$5,$B$4,$B$6,$A47,$B$8,AE$4,AE$5,AE$6)*AE$7</f>
        <v>#VALUE!</v>
      </c>
      <c r="AF47" s="237" t="e">
        <f ca="1">_xll.DBRW($B$3,$B$7,$B$5,$B$4,$B$6,$A47,$B$8,AF$4,AF$5,AF$6)*AF$7</f>
        <v>#VALUE!</v>
      </c>
      <c r="AG47" s="238" t="e">
        <f t="shared" ca="1" si="9"/>
        <v>#VALUE!</v>
      </c>
      <c r="AH47" s="238" t="e">
        <f t="shared" ca="1" si="10"/>
        <v>#VALUE!</v>
      </c>
      <c r="AJ47" s="237" t="e">
        <f ca="1">_xll.DBRW($B$3,$B$7,$B$5,$B$4,$B$6,$A47,$B$8,AJ$4,AJ$5,AJ$6)*AJ$7</f>
        <v>#VALUE!</v>
      </c>
      <c r="AK47" s="237" t="e">
        <f ca="1">_xll.DBRW($B$3,$B$7,$B$5,$B$4,$B$6,$A47,$B$8,AK$4,AK$5,AK$6)*AK$7</f>
        <v>#VALUE!</v>
      </c>
      <c r="AL47" s="237" t="e">
        <f ca="1">_xll.DBRW($B$3,$B$7,$B$5,$B$4,$B$6,$A47,$B$8,AL$4,AL$5,AL$6)*AL$7</f>
        <v>#VALUE!</v>
      </c>
      <c r="AM47" s="238" t="e">
        <f t="shared" ca="1" si="11"/>
        <v>#VALUE!</v>
      </c>
      <c r="AN47" s="238" t="e">
        <f t="shared" ca="1" si="12"/>
        <v>#VALUE!</v>
      </c>
      <c r="AO47" s="157"/>
      <c r="AP47" s="237" t="str">
        <f t="shared" ca="1" si="37"/>
        <v>-</v>
      </c>
      <c r="AQ47" s="237" t="str">
        <f t="shared" ca="1" si="38"/>
        <v>-</v>
      </c>
      <c r="AR47" s="237" t="e">
        <f t="shared" ca="1" si="39"/>
        <v>#VALUE!</v>
      </c>
      <c r="AS47" s="237" t="e">
        <f t="shared" ca="1" si="40"/>
        <v>#VALUE!</v>
      </c>
      <c r="AT47" s="237" t="e">
        <f t="shared" ca="1" si="41"/>
        <v>#VALUE!</v>
      </c>
      <c r="AU47" s="246"/>
      <c r="AV47" s="237" t="str">
        <f t="shared" ca="1" si="42"/>
        <v>-</v>
      </c>
      <c r="AW47" s="237" t="str">
        <f t="shared" ca="1" si="43"/>
        <v>-</v>
      </c>
      <c r="AX47" s="237" t="e">
        <f t="shared" ca="1" si="44"/>
        <v>#VALUE!</v>
      </c>
      <c r="AY47" s="237" t="e">
        <f t="shared" ca="1" si="45"/>
        <v>#VALUE!</v>
      </c>
      <c r="AZ47" s="237" t="e">
        <f t="shared" ca="1" si="46"/>
        <v>#VALUE!</v>
      </c>
    </row>
    <row r="48" spans="1:52" s="51" customFormat="1" ht="15" customHeight="1">
      <c r="A48" s="29" t="s">
        <v>91</v>
      </c>
      <c r="C48" s="50"/>
      <c r="D48" s="54" t="str">
        <f ca="1">_xll.DBRA("tango_core_model:legal_organization",A48,Language)</f>
        <v>Australie</v>
      </c>
      <c r="E48" s="1"/>
      <c r="F48" s="88" t="e">
        <f ca="1">_xll.DBRW($B$3,$B$7,$B$5,$B$4,$B$6,$A48,$B$8,F$4,F$5,F$6)*F$7</f>
        <v>#VALUE!</v>
      </c>
      <c r="G48" s="88" t="e">
        <f ca="1">_xll.DBRW($B$3,$B$7,$B$5,$B$4,$B$6,$A48,$B$8,G$4,G$5,G$6)*G$7</f>
        <v>#VALUE!</v>
      </c>
      <c r="H48" s="88" t="e">
        <f ca="1">_xll.DBRW($B$3,$B$7,$B$5,$B$4,$B$6,$A48,$B$8,H$4,H$5,H$6)*H$7</f>
        <v>#VALUE!</v>
      </c>
      <c r="I48" s="88" t="e">
        <f t="shared" ca="1" si="28"/>
        <v>#VALUE!</v>
      </c>
      <c r="J48" s="88" t="e">
        <f t="shared" ca="1" si="29"/>
        <v>#VALUE!</v>
      </c>
      <c r="K48" s="241"/>
      <c r="L48" s="88" t="e">
        <f ca="1">_xll.DBRW($B$3,$B$7,$L$8,$B$4,$B$6,$A48,$B$8,L$4,L$5,L$6)*L$7</f>
        <v>#VALUE!</v>
      </c>
      <c r="M48" s="88" t="e">
        <f ca="1">_xll.DBRW($B$3,$B$7,$L$8,$B$4,$B$6,$A48,$B$8,M$4,M$5,M$6)*M$7</f>
        <v>#VALUE!</v>
      </c>
      <c r="N48" s="88" t="e">
        <f ca="1">_xll.DBRW($B$3,$B$7,$L$8,$B$4,$B$6,$A48,$B$8,N$4,N$5,N$6)*N$7</f>
        <v>#VALUE!</v>
      </c>
      <c r="O48" s="88" t="e">
        <f t="shared" ca="1" si="30"/>
        <v>#VALUE!</v>
      </c>
      <c r="P48" s="88" t="e">
        <f t="shared" ca="1" si="31"/>
        <v>#VALUE!</v>
      </c>
      <c r="Q48" s="241"/>
      <c r="R48" s="72" t="str">
        <f t="shared" ca="1" si="32"/>
        <v/>
      </c>
      <c r="S48" s="72" t="str">
        <f t="shared" ca="1" si="33"/>
        <v/>
      </c>
      <c r="T48" s="72" t="str">
        <f t="shared" ca="1" si="34"/>
        <v/>
      </c>
      <c r="U48" s="72" t="str">
        <f t="shared" ca="1" si="35"/>
        <v>-</v>
      </c>
      <c r="V48" s="72" t="str">
        <f t="shared" ca="1" si="36"/>
        <v>-</v>
      </c>
      <c r="W48" s="241"/>
      <c r="X48" s="88" t="e">
        <f ca="1">_xll.DBRW($B$3,$B$7,$B$5,$B$4,$B$6,$A48,$B$8,X$4,X$5,X$6)*X$7</f>
        <v>#VALUE!</v>
      </c>
      <c r="Y48" s="88" t="e">
        <f ca="1">_xll.DBRW($B$3,$B$7,$B$5,$B$4,$B$6,$A48,$B$8,Y$4,Y$5,Y$6)*Y$7</f>
        <v>#VALUE!</v>
      </c>
      <c r="Z48" s="88" t="e">
        <f ca="1">_xll.DBRW($B$3,$B$7,$B$5,$B$4,$B$6,$A48,$B$8,Z$4,Z$5,Z$6)*Z$7</f>
        <v>#VALUE!</v>
      </c>
      <c r="AA48" s="88" t="e">
        <f t="shared" ca="1" si="7"/>
        <v>#VALUE!</v>
      </c>
      <c r="AB48" s="88" t="e">
        <f t="shared" ca="1" si="8"/>
        <v>#VALUE!</v>
      </c>
      <c r="AC48" s="241"/>
      <c r="AD48" s="88" t="e">
        <f ca="1">_xll.DBRW($B$3,$B$7,$B$5,$B$4,$B$6,$A48,$B$8,AD$4,AD$5,AD$6)*AD$7</f>
        <v>#VALUE!</v>
      </c>
      <c r="AE48" s="88" t="e">
        <f ca="1">_xll.DBRW($B$3,$B$7,$B$5,$B$4,$B$6,$A48,$B$8,AE$4,AE$5,AE$6)*AE$7</f>
        <v>#VALUE!</v>
      </c>
      <c r="AF48" s="88" t="e">
        <f ca="1">_xll.DBRW($B$3,$B$7,$B$5,$B$4,$B$6,$A48,$B$8,AF$4,AF$5,AF$6)*AF$7</f>
        <v>#VALUE!</v>
      </c>
      <c r="AG48" s="88" t="e">
        <f t="shared" ca="1" si="9"/>
        <v>#VALUE!</v>
      </c>
      <c r="AH48" s="88" t="e">
        <f t="shared" ca="1" si="10"/>
        <v>#VALUE!</v>
      </c>
      <c r="AJ48" s="88" t="e">
        <f ca="1">_xll.DBRW($B$3,$B$7,$B$5,$B$4,$B$6,$A48,$B$8,AJ$4,AJ$5,AJ$6)*AJ$7</f>
        <v>#VALUE!</v>
      </c>
      <c r="AK48" s="88" t="e">
        <f ca="1">_xll.DBRW($B$3,$B$7,$B$5,$B$4,$B$6,$A48,$B$8,AK$4,AK$5,AK$6)*AK$7</f>
        <v>#VALUE!</v>
      </c>
      <c r="AL48" s="88" t="e">
        <f ca="1">_xll.DBRW($B$3,$B$7,$B$5,$B$4,$B$6,$A48,$B$8,AL$4,AL$5,AL$6)*AL$7</f>
        <v>#VALUE!</v>
      </c>
      <c r="AM48" s="88" t="e">
        <f t="shared" ca="1" si="11"/>
        <v>#VALUE!</v>
      </c>
      <c r="AN48" s="88" t="e">
        <f t="shared" ca="1" si="12"/>
        <v>#VALUE!</v>
      </c>
      <c r="AO48" s="241"/>
      <c r="AP48" s="88" t="str">
        <f t="shared" ca="1" si="37"/>
        <v>-</v>
      </c>
      <c r="AQ48" s="88" t="str">
        <f t="shared" ca="1" si="38"/>
        <v>-</v>
      </c>
      <c r="AR48" s="88" t="e">
        <f t="shared" ca="1" si="39"/>
        <v>#VALUE!</v>
      </c>
      <c r="AS48" s="88" t="e">
        <f t="shared" ca="1" si="40"/>
        <v>#VALUE!</v>
      </c>
      <c r="AT48" s="88" t="e">
        <f t="shared" ca="1" si="41"/>
        <v>#VALUE!</v>
      </c>
      <c r="AU48" s="247"/>
      <c r="AV48" s="88" t="str">
        <f t="shared" ca="1" si="42"/>
        <v>-</v>
      </c>
      <c r="AW48" s="88" t="str">
        <f t="shared" ca="1" si="43"/>
        <v>-</v>
      </c>
      <c r="AX48" s="88" t="e">
        <f t="shared" ca="1" si="44"/>
        <v>#VALUE!</v>
      </c>
      <c r="AY48" s="88" t="e">
        <f t="shared" ca="1" si="45"/>
        <v>#VALUE!</v>
      </c>
      <c r="AZ48" s="88" t="e">
        <f t="shared" ca="1" si="46"/>
        <v>#VALUE!</v>
      </c>
    </row>
    <row r="49" spans="1:52" s="51" customFormat="1" ht="15" customHeight="1">
      <c r="A49" s="29" t="s">
        <v>92</v>
      </c>
      <c r="C49" s="50"/>
      <c r="D49" s="54" t="str">
        <f ca="1">_xll.DBRA("tango_core_model:legal_organization",A49,Language)</f>
        <v>Nouvelle-Zélande</v>
      </c>
      <c r="E49" s="1"/>
      <c r="F49" s="88" t="e">
        <f ca="1">_xll.DBRW($B$3,$B$7,$B$5,$B$4,$B$6,$A49,$B$8,F$4,F$5,F$6)*F$7</f>
        <v>#VALUE!</v>
      </c>
      <c r="G49" s="88" t="e">
        <f ca="1">_xll.DBRW($B$3,$B$7,$B$5,$B$4,$B$6,$A49,$B$8,G$4,G$5,G$6)*G$7</f>
        <v>#VALUE!</v>
      </c>
      <c r="H49" s="88" t="e">
        <f ca="1">_xll.DBRW($B$3,$B$7,$B$5,$B$4,$B$6,$A49,$B$8,H$4,H$5,H$6)*H$7</f>
        <v>#VALUE!</v>
      </c>
      <c r="I49" s="88" t="e">
        <f t="shared" ca="1" si="28"/>
        <v>#VALUE!</v>
      </c>
      <c r="J49" s="88" t="e">
        <f t="shared" ca="1" si="29"/>
        <v>#VALUE!</v>
      </c>
      <c r="K49" s="241"/>
      <c r="L49" s="88" t="e">
        <f ca="1">_xll.DBRW($B$3,$B$7,$L$8,$B$4,$B$6,$A49,$B$8,L$4,L$5,L$6)*L$7</f>
        <v>#VALUE!</v>
      </c>
      <c r="M49" s="88" t="e">
        <f ca="1">_xll.DBRW($B$3,$B$7,$L$8,$B$4,$B$6,$A49,$B$8,M$4,M$5,M$6)*M$7</f>
        <v>#VALUE!</v>
      </c>
      <c r="N49" s="88" t="e">
        <f ca="1">_xll.DBRW($B$3,$B$7,$L$8,$B$4,$B$6,$A49,$B$8,N$4,N$5,N$6)*N$7</f>
        <v>#VALUE!</v>
      </c>
      <c r="O49" s="88" t="e">
        <f t="shared" ca="1" si="30"/>
        <v>#VALUE!</v>
      </c>
      <c r="P49" s="88" t="e">
        <f t="shared" ca="1" si="31"/>
        <v>#VALUE!</v>
      </c>
      <c r="Q49" s="241"/>
      <c r="R49" s="72" t="str">
        <f t="shared" ca="1" si="32"/>
        <v/>
      </c>
      <c r="S49" s="72" t="str">
        <f t="shared" ca="1" si="33"/>
        <v/>
      </c>
      <c r="T49" s="72" t="str">
        <f t="shared" ca="1" si="34"/>
        <v/>
      </c>
      <c r="U49" s="72" t="str">
        <f t="shared" ca="1" si="35"/>
        <v>-</v>
      </c>
      <c r="V49" s="72" t="str">
        <f t="shared" ca="1" si="36"/>
        <v>-</v>
      </c>
      <c r="W49" s="241"/>
      <c r="X49" s="88" t="e">
        <f ca="1">_xll.DBRW($B$3,$B$7,$B$5,$B$4,$B$6,$A49,$B$8,X$4,X$5,X$6)*X$7</f>
        <v>#VALUE!</v>
      </c>
      <c r="Y49" s="88" t="e">
        <f ca="1">_xll.DBRW($B$3,$B$7,$B$5,$B$4,$B$6,$A49,$B$8,Y$4,Y$5,Y$6)*Y$7</f>
        <v>#VALUE!</v>
      </c>
      <c r="Z49" s="88" t="e">
        <f ca="1">_xll.DBRW($B$3,$B$7,$B$5,$B$4,$B$6,$A49,$B$8,Z$4,Z$5,Z$6)*Z$7</f>
        <v>#VALUE!</v>
      </c>
      <c r="AA49" s="88" t="e">
        <f t="shared" ca="1" si="7"/>
        <v>#VALUE!</v>
      </c>
      <c r="AB49" s="88" t="e">
        <f t="shared" ca="1" si="8"/>
        <v>#VALUE!</v>
      </c>
      <c r="AC49" s="241"/>
      <c r="AD49" s="88" t="e">
        <f ca="1">_xll.DBRW($B$3,$B$7,$B$5,$B$4,$B$6,$A49,$B$8,AD$4,AD$5,AD$6)*AD$7</f>
        <v>#VALUE!</v>
      </c>
      <c r="AE49" s="88" t="e">
        <f ca="1">_xll.DBRW($B$3,$B$7,$B$5,$B$4,$B$6,$A49,$B$8,AE$4,AE$5,AE$6)*AE$7</f>
        <v>#VALUE!</v>
      </c>
      <c r="AF49" s="88" t="e">
        <f ca="1">_xll.DBRW($B$3,$B$7,$B$5,$B$4,$B$6,$A49,$B$8,AF$4,AF$5,AF$6)*AF$7</f>
        <v>#VALUE!</v>
      </c>
      <c r="AG49" s="88" t="e">
        <f t="shared" ca="1" si="9"/>
        <v>#VALUE!</v>
      </c>
      <c r="AH49" s="88" t="e">
        <f t="shared" ca="1" si="10"/>
        <v>#VALUE!</v>
      </c>
      <c r="AJ49" s="88" t="e">
        <f ca="1">_xll.DBRW($B$3,$B$7,$B$5,$B$4,$B$6,$A49,$B$8,AJ$4,AJ$5,AJ$6)*AJ$7</f>
        <v>#VALUE!</v>
      </c>
      <c r="AK49" s="88" t="e">
        <f ca="1">_xll.DBRW($B$3,$B$7,$B$5,$B$4,$B$6,$A49,$B$8,AK$4,AK$5,AK$6)*AK$7</f>
        <v>#VALUE!</v>
      </c>
      <c r="AL49" s="88" t="e">
        <f ca="1">_xll.DBRW($B$3,$B$7,$B$5,$B$4,$B$6,$A49,$B$8,AL$4,AL$5,AL$6)*AL$7</f>
        <v>#VALUE!</v>
      </c>
      <c r="AM49" s="88" t="e">
        <f t="shared" ca="1" si="11"/>
        <v>#VALUE!</v>
      </c>
      <c r="AN49" s="88" t="e">
        <f t="shared" ca="1" si="12"/>
        <v>#VALUE!</v>
      </c>
      <c r="AO49" s="241"/>
      <c r="AP49" s="88" t="str">
        <f t="shared" ca="1" si="37"/>
        <v>-</v>
      </c>
      <c r="AQ49" s="88" t="str">
        <f t="shared" ca="1" si="38"/>
        <v>-</v>
      </c>
      <c r="AR49" s="88" t="e">
        <f t="shared" ca="1" si="39"/>
        <v>#VALUE!</v>
      </c>
      <c r="AS49" s="88" t="e">
        <f t="shared" ca="1" si="40"/>
        <v>#VALUE!</v>
      </c>
      <c r="AT49" s="88" t="e">
        <f t="shared" ca="1" si="41"/>
        <v>#VALUE!</v>
      </c>
      <c r="AU49" s="247"/>
      <c r="AV49" s="88" t="str">
        <f t="shared" ca="1" si="42"/>
        <v>-</v>
      </c>
      <c r="AW49" s="88" t="str">
        <f t="shared" ca="1" si="43"/>
        <v>-</v>
      </c>
      <c r="AX49" s="88" t="e">
        <f t="shared" ca="1" si="44"/>
        <v>#VALUE!</v>
      </c>
      <c r="AY49" s="88" t="e">
        <f t="shared" ca="1" si="45"/>
        <v>#VALUE!</v>
      </c>
      <c r="AZ49" s="88" t="e">
        <f t="shared" ca="1" si="46"/>
        <v>#VALUE!</v>
      </c>
    </row>
    <row r="50" spans="1:52" s="28" customFormat="1" ht="20.100000000000001" customHeight="1">
      <c r="A50" s="29" t="s">
        <v>93</v>
      </c>
      <c r="C50" s="50"/>
      <c r="D50" s="52" t="str">
        <f ca="1">_xll.DBRA("tango_core_model:legal_organization",A50,Language)</f>
        <v>Europe du Sud</v>
      </c>
      <c r="E50" s="20"/>
      <c r="F50" s="237" t="e">
        <f ca="1">_xll.DBRW($B$3,$B$7,$B$5,$B$4,$B$6,$A50,$B$8,F$4,F$5,F$6)*F$7</f>
        <v>#VALUE!</v>
      </c>
      <c r="G50" s="237" t="e">
        <f ca="1">_xll.DBRW($B$3,$B$7,$B$5,$B$4,$B$6,$A50,$B$8,G$4,G$5,G$6)*G$7</f>
        <v>#VALUE!</v>
      </c>
      <c r="H50" s="237" t="e">
        <f ca="1">_xll.DBRW($B$3,$B$7,$B$5,$B$4,$B$6,$A50,$B$8,H$4,H$5,H$6)*H$7</f>
        <v>#VALUE!</v>
      </c>
      <c r="I50" s="238" t="e">
        <f t="shared" ca="1" si="28"/>
        <v>#VALUE!</v>
      </c>
      <c r="J50" s="238" t="e">
        <f t="shared" ca="1" si="29"/>
        <v>#VALUE!</v>
      </c>
      <c r="K50" s="157"/>
      <c r="L50" s="237" t="e">
        <f ca="1">_xll.DBRW($B$3,$B$7,$L$8,$B$4,$B$6,$A50,$B$8,L$4,L$5,L$6)*L$7</f>
        <v>#VALUE!</v>
      </c>
      <c r="M50" s="237" t="e">
        <f ca="1">_xll.DBRW($B$3,$B$7,$L$8,$B$4,$B$6,$A50,$B$8,M$4,M$5,M$6)*M$7</f>
        <v>#VALUE!</v>
      </c>
      <c r="N50" s="237" t="e">
        <f ca="1">_xll.DBRW($B$3,$B$7,$L$8,$B$4,$B$6,$A50,$B$8,N$4,N$5,N$6)*N$7</f>
        <v>#VALUE!</v>
      </c>
      <c r="O50" s="238" t="e">
        <f t="shared" ca="1" si="30"/>
        <v>#VALUE!</v>
      </c>
      <c r="P50" s="238" t="e">
        <f t="shared" ca="1" si="31"/>
        <v>#VALUE!</v>
      </c>
      <c r="Q50" s="157"/>
      <c r="R50" s="68" t="str">
        <f t="shared" ca="1" si="32"/>
        <v/>
      </c>
      <c r="S50" s="68" t="str">
        <f t="shared" ca="1" si="33"/>
        <v/>
      </c>
      <c r="T50" s="68" t="str">
        <f t="shared" ca="1" si="34"/>
        <v/>
      </c>
      <c r="U50" s="69" t="str">
        <f t="shared" ca="1" si="35"/>
        <v>-</v>
      </c>
      <c r="V50" s="69" t="str">
        <f t="shared" ca="1" si="36"/>
        <v>-</v>
      </c>
      <c r="W50" s="157"/>
      <c r="X50" s="237" t="e">
        <f ca="1">_xll.DBRW($B$3,$B$7,$B$5,$B$4,$B$6,$A50,$B$8,X$4,X$5,X$6)*X$7</f>
        <v>#VALUE!</v>
      </c>
      <c r="Y50" s="237" t="e">
        <f ca="1">_xll.DBRW($B$3,$B$7,$B$5,$B$4,$B$6,$A50,$B$8,Y$4,Y$5,Y$6)*Y$7</f>
        <v>#VALUE!</v>
      </c>
      <c r="Z50" s="237" t="e">
        <f ca="1">_xll.DBRW($B$3,$B$7,$B$5,$B$4,$B$6,$A50,$B$8,Z$4,Z$5,Z$6)*Z$7</f>
        <v>#VALUE!</v>
      </c>
      <c r="AA50" s="238" t="e">
        <f t="shared" ca="1" si="7"/>
        <v>#VALUE!</v>
      </c>
      <c r="AB50" s="238" t="e">
        <f t="shared" ca="1" si="8"/>
        <v>#VALUE!</v>
      </c>
      <c r="AC50" s="157"/>
      <c r="AD50" s="237" t="e">
        <f ca="1">_xll.DBRW($B$3,$B$7,$B$5,$B$4,$B$6,$A50,$B$8,AD$4,AD$5,AD$6)*AD$7</f>
        <v>#VALUE!</v>
      </c>
      <c r="AE50" s="237" t="e">
        <f ca="1">_xll.DBRW($B$3,$B$7,$B$5,$B$4,$B$6,$A50,$B$8,AE$4,AE$5,AE$6)*AE$7</f>
        <v>#VALUE!</v>
      </c>
      <c r="AF50" s="237" t="e">
        <f ca="1">_xll.DBRW($B$3,$B$7,$B$5,$B$4,$B$6,$A50,$B$8,AF$4,AF$5,AF$6)*AF$7</f>
        <v>#VALUE!</v>
      </c>
      <c r="AG50" s="238" t="e">
        <f t="shared" ca="1" si="9"/>
        <v>#VALUE!</v>
      </c>
      <c r="AH50" s="238" t="e">
        <f t="shared" ca="1" si="10"/>
        <v>#VALUE!</v>
      </c>
      <c r="AJ50" s="237" t="e">
        <f ca="1">_xll.DBRW($B$3,$B$7,$B$5,$B$4,$B$6,$A50,$B$8,AJ$4,AJ$5,AJ$6)*AJ$7</f>
        <v>#VALUE!</v>
      </c>
      <c r="AK50" s="237" t="e">
        <f ca="1">_xll.DBRW($B$3,$B$7,$B$5,$B$4,$B$6,$A50,$B$8,AK$4,AK$5,AK$6)*AK$7</f>
        <v>#VALUE!</v>
      </c>
      <c r="AL50" s="237" t="e">
        <f ca="1">_xll.DBRW($B$3,$B$7,$B$5,$B$4,$B$6,$A50,$B$8,AL$4,AL$5,AL$6)*AL$7</f>
        <v>#VALUE!</v>
      </c>
      <c r="AM50" s="238" t="e">
        <f t="shared" ca="1" si="11"/>
        <v>#VALUE!</v>
      </c>
      <c r="AN50" s="238" t="e">
        <f t="shared" ca="1" si="12"/>
        <v>#VALUE!</v>
      </c>
      <c r="AO50" s="157"/>
      <c r="AP50" s="237" t="str">
        <f t="shared" ca="1" si="37"/>
        <v>-</v>
      </c>
      <c r="AQ50" s="237" t="str">
        <f t="shared" ca="1" si="38"/>
        <v>-</v>
      </c>
      <c r="AR50" s="237" t="e">
        <f t="shared" ca="1" si="39"/>
        <v>#VALUE!</v>
      </c>
      <c r="AS50" s="237" t="e">
        <f t="shared" ca="1" si="40"/>
        <v>#VALUE!</v>
      </c>
      <c r="AT50" s="237" t="e">
        <f t="shared" ca="1" si="41"/>
        <v>#VALUE!</v>
      </c>
      <c r="AU50" s="246"/>
      <c r="AV50" s="237" t="str">
        <f t="shared" ca="1" si="42"/>
        <v>-</v>
      </c>
      <c r="AW50" s="237" t="str">
        <f t="shared" ca="1" si="43"/>
        <v>-</v>
      </c>
      <c r="AX50" s="237" t="e">
        <f t="shared" ca="1" si="44"/>
        <v>#VALUE!</v>
      </c>
      <c r="AY50" s="237" t="e">
        <f t="shared" ca="1" si="45"/>
        <v>#VALUE!</v>
      </c>
      <c r="AZ50" s="237" t="e">
        <f t="shared" ca="1" si="46"/>
        <v>#VALUE!</v>
      </c>
    </row>
    <row r="51" spans="1:52" s="51" customFormat="1" ht="15" customHeight="1">
      <c r="A51" s="29" t="s">
        <v>9</v>
      </c>
      <c r="C51" s="50"/>
      <c r="D51" s="54" t="str">
        <f ca="1">_xll.DBRA("tango_core_model:legal_organization",A51,Language)</f>
        <v>Portugal</v>
      </c>
      <c r="E51" s="1"/>
      <c r="F51" s="88" t="e">
        <f ca="1">_xll.DBRW($B$3,$B$7,$B$5,$B$4,$B$6,$A51,$B$8,F$4,F$5,F$6)*F$7</f>
        <v>#VALUE!</v>
      </c>
      <c r="G51" s="88" t="e">
        <f ca="1">_xll.DBRW($B$3,$B$7,$B$5,$B$4,$B$6,$A51,$B$8,G$4,G$5,G$6)*G$7</f>
        <v>#VALUE!</v>
      </c>
      <c r="H51" s="88" t="e">
        <f ca="1">_xll.DBRW($B$3,$B$7,$B$5,$B$4,$B$6,$A51,$B$8,H$4,H$5,H$6)*H$7</f>
        <v>#VALUE!</v>
      </c>
      <c r="I51" s="88" t="e">
        <f t="shared" ca="1" si="28"/>
        <v>#VALUE!</v>
      </c>
      <c r="J51" s="88" t="e">
        <f t="shared" ca="1" si="29"/>
        <v>#VALUE!</v>
      </c>
      <c r="K51" s="241"/>
      <c r="L51" s="88" t="e">
        <f ca="1">_xll.DBRW($B$3,$B$7,$L$8,$B$4,$B$6,$A51,$B$8,L$4,L$5,L$6)*L$7</f>
        <v>#VALUE!</v>
      </c>
      <c r="M51" s="88" t="e">
        <f ca="1">_xll.DBRW($B$3,$B$7,$L$8,$B$4,$B$6,$A51,$B$8,M$4,M$5,M$6)*M$7</f>
        <v>#VALUE!</v>
      </c>
      <c r="N51" s="88" t="e">
        <f ca="1">_xll.DBRW($B$3,$B$7,$L$8,$B$4,$B$6,$A51,$B$8,N$4,N$5,N$6)*N$7</f>
        <v>#VALUE!</v>
      </c>
      <c r="O51" s="88" t="e">
        <f t="shared" ca="1" si="30"/>
        <v>#VALUE!</v>
      </c>
      <c r="P51" s="88" t="e">
        <f t="shared" ca="1" si="31"/>
        <v>#VALUE!</v>
      </c>
      <c r="Q51" s="241"/>
      <c r="R51" s="72" t="str">
        <f t="shared" ca="1" si="32"/>
        <v/>
      </c>
      <c r="S51" s="72" t="str">
        <f t="shared" ca="1" si="33"/>
        <v/>
      </c>
      <c r="T51" s="72" t="str">
        <f t="shared" ca="1" si="34"/>
        <v/>
      </c>
      <c r="U51" s="72" t="str">
        <f t="shared" ca="1" si="35"/>
        <v>-</v>
      </c>
      <c r="V51" s="72" t="str">
        <f t="shared" ca="1" si="36"/>
        <v>-</v>
      </c>
      <c r="W51" s="241"/>
      <c r="X51" s="88" t="e">
        <f ca="1">_xll.DBRW($B$3,$B$7,$B$5,$B$4,$B$6,$A51,$B$8,X$4,X$5,X$6)*X$7</f>
        <v>#VALUE!</v>
      </c>
      <c r="Y51" s="88" t="e">
        <f ca="1">_xll.DBRW($B$3,$B$7,$B$5,$B$4,$B$6,$A51,$B$8,Y$4,Y$5,Y$6)*Y$7</f>
        <v>#VALUE!</v>
      </c>
      <c r="Z51" s="88" t="e">
        <f ca="1">_xll.DBRW($B$3,$B$7,$B$5,$B$4,$B$6,$A51,$B$8,Z$4,Z$5,Z$6)*Z$7</f>
        <v>#VALUE!</v>
      </c>
      <c r="AA51" s="88" t="e">
        <f t="shared" ca="1" si="7"/>
        <v>#VALUE!</v>
      </c>
      <c r="AB51" s="88" t="e">
        <f t="shared" ca="1" si="8"/>
        <v>#VALUE!</v>
      </c>
      <c r="AC51" s="241"/>
      <c r="AD51" s="88" t="e">
        <f ca="1">_xll.DBRW($B$3,$B$7,$B$5,$B$4,$B$6,$A51,$B$8,AD$4,AD$5,AD$6)*AD$7</f>
        <v>#VALUE!</v>
      </c>
      <c r="AE51" s="88" t="e">
        <f ca="1">_xll.DBRW($B$3,$B$7,$B$5,$B$4,$B$6,$A51,$B$8,AE$4,AE$5,AE$6)*AE$7</f>
        <v>#VALUE!</v>
      </c>
      <c r="AF51" s="88" t="e">
        <f ca="1">_xll.DBRW($B$3,$B$7,$B$5,$B$4,$B$6,$A51,$B$8,AF$4,AF$5,AF$6)*AF$7</f>
        <v>#VALUE!</v>
      </c>
      <c r="AG51" s="88" t="e">
        <f t="shared" ca="1" si="9"/>
        <v>#VALUE!</v>
      </c>
      <c r="AH51" s="88" t="e">
        <f t="shared" ca="1" si="10"/>
        <v>#VALUE!</v>
      </c>
      <c r="AJ51" s="88" t="e">
        <f ca="1">_xll.DBRW($B$3,$B$7,$B$5,$B$4,$B$6,$A51,$B$8,AJ$4,AJ$5,AJ$6)*AJ$7</f>
        <v>#VALUE!</v>
      </c>
      <c r="AK51" s="88" t="e">
        <f ca="1">_xll.DBRW($B$3,$B$7,$B$5,$B$4,$B$6,$A51,$B$8,AK$4,AK$5,AK$6)*AK$7</f>
        <v>#VALUE!</v>
      </c>
      <c r="AL51" s="88" t="e">
        <f ca="1">_xll.DBRW($B$3,$B$7,$B$5,$B$4,$B$6,$A51,$B$8,AL$4,AL$5,AL$6)*AL$7</f>
        <v>#VALUE!</v>
      </c>
      <c r="AM51" s="88" t="e">
        <f t="shared" ca="1" si="11"/>
        <v>#VALUE!</v>
      </c>
      <c r="AN51" s="88" t="e">
        <f t="shared" ca="1" si="12"/>
        <v>#VALUE!</v>
      </c>
      <c r="AO51" s="241"/>
      <c r="AP51" s="88" t="str">
        <f t="shared" ca="1" si="37"/>
        <v>-</v>
      </c>
      <c r="AQ51" s="88" t="str">
        <f t="shared" ca="1" si="38"/>
        <v>-</v>
      </c>
      <c r="AR51" s="88" t="e">
        <f t="shared" ca="1" si="39"/>
        <v>#VALUE!</v>
      </c>
      <c r="AS51" s="88" t="e">
        <f t="shared" ca="1" si="40"/>
        <v>#VALUE!</v>
      </c>
      <c r="AT51" s="88" t="e">
        <f t="shared" ca="1" si="41"/>
        <v>#VALUE!</v>
      </c>
      <c r="AU51" s="247"/>
      <c r="AV51" s="88" t="str">
        <f t="shared" ca="1" si="42"/>
        <v>-</v>
      </c>
      <c r="AW51" s="88" t="str">
        <f t="shared" ca="1" si="43"/>
        <v>-</v>
      </c>
      <c r="AX51" s="88" t="e">
        <f t="shared" ca="1" si="44"/>
        <v>#VALUE!</v>
      </c>
      <c r="AY51" s="88" t="e">
        <f t="shared" ca="1" si="45"/>
        <v>#VALUE!</v>
      </c>
      <c r="AZ51" s="88" t="e">
        <f t="shared" ca="1" si="46"/>
        <v>#VALUE!</v>
      </c>
    </row>
    <row r="52" spans="1:52" s="51" customFormat="1" ht="15" customHeight="1">
      <c r="A52" s="29" t="s">
        <v>45</v>
      </c>
      <c r="C52" s="50"/>
      <c r="D52" s="54" t="str">
        <f ca="1">_xll.DBRA("tango_core_model:legal_organization",A52,Language)</f>
        <v>Espagne</v>
      </c>
      <c r="E52" s="1"/>
      <c r="F52" s="88" t="e">
        <f ca="1">_xll.DBRW($B$3,$B$7,$B$5,$B$4,$B$6,$A52,$B$8,F$4,F$5,F$6)*F$7</f>
        <v>#VALUE!</v>
      </c>
      <c r="G52" s="88" t="e">
        <f ca="1">_xll.DBRW($B$3,$B$7,$B$5,$B$4,$B$6,$A52,$B$8,G$4,G$5,G$6)*G$7</f>
        <v>#VALUE!</v>
      </c>
      <c r="H52" s="88" t="e">
        <f ca="1">_xll.DBRW($B$3,$B$7,$B$5,$B$4,$B$6,$A52,$B$8,H$4,H$5,H$6)*H$7</f>
        <v>#VALUE!</v>
      </c>
      <c r="I52" s="88" t="e">
        <f t="shared" ca="1" si="28"/>
        <v>#VALUE!</v>
      </c>
      <c r="J52" s="88" t="e">
        <f t="shared" ca="1" si="29"/>
        <v>#VALUE!</v>
      </c>
      <c r="K52" s="241"/>
      <c r="L52" s="88" t="e">
        <f ca="1">_xll.DBRW($B$3,$B$7,$L$8,$B$4,$B$6,$A52,$B$8,L$4,L$5,L$6)*L$7</f>
        <v>#VALUE!</v>
      </c>
      <c r="M52" s="88" t="e">
        <f ca="1">_xll.DBRW($B$3,$B$7,$L$8,$B$4,$B$6,$A52,$B$8,M$4,M$5,M$6)*M$7</f>
        <v>#VALUE!</v>
      </c>
      <c r="N52" s="88" t="e">
        <f ca="1">_xll.DBRW($B$3,$B$7,$L$8,$B$4,$B$6,$A52,$B$8,N$4,N$5,N$6)*N$7</f>
        <v>#VALUE!</v>
      </c>
      <c r="O52" s="88" t="e">
        <f t="shared" ca="1" si="30"/>
        <v>#VALUE!</v>
      </c>
      <c r="P52" s="88" t="e">
        <f t="shared" ca="1" si="31"/>
        <v>#VALUE!</v>
      </c>
      <c r="Q52" s="241"/>
      <c r="R52" s="72" t="str">
        <f t="shared" ca="1" si="32"/>
        <v/>
      </c>
      <c r="S52" s="72" t="str">
        <f t="shared" ca="1" si="33"/>
        <v/>
      </c>
      <c r="T52" s="72" t="str">
        <f t="shared" ca="1" si="34"/>
        <v/>
      </c>
      <c r="U52" s="72" t="str">
        <f t="shared" ca="1" si="35"/>
        <v>-</v>
      </c>
      <c r="V52" s="72" t="str">
        <f t="shared" ca="1" si="36"/>
        <v>-</v>
      </c>
      <c r="W52" s="241"/>
      <c r="X52" s="88" t="e">
        <f ca="1">_xll.DBRW($B$3,$B$7,$B$5,$B$4,$B$6,$A52,$B$8,X$4,X$5,X$6)*X$7</f>
        <v>#VALUE!</v>
      </c>
      <c r="Y52" s="88" t="e">
        <f ca="1">_xll.DBRW($B$3,$B$7,$B$5,$B$4,$B$6,$A52,$B$8,Y$4,Y$5,Y$6)*Y$7</f>
        <v>#VALUE!</v>
      </c>
      <c r="Z52" s="88" t="e">
        <f ca="1">_xll.DBRW($B$3,$B$7,$B$5,$B$4,$B$6,$A52,$B$8,Z$4,Z$5,Z$6)*Z$7</f>
        <v>#VALUE!</v>
      </c>
      <c r="AA52" s="88" t="e">
        <f t="shared" ca="1" si="7"/>
        <v>#VALUE!</v>
      </c>
      <c r="AB52" s="88" t="e">
        <f t="shared" ca="1" si="8"/>
        <v>#VALUE!</v>
      </c>
      <c r="AC52" s="241"/>
      <c r="AD52" s="88" t="e">
        <f ca="1">_xll.DBRW($B$3,$B$7,$B$5,$B$4,$B$6,$A52,$B$8,AD$4,AD$5,AD$6)*AD$7</f>
        <v>#VALUE!</v>
      </c>
      <c r="AE52" s="88" t="e">
        <f ca="1">_xll.DBRW($B$3,$B$7,$B$5,$B$4,$B$6,$A52,$B$8,AE$4,AE$5,AE$6)*AE$7</f>
        <v>#VALUE!</v>
      </c>
      <c r="AF52" s="88" t="e">
        <f ca="1">_xll.DBRW($B$3,$B$7,$B$5,$B$4,$B$6,$A52,$B$8,AF$4,AF$5,AF$6)*AF$7</f>
        <v>#VALUE!</v>
      </c>
      <c r="AG52" s="88" t="e">
        <f t="shared" ca="1" si="9"/>
        <v>#VALUE!</v>
      </c>
      <c r="AH52" s="88" t="e">
        <f t="shared" ca="1" si="10"/>
        <v>#VALUE!</v>
      </c>
      <c r="AJ52" s="88" t="e">
        <f ca="1">_xll.DBRW($B$3,$B$7,$B$5,$B$4,$B$6,$A52,$B$8,AJ$4,AJ$5,AJ$6)*AJ$7</f>
        <v>#VALUE!</v>
      </c>
      <c r="AK52" s="88" t="e">
        <f ca="1">_xll.DBRW($B$3,$B$7,$B$5,$B$4,$B$6,$A52,$B$8,AK$4,AK$5,AK$6)*AK$7</f>
        <v>#VALUE!</v>
      </c>
      <c r="AL52" s="88" t="e">
        <f ca="1">_xll.DBRW($B$3,$B$7,$B$5,$B$4,$B$6,$A52,$B$8,AL$4,AL$5,AL$6)*AL$7</f>
        <v>#VALUE!</v>
      </c>
      <c r="AM52" s="88" t="e">
        <f t="shared" ca="1" si="11"/>
        <v>#VALUE!</v>
      </c>
      <c r="AN52" s="88" t="e">
        <f t="shared" ca="1" si="12"/>
        <v>#VALUE!</v>
      </c>
      <c r="AO52" s="241"/>
      <c r="AP52" s="88" t="str">
        <f t="shared" ca="1" si="37"/>
        <v>-</v>
      </c>
      <c r="AQ52" s="88" t="str">
        <f t="shared" ca="1" si="38"/>
        <v>-</v>
      </c>
      <c r="AR52" s="88" t="e">
        <f t="shared" ca="1" si="39"/>
        <v>#VALUE!</v>
      </c>
      <c r="AS52" s="88" t="e">
        <f t="shared" ca="1" si="40"/>
        <v>#VALUE!</v>
      </c>
      <c r="AT52" s="88" t="e">
        <f t="shared" ca="1" si="41"/>
        <v>#VALUE!</v>
      </c>
      <c r="AU52" s="247"/>
      <c r="AV52" s="88" t="str">
        <f t="shared" ca="1" si="42"/>
        <v>-</v>
      </c>
      <c r="AW52" s="88" t="str">
        <f t="shared" ca="1" si="43"/>
        <v>-</v>
      </c>
      <c r="AX52" s="88" t="e">
        <f t="shared" ca="1" si="44"/>
        <v>#VALUE!</v>
      </c>
      <c r="AY52" s="88" t="e">
        <f t="shared" ca="1" si="45"/>
        <v>#VALUE!</v>
      </c>
      <c r="AZ52" s="88" t="e">
        <f t="shared" ca="1" si="46"/>
        <v>#VALUE!</v>
      </c>
    </row>
    <row r="53" spans="1:52" s="51" customFormat="1" ht="15" customHeight="1">
      <c r="A53" s="29" t="s">
        <v>94</v>
      </c>
      <c r="C53" s="50"/>
      <c r="D53" s="54" t="str">
        <f ca="1">_xll.DBRA("tango_core_model:legal_organization",A53,Language)</f>
        <v>Colombie</v>
      </c>
      <c r="E53" s="1"/>
      <c r="F53" s="88" t="e">
        <f ca="1">_xll.DBRW($B$3,$B$7,$B$5,$B$4,$B$6,$A53,$B$8,F$4,F$5,F$6)*F$7</f>
        <v>#VALUE!</v>
      </c>
      <c r="G53" s="88" t="e">
        <f ca="1">_xll.DBRW($B$3,$B$7,$B$5,$B$4,$B$6,$A53,$B$8,G$4,G$5,G$6)*G$7</f>
        <v>#VALUE!</v>
      </c>
      <c r="H53" s="88" t="e">
        <f ca="1">_xll.DBRW($B$3,$B$7,$B$5,$B$4,$B$6,$A53,$B$8,H$4,H$5,H$6)*H$7</f>
        <v>#VALUE!</v>
      </c>
      <c r="I53" s="88" t="e">
        <f t="shared" ca="1" si="28"/>
        <v>#VALUE!</v>
      </c>
      <c r="J53" s="88" t="e">
        <f t="shared" ca="1" si="29"/>
        <v>#VALUE!</v>
      </c>
      <c r="K53" s="241"/>
      <c r="L53" s="88" t="e">
        <f ca="1">_xll.DBRW($B$3,$B$7,$L$8,$B$4,$B$6,$A53,$B$8,L$4,L$5,L$6)*L$7</f>
        <v>#VALUE!</v>
      </c>
      <c r="M53" s="88" t="e">
        <f ca="1">_xll.DBRW($B$3,$B$7,$L$8,$B$4,$B$6,$A53,$B$8,M$4,M$5,M$6)*M$7</f>
        <v>#VALUE!</v>
      </c>
      <c r="N53" s="88" t="e">
        <f ca="1">_xll.DBRW($B$3,$B$7,$L$8,$B$4,$B$6,$A53,$B$8,N$4,N$5,N$6)*N$7</f>
        <v>#VALUE!</v>
      </c>
      <c r="O53" s="88" t="e">
        <f t="shared" ca="1" si="30"/>
        <v>#VALUE!</v>
      </c>
      <c r="P53" s="88" t="e">
        <f t="shared" ca="1" si="31"/>
        <v>#VALUE!</v>
      </c>
      <c r="Q53" s="241"/>
      <c r="R53" s="72" t="str">
        <f t="shared" ca="1" si="32"/>
        <v/>
      </c>
      <c r="S53" s="72" t="str">
        <f t="shared" ca="1" si="33"/>
        <v/>
      </c>
      <c r="T53" s="72" t="str">
        <f t="shared" ca="1" si="34"/>
        <v/>
      </c>
      <c r="U53" s="72" t="str">
        <f t="shared" ca="1" si="35"/>
        <v>-</v>
      </c>
      <c r="V53" s="72" t="str">
        <f t="shared" ca="1" si="36"/>
        <v>-</v>
      </c>
      <c r="W53" s="241"/>
      <c r="X53" s="88" t="e">
        <f ca="1">_xll.DBRW($B$3,$B$7,$B$5,$B$4,$B$6,$A53,$B$8,X$4,X$5,X$6)*X$7</f>
        <v>#VALUE!</v>
      </c>
      <c r="Y53" s="88" t="e">
        <f ca="1">_xll.DBRW($B$3,$B$7,$B$5,$B$4,$B$6,$A53,$B$8,Y$4,Y$5,Y$6)*Y$7</f>
        <v>#VALUE!</v>
      </c>
      <c r="Z53" s="88" t="e">
        <f ca="1">_xll.DBRW($B$3,$B$7,$B$5,$B$4,$B$6,$A53,$B$8,Z$4,Z$5,Z$6)*Z$7</f>
        <v>#VALUE!</v>
      </c>
      <c r="AA53" s="88" t="e">
        <f t="shared" ca="1" si="7"/>
        <v>#VALUE!</v>
      </c>
      <c r="AB53" s="88" t="e">
        <f t="shared" ca="1" si="8"/>
        <v>#VALUE!</v>
      </c>
      <c r="AC53" s="241"/>
      <c r="AD53" s="88" t="e">
        <f ca="1">_xll.DBRW($B$3,$B$7,$B$5,$B$4,$B$6,$A53,$B$8,AD$4,AD$5,AD$6)*AD$7</f>
        <v>#VALUE!</v>
      </c>
      <c r="AE53" s="88" t="e">
        <f ca="1">_xll.DBRW($B$3,$B$7,$B$5,$B$4,$B$6,$A53,$B$8,AE$4,AE$5,AE$6)*AE$7</f>
        <v>#VALUE!</v>
      </c>
      <c r="AF53" s="88" t="e">
        <f ca="1">_xll.DBRW($B$3,$B$7,$B$5,$B$4,$B$6,$A53,$B$8,AF$4,AF$5,AF$6)*AF$7</f>
        <v>#VALUE!</v>
      </c>
      <c r="AG53" s="88" t="e">
        <f t="shared" ca="1" si="9"/>
        <v>#VALUE!</v>
      </c>
      <c r="AH53" s="88" t="e">
        <f t="shared" ca="1" si="10"/>
        <v>#VALUE!</v>
      </c>
      <c r="AJ53" s="88" t="e">
        <f ca="1">_xll.DBRW($B$3,$B$7,$B$5,$B$4,$B$6,$A53,$B$8,AJ$4,AJ$5,AJ$6)*AJ$7</f>
        <v>#VALUE!</v>
      </c>
      <c r="AK53" s="88" t="e">
        <f ca="1">_xll.DBRW($B$3,$B$7,$B$5,$B$4,$B$6,$A53,$B$8,AK$4,AK$5,AK$6)*AK$7</f>
        <v>#VALUE!</v>
      </c>
      <c r="AL53" s="88" t="e">
        <f ca="1">_xll.DBRW($B$3,$B$7,$B$5,$B$4,$B$6,$A53,$B$8,AL$4,AL$5,AL$6)*AL$7</f>
        <v>#VALUE!</v>
      </c>
      <c r="AM53" s="88" t="e">
        <f t="shared" ca="1" si="11"/>
        <v>#VALUE!</v>
      </c>
      <c r="AN53" s="88" t="e">
        <f t="shared" ca="1" si="12"/>
        <v>#VALUE!</v>
      </c>
      <c r="AO53" s="241"/>
      <c r="AP53" s="88" t="str">
        <f t="shared" ca="1" si="37"/>
        <v>-</v>
      </c>
      <c r="AQ53" s="88" t="str">
        <f t="shared" ca="1" si="38"/>
        <v>-</v>
      </c>
      <c r="AR53" s="88" t="e">
        <f t="shared" ca="1" si="39"/>
        <v>#VALUE!</v>
      </c>
      <c r="AS53" s="88" t="e">
        <f t="shared" ca="1" si="40"/>
        <v>#VALUE!</v>
      </c>
      <c r="AT53" s="88" t="e">
        <f t="shared" ca="1" si="41"/>
        <v>#VALUE!</v>
      </c>
      <c r="AU53" s="247"/>
      <c r="AV53" s="88" t="str">
        <f t="shared" ca="1" si="42"/>
        <v>-</v>
      </c>
      <c r="AW53" s="88" t="str">
        <f t="shared" ca="1" si="43"/>
        <v>-</v>
      </c>
      <c r="AX53" s="88" t="e">
        <f t="shared" ca="1" si="44"/>
        <v>#VALUE!</v>
      </c>
      <c r="AY53" s="88" t="e">
        <f t="shared" ca="1" si="45"/>
        <v>#VALUE!</v>
      </c>
      <c r="AZ53" s="88" t="e">
        <f t="shared" ca="1" si="46"/>
        <v>#VALUE!</v>
      </c>
    </row>
    <row r="54" spans="1:52" s="51" customFormat="1" ht="15" customHeight="1">
      <c r="A54" s="29" t="s">
        <v>46</v>
      </c>
      <c r="C54" s="50"/>
      <c r="D54" s="54" t="str">
        <f ca="1">_xll.DBRA("tango_core_model:legal_organization",A54,Language)</f>
        <v>Chili</v>
      </c>
      <c r="E54" s="1"/>
      <c r="F54" s="88" t="e">
        <f ca="1">_xll.DBRW($B$3,$B$7,$B$5,$B$4,$B$6,$A54,$B$8,F$4,F$5,F$6)*F$7</f>
        <v>#VALUE!</v>
      </c>
      <c r="G54" s="88" t="e">
        <f ca="1">_xll.DBRW($B$3,$B$7,$B$5,$B$4,$B$6,$A54,$B$8,G$4,G$5,G$6)*G$7</f>
        <v>#VALUE!</v>
      </c>
      <c r="H54" s="88" t="e">
        <f ca="1">_xll.DBRW($B$3,$B$7,$B$5,$B$4,$B$6,$A54,$B$8,H$4,H$5,H$6)*H$7</f>
        <v>#VALUE!</v>
      </c>
      <c r="I54" s="88" t="e">
        <f t="shared" ca="1" si="28"/>
        <v>#VALUE!</v>
      </c>
      <c r="J54" s="88" t="e">
        <f t="shared" ca="1" si="29"/>
        <v>#VALUE!</v>
      </c>
      <c r="K54" s="241"/>
      <c r="L54" s="88" t="e">
        <f ca="1">_xll.DBRW($B$3,$B$7,$L$8,$B$4,$B$6,$A54,$B$8,L$4,L$5,L$6)*L$7</f>
        <v>#VALUE!</v>
      </c>
      <c r="M54" s="88" t="e">
        <f ca="1">_xll.DBRW($B$3,$B$7,$L$8,$B$4,$B$6,$A54,$B$8,M$4,M$5,M$6)*M$7</f>
        <v>#VALUE!</v>
      </c>
      <c r="N54" s="88" t="e">
        <f ca="1">_xll.DBRW($B$3,$B$7,$L$8,$B$4,$B$6,$A54,$B$8,N$4,N$5,N$6)*N$7</f>
        <v>#VALUE!</v>
      </c>
      <c r="O54" s="88" t="e">
        <f t="shared" ca="1" si="30"/>
        <v>#VALUE!</v>
      </c>
      <c r="P54" s="88" t="e">
        <f t="shared" ca="1" si="31"/>
        <v>#VALUE!</v>
      </c>
      <c r="Q54" s="241"/>
      <c r="R54" s="72" t="str">
        <f t="shared" ca="1" si="32"/>
        <v/>
      </c>
      <c r="S54" s="72" t="str">
        <f t="shared" ca="1" si="33"/>
        <v/>
      </c>
      <c r="T54" s="72" t="str">
        <f t="shared" ca="1" si="34"/>
        <v/>
      </c>
      <c r="U54" s="72" t="str">
        <f t="shared" ca="1" si="35"/>
        <v>-</v>
      </c>
      <c r="V54" s="72" t="str">
        <f t="shared" ca="1" si="36"/>
        <v>-</v>
      </c>
      <c r="W54" s="241"/>
      <c r="X54" s="88" t="e">
        <f ca="1">_xll.DBRW($B$3,$B$7,$B$5,$B$4,$B$6,$A54,$B$8,X$4,X$5,X$6)*X$7</f>
        <v>#VALUE!</v>
      </c>
      <c r="Y54" s="88" t="e">
        <f ca="1">_xll.DBRW($B$3,$B$7,$B$5,$B$4,$B$6,$A54,$B$8,Y$4,Y$5,Y$6)*Y$7</f>
        <v>#VALUE!</v>
      </c>
      <c r="Z54" s="88" t="e">
        <f ca="1">_xll.DBRW($B$3,$B$7,$B$5,$B$4,$B$6,$A54,$B$8,Z$4,Z$5,Z$6)*Z$7</f>
        <v>#VALUE!</v>
      </c>
      <c r="AA54" s="88" t="e">
        <f t="shared" ca="1" si="7"/>
        <v>#VALUE!</v>
      </c>
      <c r="AB54" s="88" t="e">
        <f t="shared" ca="1" si="8"/>
        <v>#VALUE!</v>
      </c>
      <c r="AC54" s="241"/>
      <c r="AD54" s="88" t="e">
        <f ca="1">_xll.DBRW($B$3,$B$7,$B$5,$B$4,$B$6,$A54,$B$8,AD$4,AD$5,AD$6)*AD$7</f>
        <v>#VALUE!</v>
      </c>
      <c r="AE54" s="88" t="e">
        <f ca="1">_xll.DBRW($B$3,$B$7,$B$5,$B$4,$B$6,$A54,$B$8,AE$4,AE$5,AE$6)*AE$7</f>
        <v>#VALUE!</v>
      </c>
      <c r="AF54" s="88" t="e">
        <f ca="1">_xll.DBRW($B$3,$B$7,$B$5,$B$4,$B$6,$A54,$B$8,AF$4,AF$5,AF$6)*AF$7</f>
        <v>#VALUE!</v>
      </c>
      <c r="AG54" s="88" t="e">
        <f t="shared" ca="1" si="9"/>
        <v>#VALUE!</v>
      </c>
      <c r="AH54" s="88" t="e">
        <f t="shared" ca="1" si="10"/>
        <v>#VALUE!</v>
      </c>
      <c r="AJ54" s="88" t="e">
        <f ca="1">_xll.DBRW($B$3,$B$7,$B$5,$B$4,$B$6,$A54,$B$8,AJ$4,AJ$5,AJ$6)*AJ$7</f>
        <v>#VALUE!</v>
      </c>
      <c r="AK54" s="88" t="e">
        <f ca="1">_xll.DBRW($B$3,$B$7,$B$5,$B$4,$B$6,$A54,$B$8,AK$4,AK$5,AK$6)*AK$7</f>
        <v>#VALUE!</v>
      </c>
      <c r="AL54" s="88" t="e">
        <f ca="1">_xll.DBRW($B$3,$B$7,$B$5,$B$4,$B$6,$A54,$B$8,AL$4,AL$5,AL$6)*AL$7</f>
        <v>#VALUE!</v>
      </c>
      <c r="AM54" s="88" t="e">
        <f t="shared" ca="1" si="11"/>
        <v>#VALUE!</v>
      </c>
      <c r="AN54" s="88" t="e">
        <f t="shared" ca="1" si="12"/>
        <v>#VALUE!</v>
      </c>
      <c r="AO54" s="241"/>
      <c r="AP54" s="88" t="str">
        <f t="shared" ca="1" si="37"/>
        <v>-</v>
      </c>
      <c r="AQ54" s="88" t="str">
        <f t="shared" ca="1" si="38"/>
        <v>-</v>
      </c>
      <c r="AR54" s="88" t="e">
        <f t="shared" ca="1" si="39"/>
        <v>#VALUE!</v>
      </c>
      <c r="AS54" s="88" t="e">
        <f t="shared" ca="1" si="40"/>
        <v>#VALUE!</v>
      </c>
      <c r="AT54" s="88" t="e">
        <f t="shared" ca="1" si="41"/>
        <v>#VALUE!</v>
      </c>
      <c r="AU54" s="247"/>
      <c r="AV54" s="88" t="str">
        <f t="shared" ca="1" si="42"/>
        <v>-</v>
      </c>
      <c r="AW54" s="88" t="str">
        <f t="shared" ca="1" si="43"/>
        <v>-</v>
      </c>
      <c r="AX54" s="88" t="e">
        <f t="shared" ca="1" si="44"/>
        <v>#VALUE!</v>
      </c>
      <c r="AY54" s="88" t="e">
        <f t="shared" ca="1" si="45"/>
        <v>#VALUE!</v>
      </c>
      <c r="AZ54" s="88" t="e">
        <f t="shared" ca="1" si="46"/>
        <v>#VALUE!</v>
      </c>
    </row>
    <row r="55" spans="1:52" s="51" customFormat="1" ht="15" customHeight="1">
      <c r="A55" s="29" t="s">
        <v>47</v>
      </c>
      <c r="C55" s="50"/>
      <c r="D55" s="54" t="str">
        <f ca="1">_xll.DBRA("tango_core_model:legal_organization",A55,Language)</f>
        <v>Maroc</v>
      </c>
      <c r="E55" s="1"/>
      <c r="F55" s="88" t="e">
        <f ca="1">_xll.DBRW($B$3,$B$7,$B$5,$B$4,$B$6,$A55,$B$8,F$4,F$5,F$6)*F$7</f>
        <v>#VALUE!</v>
      </c>
      <c r="G55" s="88" t="e">
        <f ca="1">_xll.DBRW($B$3,$B$7,$B$5,$B$4,$B$6,$A55,$B$8,G$4,G$5,G$6)*G$7</f>
        <v>#VALUE!</v>
      </c>
      <c r="H55" s="88" t="e">
        <f ca="1">_xll.DBRW($B$3,$B$7,$B$5,$B$4,$B$6,$A55,$B$8,H$4,H$5,H$6)*H$7</f>
        <v>#VALUE!</v>
      </c>
      <c r="I55" s="88" t="e">
        <f t="shared" ca="1" si="28"/>
        <v>#VALUE!</v>
      </c>
      <c r="J55" s="88" t="e">
        <f t="shared" ca="1" si="29"/>
        <v>#VALUE!</v>
      </c>
      <c r="K55" s="241"/>
      <c r="L55" s="88" t="e">
        <f ca="1">_xll.DBRW($B$3,$B$7,$L$8,$B$4,$B$6,$A55,$B$8,L$4,L$5,L$6)*L$7</f>
        <v>#VALUE!</v>
      </c>
      <c r="M55" s="88" t="e">
        <f ca="1">_xll.DBRW($B$3,$B$7,$L$8,$B$4,$B$6,$A55,$B$8,M$4,M$5,M$6)*M$7</f>
        <v>#VALUE!</v>
      </c>
      <c r="N55" s="88" t="e">
        <f ca="1">_xll.DBRW($B$3,$B$7,$L$8,$B$4,$B$6,$A55,$B$8,N$4,N$5,N$6)*N$7</f>
        <v>#VALUE!</v>
      </c>
      <c r="O55" s="88" t="e">
        <f t="shared" ca="1" si="30"/>
        <v>#VALUE!</v>
      </c>
      <c r="P55" s="88" t="e">
        <f t="shared" ca="1" si="31"/>
        <v>#VALUE!</v>
      </c>
      <c r="Q55" s="241"/>
      <c r="R55" s="72" t="str">
        <f t="shared" ca="1" si="32"/>
        <v/>
      </c>
      <c r="S55" s="72" t="str">
        <f t="shared" ca="1" si="33"/>
        <v/>
      </c>
      <c r="T55" s="72" t="str">
        <f t="shared" ca="1" si="34"/>
        <v/>
      </c>
      <c r="U55" s="72" t="str">
        <f t="shared" ca="1" si="35"/>
        <v>-</v>
      </c>
      <c r="V55" s="72" t="str">
        <f t="shared" ca="1" si="36"/>
        <v>-</v>
      </c>
      <c r="W55" s="241"/>
      <c r="X55" s="88" t="e">
        <f ca="1">_xll.DBRW($B$3,$B$7,$B$5,$B$4,$B$6,$A55,$B$8,X$4,X$5,X$6)*X$7</f>
        <v>#VALUE!</v>
      </c>
      <c r="Y55" s="88" t="e">
        <f ca="1">_xll.DBRW($B$3,$B$7,$B$5,$B$4,$B$6,$A55,$B$8,Y$4,Y$5,Y$6)*Y$7</f>
        <v>#VALUE!</v>
      </c>
      <c r="Z55" s="88" t="e">
        <f ca="1">_xll.DBRW($B$3,$B$7,$B$5,$B$4,$B$6,$A55,$B$8,Z$4,Z$5,Z$6)*Z$7</f>
        <v>#VALUE!</v>
      </c>
      <c r="AA55" s="88" t="e">
        <f t="shared" ca="1" si="7"/>
        <v>#VALUE!</v>
      </c>
      <c r="AB55" s="88" t="e">
        <f t="shared" ca="1" si="8"/>
        <v>#VALUE!</v>
      </c>
      <c r="AC55" s="241"/>
      <c r="AD55" s="88" t="e">
        <f ca="1">_xll.DBRW($B$3,$B$7,$B$5,$B$4,$B$6,$A55,$B$8,AD$4,AD$5,AD$6)*AD$7</f>
        <v>#VALUE!</v>
      </c>
      <c r="AE55" s="88" t="e">
        <f ca="1">_xll.DBRW($B$3,$B$7,$B$5,$B$4,$B$6,$A55,$B$8,AE$4,AE$5,AE$6)*AE$7</f>
        <v>#VALUE!</v>
      </c>
      <c r="AF55" s="88" t="e">
        <f ca="1">_xll.DBRW($B$3,$B$7,$B$5,$B$4,$B$6,$A55,$B$8,AF$4,AF$5,AF$6)*AF$7</f>
        <v>#VALUE!</v>
      </c>
      <c r="AG55" s="88" t="e">
        <f t="shared" ca="1" si="9"/>
        <v>#VALUE!</v>
      </c>
      <c r="AH55" s="88" t="e">
        <f t="shared" ca="1" si="10"/>
        <v>#VALUE!</v>
      </c>
      <c r="AJ55" s="88" t="e">
        <f ca="1">_xll.DBRW($B$3,$B$7,$B$5,$B$4,$B$6,$A55,$B$8,AJ$4,AJ$5,AJ$6)*AJ$7</f>
        <v>#VALUE!</v>
      </c>
      <c r="AK55" s="88" t="e">
        <f ca="1">_xll.DBRW($B$3,$B$7,$B$5,$B$4,$B$6,$A55,$B$8,AK$4,AK$5,AK$6)*AK$7</f>
        <v>#VALUE!</v>
      </c>
      <c r="AL55" s="88" t="e">
        <f ca="1">_xll.DBRW($B$3,$B$7,$B$5,$B$4,$B$6,$A55,$B$8,AL$4,AL$5,AL$6)*AL$7</f>
        <v>#VALUE!</v>
      </c>
      <c r="AM55" s="88" t="e">
        <f t="shared" ca="1" si="11"/>
        <v>#VALUE!</v>
      </c>
      <c r="AN55" s="88" t="e">
        <f t="shared" ca="1" si="12"/>
        <v>#VALUE!</v>
      </c>
      <c r="AO55" s="241"/>
      <c r="AP55" s="88" t="str">
        <f t="shared" ca="1" si="37"/>
        <v>-</v>
      </c>
      <c r="AQ55" s="88" t="str">
        <f t="shared" ca="1" si="38"/>
        <v>-</v>
      </c>
      <c r="AR55" s="88" t="e">
        <f t="shared" ca="1" si="39"/>
        <v>#VALUE!</v>
      </c>
      <c r="AS55" s="88" t="e">
        <f t="shared" ca="1" si="40"/>
        <v>#VALUE!</v>
      </c>
      <c r="AT55" s="88" t="e">
        <f t="shared" ca="1" si="41"/>
        <v>#VALUE!</v>
      </c>
      <c r="AU55" s="247"/>
      <c r="AV55" s="88" t="str">
        <f t="shared" ca="1" si="42"/>
        <v>-</v>
      </c>
      <c r="AW55" s="88" t="str">
        <f t="shared" ca="1" si="43"/>
        <v>-</v>
      </c>
      <c r="AX55" s="88" t="e">
        <f t="shared" ca="1" si="44"/>
        <v>#VALUE!</v>
      </c>
      <c r="AY55" s="88" t="e">
        <f t="shared" ca="1" si="45"/>
        <v>#VALUE!</v>
      </c>
      <c r="AZ55" s="88" t="e">
        <f t="shared" ca="1" si="46"/>
        <v>#VALUE!</v>
      </c>
    </row>
    <row r="56" spans="1:52" s="51" customFormat="1" ht="15" customHeight="1">
      <c r="A56" s="29" t="s">
        <v>95</v>
      </c>
      <c r="C56" s="50"/>
      <c r="D56" s="54" t="str">
        <f ca="1">_xll.DBRA("tango_core_model:legal_organization",A56,Language)</f>
        <v>Lignes Internationales</v>
      </c>
      <c r="E56" s="1"/>
      <c r="F56" s="88" t="e">
        <f ca="1">_xll.DBRW($B$3,$B$7,$B$5,$B$4,$B$6,$A56,$B$8,F$4,F$5,F$6)*F$7</f>
        <v>#VALUE!</v>
      </c>
      <c r="G56" s="88" t="e">
        <f ca="1">_xll.DBRW($B$3,$B$7,$B$5,$B$4,$B$6,$A56,$B$8,G$4,G$5,G$6)*G$7</f>
        <v>#VALUE!</v>
      </c>
      <c r="H56" s="88" t="e">
        <f ca="1">_xll.DBRW($B$3,$B$7,$B$5,$B$4,$B$6,$A56,$B$8,H$4,H$5,H$6)*H$7</f>
        <v>#VALUE!</v>
      </c>
      <c r="I56" s="88" t="e">
        <f t="shared" ca="1" si="28"/>
        <v>#VALUE!</v>
      </c>
      <c r="J56" s="88" t="e">
        <f t="shared" ca="1" si="29"/>
        <v>#VALUE!</v>
      </c>
      <c r="K56" s="241"/>
      <c r="L56" s="88" t="e">
        <f ca="1">_xll.DBRW($B$3,$B$7,$L$8,$B$4,$B$6,$A56,$B$8,L$4,L$5,L$6)*L$7</f>
        <v>#VALUE!</v>
      </c>
      <c r="M56" s="88" t="e">
        <f ca="1">_xll.DBRW($B$3,$B$7,$L$8,$B$4,$B$6,$A56,$B$8,M$4,M$5,M$6)*M$7</f>
        <v>#VALUE!</v>
      </c>
      <c r="N56" s="88" t="e">
        <f ca="1">_xll.DBRW($B$3,$B$7,$L$8,$B$4,$B$6,$A56,$B$8,N$4,N$5,N$6)*N$7</f>
        <v>#VALUE!</v>
      </c>
      <c r="O56" s="88" t="e">
        <f t="shared" ca="1" si="30"/>
        <v>#VALUE!</v>
      </c>
      <c r="P56" s="88" t="e">
        <f t="shared" ca="1" si="31"/>
        <v>#VALUE!</v>
      </c>
      <c r="Q56" s="241"/>
      <c r="R56" s="72" t="str">
        <f t="shared" ca="1" si="32"/>
        <v/>
      </c>
      <c r="S56" s="72" t="str">
        <f t="shared" ca="1" si="33"/>
        <v/>
      </c>
      <c r="T56" s="72" t="str">
        <f t="shared" ca="1" si="34"/>
        <v/>
      </c>
      <c r="U56" s="72" t="str">
        <f t="shared" ca="1" si="35"/>
        <v>-</v>
      </c>
      <c r="V56" s="72" t="str">
        <f t="shared" ca="1" si="36"/>
        <v>-</v>
      </c>
      <c r="W56" s="241"/>
      <c r="X56" s="88" t="e">
        <f ca="1">_xll.DBRW($B$3,$B$7,$B$5,$B$4,$B$6,$A56,$B$8,X$4,X$5,X$6)*X$7</f>
        <v>#VALUE!</v>
      </c>
      <c r="Y56" s="88" t="e">
        <f ca="1">_xll.DBRW($B$3,$B$7,$B$5,$B$4,$B$6,$A56,$B$8,Y$4,Y$5,Y$6)*Y$7</f>
        <v>#VALUE!</v>
      </c>
      <c r="Z56" s="88" t="e">
        <f ca="1">_xll.DBRW($B$3,$B$7,$B$5,$B$4,$B$6,$A56,$B$8,Z$4,Z$5,Z$6)*Z$7</f>
        <v>#VALUE!</v>
      </c>
      <c r="AA56" s="88" t="e">
        <f t="shared" ca="1" si="7"/>
        <v>#VALUE!</v>
      </c>
      <c r="AB56" s="88" t="e">
        <f t="shared" ca="1" si="8"/>
        <v>#VALUE!</v>
      </c>
      <c r="AC56" s="241"/>
      <c r="AD56" s="88" t="e">
        <f ca="1">_xll.DBRW($B$3,$B$7,$B$5,$B$4,$B$6,$A56,$B$8,AD$4,AD$5,AD$6)*AD$7</f>
        <v>#VALUE!</v>
      </c>
      <c r="AE56" s="88" t="e">
        <f ca="1">_xll.DBRW($B$3,$B$7,$B$5,$B$4,$B$6,$A56,$B$8,AE$4,AE$5,AE$6)*AE$7</f>
        <v>#VALUE!</v>
      </c>
      <c r="AF56" s="88" t="e">
        <f ca="1">_xll.DBRW($B$3,$B$7,$B$5,$B$4,$B$6,$A56,$B$8,AF$4,AF$5,AF$6)*AF$7</f>
        <v>#VALUE!</v>
      </c>
      <c r="AG56" s="88" t="e">
        <f t="shared" ca="1" si="9"/>
        <v>#VALUE!</v>
      </c>
      <c r="AH56" s="88" t="e">
        <f t="shared" ca="1" si="10"/>
        <v>#VALUE!</v>
      </c>
      <c r="AJ56" s="88" t="e">
        <f ca="1">_xll.DBRW($B$3,$B$7,$B$5,$B$4,$B$6,$A56,$B$8,AJ$4,AJ$5,AJ$6)*AJ$7</f>
        <v>#VALUE!</v>
      </c>
      <c r="AK56" s="88" t="e">
        <f ca="1">_xll.DBRW($B$3,$B$7,$B$5,$B$4,$B$6,$A56,$B$8,AK$4,AK$5,AK$6)*AK$7</f>
        <v>#VALUE!</v>
      </c>
      <c r="AL56" s="88" t="e">
        <f ca="1">_xll.DBRW($B$3,$B$7,$B$5,$B$4,$B$6,$A56,$B$8,AL$4,AL$5,AL$6)*AL$7</f>
        <v>#VALUE!</v>
      </c>
      <c r="AM56" s="88" t="e">
        <f t="shared" ca="1" si="11"/>
        <v>#VALUE!</v>
      </c>
      <c r="AN56" s="88" t="e">
        <f t="shared" ca="1" si="12"/>
        <v>#VALUE!</v>
      </c>
      <c r="AO56" s="241"/>
      <c r="AP56" s="88" t="str">
        <f t="shared" ca="1" si="37"/>
        <v>-</v>
      </c>
      <c r="AQ56" s="88" t="str">
        <f t="shared" ca="1" si="38"/>
        <v>-</v>
      </c>
      <c r="AR56" s="88" t="e">
        <f t="shared" ca="1" si="39"/>
        <v>#VALUE!</v>
      </c>
      <c r="AS56" s="88" t="e">
        <f t="shared" ca="1" si="40"/>
        <v>#VALUE!</v>
      </c>
      <c r="AT56" s="88" t="e">
        <f t="shared" ca="1" si="41"/>
        <v>#VALUE!</v>
      </c>
      <c r="AU56" s="247"/>
      <c r="AV56" s="88" t="str">
        <f t="shared" ca="1" si="42"/>
        <v>-</v>
      </c>
      <c r="AW56" s="88" t="str">
        <f t="shared" ca="1" si="43"/>
        <v>-</v>
      </c>
      <c r="AX56" s="88" t="e">
        <f t="shared" ca="1" si="44"/>
        <v>#VALUE!</v>
      </c>
      <c r="AY56" s="88" t="e">
        <f t="shared" ca="1" si="45"/>
        <v>#VALUE!</v>
      </c>
      <c r="AZ56" s="88" t="e">
        <f t="shared" ca="1" si="46"/>
        <v>#VALUE!</v>
      </c>
    </row>
    <row r="57" spans="1:52" s="28" customFormat="1" ht="20.100000000000001" customHeight="1">
      <c r="A57" s="29" t="s">
        <v>96</v>
      </c>
      <c r="C57" s="50"/>
      <c r="D57" s="52" t="str">
        <f ca="1">_xll.DBRA("tango_core_model:legal_organization",A57,Language)</f>
        <v>TDV Corporate</v>
      </c>
      <c r="E57" s="20"/>
      <c r="F57" s="237" t="e">
        <f ca="1">_xll.DBRW($B$3,$B$7,$B$5,$B$4,$B$6,$A57,$B$8,F$4,F$5,F$6)*F$7</f>
        <v>#VALUE!</v>
      </c>
      <c r="G57" s="237" t="e">
        <f ca="1">_xll.DBRW($B$3,$B$7,$B$5,$B$4,$B$6,$A57,$B$8,G$4,G$5,G$6)*G$7</f>
        <v>#VALUE!</v>
      </c>
      <c r="H57" s="237" t="e">
        <f ca="1">_xll.DBRW($B$3,$B$7,$B$5,$B$4,$B$6,$A57,$B$8,H$4,H$5,H$6)*H$7</f>
        <v>#VALUE!</v>
      </c>
      <c r="I57" s="238" t="e">
        <f t="shared" ca="1" si="28"/>
        <v>#VALUE!</v>
      </c>
      <c r="J57" s="238" t="e">
        <f t="shared" ca="1" si="29"/>
        <v>#VALUE!</v>
      </c>
      <c r="K57" s="157"/>
      <c r="L57" s="237" t="e">
        <f ca="1">_xll.DBRW($B$3,$B$7,$L$8,$B$4,$B$6,$A57,$B$8,L$4,L$5,L$6)*L$7</f>
        <v>#VALUE!</v>
      </c>
      <c r="M57" s="237" t="e">
        <f ca="1">_xll.DBRW($B$3,$B$7,$L$8,$B$4,$B$6,$A57,$B$8,M$4,M$5,M$6)*M$7</f>
        <v>#VALUE!</v>
      </c>
      <c r="N57" s="237" t="e">
        <f ca="1">_xll.DBRW($B$3,$B$7,$L$8,$B$4,$B$6,$A57,$B$8,N$4,N$5,N$6)*N$7</f>
        <v>#VALUE!</v>
      </c>
      <c r="O57" s="238" t="e">
        <f t="shared" ca="1" si="30"/>
        <v>#VALUE!</v>
      </c>
      <c r="P57" s="238" t="e">
        <f t="shared" ca="1" si="31"/>
        <v>#VALUE!</v>
      </c>
      <c r="Q57" s="157"/>
      <c r="R57" s="68" t="str">
        <f t="shared" ca="1" si="32"/>
        <v/>
      </c>
      <c r="S57" s="68" t="str">
        <f t="shared" ca="1" si="33"/>
        <v/>
      </c>
      <c r="T57" s="68" t="str">
        <f t="shared" ca="1" si="34"/>
        <v/>
      </c>
      <c r="U57" s="69" t="str">
        <f t="shared" ca="1" si="35"/>
        <v>-</v>
      </c>
      <c r="V57" s="69" t="str">
        <f t="shared" ca="1" si="36"/>
        <v>-</v>
      </c>
      <c r="W57" s="157"/>
      <c r="X57" s="237" t="e">
        <f ca="1">_xll.DBRW($B$3,$B$7,$B$5,$B$4,$B$6,$A57,$B$8,X$4,X$5,X$6)*X$7</f>
        <v>#VALUE!</v>
      </c>
      <c r="Y57" s="237" t="e">
        <f ca="1">_xll.DBRW($B$3,$B$7,$B$5,$B$4,$B$6,$A57,$B$8,Y$4,Y$5,Y$6)*Y$7</f>
        <v>#VALUE!</v>
      </c>
      <c r="Z57" s="237" t="e">
        <f ca="1">_xll.DBRW($B$3,$B$7,$B$5,$B$4,$B$6,$A57,$B$8,Z$4,Z$5,Z$6)*Z$7</f>
        <v>#VALUE!</v>
      </c>
      <c r="AA57" s="238" t="e">
        <f t="shared" ca="1" si="7"/>
        <v>#VALUE!</v>
      </c>
      <c r="AB57" s="238" t="e">
        <f t="shared" ca="1" si="8"/>
        <v>#VALUE!</v>
      </c>
      <c r="AC57" s="157"/>
      <c r="AD57" s="237" t="e">
        <f ca="1">_xll.DBRW($B$3,$B$7,$B$5,$B$4,$B$6,$A57,$B$8,AD$4,AD$5,AD$6)*AD$7</f>
        <v>#VALUE!</v>
      </c>
      <c r="AE57" s="237" t="e">
        <f ca="1">_xll.DBRW($B$3,$B$7,$B$5,$B$4,$B$6,$A57,$B$8,AE$4,AE$5,AE$6)*AE$7</f>
        <v>#VALUE!</v>
      </c>
      <c r="AF57" s="237" t="e">
        <f ca="1">_xll.DBRW($B$3,$B$7,$B$5,$B$4,$B$6,$A57,$B$8,AF$4,AF$5,AF$6)*AF$7</f>
        <v>#VALUE!</v>
      </c>
      <c r="AG57" s="238" t="e">
        <f t="shared" ca="1" si="9"/>
        <v>#VALUE!</v>
      </c>
      <c r="AH57" s="238" t="e">
        <f t="shared" ca="1" si="10"/>
        <v>#VALUE!</v>
      </c>
      <c r="AJ57" s="237" t="e">
        <f ca="1">_xll.DBRW($B$3,$B$7,$B$5,$B$4,$B$6,$A57,$B$8,AJ$4,AJ$5,AJ$6)*AJ$7</f>
        <v>#VALUE!</v>
      </c>
      <c r="AK57" s="237" t="e">
        <f ca="1">_xll.DBRW($B$3,$B$7,$B$5,$B$4,$B$6,$A57,$B$8,AK$4,AK$5,AK$6)*AK$7</f>
        <v>#VALUE!</v>
      </c>
      <c r="AL57" s="237" t="e">
        <f ca="1">_xll.DBRW($B$3,$B$7,$B$5,$B$4,$B$6,$A57,$B$8,AL$4,AL$5,AL$6)*AL$7</f>
        <v>#VALUE!</v>
      </c>
      <c r="AM57" s="238" t="e">
        <f t="shared" ca="1" si="11"/>
        <v>#VALUE!</v>
      </c>
      <c r="AN57" s="238" t="e">
        <f t="shared" ca="1" si="12"/>
        <v>#VALUE!</v>
      </c>
      <c r="AO57" s="157"/>
      <c r="AP57" s="237" t="str">
        <f t="shared" ca="1" si="37"/>
        <v>-</v>
      </c>
      <c r="AQ57" s="237" t="str">
        <f t="shared" ca="1" si="38"/>
        <v>-</v>
      </c>
      <c r="AR57" s="237" t="e">
        <f t="shared" ca="1" si="39"/>
        <v>#VALUE!</v>
      </c>
      <c r="AS57" s="237" t="e">
        <f t="shared" ca="1" si="40"/>
        <v>#VALUE!</v>
      </c>
      <c r="AT57" s="237" t="e">
        <f t="shared" ca="1" si="41"/>
        <v>#VALUE!</v>
      </c>
      <c r="AU57" s="246"/>
      <c r="AV57" s="237" t="str">
        <f t="shared" ca="1" si="42"/>
        <v>-</v>
      </c>
      <c r="AW57" s="237" t="str">
        <f t="shared" ca="1" si="43"/>
        <v>-</v>
      </c>
      <c r="AX57" s="237" t="e">
        <f t="shared" ca="1" si="44"/>
        <v>#VALUE!</v>
      </c>
      <c r="AY57" s="237" t="e">
        <f t="shared" ca="1" si="45"/>
        <v>#VALUE!</v>
      </c>
      <c r="AZ57" s="237" t="e">
        <f t="shared" ca="1" si="46"/>
        <v>#VALUE!</v>
      </c>
    </row>
    <row r="58" spans="1:52" s="51" customFormat="1" ht="15" customHeight="1">
      <c r="A58" s="29" t="s">
        <v>97</v>
      </c>
      <c r="C58" s="50"/>
      <c r="D58" s="54" t="str">
        <f ca="1">_xll.DBRA("tango_core_model:legal_organization",A58,Language)</f>
        <v>Israel</v>
      </c>
      <c r="E58" s="1"/>
      <c r="F58" s="88" t="e">
        <f ca="1">_xll.DBRW($B$3,$B$7,$B$5,$B$4,$B$6,$A58,$B$8,F$4,F$5,F$6)*F$7</f>
        <v>#VALUE!</v>
      </c>
      <c r="G58" s="88" t="e">
        <f ca="1">_xll.DBRW($B$3,$B$7,$B$5,$B$4,$B$6,$A58,$B$8,G$4,G$5,G$6)*G$7</f>
        <v>#VALUE!</v>
      </c>
      <c r="H58" s="88" t="e">
        <f ca="1">_xll.DBRW($B$3,$B$7,$B$5,$B$4,$B$6,$A58,$B$8,H$4,H$5,H$6)*H$7</f>
        <v>#VALUE!</v>
      </c>
      <c r="I58" s="88" t="e">
        <f t="shared" ca="1" si="28"/>
        <v>#VALUE!</v>
      </c>
      <c r="J58" s="88" t="e">
        <f t="shared" ca="1" si="29"/>
        <v>#VALUE!</v>
      </c>
      <c r="K58" s="241"/>
      <c r="L58" s="88" t="e">
        <f ca="1">_xll.DBRW($B$3,$B$7,$L$8,$B$4,$B$6,$A58,$B$8,L$4,L$5,L$6)*L$7</f>
        <v>#VALUE!</v>
      </c>
      <c r="M58" s="88" t="e">
        <f ca="1">_xll.DBRW($B$3,$B$7,$L$8,$B$4,$B$6,$A58,$B$8,M$4,M$5,M$6)*M$7</f>
        <v>#VALUE!</v>
      </c>
      <c r="N58" s="88" t="e">
        <f ca="1">_xll.DBRW($B$3,$B$7,$L$8,$B$4,$B$6,$A58,$B$8,N$4,N$5,N$6)*N$7</f>
        <v>#VALUE!</v>
      </c>
      <c r="O58" s="88" t="e">
        <f t="shared" ca="1" si="30"/>
        <v>#VALUE!</v>
      </c>
      <c r="P58" s="88" t="e">
        <f t="shared" ca="1" si="31"/>
        <v>#VALUE!</v>
      </c>
      <c r="Q58" s="241"/>
      <c r="R58" s="72" t="str">
        <f t="shared" ca="1" si="32"/>
        <v/>
      </c>
      <c r="S58" s="72" t="str">
        <f t="shared" ca="1" si="33"/>
        <v/>
      </c>
      <c r="T58" s="72" t="str">
        <f t="shared" ca="1" si="34"/>
        <v/>
      </c>
      <c r="U58" s="72" t="str">
        <f t="shared" ca="1" si="35"/>
        <v>-</v>
      </c>
      <c r="V58" s="72" t="str">
        <f t="shared" ca="1" si="36"/>
        <v>-</v>
      </c>
      <c r="W58" s="241"/>
      <c r="X58" s="88" t="e">
        <f ca="1">_xll.DBRW($B$3,$B$7,$B$5,$B$4,$B$6,$A58,$B$8,X$4,X$5,X$6)*X$7</f>
        <v>#VALUE!</v>
      </c>
      <c r="Y58" s="88" t="e">
        <f ca="1">_xll.DBRW($B$3,$B$7,$B$5,$B$4,$B$6,$A58,$B$8,Y$4,Y$5,Y$6)*Y$7</f>
        <v>#VALUE!</v>
      </c>
      <c r="Z58" s="88" t="e">
        <f ca="1">_xll.DBRW($B$3,$B$7,$B$5,$B$4,$B$6,$A58,$B$8,Z$4,Z$5,Z$6)*Z$7</f>
        <v>#VALUE!</v>
      </c>
      <c r="AA58" s="88" t="e">
        <f t="shared" ca="1" si="7"/>
        <v>#VALUE!</v>
      </c>
      <c r="AB58" s="88" t="e">
        <f t="shared" ca="1" si="8"/>
        <v>#VALUE!</v>
      </c>
      <c r="AC58" s="241"/>
      <c r="AD58" s="88" t="e">
        <f ca="1">_xll.DBRW($B$3,$B$7,$B$5,$B$4,$B$6,$A58,$B$8,AD$4,AD$5,AD$6)*AD$7</f>
        <v>#VALUE!</v>
      </c>
      <c r="AE58" s="88" t="e">
        <f ca="1">_xll.DBRW($B$3,$B$7,$B$5,$B$4,$B$6,$A58,$B$8,AE$4,AE$5,AE$6)*AE$7</f>
        <v>#VALUE!</v>
      </c>
      <c r="AF58" s="88" t="e">
        <f ca="1">_xll.DBRW($B$3,$B$7,$B$5,$B$4,$B$6,$A58,$B$8,AF$4,AF$5,AF$6)*AF$7</f>
        <v>#VALUE!</v>
      </c>
      <c r="AG58" s="88" t="e">
        <f t="shared" ca="1" si="9"/>
        <v>#VALUE!</v>
      </c>
      <c r="AH58" s="88" t="e">
        <f t="shared" ca="1" si="10"/>
        <v>#VALUE!</v>
      </c>
      <c r="AJ58" s="88" t="e">
        <f ca="1">_xll.DBRW($B$3,$B$7,$B$5,$B$4,$B$6,$A58,$B$8,AJ$4,AJ$5,AJ$6)*AJ$7</f>
        <v>#VALUE!</v>
      </c>
      <c r="AK58" s="88" t="e">
        <f ca="1">_xll.DBRW($B$3,$B$7,$B$5,$B$4,$B$6,$A58,$B$8,AK$4,AK$5,AK$6)*AK$7</f>
        <v>#VALUE!</v>
      </c>
      <c r="AL58" s="88" t="e">
        <f ca="1">_xll.DBRW($B$3,$B$7,$B$5,$B$4,$B$6,$A58,$B$8,AL$4,AL$5,AL$6)*AL$7</f>
        <v>#VALUE!</v>
      </c>
      <c r="AM58" s="88" t="e">
        <f t="shared" ca="1" si="11"/>
        <v>#VALUE!</v>
      </c>
      <c r="AN58" s="88" t="e">
        <f t="shared" ca="1" si="12"/>
        <v>#VALUE!</v>
      </c>
      <c r="AO58" s="241"/>
      <c r="AP58" s="88" t="str">
        <f t="shared" ca="1" si="37"/>
        <v>-</v>
      </c>
      <c r="AQ58" s="88" t="str">
        <f t="shared" ca="1" si="38"/>
        <v>-</v>
      </c>
      <c r="AR58" s="88" t="e">
        <f t="shared" ca="1" si="39"/>
        <v>#VALUE!</v>
      </c>
      <c r="AS58" s="88" t="e">
        <f t="shared" ca="1" si="40"/>
        <v>#VALUE!</v>
      </c>
      <c r="AT58" s="88" t="e">
        <f t="shared" ca="1" si="41"/>
        <v>#VALUE!</v>
      </c>
      <c r="AU58" s="247"/>
      <c r="AV58" s="88" t="str">
        <f t="shared" ca="1" si="42"/>
        <v>-</v>
      </c>
      <c r="AW58" s="88" t="str">
        <f t="shared" ca="1" si="43"/>
        <v>-</v>
      </c>
      <c r="AX58" s="88" t="e">
        <f t="shared" ca="1" si="44"/>
        <v>#VALUE!</v>
      </c>
      <c r="AY58" s="88" t="e">
        <f t="shared" ca="1" si="45"/>
        <v>#VALUE!</v>
      </c>
      <c r="AZ58" s="88" t="e">
        <f t="shared" ca="1" si="46"/>
        <v>#VALUE!</v>
      </c>
    </row>
    <row r="59" spans="1:52" ht="30" customHeight="1">
      <c r="A59" s="29" t="s">
        <v>71</v>
      </c>
      <c r="B59" s="23"/>
      <c r="D59" s="37" t="str">
        <f ca="1">_xll.DBRA("tango_core_model:legal_organization",A59,Language)</f>
        <v>TRANSDEV All</v>
      </c>
      <c r="F59" s="152" t="e">
        <f ca="1">_xll.DBRW($B$3,$B$7,$B$5,$B$4,$B$6,$A59,$B$8,F$4,F$5,F$6)*F$7</f>
        <v>#VALUE!</v>
      </c>
      <c r="G59" s="152" t="e">
        <f ca="1">_xll.DBRW($B$3,$B$7,$B$5,$B$4,$B$6,$A59,$B$8,G$4,G$5,G$6)*G$7</f>
        <v>#VALUE!</v>
      </c>
      <c r="H59" s="152" t="e">
        <f ca="1">_xll.DBRW($B$3,$B$7,$B$5,$B$4,$B$6,$A59,$B$8,H$4,H$5,H$6)*H$7</f>
        <v>#VALUE!</v>
      </c>
      <c r="I59" s="242" t="e">
        <f t="shared" ca="1" si="28"/>
        <v>#VALUE!</v>
      </c>
      <c r="J59" s="242" t="e">
        <f t="shared" ca="1" si="29"/>
        <v>#VALUE!</v>
      </c>
      <c r="L59" s="152" t="e">
        <f ca="1">_xll.DBRW($B$3,$B$7,$L$8,$B$4,$B$6,$A59,$B$8,L$4,L$5,L$6)*L$7</f>
        <v>#VALUE!</v>
      </c>
      <c r="M59" s="152" t="e">
        <f ca="1">_xll.DBRW($B$3,$B$7,$L$8,$B$4,$B$6,$A59,$B$8,M$4,M$5,M$6)*M$7</f>
        <v>#VALUE!</v>
      </c>
      <c r="N59" s="152" t="e">
        <f ca="1">_xll.DBRW($B$3,$B$7,$L$8,$B$4,$B$6,$A59,$B$8,N$4,N$5,N$6)*N$7</f>
        <v>#VALUE!</v>
      </c>
      <c r="O59" s="242" t="e">
        <f t="shared" ca="1" si="30"/>
        <v>#VALUE!</v>
      </c>
      <c r="P59" s="242" t="e">
        <f t="shared" ca="1" si="31"/>
        <v>#VALUE!</v>
      </c>
      <c r="R59" s="83" t="str">
        <f t="shared" ca="1" si="32"/>
        <v/>
      </c>
      <c r="S59" s="83" t="str">
        <f t="shared" ca="1" si="33"/>
        <v/>
      </c>
      <c r="T59" s="83" t="str">
        <f t="shared" ca="1" si="34"/>
        <v/>
      </c>
      <c r="U59" s="73" t="str">
        <f t="shared" ca="1" si="35"/>
        <v>-</v>
      </c>
      <c r="V59" s="73" t="str">
        <f t="shared" ca="1" si="36"/>
        <v>-</v>
      </c>
      <c r="X59" s="152" t="e">
        <f ca="1">_xll.DBRW($B$3,$B$7,$B$5,$B$4,$B$6,$A59,$B$8,X$4,X$5,X$6)*X$7</f>
        <v>#VALUE!</v>
      </c>
      <c r="Y59" s="152" t="e">
        <f ca="1">_xll.DBRW($B$3,$B$7,$B$5,$B$4,$B$6,$A59,$B$8,Y$4,Y$5,Y$6)*Y$7</f>
        <v>#VALUE!</v>
      </c>
      <c r="Z59" s="152" t="e">
        <f ca="1">_xll.DBRW($B$3,$B$7,$B$5,$B$4,$B$6,$A59,$B$8,Z$4,Z$5,Z$6)*Z$7</f>
        <v>#VALUE!</v>
      </c>
      <c r="AA59" s="242" t="e">
        <f t="shared" ca="1" si="7"/>
        <v>#VALUE!</v>
      </c>
      <c r="AB59" s="242" t="e">
        <f t="shared" ca="1" si="8"/>
        <v>#VALUE!</v>
      </c>
      <c r="AD59" s="152" t="e">
        <f ca="1">_xll.DBRW($B$3,$B$7,$B$5,$B$4,$B$6,$A59,$B$8,AD$4,AD$5,AD$6)*AD$7</f>
        <v>#VALUE!</v>
      </c>
      <c r="AE59" s="152" t="e">
        <f ca="1">_xll.DBRW($B$3,$B$7,$B$5,$B$4,$B$6,$A59,$B$8,AE$4,AE$5,AE$6)*AE$7</f>
        <v>#VALUE!</v>
      </c>
      <c r="AF59" s="152" t="e">
        <f ca="1">_xll.DBRW($B$3,$B$7,$B$5,$B$4,$B$6,$A59,$B$8,AF$4,AF$5,AF$6)*AF$7</f>
        <v>#VALUE!</v>
      </c>
      <c r="AG59" s="242" t="e">
        <f t="shared" ca="1" si="9"/>
        <v>#VALUE!</v>
      </c>
      <c r="AH59" s="242" t="e">
        <f t="shared" ca="1" si="10"/>
        <v>#VALUE!</v>
      </c>
      <c r="AJ59" s="152" t="e">
        <f ca="1">_xll.DBRW($B$3,$B$7,$B$5,$B$4,$B$6,$A59,$B$8,AJ$4,AJ$5,AJ$6)*AJ$7</f>
        <v>#VALUE!</v>
      </c>
      <c r="AK59" s="152" t="e">
        <f ca="1">_xll.DBRW($B$3,$B$7,$B$5,$B$4,$B$6,$A59,$B$8,AK$4,AK$5,AK$6)*AK$7</f>
        <v>#VALUE!</v>
      </c>
      <c r="AL59" s="152" t="e">
        <f ca="1">_xll.DBRW($B$3,$B$7,$B$5,$B$4,$B$6,$A59,$B$8,AL$4,AL$5,AL$6)*AL$7</f>
        <v>#VALUE!</v>
      </c>
      <c r="AM59" s="242" t="e">
        <f t="shared" ca="1" si="11"/>
        <v>#VALUE!</v>
      </c>
      <c r="AN59" s="242" t="e">
        <f t="shared" ca="1" si="12"/>
        <v>#VALUE!</v>
      </c>
      <c r="AP59" s="152" t="str">
        <f t="shared" ca="1" si="37"/>
        <v>-</v>
      </c>
      <c r="AQ59" s="152" t="str">
        <f t="shared" ca="1" si="38"/>
        <v>-</v>
      </c>
      <c r="AR59" s="152" t="e">
        <f t="shared" ca="1" si="39"/>
        <v>#VALUE!</v>
      </c>
      <c r="AS59" s="152" t="e">
        <f t="shared" ca="1" si="40"/>
        <v>#VALUE!</v>
      </c>
      <c r="AT59" s="152" t="e">
        <f t="shared" ca="1" si="41"/>
        <v>#VALUE!</v>
      </c>
      <c r="AV59" s="152" t="str">
        <f t="shared" ca="1" si="42"/>
        <v>-</v>
      </c>
      <c r="AW59" s="152" t="str">
        <f t="shared" ca="1" si="43"/>
        <v>-</v>
      </c>
      <c r="AX59" s="152" t="e">
        <f t="shared" ca="1" si="44"/>
        <v>#VALUE!</v>
      </c>
      <c r="AY59" s="152" t="e">
        <f t="shared" ca="1" si="45"/>
        <v>#VALUE!</v>
      </c>
      <c r="AZ59" s="152" t="e">
        <f t="shared" ca="1" si="46"/>
        <v>#VALUE!</v>
      </c>
    </row>
    <row r="60" spans="1:52" ht="13.5" customHeight="1"/>
    <row r="61" spans="1:52" ht="13.5" customHeight="1"/>
  </sheetData>
  <mergeCells count="31">
    <mergeCell ref="AZ13:AZ14"/>
    <mergeCell ref="AV11:AZ12"/>
    <mergeCell ref="A1:AZ1"/>
    <mergeCell ref="AX13:AX14"/>
    <mergeCell ref="AQ13:AQ14"/>
    <mergeCell ref="X11:AB12"/>
    <mergeCell ref="AA13:AA14"/>
    <mergeCell ref="AB13:AB14"/>
    <mergeCell ref="AD11:AH12"/>
    <mergeCell ref="AG13:AG14"/>
    <mergeCell ref="AH13:AH14"/>
    <mergeCell ref="AJ11:AN12"/>
    <mergeCell ref="AM13:AM14"/>
    <mergeCell ref="AN13:AN14"/>
    <mergeCell ref="AT13:AT14"/>
    <mergeCell ref="AP11:AT12"/>
    <mergeCell ref="R11:V12"/>
    <mergeCell ref="U13:U14"/>
    <mergeCell ref="V13:V14"/>
    <mergeCell ref="F11:J12"/>
    <mergeCell ref="AV13:AV14"/>
    <mergeCell ref="L11:P12"/>
    <mergeCell ref="O13:O14"/>
    <mergeCell ref="P13:P14"/>
    <mergeCell ref="AR13:AR14"/>
    <mergeCell ref="AS13:AS14"/>
    <mergeCell ref="AY13:AY14"/>
    <mergeCell ref="I13:I14"/>
    <mergeCell ref="J13:J14"/>
    <mergeCell ref="AP13:AP14"/>
    <mergeCell ref="AW13:AW14"/>
  </mergeCells>
  <pageMargins left="0.19685039370078741" right="0.19685039370078741" top="0.59055118110236227" bottom="0.59055118110236227" header="0.31496062992125984" footer="0.31496062992125984"/>
  <pageSetup paperSize="9" scale="54" orientation="landscape" r:id="rId1"/>
  <headerFooter alignWithMargins="0">
    <oddFooter>&amp;L&amp;Z
&amp;F&amp;C&amp;A&amp;R&amp;D&amp;T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13</vt:i4>
      </vt:variant>
    </vt:vector>
  </HeadingPairs>
  <TitlesOfParts>
    <vt:vector size="16" baseType="lpstr">
      <vt:lpstr>Context</vt:lpstr>
      <vt:lpstr>Country</vt:lpstr>
      <vt:lpstr>Total</vt:lpstr>
      <vt:lpstr>Activity_1</vt:lpstr>
      <vt:lpstr>Activity_2</vt:lpstr>
      <vt:lpstr>Activity_3</vt:lpstr>
      <vt:lpstr>Actual_Month</vt:lpstr>
      <vt:lpstr>Country</vt:lpstr>
      <vt:lpstr>Cube</vt:lpstr>
      <vt:lpstr>Devise</vt:lpstr>
      <vt:lpstr>Gaap</vt:lpstr>
      <vt:lpstr>Integration_Rate</vt:lpstr>
      <vt:lpstr>Language</vt:lpstr>
      <vt:lpstr>Local_Gaap_Mgmt_tool</vt:lpstr>
      <vt:lpstr>Management_Organization</vt:lpstr>
      <vt:lpstr>PriorYear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Fabienne.CAUSSIDOU@transdev.com</dc:creator>
  <cp:lastModifiedBy>NICOLLET, Marie</cp:lastModifiedBy>
  <cp:lastPrinted>2016-04-25T08:15:14Z</cp:lastPrinted>
  <dcterms:created xsi:type="dcterms:W3CDTF">2011-12-22T14:31:53Z</dcterms:created>
  <dcterms:modified xsi:type="dcterms:W3CDTF">2019-03-26T09:18:10Z</dcterms:modified>
</cp:coreProperties>
</file>