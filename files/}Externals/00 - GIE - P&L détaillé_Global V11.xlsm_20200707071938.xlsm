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" yWindow="4470" windowWidth="15480" windowHeight="3090" firstSheet="1" activeTab="1"/>
  </bookViews>
  <sheets>
    <sheet name="Context" sheetId="2" state="hidden" r:id="rId1"/>
    <sheet name="P&amp;L détaillé" sheetId="1" r:id="rId2"/>
  </sheets>
  <functionGroups builtInGroupCount="17"/>
  <definedNames>
    <definedName name="ActualBudget">Context!$B$16</definedName>
    <definedName name="ActualForecast">Context!$B$17</definedName>
    <definedName name="ActualMonth">Context!$B$15</definedName>
    <definedName name="ActualYear">Context!$B$14</definedName>
    <definedName name="Auto_Fit">'P&amp;L détaillé'!$L$17:$W$191</definedName>
    <definedName name="Cube1">Context!$B$11</definedName>
    <definedName name="Cube2">Context!$B$12</definedName>
    <definedName name="Cube3">Context!$B$13</definedName>
    <definedName name="DEFAULt_PERIOD">'P&amp;L détaillé'!$D$11</definedName>
    <definedName name="Host_Serveur">_xll.DBRW("tango_core_model:z_Admin_Param","SERVER_NAME","STR_VAR1")</definedName>
    <definedName name="Languages">Context!$B$19:$B$20</definedName>
    <definedName name="Locallanguage">Context!$B$18</definedName>
    <definedName name="Print_Area" localSheetId="1">'P&amp;L détaillé'!$F$6:$Y$193</definedName>
    <definedName name="Server">Context!$B$4</definedName>
    <definedName name="xServer">Context!$B$5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Q74" i="1" l="1"/>
  <c r="Q93" i="1"/>
  <c r="Q53" i="1"/>
  <c r="S46" i="1"/>
  <c r="R46" i="1"/>
  <c r="Q46" i="1"/>
  <c r="S32" i="1"/>
  <c r="R32" i="1"/>
  <c r="Q32" i="1"/>
  <c r="B6" i="2"/>
  <c r="H104" i="1"/>
  <c r="J12" i="1"/>
  <c r="J14" i="1"/>
  <c r="B15" i="2"/>
  <c r="D11" i="1"/>
  <c r="J11" i="1"/>
  <c r="J15" i="1"/>
  <c r="L104" i="1"/>
  <c r="U2" i="1"/>
  <c r="U104" i="1"/>
  <c r="V104" i="1"/>
  <c r="W104" i="1"/>
  <c r="B17" i="2"/>
  <c r="Q1" i="1"/>
  <c r="Q104" i="1"/>
  <c r="R104" i="1"/>
  <c r="S104" i="1"/>
  <c r="B16" i="2"/>
  <c r="M1" i="1"/>
  <c r="M104" i="1"/>
  <c r="N104" i="1"/>
  <c r="O104" i="1"/>
  <c r="H153" i="1"/>
  <c r="L153" i="1"/>
  <c r="U153" i="1"/>
  <c r="V153" i="1"/>
  <c r="W153" i="1"/>
  <c r="Q153" i="1"/>
  <c r="R153" i="1"/>
  <c r="S153" i="1"/>
  <c r="M153" i="1"/>
  <c r="N153" i="1"/>
  <c r="O153" i="1"/>
  <c r="H126" i="1"/>
  <c r="L126" i="1"/>
  <c r="U126" i="1"/>
  <c r="V126" i="1"/>
  <c r="W126" i="1"/>
  <c r="Q126" i="1"/>
  <c r="R126" i="1"/>
  <c r="S126" i="1"/>
  <c r="M126" i="1"/>
  <c r="N126" i="1"/>
  <c r="O126" i="1"/>
  <c r="L121" i="1"/>
  <c r="U121" i="1"/>
  <c r="V121" i="1"/>
  <c r="W121" i="1"/>
  <c r="L119" i="1"/>
  <c r="U119" i="1"/>
  <c r="V119" i="1"/>
  <c r="W119" i="1"/>
  <c r="L118" i="1"/>
  <c r="U118" i="1"/>
  <c r="V118" i="1"/>
  <c r="W118" i="1"/>
  <c r="L117" i="1"/>
  <c r="U117" i="1"/>
  <c r="V117" i="1"/>
  <c r="W117" i="1"/>
  <c r="Q119" i="1"/>
  <c r="R119" i="1"/>
  <c r="S119" i="1"/>
  <c r="M119" i="1"/>
  <c r="N119" i="1"/>
  <c r="O119" i="1"/>
  <c r="H119" i="1"/>
  <c r="L133" i="1"/>
  <c r="M133" i="1"/>
  <c r="N133" i="1"/>
  <c r="U133" i="1"/>
  <c r="V133" i="1"/>
  <c r="W133" i="1"/>
  <c r="G133" i="1"/>
  <c r="H133" i="1"/>
  <c r="H35" i="1"/>
  <c r="J13" i="1"/>
  <c r="M190" i="1"/>
  <c r="M189" i="1"/>
  <c r="M188" i="1"/>
  <c r="M187" i="1"/>
  <c r="M186" i="1"/>
  <c r="L25" i="1"/>
  <c r="M25" i="1"/>
  <c r="N25" i="1"/>
  <c r="O25" i="1"/>
  <c r="L24" i="1"/>
  <c r="M24" i="1"/>
  <c r="N24" i="1"/>
  <c r="O24" i="1"/>
  <c r="L23" i="1"/>
  <c r="M23" i="1"/>
  <c r="N23" i="1"/>
  <c r="O23" i="1"/>
  <c r="L76" i="1"/>
  <c r="L31" i="1"/>
  <c r="L32" i="1"/>
  <c r="L34" i="1"/>
  <c r="L35" i="1"/>
  <c r="L36" i="1"/>
  <c r="L33" i="1"/>
  <c r="L38" i="1"/>
  <c r="L39" i="1"/>
  <c r="L37" i="1"/>
  <c r="L41" i="1"/>
  <c r="M31" i="1"/>
  <c r="M32" i="1"/>
  <c r="M34" i="1"/>
  <c r="M35" i="1"/>
  <c r="M36" i="1"/>
  <c r="M33" i="1"/>
  <c r="M38" i="1"/>
  <c r="M39" i="1"/>
  <c r="M37" i="1"/>
  <c r="M41" i="1"/>
  <c r="N41" i="1"/>
  <c r="L44" i="1"/>
  <c r="L45" i="1"/>
  <c r="L46" i="1"/>
  <c r="L43" i="1"/>
  <c r="M44" i="1"/>
  <c r="M45" i="1"/>
  <c r="M46" i="1"/>
  <c r="M43" i="1"/>
  <c r="N43" i="1"/>
  <c r="L47" i="1"/>
  <c r="M47" i="1"/>
  <c r="N47" i="1"/>
  <c r="L49" i="1"/>
  <c r="M49" i="1"/>
  <c r="N49" i="1"/>
  <c r="L50" i="1"/>
  <c r="M50" i="1"/>
  <c r="N50" i="1"/>
  <c r="L51" i="1"/>
  <c r="M51" i="1"/>
  <c r="N51" i="1"/>
  <c r="L52" i="1"/>
  <c r="M52" i="1"/>
  <c r="N52" i="1"/>
  <c r="N48" i="1"/>
  <c r="L54" i="1"/>
  <c r="M54" i="1"/>
  <c r="N54" i="1"/>
  <c r="L55" i="1"/>
  <c r="M55" i="1"/>
  <c r="N55" i="1"/>
  <c r="L56" i="1"/>
  <c r="M56" i="1"/>
  <c r="N56" i="1"/>
  <c r="L57" i="1"/>
  <c r="M57" i="1"/>
  <c r="N57" i="1"/>
  <c r="L58" i="1"/>
  <c r="M58" i="1"/>
  <c r="N58" i="1"/>
  <c r="L59" i="1"/>
  <c r="M59" i="1"/>
  <c r="N59" i="1"/>
  <c r="L60" i="1"/>
  <c r="M60" i="1"/>
  <c r="N60" i="1"/>
  <c r="L61" i="1"/>
  <c r="M61" i="1"/>
  <c r="N61" i="1"/>
  <c r="L62" i="1"/>
  <c r="M62" i="1"/>
  <c r="N62" i="1"/>
  <c r="L63" i="1"/>
  <c r="M63" i="1"/>
  <c r="N63" i="1"/>
  <c r="N53" i="1"/>
  <c r="N65" i="1"/>
  <c r="N69" i="1"/>
  <c r="L75" i="1"/>
  <c r="M75" i="1"/>
  <c r="N75" i="1"/>
  <c r="M76" i="1"/>
  <c r="N76" i="1"/>
  <c r="L77" i="1"/>
  <c r="M77" i="1"/>
  <c r="N77" i="1"/>
  <c r="N74" i="1"/>
  <c r="L79" i="1"/>
  <c r="M79" i="1"/>
  <c r="N79" i="1"/>
  <c r="L80" i="1"/>
  <c r="M80" i="1"/>
  <c r="N80" i="1"/>
  <c r="N78" i="1"/>
  <c r="L82" i="1"/>
  <c r="M82" i="1"/>
  <c r="N82" i="1"/>
  <c r="L83" i="1"/>
  <c r="M83" i="1"/>
  <c r="N83" i="1"/>
  <c r="L84" i="1"/>
  <c r="M84" i="1"/>
  <c r="N84" i="1"/>
  <c r="L85" i="1"/>
  <c r="M85" i="1"/>
  <c r="N85" i="1"/>
  <c r="L86" i="1"/>
  <c r="M86" i="1"/>
  <c r="N86" i="1"/>
  <c r="L87" i="1"/>
  <c r="M87" i="1"/>
  <c r="N87" i="1"/>
  <c r="N81" i="1"/>
  <c r="L88" i="1"/>
  <c r="M88" i="1"/>
  <c r="N88" i="1"/>
  <c r="L94" i="1"/>
  <c r="M94" i="1"/>
  <c r="N94" i="1"/>
  <c r="L95" i="1"/>
  <c r="M95" i="1"/>
  <c r="N95" i="1"/>
  <c r="L96" i="1"/>
  <c r="M96" i="1"/>
  <c r="N96" i="1"/>
  <c r="L97" i="1"/>
  <c r="M97" i="1"/>
  <c r="N97" i="1"/>
  <c r="L98" i="1"/>
  <c r="M98" i="1"/>
  <c r="N98" i="1"/>
  <c r="L99" i="1"/>
  <c r="M99" i="1"/>
  <c r="N99" i="1"/>
  <c r="L100" i="1"/>
  <c r="M100" i="1"/>
  <c r="N100" i="1"/>
  <c r="L101" i="1"/>
  <c r="M101" i="1"/>
  <c r="N101" i="1"/>
  <c r="L102" i="1"/>
  <c r="M102" i="1"/>
  <c r="N102" i="1"/>
  <c r="L103" i="1"/>
  <c r="M103" i="1"/>
  <c r="N103" i="1"/>
  <c r="L105" i="1"/>
  <c r="M105" i="1"/>
  <c r="N105" i="1"/>
  <c r="L106" i="1"/>
  <c r="M106" i="1"/>
  <c r="N106" i="1"/>
  <c r="L107" i="1"/>
  <c r="M107" i="1"/>
  <c r="N107" i="1"/>
  <c r="L108" i="1"/>
  <c r="M108" i="1"/>
  <c r="N108" i="1"/>
  <c r="L109" i="1"/>
  <c r="M109" i="1"/>
  <c r="N109" i="1"/>
  <c r="L110" i="1"/>
  <c r="M110" i="1"/>
  <c r="N110" i="1"/>
  <c r="L111" i="1"/>
  <c r="M111" i="1"/>
  <c r="N111" i="1"/>
  <c r="L112" i="1"/>
  <c r="M112" i="1"/>
  <c r="N112" i="1"/>
  <c r="L113" i="1"/>
  <c r="M113" i="1"/>
  <c r="N113" i="1"/>
  <c r="L114" i="1"/>
  <c r="M114" i="1"/>
  <c r="N114" i="1"/>
  <c r="L115" i="1"/>
  <c r="M115" i="1"/>
  <c r="N115" i="1"/>
  <c r="L116" i="1"/>
  <c r="M116" i="1"/>
  <c r="N116" i="1"/>
  <c r="M117" i="1"/>
  <c r="N117" i="1"/>
  <c r="M118" i="1"/>
  <c r="N118" i="1"/>
  <c r="L120" i="1"/>
  <c r="M120" i="1"/>
  <c r="N120" i="1"/>
  <c r="M121" i="1"/>
  <c r="N121" i="1"/>
  <c r="L122" i="1"/>
  <c r="M122" i="1"/>
  <c r="N122" i="1"/>
  <c r="L123" i="1"/>
  <c r="M123" i="1"/>
  <c r="N123" i="1"/>
  <c r="L124" i="1"/>
  <c r="M124" i="1"/>
  <c r="N124" i="1"/>
  <c r="L125" i="1"/>
  <c r="M125" i="1"/>
  <c r="N125" i="1"/>
  <c r="L127" i="1"/>
  <c r="M127" i="1"/>
  <c r="N127" i="1"/>
  <c r="N93" i="1"/>
  <c r="N129" i="1"/>
  <c r="L131" i="1"/>
  <c r="M131" i="1"/>
  <c r="N131" i="1"/>
  <c r="L132" i="1"/>
  <c r="M132" i="1"/>
  <c r="N132" i="1"/>
  <c r="L134" i="1"/>
  <c r="M134" i="1"/>
  <c r="N134" i="1"/>
  <c r="L135" i="1"/>
  <c r="M135" i="1"/>
  <c r="N135" i="1"/>
  <c r="L136" i="1"/>
  <c r="M136" i="1"/>
  <c r="N136" i="1"/>
  <c r="L137" i="1"/>
  <c r="M137" i="1"/>
  <c r="N137" i="1"/>
  <c r="L138" i="1"/>
  <c r="M138" i="1"/>
  <c r="N138" i="1"/>
  <c r="N140" i="1"/>
  <c r="N144" i="1"/>
  <c r="L156" i="1"/>
  <c r="M156" i="1"/>
  <c r="N156" i="1"/>
  <c r="L165" i="1"/>
  <c r="M165" i="1"/>
  <c r="N165" i="1"/>
  <c r="N169" i="1"/>
  <c r="L152" i="1"/>
  <c r="M152" i="1"/>
  <c r="N152" i="1"/>
  <c r="L151" i="1"/>
  <c r="M151" i="1"/>
  <c r="N151" i="1"/>
  <c r="N38" i="1"/>
  <c r="N39" i="1"/>
  <c r="N37" i="1"/>
  <c r="N33" i="1"/>
  <c r="N32" i="1"/>
  <c r="N31" i="1"/>
  <c r="L173" i="1"/>
  <c r="M173" i="1"/>
  <c r="N173" i="1"/>
  <c r="N180" i="1"/>
  <c r="L74" i="1"/>
  <c r="L48" i="1"/>
  <c r="L53" i="1"/>
  <c r="L65" i="1"/>
  <c r="L69" i="1"/>
  <c r="L78" i="1"/>
  <c r="L81" i="1"/>
  <c r="L93" i="1"/>
  <c r="L129" i="1"/>
  <c r="L140" i="1"/>
  <c r="L144" i="1"/>
  <c r="L169" i="1"/>
  <c r="L180" i="1"/>
  <c r="L148" i="1"/>
  <c r="U190" i="1"/>
  <c r="U189" i="1"/>
  <c r="U188" i="1"/>
  <c r="U187" i="1"/>
  <c r="U186" i="1"/>
  <c r="U23" i="1"/>
  <c r="U31" i="1"/>
  <c r="U32" i="1"/>
  <c r="U34" i="1"/>
  <c r="U35" i="1"/>
  <c r="U36" i="1"/>
  <c r="U33" i="1"/>
  <c r="U38" i="1"/>
  <c r="U39" i="1"/>
  <c r="U37" i="1"/>
  <c r="U41" i="1"/>
  <c r="U44" i="1"/>
  <c r="U45" i="1"/>
  <c r="U46" i="1"/>
  <c r="U43" i="1"/>
  <c r="U47" i="1"/>
  <c r="U49" i="1"/>
  <c r="U50" i="1"/>
  <c r="U51" i="1"/>
  <c r="U52" i="1"/>
  <c r="U48" i="1"/>
  <c r="U54" i="1"/>
  <c r="U55" i="1"/>
  <c r="U56" i="1"/>
  <c r="U57" i="1"/>
  <c r="U58" i="1"/>
  <c r="U59" i="1"/>
  <c r="U60" i="1"/>
  <c r="U61" i="1"/>
  <c r="U62" i="1"/>
  <c r="U63" i="1"/>
  <c r="U53" i="1"/>
  <c r="U65" i="1"/>
  <c r="U69" i="1"/>
  <c r="U75" i="1"/>
  <c r="U76" i="1"/>
  <c r="U77" i="1"/>
  <c r="U74" i="1"/>
  <c r="U79" i="1"/>
  <c r="U80" i="1"/>
  <c r="U78" i="1"/>
  <c r="U82" i="1"/>
  <c r="U83" i="1"/>
  <c r="U84" i="1"/>
  <c r="U85" i="1"/>
  <c r="U86" i="1"/>
  <c r="U87" i="1"/>
  <c r="U81" i="1"/>
  <c r="U88" i="1"/>
  <c r="U94" i="1"/>
  <c r="U95" i="1"/>
  <c r="U96" i="1"/>
  <c r="U97" i="1"/>
  <c r="U98" i="1"/>
  <c r="U99" i="1"/>
  <c r="U100" i="1"/>
  <c r="U101" i="1"/>
  <c r="U102" i="1"/>
  <c r="U103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20" i="1"/>
  <c r="U122" i="1"/>
  <c r="U123" i="1"/>
  <c r="U124" i="1"/>
  <c r="U125" i="1"/>
  <c r="U127" i="1"/>
  <c r="U93" i="1"/>
  <c r="U129" i="1"/>
  <c r="U131" i="1"/>
  <c r="U132" i="1"/>
  <c r="U134" i="1"/>
  <c r="U135" i="1"/>
  <c r="U136" i="1"/>
  <c r="U137" i="1"/>
  <c r="U138" i="1"/>
  <c r="U140" i="1"/>
  <c r="U144" i="1"/>
  <c r="U156" i="1"/>
  <c r="U165" i="1"/>
  <c r="U169" i="1"/>
  <c r="U173" i="1"/>
  <c r="U180" i="1"/>
  <c r="V180" i="1"/>
  <c r="W180" i="1"/>
  <c r="U148" i="1"/>
  <c r="V144" i="1"/>
  <c r="V131" i="1"/>
  <c r="V132" i="1"/>
  <c r="V134" i="1"/>
  <c r="V135" i="1"/>
  <c r="V136" i="1"/>
  <c r="V137" i="1"/>
  <c r="V138" i="1"/>
  <c r="V140" i="1"/>
  <c r="W140" i="1"/>
  <c r="V75" i="1"/>
  <c r="V76" i="1"/>
  <c r="V77" i="1"/>
  <c r="V74" i="1"/>
  <c r="V79" i="1"/>
  <c r="V80" i="1"/>
  <c r="V78" i="1"/>
  <c r="V82" i="1"/>
  <c r="V83" i="1"/>
  <c r="V84" i="1"/>
  <c r="V85" i="1"/>
  <c r="V86" i="1"/>
  <c r="V87" i="1"/>
  <c r="V81" i="1"/>
  <c r="V88" i="1"/>
  <c r="V94" i="1"/>
  <c r="V95" i="1"/>
  <c r="V96" i="1"/>
  <c r="V97" i="1"/>
  <c r="V98" i="1"/>
  <c r="V99" i="1"/>
  <c r="V100" i="1"/>
  <c r="V101" i="1"/>
  <c r="V102" i="1"/>
  <c r="V103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20" i="1"/>
  <c r="V122" i="1"/>
  <c r="V123" i="1"/>
  <c r="V124" i="1"/>
  <c r="V125" i="1"/>
  <c r="V127" i="1"/>
  <c r="V93" i="1"/>
  <c r="V129" i="1"/>
  <c r="W129" i="1"/>
  <c r="V69" i="1"/>
  <c r="W69" i="1"/>
  <c r="V23" i="1"/>
  <c r="V31" i="1"/>
  <c r="V32" i="1"/>
  <c r="V33" i="1"/>
  <c r="V38" i="1"/>
  <c r="V39" i="1"/>
  <c r="V37" i="1"/>
  <c r="V43" i="1"/>
  <c r="V47" i="1"/>
  <c r="V49" i="1"/>
  <c r="V50" i="1"/>
  <c r="V51" i="1"/>
  <c r="V52" i="1"/>
  <c r="V48" i="1"/>
  <c r="V54" i="1"/>
  <c r="V55" i="1"/>
  <c r="V56" i="1"/>
  <c r="V57" i="1"/>
  <c r="V58" i="1"/>
  <c r="V59" i="1"/>
  <c r="V60" i="1"/>
  <c r="V61" i="1"/>
  <c r="V62" i="1"/>
  <c r="V63" i="1"/>
  <c r="V53" i="1"/>
  <c r="V65" i="1"/>
  <c r="M48" i="1"/>
  <c r="M53" i="1"/>
  <c r="M65" i="1"/>
  <c r="M69" i="1"/>
  <c r="M74" i="1"/>
  <c r="M78" i="1"/>
  <c r="M81" i="1"/>
  <c r="M93" i="1"/>
  <c r="M129" i="1"/>
  <c r="M140" i="1"/>
  <c r="M144" i="1"/>
  <c r="M169" i="1"/>
  <c r="M180" i="1"/>
  <c r="W144" i="1"/>
  <c r="O144" i="1"/>
  <c r="W138" i="1"/>
  <c r="W137" i="1"/>
  <c r="W136" i="1"/>
  <c r="W135" i="1"/>
  <c r="W134" i="1"/>
  <c r="W132" i="1"/>
  <c r="W131" i="1"/>
  <c r="O135" i="1"/>
  <c r="O134" i="1"/>
  <c r="O131" i="1"/>
  <c r="O138" i="1"/>
  <c r="O137" i="1"/>
  <c r="O136" i="1"/>
  <c r="O140" i="1"/>
  <c r="W74" i="1"/>
  <c r="O74" i="1"/>
  <c r="W93" i="1"/>
  <c r="O93" i="1"/>
  <c r="Q24" i="1"/>
  <c r="R24" i="1"/>
  <c r="Q180" i="1"/>
  <c r="R180" i="1"/>
  <c r="Q156" i="1"/>
  <c r="R156" i="1"/>
  <c r="V156" i="1"/>
  <c r="Q129" i="1"/>
  <c r="R129" i="1"/>
  <c r="O129" i="1"/>
  <c r="V41" i="1"/>
  <c r="W41" i="1"/>
  <c r="Q23" i="1"/>
  <c r="R23" i="1"/>
  <c r="Q31" i="1"/>
  <c r="R31" i="1"/>
  <c r="Q34" i="1"/>
  <c r="R34" i="1"/>
  <c r="Q35" i="1"/>
  <c r="R35" i="1"/>
  <c r="Q36" i="1"/>
  <c r="R36" i="1"/>
  <c r="R33" i="1"/>
  <c r="Q38" i="1"/>
  <c r="R38" i="1"/>
  <c r="Q39" i="1"/>
  <c r="R39" i="1"/>
  <c r="R37" i="1"/>
  <c r="R41" i="1"/>
  <c r="Q33" i="1"/>
  <c r="Q37" i="1"/>
  <c r="Q41" i="1"/>
  <c r="O41" i="1"/>
  <c r="V36" i="1"/>
  <c r="W36" i="1"/>
  <c r="W33" i="1"/>
  <c r="S33" i="1"/>
  <c r="O33" i="1"/>
  <c r="L27" i="1"/>
  <c r="Q148" i="1"/>
  <c r="R148" i="1"/>
  <c r="M148" i="1"/>
  <c r="N148" i="1"/>
  <c r="O148" i="1"/>
  <c r="L150" i="1"/>
  <c r="U150" i="1"/>
  <c r="V150" i="1"/>
  <c r="W150" i="1"/>
  <c r="Q150" i="1"/>
  <c r="R150" i="1"/>
  <c r="S150" i="1"/>
  <c r="M150" i="1"/>
  <c r="N150" i="1"/>
  <c r="O150" i="1"/>
  <c r="H150" i="1"/>
  <c r="Q79" i="1"/>
  <c r="Q80" i="1"/>
  <c r="Q78" i="1"/>
  <c r="V169" i="1"/>
  <c r="Q169" i="1"/>
  <c r="R169" i="1"/>
  <c r="Q144" i="1"/>
  <c r="R144" i="1"/>
  <c r="Q131" i="1"/>
  <c r="R131" i="1"/>
  <c r="Q134" i="1"/>
  <c r="R134" i="1"/>
  <c r="Q135" i="1"/>
  <c r="R135" i="1"/>
  <c r="Q136" i="1"/>
  <c r="R136" i="1"/>
  <c r="Q137" i="1"/>
  <c r="R137" i="1"/>
  <c r="Q138" i="1"/>
  <c r="R138" i="1"/>
  <c r="R140" i="1"/>
  <c r="Q140" i="1"/>
  <c r="O55" i="1"/>
  <c r="Q55" i="1"/>
  <c r="R55" i="1"/>
  <c r="S55" i="1"/>
  <c r="W55" i="1"/>
  <c r="H55" i="1"/>
  <c r="G132" i="1"/>
  <c r="H132" i="1"/>
  <c r="H56" i="1"/>
  <c r="W56" i="1"/>
  <c r="Q56" i="1"/>
  <c r="R56" i="1"/>
  <c r="S56" i="1"/>
  <c r="O56" i="1"/>
  <c r="H62" i="1"/>
  <c r="W62" i="1"/>
  <c r="Q62" i="1"/>
  <c r="R62" i="1"/>
  <c r="S62" i="1"/>
  <c r="O62" i="1"/>
  <c r="Q190" i="1"/>
  <c r="L190" i="1"/>
  <c r="Q189" i="1"/>
  <c r="L189" i="1"/>
  <c r="Q188" i="1"/>
  <c r="L188" i="1"/>
  <c r="Q187" i="1"/>
  <c r="L187" i="1"/>
  <c r="Q186" i="1"/>
  <c r="L186" i="1"/>
  <c r="U175" i="1"/>
  <c r="Q175" i="1"/>
  <c r="M175" i="1"/>
  <c r="L175" i="1"/>
  <c r="U176" i="1"/>
  <c r="Q176" i="1"/>
  <c r="M176" i="1"/>
  <c r="L176" i="1"/>
  <c r="U174" i="1"/>
  <c r="Q174" i="1"/>
  <c r="M174" i="1"/>
  <c r="L174" i="1"/>
  <c r="Q173" i="1"/>
  <c r="Q165" i="1"/>
  <c r="U163" i="1"/>
  <c r="Q163" i="1"/>
  <c r="M163" i="1"/>
  <c r="L163" i="1"/>
  <c r="U162" i="1"/>
  <c r="Q162" i="1"/>
  <c r="M162" i="1"/>
  <c r="L162" i="1"/>
  <c r="Q161" i="1"/>
  <c r="U160" i="1"/>
  <c r="Q160" i="1"/>
  <c r="M160" i="1"/>
  <c r="L160" i="1"/>
  <c r="U152" i="1"/>
  <c r="Q152" i="1"/>
  <c r="U154" i="1"/>
  <c r="Q154" i="1"/>
  <c r="M154" i="1"/>
  <c r="L154" i="1"/>
  <c r="U151" i="1"/>
  <c r="Q151" i="1"/>
  <c r="U149" i="1"/>
  <c r="Q149" i="1"/>
  <c r="M149" i="1"/>
  <c r="L149" i="1"/>
  <c r="Q127" i="1"/>
  <c r="Q125" i="1"/>
  <c r="Q124" i="1"/>
  <c r="Q123" i="1"/>
  <c r="Q122" i="1"/>
  <c r="Q121" i="1"/>
  <c r="Q110" i="1"/>
  <c r="Q108" i="1"/>
  <c r="Q120" i="1"/>
  <c r="Q109" i="1"/>
  <c r="Q118" i="1"/>
  <c r="Q117" i="1"/>
  <c r="Q116" i="1"/>
  <c r="Q113" i="1"/>
  <c r="Q115" i="1"/>
  <c r="Q114" i="1"/>
  <c r="Q112" i="1"/>
  <c r="Q111" i="1"/>
  <c r="Q105" i="1"/>
  <c r="Q107" i="1"/>
  <c r="Q106" i="1"/>
  <c r="Q99" i="1"/>
  <c r="Q98" i="1"/>
  <c r="Q97" i="1"/>
  <c r="Q95" i="1"/>
  <c r="Q96" i="1"/>
  <c r="Q94" i="1"/>
  <c r="Q102" i="1"/>
  <c r="Q101" i="1"/>
  <c r="Q103" i="1"/>
  <c r="Q100" i="1"/>
  <c r="U92" i="1"/>
  <c r="Q92" i="1"/>
  <c r="M92" i="1"/>
  <c r="L92" i="1"/>
  <c r="U91" i="1"/>
  <c r="Q91" i="1"/>
  <c r="M91" i="1"/>
  <c r="L91" i="1"/>
  <c r="U90" i="1"/>
  <c r="Q90" i="1"/>
  <c r="M90" i="1"/>
  <c r="L90" i="1"/>
  <c r="U89" i="1"/>
  <c r="Q89" i="1"/>
  <c r="M89" i="1"/>
  <c r="L89" i="1"/>
  <c r="Q88" i="1"/>
  <c r="Q87" i="1"/>
  <c r="Q86" i="1"/>
  <c r="Q85" i="1"/>
  <c r="Q84" i="1"/>
  <c r="Q83" i="1"/>
  <c r="Q82" i="1"/>
  <c r="Q81" i="1"/>
  <c r="Q77" i="1"/>
  <c r="Q76" i="1"/>
  <c r="Q75" i="1"/>
  <c r="B5" i="2"/>
  <c r="H102" i="1"/>
  <c r="H83" i="1"/>
  <c r="H54" i="1"/>
  <c r="M27" i="1"/>
  <c r="H118" i="1"/>
  <c r="G138" i="1"/>
  <c r="H98" i="1"/>
  <c r="H96" i="1"/>
  <c r="H76" i="1"/>
  <c r="Q61" i="1"/>
  <c r="U27" i="1"/>
  <c r="Q45" i="1"/>
  <c r="H99" i="1"/>
  <c r="H27" i="1"/>
  <c r="H117" i="1"/>
  <c r="G93" i="1"/>
  <c r="H107" i="1"/>
  <c r="H137" i="1"/>
  <c r="G27" i="1"/>
  <c r="H77" i="1"/>
  <c r="Q27" i="1"/>
  <c r="Q44" i="1"/>
  <c r="H46" i="1"/>
  <c r="H159" i="1"/>
  <c r="H123" i="1"/>
  <c r="G159" i="1"/>
  <c r="H112" i="1"/>
  <c r="H138" i="1"/>
  <c r="Q54" i="1"/>
  <c r="H121" i="1"/>
  <c r="G137" i="1"/>
  <c r="H110" i="1"/>
  <c r="H108" i="1"/>
  <c r="H105" i="1"/>
  <c r="H115" i="1"/>
  <c r="Q52" i="1"/>
  <c r="U28" i="1"/>
  <c r="U25" i="1"/>
  <c r="H161" i="1"/>
  <c r="H32" i="1"/>
  <c r="H26" i="1"/>
  <c r="H135" i="1"/>
  <c r="H125" i="1"/>
  <c r="H58" i="1"/>
  <c r="Q28" i="1"/>
  <c r="Q25" i="1"/>
  <c r="G32" i="1"/>
  <c r="G26" i="1"/>
  <c r="G140" i="1"/>
  <c r="G131" i="1"/>
  <c r="H113" i="1"/>
  <c r="H51" i="1"/>
  <c r="G31" i="1"/>
  <c r="Q65" i="1"/>
  <c r="Q48" i="1"/>
  <c r="G23" i="1"/>
  <c r="Q57" i="1"/>
  <c r="Q47" i="1"/>
  <c r="G8" i="1"/>
  <c r="H186" i="1"/>
  <c r="H52" i="1"/>
  <c r="H136" i="1"/>
  <c r="L26" i="1"/>
  <c r="G161" i="1"/>
  <c r="G134" i="1"/>
  <c r="Q63" i="1"/>
  <c r="H169" i="1"/>
  <c r="G148" i="1"/>
  <c r="H114" i="1"/>
  <c r="G81" i="1"/>
  <c r="H69" i="1"/>
  <c r="H57" i="1"/>
  <c r="H43" i="1"/>
  <c r="H180" i="1"/>
  <c r="H148" i="1"/>
  <c r="G129" i="1"/>
  <c r="H87" i="1"/>
  <c r="G65" i="1"/>
  <c r="H63" i="1"/>
  <c r="G41" i="1"/>
  <c r="H91" i="1"/>
  <c r="H61" i="1"/>
  <c r="H127" i="1"/>
  <c r="H86" i="1"/>
  <c r="L29" i="1"/>
  <c r="U26" i="1"/>
  <c r="U24" i="1"/>
  <c r="H24" i="1"/>
  <c r="H29" i="1"/>
  <c r="H131" i="1"/>
  <c r="H106" i="1"/>
  <c r="Q20" i="1"/>
  <c r="U29" i="1"/>
  <c r="Q26" i="1"/>
  <c r="G29" i="1"/>
  <c r="G135" i="1"/>
  <c r="H124" i="1"/>
  <c r="Q51" i="1"/>
  <c r="G33" i="1"/>
  <c r="H31" i="1"/>
  <c r="Q59" i="1"/>
  <c r="H75" i="1"/>
  <c r="H190" i="1"/>
  <c r="H85" i="1"/>
  <c r="M28" i="1"/>
  <c r="H120" i="1"/>
  <c r="H28" i="1"/>
  <c r="H122" i="1"/>
  <c r="H50" i="1"/>
  <c r="L28" i="1"/>
  <c r="H162" i="1"/>
  <c r="G28" i="1"/>
  <c r="H90" i="1"/>
  <c r="U20" i="1"/>
  <c r="Q60" i="1"/>
  <c r="G173" i="1"/>
  <c r="G151" i="1"/>
  <c r="H93" i="1"/>
  <c r="G53" i="1"/>
  <c r="H47" i="1"/>
  <c r="H38" i="1"/>
  <c r="H189" i="1"/>
  <c r="H174" i="1"/>
  <c r="H154" i="1"/>
  <c r="H100" i="1"/>
  <c r="H79" i="1"/>
  <c r="H49" i="1"/>
  <c r="H45" i="1"/>
  <c r="H39" i="1"/>
  <c r="H103" i="1"/>
  <c r="Q29" i="1"/>
  <c r="H25" i="1"/>
  <c r="H92" i="1"/>
  <c r="H84" i="1"/>
  <c r="H163" i="1"/>
  <c r="G25" i="1"/>
  <c r="G136" i="1"/>
  <c r="H82" i="1"/>
  <c r="H89" i="1"/>
  <c r="Q58" i="1"/>
  <c r="Q50" i="1"/>
  <c r="M20" i="1"/>
  <c r="Q69" i="1"/>
  <c r="H176" i="1"/>
  <c r="H152" i="1"/>
  <c r="H111" i="1"/>
  <c r="H80" i="1"/>
  <c r="H60" i="1"/>
  <c r="H53" i="1"/>
  <c r="L17" i="1"/>
  <c r="H175" i="1"/>
  <c r="G156" i="1"/>
  <c r="H116" i="1"/>
  <c r="H81" i="1"/>
  <c r="H59" i="1"/>
  <c r="G47" i="1"/>
  <c r="H33" i="1"/>
  <c r="H23" i="1"/>
  <c r="M26" i="1"/>
  <c r="H36" i="1"/>
  <c r="H134" i="1"/>
  <c r="H149" i="1"/>
  <c r="M29" i="1"/>
  <c r="G24" i="1"/>
  <c r="H160" i="1"/>
  <c r="L20" i="1"/>
  <c r="Q49" i="1"/>
  <c r="H188" i="1"/>
  <c r="G165" i="1"/>
  <c r="H144" i="1"/>
  <c r="H88" i="1"/>
  <c r="H74" i="1"/>
  <c r="H44" i="1"/>
  <c r="B14" i="2"/>
  <c r="H187" i="1"/>
  <c r="H173" i="1"/>
  <c r="H151" i="1"/>
  <c r="G88" i="1"/>
  <c r="G74" i="1"/>
  <c r="G43" i="1"/>
  <c r="H34" i="1"/>
  <c r="N34" i="1"/>
  <c r="O34" i="1"/>
  <c r="V34" i="1"/>
  <c r="W34" i="1"/>
  <c r="S34" i="1"/>
  <c r="O152" i="1"/>
  <c r="V152" i="1"/>
  <c r="W152" i="1"/>
  <c r="R152" i="1"/>
  <c r="S152" i="1"/>
  <c r="R20" i="1"/>
  <c r="V20" i="1"/>
  <c r="N20" i="1"/>
  <c r="S136" i="1"/>
  <c r="Q70" i="1"/>
  <c r="R70" i="1"/>
  <c r="V187" i="1"/>
  <c r="W187" i="1"/>
  <c r="R187" i="1"/>
  <c r="S187" i="1"/>
  <c r="N187" i="1"/>
  <c r="O187" i="1"/>
  <c r="W23" i="1"/>
  <c r="S23" i="1"/>
  <c r="V148" i="1"/>
  <c r="W148" i="1"/>
  <c r="S148" i="1"/>
  <c r="V176" i="1"/>
  <c r="W176" i="1"/>
  <c r="N176" i="1"/>
  <c r="O176" i="1"/>
  <c r="R176" i="1"/>
  <c r="S176" i="1"/>
  <c r="V25" i="1"/>
  <c r="W25" i="1"/>
  <c r="R25" i="1"/>
  <c r="S25" i="1"/>
  <c r="V89" i="1"/>
  <c r="W89" i="1"/>
  <c r="N89" i="1"/>
  <c r="O89" i="1"/>
  <c r="R89" i="1"/>
  <c r="S89" i="1"/>
  <c r="Q181" i="1"/>
  <c r="R181" i="1"/>
  <c r="S24" i="1"/>
  <c r="V24" i="1"/>
  <c r="W24" i="1"/>
  <c r="V28" i="1"/>
  <c r="W28" i="1"/>
  <c r="R28" i="1"/>
  <c r="S28" i="1"/>
  <c r="N28" i="1"/>
  <c r="O28" i="1"/>
  <c r="S134" i="1"/>
  <c r="V188" i="1"/>
  <c r="W188" i="1"/>
  <c r="N188" i="1"/>
  <c r="O188" i="1"/>
  <c r="R188" i="1"/>
  <c r="S188" i="1"/>
  <c r="R149" i="1"/>
  <c r="S149" i="1"/>
  <c r="V149" i="1"/>
  <c r="W149" i="1"/>
  <c r="N149" i="1"/>
  <c r="O149" i="1"/>
  <c r="N175" i="1"/>
  <c r="O175" i="1"/>
  <c r="R175" i="1"/>
  <c r="S175" i="1"/>
  <c r="V175" i="1"/>
  <c r="W175" i="1"/>
  <c r="S135" i="1"/>
  <c r="N29" i="1"/>
  <c r="O29" i="1"/>
  <c r="R29" i="1"/>
  <c r="S29" i="1"/>
  <c r="V29" i="1"/>
  <c r="W29" i="1"/>
  <c r="S38" i="1"/>
  <c r="S37" i="1"/>
  <c r="Q170" i="1"/>
  <c r="R170" i="1"/>
  <c r="R189" i="1"/>
  <c r="S189" i="1"/>
  <c r="V189" i="1"/>
  <c r="W189" i="1"/>
  <c r="N189" i="1"/>
  <c r="O189" i="1"/>
  <c r="S36" i="1"/>
  <c r="N36" i="1"/>
  <c r="O36" i="1"/>
  <c r="V151" i="1"/>
  <c r="W151" i="1"/>
  <c r="O151" i="1"/>
  <c r="R151" i="1"/>
  <c r="S151" i="1"/>
  <c r="R90" i="1"/>
  <c r="S90" i="1"/>
  <c r="V90" i="1"/>
  <c r="W90" i="1"/>
  <c r="N90" i="1"/>
  <c r="O90" i="1"/>
  <c r="W32" i="1"/>
  <c r="O32" i="1"/>
  <c r="N26" i="1"/>
  <c r="O26" i="1"/>
  <c r="R26" i="1"/>
  <c r="S26" i="1"/>
  <c r="V26" i="1"/>
  <c r="W26" i="1"/>
  <c r="V92" i="1"/>
  <c r="W92" i="1"/>
  <c r="R92" i="1"/>
  <c r="S92" i="1"/>
  <c r="N92" i="1"/>
  <c r="O92" i="1"/>
  <c r="N186" i="1"/>
  <c r="O186" i="1"/>
  <c r="R186" i="1"/>
  <c r="S186" i="1"/>
  <c r="V186" i="1"/>
  <c r="W186" i="1"/>
  <c r="N190" i="1"/>
  <c r="O190" i="1"/>
  <c r="R190" i="1"/>
  <c r="S190" i="1"/>
  <c r="V190" i="1"/>
  <c r="W190" i="1"/>
  <c r="Q145" i="1"/>
  <c r="R145" i="1"/>
  <c r="N154" i="1"/>
  <c r="O154" i="1"/>
  <c r="R154" i="1"/>
  <c r="S154" i="1"/>
  <c r="V154" i="1"/>
  <c r="W154" i="1"/>
  <c r="R174" i="1"/>
  <c r="S174" i="1"/>
  <c r="V174" i="1"/>
  <c r="W174" i="1"/>
  <c r="N174" i="1"/>
  <c r="O174" i="1"/>
  <c r="O31" i="1"/>
  <c r="W31" i="1"/>
  <c r="S31" i="1"/>
  <c r="S131" i="1"/>
  <c r="R91" i="1"/>
  <c r="S91" i="1"/>
  <c r="V91" i="1"/>
  <c r="W91" i="1"/>
  <c r="N91" i="1"/>
  <c r="O91" i="1"/>
  <c r="U70" i="1"/>
  <c r="M161" i="1"/>
  <c r="M159" i="1"/>
  <c r="U159" i="1"/>
  <c r="V173" i="1"/>
  <c r="W173" i="1"/>
  <c r="O173" i="1"/>
  <c r="R173" i="1"/>
  <c r="S173" i="1"/>
  <c r="R108" i="1"/>
  <c r="S108" i="1"/>
  <c r="O108" i="1"/>
  <c r="W108" i="1"/>
  <c r="R105" i="1"/>
  <c r="S105" i="1"/>
  <c r="O105" i="1"/>
  <c r="W105" i="1"/>
  <c r="R88" i="1"/>
  <c r="S88" i="1"/>
  <c r="O88" i="1"/>
  <c r="W88" i="1"/>
  <c r="R80" i="1"/>
  <c r="S80" i="1"/>
  <c r="W80" i="1"/>
  <c r="O80" i="1"/>
  <c r="R59" i="1"/>
  <c r="S59" i="1"/>
  <c r="R53" i="1"/>
  <c r="S53" i="1"/>
  <c r="N45" i="1"/>
  <c r="O45" i="1"/>
  <c r="V45" i="1"/>
  <c r="W45" i="1"/>
  <c r="R45" i="1"/>
  <c r="S45" i="1"/>
  <c r="V27" i="1"/>
  <c r="W27" i="1"/>
  <c r="R27" i="1"/>
  <c r="S27" i="1"/>
  <c r="N27" i="1"/>
  <c r="O27" i="1"/>
  <c r="O124" i="1"/>
  <c r="W124" i="1"/>
  <c r="R124" i="1"/>
  <c r="S124" i="1"/>
  <c r="O115" i="1"/>
  <c r="W115" i="1"/>
  <c r="R115" i="1"/>
  <c r="S115" i="1"/>
  <c r="W96" i="1"/>
  <c r="O96" i="1"/>
  <c r="R96" i="1"/>
  <c r="S96" i="1"/>
  <c r="R79" i="1"/>
  <c r="S79" i="1"/>
  <c r="R78" i="1"/>
  <c r="S78" i="1"/>
  <c r="O60" i="1"/>
  <c r="W60" i="1"/>
  <c r="R60" i="1"/>
  <c r="S60" i="1"/>
  <c r="N46" i="1"/>
  <c r="O46" i="1"/>
  <c r="V46" i="1"/>
  <c r="W46" i="1"/>
  <c r="O118" i="1"/>
  <c r="R118" i="1"/>
  <c r="S118" i="1"/>
  <c r="O121" i="1"/>
  <c r="R121" i="1"/>
  <c r="S121" i="1"/>
  <c r="S35" i="1"/>
  <c r="V35" i="1"/>
  <c r="W35" i="1"/>
  <c r="N35" i="1"/>
  <c r="O35" i="1"/>
  <c r="S39" i="1"/>
  <c r="W39" i="1"/>
  <c r="O39" i="1"/>
  <c r="O123" i="1"/>
  <c r="W123" i="1"/>
  <c r="R123" i="1"/>
  <c r="S123" i="1"/>
  <c r="W114" i="1"/>
  <c r="O114" i="1"/>
  <c r="R114" i="1"/>
  <c r="S114" i="1"/>
  <c r="W103" i="1"/>
  <c r="O103" i="1"/>
  <c r="R103" i="1"/>
  <c r="S103" i="1"/>
  <c r="R82" i="1"/>
  <c r="S82" i="1"/>
  <c r="R81" i="1"/>
  <c r="S81" i="1"/>
  <c r="R58" i="1"/>
  <c r="S58" i="1"/>
  <c r="O58" i="1"/>
  <c r="W58" i="1"/>
  <c r="O47" i="1"/>
  <c r="R47" i="1"/>
  <c r="S47" i="1"/>
  <c r="W47" i="1"/>
  <c r="Q43" i="1"/>
  <c r="R117" i="1"/>
  <c r="S117" i="1"/>
  <c r="O117" i="1"/>
  <c r="R110" i="1"/>
  <c r="S110" i="1"/>
  <c r="O110" i="1"/>
  <c r="W54" i="1"/>
  <c r="O54" i="1"/>
  <c r="R54" i="1"/>
  <c r="S54" i="1"/>
  <c r="S140" i="1"/>
  <c r="R116" i="1"/>
  <c r="S116" i="1"/>
  <c r="W116" i="1"/>
  <c r="O116" i="1"/>
  <c r="O98" i="1"/>
  <c r="W98" i="1"/>
  <c r="R98" i="1"/>
  <c r="S98" i="1"/>
  <c r="R84" i="1"/>
  <c r="S84" i="1"/>
  <c r="W84" i="1"/>
  <c r="O84" i="1"/>
  <c r="O63" i="1"/>
  <c r="W63" i="1"/>
  <c r="R63" i="1"/>
  <c r="S63" i="1"/>
  <c r="S41" i="1"/>
  <c r="R101" i="1"/>
  <c r="S101" i="1"/>
  <c r="O101" i="1"/>
  <c r="W101" i="1"/>
  <c r="W102" i="1"/>
  <c r="R102" i="1"/>
  <c r="S102" i="1"/>
  <c r="O102" i="1"/>
  <c r="R107" i="1"/>
  <c r="S107" i="1"/>
  <c r="O107" i="1"/>
  <c r="W107" i="1"/>
  <c r="R162" i="1"/>
  <c r="S162" i="1"/>
  <c r="N162" i="1"/>
  <c r="L161" i="1"/>
  <c r="R161" i="1"/>
  <c r="S161" i="1"/>
  <c r="V162" i="1"/>
  <c r="U161" i="1"/>
  <c r="O125" i="1"/>
  <c r="W125" i="1"/>
  <c r="R125" i="1"/>
  <c r="S125" i="1"/>
  <c r="O113" i="1"/>
  <c r="W113" i="1"/>
  <c r="R113" i="1"/>
  <c r="S113" i="1"/>
  <c r="W97" i="1"/>
  <c r="O97" i="1"/>
  <c r="R97" i="1"/>
  <c r="S97" i="1"/>
  <c r="O85" i="1"/>
  <c r="W85" i="1"/>
  <c r="R85" i="1"/>
  <c r="S85" i="1"/>
  <c r="W57" i="1"/>
  <c r="R57" i="1"/>
  <c r="S57" i="1"/>
  <c r="O57" i="1"/>
  <c r="R50" i="1"/>
  <c r="S50" i="1"/>
  <c r="O50" i="1"/>
  <c r="W50" i="1"/>
  <c r="W156" i="1"/>
  <c r="O156" i="1"/>
  <c r="S156" i="1"/>
  <c r="R120" i="1"/>
  <c r="S120" i="1"/>
  <c r="O120" i="1"/>
  <c r="W120" i="1"/>
  <c r="R106" i="1"/>
  <c r="S106" i="1"/>
  <c r="O106" i="1"/>
  <c r="W106" i="1"/>
  <c r="O86" i="1"/>
  <c r="W86" i="1"/>
  <c r="R86" i="1"/>
  <c r="S86" i="1"/>
  <c r="W61" i="1"/>
  <c r="O61" i="1"/>
  <c r="R61" i="1"/>
  <c r="S61" i="1"/>
  <c r="R49" i="1"/>
  <c r="S49" i="1"/>
  <c r="R48" i="1"/>
  <c r="S48" i="1"/>
  <c r="S138" i="1"/>
  <c r="O112" i="1"/>
  <c r="R112" i="1"/>
  <c r="S112" i="1"/>
  <c r="W112" i="1"/>
  <c r="R127" i="1"/>
  <c r="S127" i="1"/>
  <c r="W127" i="1"/>
  <c r="O127" i="1"/>
  <c r="N160" i="1"/>
  <c r="L159" i="1"/>
  <c r="V160" i="1"/>
  <c r="R160" i="1"/>
  <c r="S160" i="1"/>
  <c r="N163" i="1"/>
  <c r="O163" i="1"/>
  <c r="R163" i="1"/>
  <c r="S163" i="1"/>
  <c r="V163" i="1"/>
  <c r="W163" i="1"/>
  <c r="O165" i="1"/>
  <c r="R165" i="1"/>
  <c r="S165" i="1"/>
  <c r="V165" i="1"/>
  <c r="W165" i="1"/>
  <c r="O109" i="1"/>
  <c r="W109" i="1"/>
  <c r="R109" i="1"/>
  <c r="S109" i="1"/>
  <c r="W99" i="1"/>
  <c r="O99" i="1"/>
  <c r="R99" i="1"/>
  <c r="S99" i="1"/>
  <c r="O87" i="1"/>
  <c r="W87" i="1"/>
  <c r="R87" i="1"/>
  <c r="S87" i="1"/>
  <c r="O76" i="1"/>
  <c r="W76" i="1"/>
  <c r="R76" i="1"/>
  <c r="S76" i="1"/>
  <c r="W52" i="1"/>
  <c r="O52" i="1"/>
  <c r="R52" i="1"/>
  <c r="S52" i="1"/>
  <c r="O77" i="1"/>
  <c r="R77" i="1"/>
  <c r="S77" i="1"/>
  <c r="W77" i="1"/>
  <c r="W122" i="1"/>
  <c r="R122" i="1"/>
  <c r="S122" i="1"/>
  <c r="O122" i="1"/>
  <c r="O111" i="1"/>
  <c r="W111" i="1"/>
  <c r="R111" i="1"/>
  <c r="S111" i="1"/>
  <c r="R100" i="1"/>
  <c r="S100" i="1"/>
  <c r="R93" i="1"/>
  <c r="S93" i="1"/>
  <c r="R75" i="1"/>
  <c r="S75" i="1"/>
  <c r="O51" i="1"/>
  <c r="W51" i="1"/>
  <c r="R51" i="1"/>
  <c r="S51" i="1"/>
  <c r="N44" i="1"/>
  <c r="O44" i="1"/>
  <c r="V44" i="1"/>
  <c r="W44" i="1"/>
  <c r="R44" i="1"/>
  <c r="S44" i="1"/>
  <c r="S137" i="1"/>
  <c r="W83" i="1"/>
  <c r="R83" i="1"/>
  <c r="S83" i="1"/>
  <c r="O83" i="1"/>
  <c r="R94" i="1"/>
  <c r="S94" i="1"/>
  <c r="O94" i="1"/>
  <c r="W94" i="1"/>
  <c r="W95" i="1"/>
  <c r="R95" i="1"/>
  <c r="S95" i="1"/>
  <c r="O95" i="1"/>
  <c r="R43" i="1"/>
  <c r="S43" i="1"/>
  <c r="W43" i="1"/>
  <c r="W75" i="1"/>
  <c r="O100" i="1"/>
  <c r="W100" i="1"/>
  <c r="W160" i="1"/>
  <c r="V159" i="1"/>
  <c r="W159" i="1"/>
  <c r="O160" i="1"/>
  <c r="N159" i="1"/>
  <c r="O159" i="1"/>
  <c r="W49" i="1"/>
  <c r="W48" i="1"/>
  <c r="W162" i="1"/>
  <c r="V161" i="1"/>
  <c r="W161" i="1"/>
  <c r="O162" i="1"/>
  <c r="N161" i="1"/>
  <c r="O161" i="1"/>
  <c r="R69" i="1"/>
  <c r="S69" i="1"/>
  <c r="L70" i="1"/>
  <c r="O82" i="1"/>
  <c r="O81" i="1"/>
  <c r="O79" i="1"/>
  <c r="O78" i="1"/>
  <c r="W59" i="1"/>
  <c r="W53" i="1"/>
  <c r="W38" i="1"/>
  <c r="W37" i="1"/>
  <c r="R74" i="1"/>
  <c r="S74" i="1"/>
  <c r="S129" i="1"/>
  <c r="O75" i="1"/>
  <c r="O49" i="1"/>
  <c r="O48" i="1"/>
  <c r="W82" i="1"/>
  <c r="W81" i="1"/>
  <c r="W79" i="1"/>
  <c r="W78" i="1"/>
  <c r="O59" i="1"/>
  <c r="O53" i="1"/>
  <c r="M70" i="1"/>
  <c r="U145" i="1"/>
  <c r="O38" i="1"/>
  <c r="O37" i="1"/>
  <c r="U181" i="1"/>
  <c r="U170" i="1"/>
  <c r="M145" i="1"/>
  <c r="O69" i="1"/>
  <c r="V70" i="1"/>
  <c r="N70" i="1"/>
  <c r="O43" i="1"/>
  <c r="O65" i="1"/>
  <c r="L145" i="1"/>
  <c r="S144" i="1"/>
  <c r="W65" i="1"/>
  <c r="R65" i="1"/>
  <c r="S65" i="1"/>
  <c r="V145" i="1"/>
  <c r="N145" i="1"/>
  <c r="S169" i="1"/>
  <c r="W169" i="1"/>
  <c r="L170" i="1"/>
  <c r="M170" i="1"/>
  <c r="M181" i="1"/>
  <c r="V170" i="1"/>
  <c r="N170" i="1"/>
  <c r="O169" i="1"/>
  <c r="O180" i="1"/>
  <c r="S180" i="1"/>
  <c r="L181" i="1"/>
  <c r="N181" i="1"/>
  <c r="V181" i="1"/>
</calcChain>
</file>

<file path=xl/sharedStrings.xml><?xml version="1.0" encoding="utf-8"?>
<sst xmlns="http://schemas.openxmlformats.org/spreadsheetml/2006/main" count="224" uniqueCount="186">
  <si>
    <t>Phase</t>
  </si>
  <si>
    <t>ACT_TOT</t>
  </si>
  <si>
    <t>Period</t>
  </si>
  <si>
    <t xml:space="preserve"> </t>
  </si>
  <si>
    <t>P&amp;L Aggregated Context :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</si>
  <si>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</si>
  <si>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</si>
  <si>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</si>
  <si>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</si>
  <si>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</si>
  <si>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</si>
  <si>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</si>
  <si>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</si>
  <si>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</si>
  <si>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</si>
  <si>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</si>
  <si>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</si>
  <si>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</si>
  <si>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</si>
  <si>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</si>
  <si>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Note List :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</si>
  <si>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</si>
  <si>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</si>
  <si>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</si>
  <si>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</si>
  <si>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</si>
  <si>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French</t>
  </si>
  <si>
    <t>A</t>
  </si>
  <si>
    <t>B</t>
  </si>
  <si>
    <t>C</t>
  </si>
  <si>
    <t>Calc excel</t>
  </si>
  <si>
    <t>Cube n°3 :</t>
  </si>
  <si>
    <t>Periode</t>
  </si>
  <si>
    <t>Antenne</t>
  </si>
  <si>
    <t>Type de formation</t>
  </si>
  <si>
    <t>Partenaire</t>
  </si>
  <si>
    <t>Nature Analytique</t>
  </si>
  <si>
    <t>GIE_Nat_Analytique</t>
  </si>
  <si>
    <t>Sélection du contexte</t>
  </si>
  <si>
    <t>GIE Transdev Formation - P&amp;L détaillé</t>
  </si>
  <si>
    <t>GIE_Indicator</t>
  </si>
  <si>
    <t>Tot_Produits_Subventions</t>
  </si>
  <si>
    <t>778000</t>
  </si>
  <si>
    <t>709600</t>
  </si>
  <si>
    <t>708800a</t>
  </si>
  <si>
    <t>708800c</t>
  </si>
  <si>
    <t>Tot_Produits</t>
  </si>
  <si>
    <t>621880_Tot</t>
  </si>
  <si>
    <t>621880a</t>
  </si>
  <si>
    <t>621880b</t>
  </si>
  <si>
    <t>617000</t>
  </si>
  <si>
    <t>613200a</t>
  </si>
  <si>
    <t>618880a</t>
  </si>
  <si>
    <t>618880b</t>
  </si>
  <si>
    <t>623600</t>
  </si>
  <si>
    <t>624100a</t>
  </si>
  <si>
    <t>618500</t>
  </si>
  <si>
    <t>Cout_direct_formation_autres</t>
  </si>
  <si>
    <t>Cout_direct_formation</t>
  </si>
  <si>
    <t>Marge_Cout_direct_formation</t>
  </si>
  <si>
    <t>Cout_structure_salaires</t>
  </si>
  <si>
    <t>621100</t>
  </si>
  <si>
    <t>615650</t>
  </si>
  <si>
    <t>Cout_structure_VH_Telephonie</t>
  </si>
  <si>
    <t>626210</t>
  </si>
  <si>
    <t>Cout_structure_honoraires</t>
  </si>
  <si>
    <t>622700</t>
  </si>
  <si>
    <t>Cout_structure_autres</t>
  </si>
  <si>
    <t>681120</t>
  </si>
  <si>
    <t>613200b</t>
  </si>
  <si>
    <t>624100b</t>
  </si>
  <si>
    <t>626100</t>
  </si>
  <si>
    <t>606450</t>
  </si>
  <si>
    <t>606460</t>
  </si>
  <si>
    <t>606470</t>
  </si>
  <si>
    <t>625600</t>
  </si>
  <si>
    <t>625700</t>
  </si>
  <si>
    <t>TBD_X1</t>
  </si>
  <si>
    <t>Cout_structure</t>
  </si>
  <si>
    <t>Resultat_exploitation</t>
  </si>
  <si>
    <t>Charges_financieres</t>
  </si>
  <si>
    <t>627700</t>
  </si>
  <si>
    <t>Resultat_financier</t>
  </si>
  <si>
    <t>Charges_exceptionnelles</t>
  </si>
  <si>
    <t>Produits_financiers</t>
  </si>
  <si>
    <t>Resultat_exceptionnel</t>
  </si>
  <si>
    <t>Resultat_avt_imp_taxes</t>
  </si>
  <si>
    <t>Impots_Taxes</t>
  </si>
  <si>
    <t>635115</t>
  </si>
  <si>
    <t>637100</t>
  </si>
  <si>
    <t>635140</t>
  </si>
  <si>
    <t>Resultat_net</t>
  </si>
  <si>
    <t>Nb_Stagiaire</t>
  </si>
  <si>
    <t>Nb_Session</t>
  </si>
  <si>
    <t>Nb_hr_Formation</t>
  </si>
  <si>
    <t>Nb_jr_Formateur_Moniteur</t>
  </si>
  <si>
    <t>Nb_jr_production</t>
  </si>
  <si>
    <t>Indicateurs opérationnels</t>
  </si>
  <si>
    <t>% du Total Produits</t>
  </si>
  <si>
    <t>z_Translate_Report</t>
  </si>
  <si>
    <t>Actual_N_1</t>
  </si>
  <si>
    <t>RP_GIE_Transdev_Formation</t>
  </si>
  <si>
    <t>GIE_Antennes</t>
  </si>
  <si>
    <t>GIE_Partenaires</t>
  </si>
  <si>
    <t>GIE_Type_ Formation</t>
  </si>
  <si>
    <t>706025b</t>
  </si>
  <si>
    <t>622600a</t>
  </si>
  <si>
    <t>622600b</t>
  </si>
  <si>
    <t>781740</t>
  </si>
  <si>
    <t>613510</t>
  </si>
  <si>
    <t>613530</t>
  </si>
  <si>
    <t>622610</t>
  </si>
  <si>
    <t>606400</t>
  </si>
  <si>
    <t>625500</t>
  </si>
  <si>
    <t>658000</t>
  </si>
  <si>
    <t>623400</t>
  </si>
  <si>
    <t>681110</t>
  </si>
  <si>
    <t>681740</t>
  </si>
  <si>
    <t>768000</t>
  </si>
  <si>
    <t>668000</t>
  </si>
  <si>
    <t>758000</t>
  </si>
  <si>
    <t>758500</t>
  </si>
  <si>
    <t>758810</t>
  </si>
  <si>
    <t>Produit_structure</t>
  </si>
  <si>
    <t>706025c</t>
  </si>
  <si>
    <t>706025d</t>
  </si>
  <si>
    <t>706025e</t>
  </si>
  <si>
    <t>706025f</t>
  </si>
  <si>
    <t>706025g</t>
  </si>
  <si>
    <t>706025a</t>
  </si>
  <si>
    <t>708800b</t>
  </si>
  <si>
    <t>628880</t>
  </si>
  <si>
    <t>772888</t>
  </si>
  <si>
    <t>671200</t>
  </si>
  <si>
    <t>672888</t>
  </si>
  <si>
    <t>613580a</t>
  </si>
  <si>
    <t xml:space="preserve">613580b </t>
  </si>
  <si>
    <t>615600a</t>
  </si>
  <si>
    <t>615600b</t>
  </si>
  <si>
    <t>615580b</t>
  </si>
  <si>
    <t>625130a</t>
  </si>
  <si>
    <t>625130b</t>
  </si>
  <si>
    <t>625130c</t>
  </si>
  <si>
    <t xml:space="preserve">623100a  </t>
  </si>
  <si>
    <t>623100b</t>
  </si>
  <si>
    <t>à supprimer</t>
  </si>
  <si>
    <t>sous-totaux</t>
  </si>
  <si>
    <t>Produits exceptionnels</t>
  </si>
  <si>
    <t>626200</t>
  </si>
  <si>
    <t>626600</t>
  </si>
  <si>
    <t>740100</t>
  </si>
  <si>
    <t>706025h</t>
  </si>
  <si>
    <t>706025i</t>
  </si>
  <si>
    <t>758870</t>
  </si>
  <si>
    <t>618100a</t>
  </si>
  <si>
    <t>618100b</t>
  </si>
  <si>
    <t>621400a</t>
  </si>
  <si>
    <t>621400b</t>
  </si>
  <si>
    <t>625200</t>
  </si>
  <si>
    <t>651100</t>
  </si>
  <si>
    <t>604300</t>
  </si>
  <si>
    <t>751100</t>
  </si>
  <si>
    <t>616000</t>
  </si>
  <si>
    <t>COUTS DE STRUCTURE</t>
  </si>
  <si>
    <t>606120</t>
  </si>
  <si>
    <t>618880</t>
  </si>
  <si>
    <t>Total Structure</t>
  </si>
  <si>
    <t>-</t>
  </si>
  <si>
    <t>615580a</t>
  </si>
  <si>
    <t>Accés formation à distance</t>
  </si>
  <si>
    <t xml:space="preserve">Fournitures de bureau </t>
  </si>
  <si>
    <t>Location véhicule (bus - navettes)</t>
  </si>
  <si>
    <t>Electricité et gaz</t>
  </si>
  <si>
    <t xml:space="preserve">Cadeaux formateurs - stagiaires </t>
  </si>
  <si>
    <t>708800d</t>
  </si>
  <si>
    <t>Autres produits</t>
  </si>
  <si>
    <t>Location et MAD de matériel et de salle</t>
  </si>
  <si>
    <t>615600d</t>
  </si>
  <si>
    <t>Maintenance logiciel informatique</t>
  </si>
  <si>
    <t>766000</t>
  </si>
  <si>
    <t>tango_core_model:</t>
  </si>
  <si>
    <t>628500</t>
  </si>
  <si>
    <t>654400</t>
  </si>
  <si>
    <t>661170</t>
  </si>
  <si>
    <t>615200</t>
  </si>
  <si>
    <t>613000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</si>
</sst>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#,##0.0"/>
    <numFmt numFmtId="166" formatCode="0.0%"/>
    <numFmt numFmtId="167" formatCode="#,##0.0&quot; pts&quot;"/>
  </numFmts>
  <fonts count="6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0"/>
      <color indexed="10"/>
      <name val="Calibri"/>
      <family val="2"/>
    </font>
    <font>
      <sz val="10"/>
      <color indexed="12"/>
      <name val="Calibri"/>
      <family val="2"/>
    </font>
    <font>
      <b/>
      <sz val="14"/>
      <name val="Calibri"/>
      <family val="2"/>
    </font>
    <font>
      <b/>
      <sz val="32"/>
      <color indexed="9"/>
      <name val="Calibri"/>
      <family val="2"/>
    </font>
    <font>
      <b/>
      <i/>
      <sz val="20"/>
      <color indexed="9"/>
      <name val="Calibri"/>
      <family val="2"/>
    </font>
    <font>
      <sz val="10"/>
      <name val="Wingdings"/>
      <charset val="2"/>
    </font>
    <font>
      <b/>
      <sz val="16"/>
      <name val="Calibri"/>
      <family val="2"/>
    </font>
    <font>
      <b/>
      <sz val="10"/>
      <color indexed="53"/>
      <name val="Calibri"/>
      <family val="2"/>
    </font>
    <font>
      <b/>
      <sz val="10"/>
      <color indexed="9"/>
      <name val="Calibri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6"/>
      <color indexed="57"/>
      <name val="Wingdings"/>
      <charset val="2"/>
    </font>
    <font>
      <sz val="18"/>
      <color indexed="9"/>
      <name val="Calibri"/>
      <family val="2"/>
    </font>
    <font>
      <b/>
      <sz val="16"/>
      <color indexed="23"/>
      <name val="Calibri"/>
      <family val="2"/>
    </font>
    <font>
      <b/>
      <sz val="22"/>
      <name val="Calibri"/>
      <family val="2"/>
    </font>
    <font>
      <b/>
      <sz val="15"/>
      <name val="Calibri"/>
      <family val="2"/>
    </font>
    <font>
      <b/>
      <sz val="18"/>
      <name val="Wingdings"/>
      <charset val="2"/>
    </font>
    <font>
      <sz val="10"/>
      <color indexed="9"/>
      <name val="Wingdings"/>
      <charset val="2"/>
    </font>
    <font>
      <b/>
      <sz val="18"/>
      <color indexed="23"/>
      <name val="Calibri"/>
      <family val="2"/>
    </font>
    <font>
      <b/>
      <sz val="18"/>
      <color indexed="52"/>
      <name val="Wingdings"/>
      <charset val="2"/>
    </font>
    <font>
      <b/>
      <sz val="12"/>
      <color indexed="6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indexed="17"/>
      <name val="Calibri"/>
      <family val="2"/>
    </font>
    <font>
      <b/>
      <sz val="10"/>
      <name val="Arial"/>
      <family val="2"/>
    </font>
    <font>
      <sz val="10"/>
      <color indexed="53"/>
      <name val="Calibri"/>
      <family val="2"/>
    </font>
    <font>
      <sz val="10"/>
      <color indexed="23"/>
      <name val="Calibri"/>
      <family val="2"/>
    </font>
    <font>
      <sz val="12"/>
      <name val="Arial"/>
      <family val="2"/>
    </font>
    <font>
      <i/>
      <sz val="14"/>
      <color indexed="23"/>
      <name val="Calibri"/>
      <family val="2"/>
    </font>
    <font>
      <sz val="11"/>
      <color theme="1"/>
      <name val="Calibri"/>
      <family val="2"/>
      <scheme val="minor"/>
    </font>
    <font>
      <sz val="22"/>
      <color theme="1" tint="0.14999847407452621"/>
      <name val="Calibri"/>
      <family val="2"/>
    </font>
    <font>
      <sz val="11"/>
      <name val="Calibri"/>
      <family val="2"/>
      <scheme val="minor"/>
    </font>
    <font>
      <b/>
      <sz val="14"/>
      <color theme="3"/>
      <name val="Arial"/>
      <family val="2"/>
    </font>
    <font>
      <b/>
      <sz val="16"/>
      <color theme="1" tint="0.249977111117893"/>
      <name val="Calibri"/>
      <family val="2"/>
    </font>
    <font>
      <b/>
      <i/>
      <sz val="11"/>
      <color theme="0" tint="-0.14999847407452621"/>
      <name val="Calibri"/>
      <family val="2"/>
      <scheme val="minor"/>
    </font>
    <font>
      <sz val="14"/>
      <color rgb="FF222222"/>
      <name val="Arial"/>
      <family val="2"/>
    </font>
    <font>
      <sz val="24"/>
      <color rgb="FFFF0000"/>
      <name val="Wingdings"/>
      <charset val="2"/>
    </font>
    <font>
      <sz val="14"/>
      <color rgb="FFFF0000"/>
      <name val="Arial"/>
      <family val="2"/>
    </font>
    <font>
      <sz val="12"/>
      <name val="Calibri"/>
      <family val="2"/>
    </font>
    <font>
      <b/>
      <sz val="20"/>
      <color indexed="9"/>
      <name val="Calibri"/>
      <family val="2"/>
    </font>
    <font>
      <b/>
      <i/>
      <sz val="16"/>
      <color indexed="9"/>
      <name val="Calibri"/>
      <family val="2"/>
    </font>
    <font>
      <sz val="11"/>
      <color indexed="63"/>
      <name val="Calibri"/>
      <family val="2"/>
    </font>
    <font>
      <b/>
      <sz val="12"/>
      <color indexed="23"/>
      <name val="Calibri"/>
      <family val="2"/>
    </font>
    <font>
      <b/>
      <sz val="12"/>
      <color theme="0"/>
      <name val="Calibri"/>
      <family val="2"/>
    </font>
    <font>
      <b/>
      <sz val="12"/>
      <color indexed="10"/>
      <name val="Calibri"/>
      <family val="2"/>
    </font>
    <font>
      <b/>
      <sz val="12"/>
      <color indexed="57"/>
      <name val="Wingdings"/>
      <charset val="2"/>
    </font>
    <font>
      <sz val="12"/>
      <color indexed="9"/>
      <name val="Calibri"/>
      <family val="2"/>
    </font>
    <font>
      <sz val="12"/>
      <color indexed="61"/>
      <name val="Calibri"/>
      <family val="2"/>
    </font>
    <font>
      <b/>
      <sz val="12"/>
      <color theme="1" tint="0.249977111117893"/>
      <name val="Calibri"/>
      <family val="2"/>
    </font>
    <font>
      <sz val="12"/>
      <color theme="1" tint="0.499984740745262"/>
      <name val="Calibri"/>
      <family val="2"/>
    </font>
    <font>
      <b/>
      <sz val="12"/>
      <color indexed="52"/>
      <name val="Wingdings"/>
      <charset val="2"/>
    </font>
    <font>
      <i/>
      <sz val="12"/>
      <color rgb="FF6C6C6C"/>
      <name val="Calibri"/>
      <family val="2"/>
    </font>
    <font>
      <i/>
      <sz val="12"/>
      <color indexed="23"/>
      <name val="Calibri"/>
      <family val="2"/>
    </font>
    <font>
      <i/>
      <sz val="11"/>
      <color theme="1" tint="0.34998626667073579"/>
      <name val="Calibri"/>
      <family val="2"/>
    </font>
    <font>
      <i/>
      <sz val="12"/>
      <color rgb="FF80808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9F9F9"/>
        <bgColor indexed="64"/>
      </patternFill>
    </fill>
    <fill>
      <gradientFill degree="90">
        <stop position="0">
          <color rgb="FF959AA3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gradientFill degree="90">
        <stop position="0">
          <color rgb="FFABAFB5"/>
        </stop>
        <stop position="1">
          <color theme="0" tint="-0.25098422193060094"/>
        </stop>
      </gradientFill>
    </fill>
    <fill>
      <patternFill patternType="solid">
        <fgColor rgb="FFC5C5C5"/>
        <bgColor indexed="64"/>
      </patternFill>
    </fill>
    <fill>
      <gradientFill degree="270">
        <stop position="0">
          <color rgb="FFC5C5C5"/>
        </stop>
        <stop position="1">
          <color theme="0" tint="-0.1490218817712943"/>
        </stop>
      </gradientFill>
    </fill>
    <fill>
      <gradientFill degree="270">
        <stop position="0">
          <color rgb="FFDAD8DA"/>
        </stop>
        <stop position="1">
          <color theme="0" tint="-5.0965910824915313E-2"/>
        </stop>
      </gradient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rgb="FFF3F3F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hair">
        <color rgb="FFFF0000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/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/>
      <bottom style="thin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40" fillId="0" borderId="0" applyFont="0" applyFill="0" applyBorder="0" applyAlignment="0" applyProtection="0"/>
    <xf numFmtId="164" fontId="40" fillId="0" borderId="0" applyFont="0" applyFill="0" applyBorder="0" applyAlignment="0" applyProtection="0"/>
  </cellStyleXfs>
  <cellXfs count="261">
    <xf numFmtId="0" fontId="0" fillId="0" borderId="0" xfId="0"/>
    <xf numFmtId="0" fontId="2" fillId="0" borderId="0" xfId="3" applyFont="1" applyFill="1" applyBorder="1" applyAlignment="1" applyProtection="1">
      <alignment horizontal="center" vertical="center"/>
    </xf>
    <xf numFmtId="0" fontId="2" fillId="3" borderId="0" xfId="3" applyFont="1" applyFill="1" applyBorder="1" applyAlignment="1" applyProtection="1">
      <alignment horizontal="center" vertical="center"/>
    </xf>
    <xf numFmtId="0" fontId="3" fillId="3" borderId="0" xfId="2" applyFont="1" applyFill="1" applyBorder="1" applyAlignment="1" applyProtection="1">
      <alignment horizontal="center"/>
    </xf>
    <xf numFmtId="0" fontId="4" fillId="3" borderId="0" xfId="2" applyFont="1" applyFill="1" applyBorder="1" applyAlignment="1" applyProtection="1">
      <alignment horizontal="right"/>
    </xf>
    <xf numFmtId="0" fontId="5" fillId="3" borderId="0" xfId="3" applyFont="1" applyFill="1" applyBorder="1" applyAlignment="1" applyProtection="1">
      <alignment vertical="center"/>
    </xf>
    <xf numFmtId="0" fontId="1" fillId="3" borderId="1" xfId="2" applyFill="1" applyBorder="1" applyProtection="1"/>
    <xf numFmtId="0" fontId="1" fillId="3" borderId="1" xfId="2" applyFill="1" applyBorder="1" applyProtection="1">
      <protection locked="0"/>
    </xf>
    <xf numFmtId="0" fontId="6" fillId="3" borderId="0" xfId="3" applyFont="1" applyFill="1" applyBorder="1" applyAlignment="1" applyProtection="1">
      <alignment vertical="center"/>
    </xf>
    <xf numFmtId="0" fontId="7" fillId="3" borderId="0" xfId="3" applyFont="1" applyFill="1" applyBorder="1" applyAlignment="1" applyProtection="1">
      <alignment vertical="center"/>
    </xf>
    <xf numFmtId="0" fontId="5" fillId="0" borderId="0" xfId="3" applyFont="1" applyFill="1" applyBorder="1" applyAlignment="1" applyProtection="1">
      <alignment vertical="center"/>
    </xf>
    <xf numFmtId="0" fontId="5" fillId="3" borderId="0" xfId="3" applyFont="1" applyFill="1" applyBorder="1" applyAlignment="1" applyProtection="1">
      <alignment horizontal="left" vertic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Border="1" applyProtection="1"/>
    <xf numFmtId="0" fontId="5" fillId="3" borderId="0" xfId="4" applyFont="1" applyFill="1" applyBorder="1" applyAlignment="1" applyProtection="1">
      <alignment vertical="center"/>
    </xf>
    <xf numFmtId="0" fontId="2" fillId="3" borderId="0" xfId="3" applyFont="1" applyFill="1" applyBorder="1" applyAlignment="1" applyProtection="1">
      <alignment vertical="center"/>
    </xf>
    <xf numFmtId="0" fontId="8" fillId="3" borderId="0" xfId="4" applyFont="1" applyFill="1" applyBorder="1" applyAlignment="1" applyProtection="1">
      <alignment horizontal="right" vertical="center"/>
    </xf>
    <xf numFmtId="165" fontId="8" fillId="3" borderId="0" xfId="4" applyNumberFormat="1" applyFont="1" applyFill="1" applyBorder="1" applyAlignment="1" applyProtection="1">
      <alignment horizontal="right" vertical="center"/>
    </xf>
    <xf numFmtId="2" fontId="9" fillId="3" borderId="0" xfId="4" applyNumberFormat="1" applyFont="1" applyFill="1" applyBorder="1" applyAlignment="1" applyProtection="1">
      <alignment vertical="center"/>
    </xf>
    <xf numFmtId="0" fontId="10" fillId="3" borderId="0" xfId="3" applyFont="1" applyFill="1" applyBorder="1" applyAlignment="1" applyProtection="1">
      <alignment horizontal="left" vertical="center"/>
    </xf>
    <xf numFmtId="0" fontId="5" fillId="3" borderId="0" xfId="2" applyFont="1" applyFill="1" applyBorder="1" applyAlignment="1">
      <alignment vertical="center"/>
    </xf>
    <xf numFmtId="0" fontId="2" fillId="0" borderId="5" xfId="3" applyFont="1" applyFill="1" applyBorder="1" applyAlignment="1" applyProtection="1">
      <alignment horizontal="center" vertical="center"/>
    </xf>
    <xf numFmtId="0" fontId="2" fillId="0" borderId="6" xfId="3" applyFont="1" applyFill="1" applyBorder="1" applyAlignment="1" applyProtection="1">
      <alignment horizontal="center" vertical="center"/>
    </xf>
    <xf numFmtId="0" fontId="5" fillId="0" borderId="6" xfId="3" applyFont="1" applyFill="1" applyBorder="1" applyAlignment="1" applyProtection="1">
      <alignment horizontal="left" vertical="center"/>
    </xf>
    <xf numFmtId="0" fontId="5" fillId="0" borderId="6" xfId="2" applyFont="1" applyFill="1" applyBorder="1" applyAlignment="1">
      <alignment horizontal="left" indent="1"/>
    </xf>
    <xf numFmtId="0" fontId="5" fillId="0" borderId="6" xfId="3" applyFont="1" applyFill="1" applyBorder="1" applyAlignment="1" applyProtection="1">
      <alignment vertical="center"/>
    </xf>
    <xf numFmtId="0" fontId="6" fillId="2" borderId="6" xfId="3" applyFont="1" applyFill="1" applyBorder="1" applyAlignment="1" applyProtection="1">
      <alignment vertical="center"/>
    </xf>
    <xf numFmtId="0" fontId="6" fillId="0" borderId="6" xfId="3" applyFont="1" applyFill="1" applyBorder="1" applyAlignment="1" applyProtection="1">
      <alignment vertical="center"/>
    </xf>
    <xf numFmtId="0" fontId="7" fillId="0" borderId="6" xfId="3" applyFont="1" applyFill="1" applyBorder="1" applyAlignment="1" applyProtection="1">
      <alignment vertical="center"/>
    </xf>
    <xf numFmtId="0" fontId="7" fillId="0" borderId="7" xfId="3" applyFont="1" applyFill="1" applyBorder="1" applyAlignment="1" applyProtection="1">
      <alignment vertical="center"/>
    </xf>
    <xf numFmtId="0" fontId="11" fillId="0" borderId="8" xfId="2" applyFont="1" applyFill="1" applyBorder="1" applyAlignment="1">
      <alignment vertical="center"/>
    </xf>
    <xf numFmtId="0" fontId="7" fillId="0" borderId="9" xfId="3" applyFont="1" applyFill="1" applyBorder="1" applyAlignment="1" applyProtection="1">
      <alignment vertical="center"/>
    </xf>
    <xf numFmtId="0" fontId="12" fillId="0" borderId="8" xfId="2" applyFont="1" applyFill="1" applyBorder="1" applyAlignment="1">
      <alignment vertical="center"/>
    </xf>
    <xf numFmtId="0" fontId="2" fillId="0" borderId="8" xfId="3" applyFont="1" applyFill="1" applyBorder="1" applyAlignment="1" applyProtection="1">
      <alignment horizontal="center" vertical="center"/>
    </xf>
    <xf numFmtId="0" fontId="5" fillId="0" borderId="0" xfId="2" applyFont="1" applyFill="1" applyBorder="1" applyAlignment="1">
      <alignment horizontal="left" indent="1"/>
    </xf>
    <xf numFmtId="0" fontId="1" fillId="0" borderId="0" xfId="2" applyFill="1" applyBorder="1" applyAlignment="1"/>
    <xf numFmtId="0" fontId="13" fillId="0" borderId="0" xfId="2" applyFont="1" applyFill="1" applyBorder="1" applyAlignment="1"/>
    <xf numFmtId="0" fontId="7" fillId="0" borderId="0" xfId="3" applyFont="1" applyFill="1" applyBorder="1" applyAlignment="1" applyProtection="1">
      <alignment vertical="center"/>
    </xf>
    <xf numFmtId="0" fontId="5" fillId="0" borderId="0" xfId="3" applyFont="1" applyFill="1" applyAlignment="1" applyProtection="1">
      <alignment vertical="center"/>
    </xf>
    <xf numFmtId="0" fontId="15" fillId="3" borderId="0" xfId="3" applyFont="1" applyFill="1" applyBorder="1" applyAlignment="1" applyProtection="1">
      <alignment horizontal="center" vertical="center"/>
    </xf>
    <xf numFmtId="0" fontId="15" fillId="0" borderId="8" xfId="3" applyFont="1" applyFill="1" applyBorder="1" applyAlignment="1" applyProtection="1">
      <alignment horizontal="center" vertical="center"/>
    </xf>
    <xf numFmtId="0" fontId="15" fillId="0" borderId="0" xfId="3" applyFont="1" applyFill="1" applyBorder="1" applyAlignment="1" applyProtection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7" fillId="0" borderId="0" xfId="2" applyFont="1" applyFill="1" applyBorder="1" applyAlignment="1">
      <alignment horizontal="center" vertical="center" wrapText="1"/>
    </xf>
    <xf numFmtId="0" fontId="4" fillId="0" borderId="0" xfId="2" applyFont="1" applyFill="1" applyBorder="1" applyAlignment="1" applyProtection="1">
      <alignment horizontal="left"/>
    </xf>
    <xf numFmtId="0" fontId="18" fillId="0" borderId="0" xfId="2" applyFont="1" applyFill="1" applyBorder="1" applyAlignment="1">
      <alignment horizontal="left"/>
    </xf>
    <xf numFmtId="0" fontId="2" fillId="5" borderId="0" xfId="3" applyFont="1" applyFill="1" applyBorder="1" applyAlignment="1" applyProtection="1">
      <alignment horizontal="center" vertical="center"/>
    </xf>
    <xf numFmtId="0" fontId="4" fillId="5" borderId="0" xfId="2" applyFont="1" applyFill="1" applyBorder="1" applyAlignment="1" applyProtection="1">
      <alignment horizontal="left"/>
    </xf>
    <xf numFmtId="0" fontId="15" fillId="5" borderId="8" xfId="3" applyFont="1" applyFill="1" applyBorder="1" applyAlignment="1" applyProtection="1">
      <alignment horizontal="center" vertical="center"/>
    </xf>
    <xf numFmtId="0" fontId="15" fillId="5" borderId="0" xfId="3" applyFont="1" applyFill="1" applyBorder="1" applyAlignment="1" applyProtection="1">
      <alignment horizontal="center" vertical="center"/>
    </xf>
    <xf numFmtId="0" fontId="5" fillId="5" borderId="0" xfId="3" applyFont="1" applyFill="1" applyBorder="1" applyAlignment="1" applyProtection="1">
      <alignment vertical="center"/>
    </xf>
    <xf numFmtId="0" fontId="18" fillId="5" borderId="0" xfId="2" applyFont="1" applyFill="1" applyBorder="1" applyAlignment="1">
      <alignment horizontal="left"/>
    </xf>
    <xf numFmtId="0" fontId="16" fillId="5" borderId="0" xfId="1" applyFont="1" applyFill="1" applyBorder="1" applyAlignment="1">
      <alignment horizontal="center" vertical="center" wrapText="1"/>
    </xf>
    <xf numFmtId="0" fontId="17" fillId="5" borderId="0" xfId="2" applyFont="1" applyFill="1" applyBorder="1" applyAlignment="1">
      <alignment vertical="center" wrapText="1"/>
    </xf>
    <xf numFmtId="0" fontId="5" fillId="5" borderId="0" xfId="2" applyFont="1" applyFill="1" applyBorder="1" applyAlignment="1">
      <alignment vertical="center"/>
    </xf>
    <xf numFmtId="0" fontId="17" fillId="5" borderId="0" xfId="2" applyFont="1" applyFill="1" applyBorder="1" applyAlignment="1">
      <alignment horizontal="center" vertical="center" wrapText="1"/>
    </xf>
    <xf numFmtId="0" fontId="7" fillId="5" borderId="9" xfId="3" applyFont="1" applyFill="1" applyBorder="1" applyAlignment="1" applyProtection="1">
      <alignment vertical="center"/>
    </xf>
    <xf numFmtId="0" fontId="5" fillId="0" borderId="0" xfId="2" applyFont="1" applyFill="1" applyBorder="1" applyAlignment="1">
      <alignment vertical="center" wrapText="1"/>
    </xf>
    <xf numFmtId="0" fontId="19" fillId="0" borderId="0" xfId="2" applyFont="1" applyFill="1" applyBorder="1" applyAlignment="1">
      <alignment horizontal="center" vertical="center" wrapText="1"/>
    </xf>
    <xf numFmtId="0" fontId="20" fillId="0" borderId="0" xfId="2" applyFont="1" applyFill="1" applyBorder="1" applyAlignment="1">
      <alignment horizontal="center" vertical="center" wrapText="1"/>
    </xf>
    <xf numFmtId="0" fontId="21" fillId="0" borderId="0" xfId="3" applyFont="1" applyFill="1" applyBorder="1" applyAlignment="1" applyProtection="1">
      <alignment horizontal="left" vertical="center"/>
    </xf>
    <xf numFmtId="0" fontId="21" fillId="0" borderId="0" xfId="3" applyFont="1" applyFill="1" applyBorder="1" applyAlignment="1" applyProtection="1">
      <alignment vertical="center"/>
    </xf>
    <xf numFmtId="0" fontId="2" fillId="3" borderId="0" xfId="4" applyFont="1" applyFill="1" applyBorder="1" applyAlignment="1" applyProtection="1">
      <alignment horizontal="left" vertical="center"/>
    </xf>
    <xf numFmtId="0" fontId="2" fillId="0" borderId="8" xfId="4" applyFont="1" applyFill="1" applyBorder="1" applyAlignment="1" applyProtection="1">
      <alignment horizontal="left" vertical="center"/>
    </xf>
    <xf numFmtId="0" fontId="5" fillId="0" borderId="0" xfId="4" applyFont="1" applyFill="1" applyBorder="1" applyAlignment="1">
      <alignment horizontal="left" vertical="center"/>
    </xf>
    <xf numFmtId="0" fontId="22" fillId="0" borderId="0" xfId="1" applyFont="1" applyFill="1" applyBorder="1" applyAlignment="1">
      <alignment horizontal="center" vertical="center"/>
    </xf>
    <xf numFmtId="0" fontId="23" fillId="3" borderId="0" xfId="3" applyFont="1" applyFill="1" applyBorder="1" applyAlignment="1" applyProtection="1">
      <alignment vertical="center"/>
    </xf>
    <xf numFmtId="0" fontId="5" fillId="0" borderId="0" xfId="3" applyFont="1" applyFill="1" applyBorder="1" applyAlignment="1" applyProtection="1">
      <alignment horizontal="left" vertical="center"/>
    </xf>
    <xf numFmtId="0" fontId="24" fillId="3" borderId="0" xfId="4" applyFont="1" applyFill="1" applyBorder="1" applyAlignment="1" applyProtection="1">
      <alignment horizontal="center" vertical="center" textRotation="90"/>
    </xf>
    <xf numFmtId="0" fontId="24" fillId="0" borderId="8" xfId="4" applyFont="1" applyFill="1" applyBorder="1" applyAlignment="1" applyProtection="1">
      <alignment horizontal="center" vertical="center" textRotation="90"/>
    </xf>
    <xf numFmtId="0" fontId="41" fillId="8" borderId="0" xfId="4" applyFont="1" applyFill="1" applyBorder="1" applyAlignment="1" applyProtection="1">
      <alignment vertical="center" textRotation="90" wrapText="1"/>
    </xf>
    <xf numFmtId="0" fontId="25" fillId="0" borderId="0" xfId="4" applyFont="1" applyFill="1" applyBorder="1" applyAlignment="1" applyProtection="1">
      <alignment horizontal="center" vertical="center"/>
    </xf>
    <xf numFmtId="0" fontId="14" fillId="0" borderId="0" xfId="4" applyFont="1" applyFill="1" applyBorder="1" applyAlignment="1">
      <alignment horizontal="left" vertical="center" wrapText="1"/>
    </xf>
    <xf numFmtId="0" fontId="18" fillId="0" borderId="0" xfId="1" applyFont="1" applyFill="1" applyBorder="1" applyAlignment="1">
      <alignment horizontal="center"/>
    </xf>
    <xf numFmtId="166" fontId="14" fillId="0" borderId="0" xfId="5" applyNumberFormat="1" applyFont="1" applyFill="1" applyBorder="1" applyAlignment="1">
      <alignment horizontal="right" vertical="center" wrapText="1" indent="1"/>
    </xf>
    <xf numFmtId="167" fontId="26" fillId="0" borderId="0" xfId="4" applyNumberFormat="1" applyFont="1" applyFill="1" applyBorder="1" applyAlignment="1">
      <alignment vertical="center" wrapText="1"/>
    </xf>
    <xf numFmtId="0" fontId="27" fillId="0" borderId="0" xfId="1" applyFont="1" applyFill="1" applyBorder="1" applyAlignment="1">
      <alignment horizontal="center" vertical="center"/>
    </xf>
    <xf numFmtId="165" fontId="26" fillId="0" borderId="0" xfId="3" applyNumberFormat="1" applyFont="1" applyFill="1" applyBorder="1" applyAlignment="1" applyProtection="1">
      <alignment horizontal="right" vertical="center" indent="1"/>
    </xf>
    <xf numFmtId="0" fontId="28" fillId="3" borderId="0" xfId="3" applyFont="1" applyFill="1" applyBorder="1" applyAlignment="1" applyProtection="1">
      <alignment vertical="center"/>
    </xf>
    <xf numFmtId="0" fontId="29" fillId="3" borderId="0" xfId="4" applyFont="1" applyFill="1" applyBorder="1" applyAlignment="1" applyProtection="1">
      <alignment horizontal="center" vertical="center" textRotation="90"/>
    </xf>
    <xf numFmtId="0" fontId="29" fillId="0" borderId="8" xfId="4" applyFont="1" applyFill="1" applyBorder="1" applyAlignment="1" applyProtection="1">
      <alignment horizontal="center" vertical="center" textRotation="90"/>
    </xf>
    <xf numFmtId="0" fontId="5" fillId="0" borderId="1" xfId="3" applyFont="1" applyFill="1" applyBorder="1" applyAlignment="1" applyProtection="1">
      <alignment vertical="center"/>
    </xf>
    <xf numFmtId="0" fontId="2" fillId="0" borderId="0" xfId="4" applyFont="1" applyFill="1" applyBorder="1" applyAlignment="1" applyProtection="1">
      <alignment horizontal="left" vertical="center"/>
    </xf>
    <xf numFmtId="3" fontId="5" fillId="0" borderId="0" xfId="4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left" vertical="center"/>
    </xf>
    <xf numFmtId="0" fontId="5" fillId="3" borderId="0" xfId="4" applyFont="1" applyFill="1" applyBorder="1" applyAlignment="1">
      <alignment horizontal="left" vertical="center"/>
    </xf>
    <xf numFmtId="0" fontId="5" fillId="0" borderId="9" xfId="4" applyFont="1" applyFill="1" applyBorder="1" applyAlignment="1">
      <alignment horizontal="left" vertical="center"/>
    </xf>
    <xf numFmtId="0" fontId="23" fillId="0" borderId="9" xfId="3" applyFont="1" applyFill="1" applyBorder="1" applyAlignment="1" applyProtection="1">
      <alignment vertical="center"/>
    </xf>
    <xf numFmtId="0" fontId="5" fillId="0" borderId="0" xfId="3" applyFont="1" applyFill="1" applyBorder="1" applyAlignment="1" applyProtection="1"/>
    <xf numFmtId="0" fontId="2" fillId="0" borderId="0" xfId="3" applyFont="1" applyFill="1" applyBorder="1" applyAlignment="1" applyProtection="1">
      <alignment horizontal="center"/>
    </xf>
    <xf numFmtId="0" fontId="24" fillId="3" borderId="0" xfId="4" applyFont="1" applyFill="1" applyBorder="1" applyAlignment="1" applyProtection="1">
      <alignment horizontal="center" textRotation="90"/>
    </xf>
    <xf numFmtId="0" fontId="24" fillId="0" borderId="8" xfId="4" applyFont="1" applyFill="1" applyBorder="1" applyAlignment="1" applyProtection="1">
      <alignment horizontal="center" textRotation="90"/>
    </xf>
    <xf numFmtId="0" fontId="7" fillId="0" borderId="9" xfId="3" applyFont="1" applyFill="1" applyBorder="1" applyAlignment="1" applyProtection="1"/>
    <xf numFmtId="0" fontId="7" fillId="3" borderId="0" xfId="3" applyFont="1" applyFill="1" applyBorder="1" applyAlignment="1" applyProtection="1"/>
    <xf numFmtId="0" fontId="7" fillId="0" borderId="0" xfId="3" applyFont="1" applyFill="1" applyBorder="1" applyAlignment="1" applyProtection="1"/>
    <xf numFmtId="0" fontId="24" fillId="0" borderId="0" xfId="4" applyFont="1" applyFill="1" applyBorder="1" applyAlignment="1" applyProtection="1">
      <alignment horizontal="center" vertical="center" textRotation="90"/>
    </xf>
    <xf numFmtId="0" fontId="15" fillId="3" borderId="0" xfId="4" applyFont="1" applyFill="1" applyBorder="1" applyAlignment="1" applyProtection="1">
      <alignment horizontal="center" vertical="center"/>
    </xf>
    <xf numFmtId="0" fontId="7" fillId="0" borderId="29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2" fillId="11" borderId="1" xfId="3" applyFont="1" applyFill="1" applyBorder="1" applyAlignment="1" applyProtection="1">
      <alignment horizontal="center" vertical="center"/>
    </xf>
    <xf numFmtId="0" fontId="1" fillId="0" borderId="0" xfId="2" applyFont="1" applyProtection="1">
      <protection locked="0"/>
    </xf>
    <xf numFmtId="0" fontId="42" fillId="0" borderId="0" xfId="0" applyFont="1"/>
    <xf numFmtId="0" fontId="3" fillId="3" borderId="2" xfId="2" applyFont="1" applyFill="1" applyBorder="1" applyAlignment="1" applyProtection="1">
      <alignment horizontal="left"/>
      <protection locked="0"/>
    </xf>
    <xf numFmtId="0" fontId="35" fillId="12" borderId="3" xfId="2" applyFont="1" applyFill="1" applyBorder="1" applyProtection="1">
      <protection locked="0"/>
    </xf>
    <xf numFmtId="0" fontId="35" fillId="0" borderId="1" xfId="2" applyFont="1" applyBorder="1" applyAlignment="1" applyProtection="1">
      <alignment horizontal="center"/>
      <protection locked="0"/>
    </xf>
    <xf numFmtId="0" fontId="35" fillId="13" borderId="1" xfId="2" applyFont="1" applyFill="1" applyBorder="1" applyAlignment="1" applyProtection="1">
      <alignment horizontal="center"/>
      <protection locked="0"/>
    </xf>
    <xf numFmtId="0" fontId="35" fillId="0" borderId="1" xfId="2" applyFont="1" applyBorder="1" applyAlignment="1" applyProtection="1">
      <alignment horizontal="center"/>
    </xf>
    <xf numFmtId="0" fontId="43" fillId="0" borderId="0" xfId="2" applyFont="1" applyFill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center"/>
    </xf>
    <xf numFmtId="0" fontId="1" fillId="3" borderId="4" xfId="2" applyFill="1" applyBorder="1" applyProtection="1"/>
    <xf numFmtId="4" fontId="35" fillId="0" borderId="1" xfId="2" applyNumberFormat="1" applyFont="1" applyBorder="1" applyAlignment="1" applyProtection="1">
      <alignment horizontal="center"/>
      <protection locked="0"/>
    </xf>
    <xf numFmtId="0" fontId="38" fillId="0" borderId="0" xfId="2" applyFont="1" applyFill="1" applyBorder="1" applyAlignment="1">
      <alignment vertical="center"/>
    </xf>
    <xf numFmtId="0" fontId="35" fillId="0" borderId="1" xfId="2" applyFont="1" applyBorder="1" applyAlignment="1" applyProtection="1">
      <alignment horizontal="left"/>
      <protection locked="0"/>
    </xf>
    <xf numFmtId="0" fontId="0" fillId="0" borderId="1" xfId="0" applyBorder="1"/>
    <xf numFmtId="0" fontId="45" fillId="0" borderId="0" xfId="0" applyFont="1"/>
    <xf numFmtId="0" fontId="46" fillId="0" borderId="0" xfId="0" applyFont="1"/>
    <xf numFmtId="0" fontId="47" fillId="0" borderId="0" xfId="2" applyFont="1" applyFill="1" applyBorder="1" applyAlignment="1">
      <alignment horizontal="right"/>
    </xf>
    <xf numFmtId="0" fontId="48" fillId="0" borderId="0" xfId="2" applyFont="1" applyFill="1" applyBorder="1" applyAlignment="1">
      <alignment vertical="center"/>
    </xf>
    <xf numFmtId="0" fontId="0" fillId="14" borderId="1" xfId="0" applyFill="1" applyBorder="1"/>
    <xf numFmtId="0" fontId="15" fillId="0" borderId="27" xfId="4" applyFont="1" applyFill="1" applyBorder="1" applyAlignment="1" applyProtection="1">
      <alignment horizontal="center" vertical="center"/>
    </xf>
    <xf numFmtId="0" fontId="15" fillId="0" borderId="28" xfId="4" applyFont="1" applyFill="1" applyBorder="1" applyAlignment="1" applyProtection="1">
      <alignment horizontal="center" vertical="center"/>
    </xf>
    <xf numFmtId="0" fontId="32" fillId="0" borderId="28" xfId="4" applyFont="1" applyFill="1" applyBorder="1" applyAlignment="1" applyProtection="1">
      <alignment horizontal="left" vertical="center"/>
    </xf>
    <xf numFmtId="0" fontId="33" fillId="0" borderId="28" xfId="4" applyFont="1" applyFill="1" applyBorder="1" applyAlignment="1" applyProtection="1">
      <alignment horizontal="left" vertical="center"/>
    </xf>
    <xf numFmtId="0" fontId="34" fillId="0" borderId="28" xfId="1" applyFont="1" applyFill="1" applyBorder="1" applyAlignment="1">
      <alignment horizontal="center"/>
    </xf>
    <xf numFmtId="9" fontId="32" fillId="0" borderId="28" xfId="4" applyNumberFormat="1" applyFont="1" applyFill="1" applyBorder="1" applyAlignment="1" applyProtection="1">
      <alignment horizontal="right" vertical="center" indent="1"/>
    </xf>
    <xf numFmtId="3" fontId="2" fillId="0" borderId="28" xfId="4" applyNumberFormat="1" applyFont="1" applyFill="1" applyBorder="1" applyAlignment="1" applyProtection="1">
      <alignment horizontal="right" vertical="center" indent="1"/>
    </xf>
    <xf numFmtId="9" fontId="2" fillId="0" borderId="28" xfId="4" applyNumberFormat="1" applyFont="1" applyFill="1" applyBorder="1" applyAlignment="1" applyProtection="1">
      <alignment horizontal="right" vertical="center" indent="1"/>
    </xf>
    <xf numFmtId="0" fontId="2" fillId="0" borderId="28" xfId="3" applyFont="1" applyFill="1" applyBorder="1" applyAlignment="1" applyProtection="1">
      <alignment horizontal="right" vertical="center" indent="1"/>
    </xf>
    <xf numFmtId="9" fontId="2" fillId="0" borderId="28" xfId="4" applyNumberFormat="1" applyFont="1" applyFill="1" applyBorder="1" applyAlignment="1" applyProtection="1">
      <alignment vertical="center"/>
    </xf>
    <xf numFmtId="166" fontId="5" fillId="0" borderId="32" xfId="4" applyNumberFormat="1" applyFont="1" applyFill="1" applyBorder="1" applyAlignment="1">
      <alignment horizontal="left" vertical="center"/>
    </xf>
    <xf numFmtId="0" fontId="5" fillId="0" borderId="40" xfId="4" applyFont="1" applyFill="1" applyBorder="1" applyAlignment="1">
      <alignment horizontal="left" vertical="center"/>
    </xf>
    <xf numFmtId="3" fontId="49" fillId="0" borderId="0" xfId="3" applyNumberFormat="1" applyFont="1" applyFill="1" applyBorder="1" applyAlignment="1" applyProtection="1">
      <alignment horizontal="right" vertical="center" indent="1"/>
    </xf>
    <xf numFmtId="0" fontId="18" fillId="4" borderId="10" xfId="2" applyFont="1" applyFill="1" applyBorder="1" applyAlignment="1">
      <alignment horizontal="left" vertical="center"/>
    </xf>
    <xf numFmtId="0" fontId="18" fillId="4" borderId="11" xfId="2" applyFont="1" applyFill="1" applyBorder="1" applyAlignment="1">
      <alignment horizontal="left" vertical="center"/>
    </xf>
    <xf numFmtId="0" fontId="44" fillId="0" borderId="0" xfId="3" applyFont="1" applyFill="1" applyBorder="1" applyAlignment="1" applyProtection="1">
      <alignment horizontal="left" vertical="center"/>
    </xf>
    <xf numFmtId="3" fontId="32" fillId="21" borderId="13" xfId="4" applyNumberFormat="1" applyFont="1" applyFill="1" applyBorder="1" applyAlignment="1">
      <alignment horizontal="right" vertical="center" wrapText="1" indent="1"/>
    </xf>
    <xf numFmtId="166" fontId="32" fillId="21" borderId="12" xfId="4" applyNumberFormat="1" applyFont="1" applyFill="1" applyBorder="1" applyAlignment="1">
      <alignment horizontal="right" vertical="center" wrapText="1" indent="1"/>
    </xf>
    <xf numFmtId="3" fontId="32" fillId="0" borderId="0" xfId="3" applyNumberFormat="1" applyFont="1" applyFill="1" applyBorder="1" applyAlignment="1" applyProtection="1">
      <alignment horizontal="right" vertical="center" indent="1"/>
    </xf>
    <xf numFmtId="0" fontId="49" fillId="0" borderId="0" xfId="3" applyFont="1" applyFill="1" applyBorder="1" applyAlignment="1" applyProtection="1">
      <alignment vertical="center"/>
    </xf>
    <xf numFmtId="0" fontId="49" fillId="0" borderId="0" xfId="3" applyFont="1" applyFill="1" applyBorder="1" applyAlignment="1" applyProtection="1">
      <alignment horizontal="left" vertical="center"/>
    </xf>
    <xf numFmtId="0" fontId="53" fillId="3" borderId="0" xfId="4" applyFont="1" applyFill="1" applyBorder="1" applyAlignment="1" applyProtection="1">
      <alignment horizontal="center" vertical="center" textRotation="90"/>
    </xf>
    <xf numFmtId="0" fontId="53" fillId="0" borderId="8" xfId="4" applyFont="1" applyFill="1" applyBorder="1" applyAlignment="1" applyProtection="1">
      <alignment horizontal="center" vertical="center" textRotation="90"/>
    </xf>
    <xf numFmtId="0" fontId="55" fillId="0" borderId="0" xfId="1" applyFont="1" applyFill="1" applyBorder="1" applyAlignment="1">
      <alignment horizontal="center"/>
    </xf>
    <xf numFmtId="3" fontId="54" fillId="9" borderId="30" xfId="2" applyNumberFormat="1" applyFont="1" applyFill="1" applyBorder="1" applyAlignment="1">
      <alignment horizontal="right" vertical="center" wrapText="1" indent="1"/>
    </xf>
    <xf numFmtId="3" fontId="54" fillId="9" borderId="22" xfId="2" applyNumberFormat="1" applyFont="1" applyFill="1" applyBorder="1" applyAlignment="1">
      <alignment horizontal="right" vertical="center" wrapText="1" indent="1"/>
    </xf>
    <xf numFmtId="3" fontId="54" fillId="16" borderId="25" xfId="2" applyNumberFormat="1" applyFont="1" applyFill="1" applyBorder="1" applyAlignment="1">
      <alignment horizontal="right" vertical="center" wrapText="1" indent="1"/>
    </xf>
    <xf numFmtId="0" fontId="56" fillId="0" borderId="0" xfId="1" applyFont="1" applyFill="1" applyBorder="1" applyAlignment="1">
      <alignment horizontal="center" vertical="center"/>
    </xf>
    <xf numFmtId="0" fontId="57" fillId="0" borderId="9" xfId="3" applyFont="1" applyFill="1" applyBorder="1" applyAlignment="1" applyProtection="1">
      <alignment vertical="center"/>
    </xf>
    <xf numFmtId="0" fontId="57" fillId="3" borderId="0" xfId="3" applyFont="1" applyFill="1" applyBorder="1" applyAlignment="1" applyProtection="1">
      <alignment vertical="center"/>
    </xf>
    <xf numFmtId="0" fontId="32" fillId="0" borderId="0" xfId="4" applyFont="1" applyFill="1" applyBorder="1" applyAlignment="1">
      <alignment horizontal="left" vertical="center"/>
    </xf>
    <xf numFmtId="3" fontId="32" fillId="6" borderId="12" xfId="4" applyNumberFormat="1" applyFont="1" applyFill="1" applyBorder="1" applyAlignment="1">
      <alignment horizontal="right" vertical="center" wrapText="1" indent="1"/>
    </xf>
    <xf numFmtId="3" fontId="32" fillId="7" borderId="13" xfId="4" applyNumberFormat="1" applyFont="1" applyFill="1" applyBorder="1" applyAlignment="1">
      <alignment horizontal="right" vertical="center" wrapText="1" indent="1"/>
    </xf>
    <xf numFmtId="166" fontId="32" fillId="7" borderId="12" xfId="4" applyNumberFormat="1" applyFont="1" applyFill="1" applyBorder="1" applyAlignment="1">
      <alignment horizontal="right" vertical="center" wrapText="1" indent="1"/>
    </xf>
    <xf numFmtId="0" fontId="58" fillId="0" borderId="0" xfId="1" applyFont="1" applyFill="1" applyBorder="1" applyAlignment="1">
      <alignment horizontal="center"/>
    </xf>
    <xf numFmtId="166" fontId="61" fillId="0" borderId="0" xfId="4" applyNumberFormat="1" applyFont="1" applyFill="1" applyBorder="1" applyAlignment="1">
      <alignment horizontal="center" vertical="center" wrapText="1"/>
    </xf>
    <xf numFmtId="0" fontId="59" fillId="18" borderId="32" xfId="2" applyFont="1" applyFill="1" applyBorder="1" applyAlignment="1">
      <alignment horizontal="center" vertical="center" wrapText="1"/>
    </xf>
    <xf numFmtId="0" fontId="49" fillId="0" borderId="0" xfId="2" applyFont="1" applyFill="1" applyBorder="1" applyAlignment="1">
      <alignment vertical="center" wrapText="1"/>
    </xf>
    <xf numFmtId="3" fontId="18" fillId="0" borderId="0" xfId="2" applyNumberFormat="1" applyFont="1" applyFill="1" applyBorder="1" applyAlignment="1">
      <alignment horizontal="left"/>
    </xf>
    <xf numFmtId="0" fontId="18" fillId="3" borderId="13" xfId="2" applyFont="1" applyFill="1" applyBorder="1" applyAlignment="1" applyProtection="1">
      <alignment horizontal="left" vertical="center" indent="1"/>
      <protection locked="0"/>
    </xf>
    <xf numFmtId="0" fontId="18" fillId="3" borderId="31" xfId="2" applyFont="1" applyFill="1" applyBorder="1" applyAlignment="1" applyProtection="1">
      <alignment horizontal="left" vertical="center" indent="1"/>
      <protection locked="0"/>
    </xf>
    <xf numFmtId="166" fontId="54" fillId="16" borderId="26" xfId="2" applyNumberFormat="1" applyFont="1" applyFill="1" applyBorder="1" applyAlignment="1">
      <alignment horizontal="right" vertical="center" wrapText="1" indent="1"/>
    </xf>
    <xf numFmtId="3" fontId="59" fillId="17" borderId="47" xfId="4" applyNumberFormat="1" applyFont="1" applyFill="1" applyBorder="1" applyAlignment="1">
      <alignment horizontal="right" vertical="center" wrapText="1" indent="1"/>
    </xf>
    <xf numFmtId="3" fontId="49" fillId="6" borderId="46" xfId="4" applyNumberFormat="1" applyFont="1" applyFill="1" applyBorder="1" applyAlignment="1">
      <alignment horizontal="right" vertical="center" wrapText="1" indent="1"/>
    </xf>
    <xf numFmtId="166" fontId="60" fillId="6" borderId="46" xfId="2" applyNumberFormat="1" applyFont="1" applyFill="1" applyBorder="1" applyAlignment="1">
      <alignment horizontal="right" vertical="center" wrapText="1" indent="1"/>
    </xf>
    <xf numFmtId="3" fontId="59" fillId="17" borderId="49" xfId="4" applyNumberFormat="1" applyFont="1" applyFill="1" applyBorder="1" applyAlignment="1">
      <alignment horizontal="right" vertical="center" wrapText="1" indent="1"/>
    </xf>
    <xf numFmtId="3" fontId="49" fillId="6" borderId="48" xfId="4" applyNumberFormat="1" applyFont="1" applyFill="1" applyBorder="1" applyAlignment="1">
      <alignment horizontal="right" vertical="center" wrapText="1" indent="1"/>
    </xf>
    <xf numFmtId="166" fontId="60" fillId="6" borderId="48" xfId="2" applyNumberFormat="1" applyFont="1" applyFill="1" applyBorder="1" applyAlignment="1">
      <alignment horizontal="right" vertical="center" wrapText="1" indent="1"/>
    </xf>
    <xf numFmtId="3" fontId="32" fillId="6" borderId="51" xfId="4" applyNumberFormat="1" applyFont="1" applyFill="1" applyBorder="1" applyAlignment="1">
      <alignment horizontal="right" vertical="center" wrapText="1" indent="1"/>
    </xf>
    <xf numFmtId="3" fontId="32" fillId="7" borderId="50" xfId="4" applyNumberFormat="1" applyFont="1" applyFill="1" applyBorder="1" applyAlignment="1">
      <alignment horizontal="right" vertical="center" wrapText="1" indent="1"/>
    </xf>
    <xf numFmtId="166" fontId="32" fillId="7" borderId="51" xfId="4" applyNumberFormat="1" applyFont="1" applyFill="1" applyBorder="1" applyAlignment="1">
      <alignment horizontal="right" vertical="center" wrapText="1" indent="1"/>
    </xf>
    <xf numFmtId="0" fontId="24" fillId="0" borderId="0" xfId="4" applyFont="1" applyFill="1" applyBorder="1" applyAlignment="1" applyProtection="1">
      <alignment horizontal="left" vertical="center"/>
    </xf>
    <xf numFmtId="165" fontId="18" fillId="10" borderId="0" xfId="3" applyNumberFormat="1" applyFont="1" applyFill="1" applyBorder="1" applyAlignment="1" applyProtection="1">
      <alignment horizontal="right" vertical="center"/>
    </xf>
    <xf numFmtId="3" fontId="32" fillId="6" borderId="35" xfId="4" applyNumberFormat="1" applyFont="1" applyFill="1" applyBorder="1" applyAlignment="1">
      <alignment horizontal="right" vertical="center" wrapText="1" indent="1"/>
    </xf>
    <xf numFmtId="3" fontId="32" fillId="21" borderId="45" xfId="4" applyNumberFormat="1" applyFont="1" applyFill="1" applyBorder="1" applyAlignment="1">
      <alignment horizontal="right" vertical="center" wrapText="1" indent="1"/>
    </xf>
    <xf numFmtId="3" fontId="32" fillId="6" borderId="33" xfId="4" applyNumberFormat="1" applyFont="1" applyFill="1" applyBorder="1" applyAlignment="1">
      <alignment horizontal="right" vertical="center" wrapText="1" indent="1"/>
    </xf>
    <xf numFmtId="3" fontId="32" fillId="21" borderId="38" xfId="4" applyNumberFormat="1" applyFont="1" applyFill="1" applyBorder="1" applyAlignment="1">
      <alignment horizontal="right" vertical="center" wrapText="1" indent="1"/>
    </xf>
    <xf numFmtId="166" fontId="32" fillId="21" borderId="36" xfId="4" applyNumberFormat="1" applyFont="1" applyFill="1" applyBorder="1" applyAlignment="1">
      <alignment horizontal="right" vertical="center" wrapText="1" indent="1"/>
    </xf>
    <xf numFmtId="166" fontId="32" fillId="21" borderId="37" xfId="4" applyNumberFormat="1" applyFont="1" applyFill="1" applyBorder="1" applyAlignment="1">
      <alignment horizontal="right" vertical="center" wrapText="1" indent="1"/>
    </xf>
    <xf numFmtId="166" fontId="32" fillId="21" borderId="39" xfId="4" applyNumberFormat="1" applyFont="1" applyFill="1" applyBorder="1" applyAlignment="1">
      <alignment horizontal="right" vertical="center" wrapText="1" indent="1"/>
    </xf>
    <xf numFmtId="3" fontId="32" fillId="6" borderId="42" xfId="4" applyNumberFormat="1" applyFont="1" applyFill="1" applyBorder="1" applyAlignment="1">
      <alignment horizontal="right" vertical="center" wrapText="1" indent="1"/>
    </xf>
    <xf numFmtId="3" fontId="32" fillId="6" borderId="44" xfId="4" applyNumberFormat="1" applyFont="1" applyFill="1" applyBorder="1" applyAlignment="1">
      <alignment horizontal="right" vertical="center" wrapText="1" indent="1"/>
    </xf>
    <xf numFmtId="3" fontId="32" fillId="6" borderId="41" xfId="4" applyNumberFormat="1" applyFont="1" applyFill="1" applyBorder="1" applyAlignment="1">
      <alignment horizontal="right" vertical="center" wrapText="1" indent="1"/>
    </xf>
    <xf numFmtId="0" fontId="2" fillId="3" borderId="15" xfId="4" applyFont="1" applyFill="1" applyBorder="1" applyAlignment="1" applyProtection="1">
      <alignment horizontal="left" vertical="center"/>
    </xf>
    <xf numFmtId="0" fontId="2" fillId="3" borderId="16" xfId="4" applyFont="1" applyFill="1" applyBorder="1" applyAlignment="1" applyProtection="1">
      <alignment horizontal="left" vertical="center"/>
    </xf>
    <xf numFmtId="0" fontId="5" fillId="3" borderId="16" xfId="4" applyFont="1" applyFill="1" applyBorder="1" applyAlignment="1">
      <alignment horizontal="left" vertical="center"/>
    </xf>
    <xf numFmtId="3" fontId="5" fillId="3" borderId="16" xfId="4" applyNumberFormat="1" applyFont="1" applyFill="1" applyBorder="1" applyAlignment="1">
      <alignment horizontal="left" vertical="center"/>
    </xf>
    <xf numFmtId="166" fontId="5" fillId="3" borderId="16" xfId="4" applyNumberFormat="1" applyFont="1" applyFill="1" applyBorder="1" applyAlignment="1">
      <alignment horizontal="left" vertical="center"/>
    </xf>
    <xf numFmtId="0" fontId="5" fillId="3" borderId="17" xfId="4" applyFont="1" applyFill="1" applyBorder="1" applyAlignment="1">
      <alignment horizontal="left" vertical="center"/>
    </xf>
    <xf numFmtId="166" fontId="30" fillId="3" borderId="19" xfId="4" applyNumberFormat="1" applyFont="1" applyFill="1" applyBorder="1" applyAlignment="1">
      <alignment horizontal="center" vertical="center" wrapText="1"/>
    </xf>
    <xf numFmtId="0" fontId="24" fillId="3" borderId="19" xfId="4" applyFont="1" applyFill="1" applyBorder="1" applyAlignment="1" applyProtection="1">
      <alignment horizontal="center" textRotation="90"/>
    </xf>
    <xf numFmtId="0" fontId="24" fillId="3" borderId="18" xfId="4" applyFont="1" applyFill="1" applyBorder="1" applyAlignment="1" applyProtection="1">
      <alignment horizontal="center" textRotation="90"/>
    </xf>
    <xf numFmtId="0" fontId="64" fillId="3" borderId="0" xfId="4" applyFont="1" applyFill="1" applyBorder="1" applyAlignment="1" applyProtection="1">
      <alignment horizontal="right" vertical="center"/>
    </xf>
    <xf numFmtId="0" fontId="39" fillId="3" borderId="0" xfId="4" applyFont="1" applyFill="1" applyBorder="1" applyAlignment="1" applyProtection="1">
      <alignment horizontal="center" vertical="center" textRotation="90"/>
    </xf>
    <xf numFmtId="166" fontId="62" fillId="3" borderId="0" xfId="5" applyNumberFormat="1" applyFont="1" applyFill="1" applyBorder="1" applyAlignment="1" applyProtection="1">
      <alignment horizontal="right" vertical="center" indent="1"/>
    </xf>
    <xf numFmtId="0" fontId="63" fillId="3" borderId="0" xfId="4" applyFont="1" applyFill="1" applyBorder="1" applyAlignment="1" applyProtection="1">
      <alignment horizontal="center" vertical="center" textRotation="90"/>
    </xf>
    <xf numFmtId="0" fontId="24" fillId="3" borderId="20" xfId="4" applyFont="1" applyFill="1" applyBorder="1" applyAlignment="1" applyProtection="1">
      <alignment horizontal="center" vertical="center" textRotation="90"/>
    </xf>
    <xf numFmtId="0" fontId="24" fillId="3" borderId="14" xfId="4" applyFont="1" applyFill="1" applyBorder="1" applyAlignment="1" applyProtection="1">
      <alignment horizontal="center" vertical="center" textRotation="90"/>
    </xf>
    <xf numFmtId="0" fontId="24" fillId="3" borderId="21" xfId="4" applyFont="1" applyFill="1" applyBorder="1" applyAlignment="1" applyProtection="1">
      <alignment horizontal="center" vertical="center" textRotation="90"/>
    </xf>
    <xf numFmtId="0" fontId="21" fillId="3" borderId="18" xfId="3" applyFont="1" applyFill="1" applyBorder="1" applyAlignment="1" applyProtection="1">
      <alignment vertical="center"/>
    </xf>
    <xf numFmtId="0" fontId="31" fillId="3" borderId="0" xfId="1" applyFont="1" applyFill="1" applyBorder="1" applyAlignment="1">
      <alignment horizontal="center" vertical="center"/>
    </xf>
    <xf numFmtId="165" fontId="18" fillId="3" borderId="0" xfId="3" applyNumberFormat="1" applyFont="1" applyFill="1" applyBorder="1" applyAlignment="1" applyProtection="1">
      <alignment horizontal="right" vertical="center"/>
    </xf>
    <xf numFmtId="3" fontId="49" fillId="6" borderId="54" xfId="4" applyNumberFormat="1" applyFont="1" applyFill="1" applyBorder="1" applyAlignment="1">
      <alignment horizontal="right" vertical="center" wrapText="1" indent="1"/>
    </xf>
    <xf numFmtId="49" fontId="5" fillId="3" borderId="0" xfId="3" applyNumberFormat="1" applyFont="1" applyFill="1" applyBorder="1" applyAlignment="1" applyProtection="1">
      <alignment horizontal="left" vertical="center"/>
    </xf>
    <xf numFmtId="49" fontId="36" fillId="3" borderId="0" xfId="3" applyNumberFormat="1" applyFont="1" applyFill="1" applyBorder="1" applyAlignment="1" applyProtection="1">
      <alignment horizontal="left" vertical="center"/>
    </xf>
    <xf numFmtId="49" fontId="15" fillId="3" borderId="0" xfId="3" applyNumberFormat="1" applyFont="1" applyFill="1" applyBorder="1" applyAlignment="1" applyProtection="1">
      <alignment horizontal="center" vertical="center"/>
    </xf>
    <xf numFmtId="49" fontId="5" fillId="3" borderId="0" xfId="4" applyNumberFormat="1" applyFont="1" applyFill="1" applyBorder="1" applyAlignment="1" applyProtection="1">
      <alignment horizontal="left" vertical="center"/>
    </xf>
    <xf numFmtId="49" fontId="37" fillId="3" borderId="0" xfId="4" applyNumberFormat="1" applyFont="1" applyFill="1" applyBorder="1" applyAlignment="1" applyProtection="1">
      <alignment horizontal="left" vertical="center" textRotation="90"/>
    </xf>
    <xf numFmtId="49" fontId="49" fillId="3" borderId="0" xfId="4" applyNumberFormat="1" applyFont="1" applyFill="1" applyBorder="1" applyAlignment="1" applyProtection="1">
      <alignment horizontal="left" vertical="center"/>
    </xf>
    <xf numFmtId="49" fontId="37" fillId="14" borderId="0" xfId="4" applyNumberFormat="1" applyFont="1" applyFill="1" applyBorder="1" applyAlignment="1" applyProtection="1">
      <alignment horizontal="left" vertical="center"/>
    </xf>
    <xf numFmtId="49" fontId="36" fillId="3" borderId="0" xfId="4" applyNumberFormat="1" applyFont="1" applyFill="1" applyBorder="1" applyAlignment="1" applyProtection="1">
      <alignment horizontal="left" vertical="center"/>
    </xf>
    <xf numFmtId="49" fontId="5" fillId="0" borderId="0" xfId="3" applyNumberFormat="1" applyFont="1" applyFill="1" applyBorder="1" applyAlignment="1" applyProtection="1">
      <alignment horizontal="left" vertical="center"/>
    </xf>
    <xf numFmtId="0" fontId="24" fillId="3" borderId="9" xfId="4" applyFont="1" applyFill="1" applyBorder="1" applyAlignment="1" applyProtection="1">
      <alignment horizontal="center" vertical="center" textRotation="90"/>
    </xf>
    <xf numFmtId="0" fontId="0" fillId="0" borderId="0" xfId="0"/>
    <xf numFmtId="49" fontId="5" fillId="3" borderId="0" xfId="3" applyNumberFormat="1" applyFont="1" applyFill="1" applyBorder="1" applyAlignment="1" applyProtection="1">
      <alignment horizontal="left" vertical="center"/>
    </xf>
    <xf numFmtId="49" fontId="5" fillId="3" borderId="0" xfId="4" quotePrefix="1" applyNumberFormat="1" applyFont="1" applyFill="1" applyBorder="1" applyAlignment="1" applyProtection="1">
      <alignment horizontal="left" vertical="center"/>
    </xf>
    <xf numFmtId="49" fontId="5" fillId="3" borderId="0" xfId="3" quotePrefix="1" applyNumberFormat="1" applyFont="1" applyFill="1" applyBorder="1" applyAlignment="1" applyProtection="1">
      <alignment horizontal="left" vertical="center"/>
    </xf>
    <xf numFmtId="0" fontId="52" fillId="7" borderId="13" xfId="4" applyFont="1" applyFill="1" applyBorder="1" applyAlignment="1">
      <alignment horizontal="left" vertical="center" indent="1"/>
    </xf>
    <xf numFmtId="0" fontId="52" fillId="7" borderId="50" xfId="4" applyFont="1" applyFill="1" applyBorder="1" applyAlignment="1">
      <alignment horizontal="left" vertical="center"/>
    </xf>
    <xf numFmtId="0" fontId="52" fillId="7" borderId="13" xfId="4" applyFont="1" applyFill="1" applyBorder="1" applyAlignment="1">
      <alignment horizontal="left" vertical="center"/>
    </xf>
    <xf numFmtId="0" fontId="5" fillId="22" borderId="0" xfId="3" applyFont="1" applyFill="1" applyBorder="1" applyAlignment="1" applyProtection="1">
      <alignment vertical="center"/>
    </xf>
    <xf numFmtId="0" fontId="5" fillId="23" borderId="0" xfId="3" applyFont="1" applyFill="1" applyBorder="1" applyAlignment="1" applyProtection="1">
      <alignment vertical="center"/>
    </xf>
    <xf numFmtId="0" fontId="21" fillId="23" borderId="0" xfId="3" applyFont="1" applyFill="1" applyBorder="1" applyAlignment="1" applyProtection="1">
      <alignment vertical="center"/>
    </xf>
    <xf numFmtId="0" fontId="52" fillId="7" borderId="13" xfId="4" applyFont="1" applyFill="1" applyBorder="1" applyAlignment="1">
      <alignment horizontal="left" vertical="center" indent="1"/>
    </xf>
    <xf numFmtId="0" fontId="4" fillId="24" borderId="0" xfId="2" applyFont="1" applyFill="1" applyBorder="1" applyAlignment="1" applyProtection="1"/>
    <xf numFmtId="0" fontId="4" fillId="24" borderId="9" xfId="2" applyFont="1" applyFill="1" applyBorder="1" applyAlignment="1" applyProtection="1"/>
    <xf numFmtId="0" fontId="20" fillId="3" borderId="0" xfId="3" applyFont="1" applyFill="1" applyBorder="1" applyAlignment="1" applyProtection="1">
      <alignment vertical="center"/>
    </xf>
    <xf numFmtId="0" fontId="19" fillId="3" borderId="0" xfId="3" applyFont="1" applyFill="1" applyBorder="1" applyAlignment="1" applyProtection="1">
      <alignment vertical="center"/>
    </xf>
    <xf numFmtId="164" fontId="20" fillId="3" borderId="0" xfId="6" applyFont="1" applyFill="1" applyBorder="1" applyAlignment="1" applyProtection="1">
      <alignment vertical="center"/>
    </xf>
    <xf numFmtId="0" fontId="21" fillId="3" borderId="0" xfId="3" applyFont="1" applyFill="1" applyBorder="1" applyAlignment="1" applyProtection="1">
      <alignment vertical="center"/>
    </xf>
    <xf numFmtId="0" fontId="5" fillId="3" borderId="0" xfId="3" applyNumberFormat="1" applyFont="1" applyFill="1" applyBorder="1" applyAlignment="1" applyProtection="1">
      <alignment horizontal="left" vertical="center"/>
    </xf>
    <xf numFmtId="0" fontId="35" fillId="12" borderId="3" xfId="2" applyFont="1" applyFill="1" applyBorder="1" applyAlignment="1" applyProtection="1">
      <alignment horizontal="left" vertical="center"/>
      <protection locked="0"/>
    </xf>
    <xf numFmtId="0" fontId="52" fillId="7" borderId="13" xfId="4" applyFont="1" applyFill="1" applyBorder="1" applyAlignment="1">
      <alignment horizontal="left" vertical="center"/>
    </xf>
    <xf numFmtId="0" fontId="52" fillId="7" borderId="50" xfId="4" applyFont="1" applyFill="1" applyBorder="1" applyAlignment="1">
      <alignment horizontal="left" vertical="center" indent="1"/>
    </xf>
    <xf numFmtId="0" fontId="50" fillId="15" borderId="0" xfId="2" applyFont="1" applyFill="1" applyBorder="1" applyAlignment="1">
      <alignment horizontal="center" vertical="center"/>
    </xf>
    <xf numFmtId="0" fontId="51" fillId="15" borderId="0" xfId="2" applyFont="1" applyFill="1" applyBorder="1" applyAlignment="1">
      <alignment horizontal="center" vertical="center"/>
    </xf>
    <xf numFmtId="0" fontId="54" fillId="16" borderId="24" xfId="2" applyFont="1" applyFill="1" applyBorder="1" applyAlignment="1">
      <alignment horizontal="left" vertical="center" indent="1"/>
    </xf>
    <xf numFmtId="0" fontId="54" fillId="16" borderId="25" xfId="2" applyFont="1" applyFill="1" applyBorder="1" applyAlignment="1">
      <alignment horizontal="left" vertical="center" indent="1"/>
    </xf>
    <xf numFmtId="0" fontId="54" fillId="16" borderId="26" xfId="2" applyFont="1" applyFill="1" applyBorder="1" applyAlignment="1">
      <alignment horizontal="left" vertical="center" indent="1"/>
    </xf>
    <xf numFmtId="0" fontId="59" fillId="6" borderId="48" xfId="4" applyFont="1" applyFill="1" applyBorder="1" applyAlignment="1">
      <alignment horizontal="left" vertical="center" wrapText="1" indent="1"/>
    </xf>
    <xf numFmtId="0" fontId="17" fillId="20" borderId="0" xfId="2" applyFont="1" applyFill="1" applyBorder="1" applyAlignment="1">
      <alignment horizontal="center" vertical="center" wrapText="1"/>
    </xf>
    <xf numFmtId="0" fontId="59" fillId="19" borderId="23" xfId="2" applyFont="1" applyFill="1" applyBorder="1" applyAlignment="1">
      <alignment horizontal="center" vertical="center" wrapText="1"/>
    </xf>
    <xf numFmtId="0" fontId="59" fillId="19" borderId="0" xfId="2" applyFont="1" applyFill="1" applyBorder="1" applyAlignment="1">
      <alignment horizontal="center" vertical="center" wrapText="1"/>
    </xf>
    <xf numFmtId="0" fontId="52" fillId="7" borderId="13" xfId="4" applyFont="1" applyFill="1" applyBorder="1" applyAlignment="1">
      <alignment horizontal="left" vertical="center" indent="1"/>
    </xf>
    <xf numFmtId="0" fontId="59" fillId="6" borderId="46" xfId="4" applyFont="1" applyFill="1" applyBorder="1" applyAlignment="1">
      <alignment horizontal="left" vertical="center" wrapText="1" indent="1"/>
    </xf>
    <xf numFmtId="0" fontId="52" fillId="7" borderId="31" xfId="4" applyFont="1" applyFill="1" applyBorder="1" applyAlignment="1">
      <alignment horizontal="left" vertical="center" indent="1"/>
    </xf>
    <xf numFmtId="167" fontId="65" fillId="3" borderId="34" xfId="4" applyNumberFormat="1" applyFont="1" applyFill="1" applyBorder="1" applyAlignment="1">
      <alignment horizontal="center" vertical="center" wrapText="1"/>
    </xf>
    <xf numFmtId="0" fontId="52" fillId="7" borderId="50" xfId="4" applyFont="1" applyFill="1" applyBorder="1" applyAlignment="1">
      <alignment horizontal="left" vertical="center"/>
    </xf>
    <xf numFmtId="167" fontId="65" fillId="3" borderId="34" xfId="4" applyNumberFormat="1" applyFont="1" applyFill="1" applyBorder="1" applyAlignment="1">
      <alignment horizontal="left" vertical="center" wrapText="1" indent="2"/>
    </xf>
    <xf numFmtId="167" fontId="65" fillId="3" borderId="34" xfId="4" applyNumberFormat="1" applyFont="1" applyFill="1" applyBorder="1" applyAlignment="1">
      <alignment horizontal="left" vertical="center" wrapText="1" indent="1"/>
    </xf>
    <xf numFmtId="0" fontId="52" fillId="7" borderId="31" xfId="4" applyFont="1" applyFill="1" applyBorder="1" applyAlignment="1">
      <alignment horizontal="left" vertical="center"/>
    </xf>
    <xf numFmtId="0" fontId="52" fillId="7" borderId="48" xfId="4" applyFont="1" applyFill="1" applyBorder="1" applyAlignment="1">
      <alignment horizontal="left" vertical="center" indent="1"/>
    </xf>
    <xf numFmtId="0" fontId="52" fillId="21" borderId="43" xfId="4" applyFont="1" applyFill="1" applyBorder="1" applyAlignment="1">
      <alignment horizontal="left" vertical="center" indent="2"/>
    </xf>
    <xf numFmtId="0" fontId="52" fillId="21" borderId="13" xfId="4" applyFont="1" applyFill="1" applyBorder="1" applyAlignment="1">
      <alignment horizontal="left" vertical="center" indent="2"/>
    </xf>
    <xf numFmtId="0" fontId="52" fillId="21" borderId="37" xfId="4" applyFont="1" applyFill="1" applyBorder="1" applyAlignment="1">
      <alignment horizontal="left" vertical="center" indent="2"/>
    </xf>
    <xf numFmtId="0" fontId="52" fillId="21" borderId="53" xfId="4" applyFont="1" applyFill="1" applyBorder="1" applyAlignment="1">
      <alignment horizontal="left" vertical="center" indent="2"/>
    </xf>
    <xf numFmtId="0" fontId="52" fillId="21" borderId="38" xfId="4" applyFont="1" applyFill="1" applyBorder="1" applyAlignment="1">
      <alignment horizontal="left" vertical="center" indent="2"/>
    </xf>
    <xf numFmtId="0" fontId="52" fillId="21" borderId="39" xfId="4" applyFont="1" applyFill="1" applyBorder="1" applyAlignment="1">
      <alignment horizontal="left" vertical="center" indent="2"/>
    </xf>
    <xf numFmtId="0" fontId="52" fillId="21" borderId="52" xfId="4" applyFont="1" applyFill="1" applyBorder="1" applyAlignment="1">
      <alignment horizontal="left" vertical="center" indent="2"/>
    </xf>
    <xf numFmtId="0" fontId="52" fillId="21" borderId="45" xfId="4" applyFont="1" applyFill="1" applyBorder="1" applyAlignment="1">
      <alignment horizontal="left" vertical="center" indent="2"/>
    </xf>
    <xf numFmtId="0" fontId="52" fillId="21" borderId="36" xfId="4" applyFont="1" applyFill="1" applyBorder="1" applyAlignment="1">
      <alignment horizontal="left" vertical="center" indent="2"/>
    </xf>
  </cellXfs>
  <cellStyles count="7">
    <cellStyle name="Milliers" xfId="6" builtinId="3"/>
    <cellStyle name="Normal" xfId="0" builtinId="0"/>
    <cellStyle name="Normal 10" xfId="1"/>
    <cellStyle name="Normal 2" xfId="2"/>
    <cellStyle name="Normal 3 2" xfId="3"/>
    <cellStyle name="Normal_Copie de CRD_CRC_domaine TER_ergo" xfId="4"/>
    <cellStyle name="Pourcentage" xfId="5" builtinId="5"/>
  </cellStyles>
  <dxfs count="586"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</dxfs>
  <tableStyles count="0" defaultTableStyle="TableStyleMedium2" defaultPivotStyle="PivotStyleLight16"/>
  <colors>
    <mruColors>
      <color rgb="FFF3F3F3"/>
      <color rgb="FFDBDBDB"/>
      <color rgb="FFC5C5C5"/>
      <color rgb="FFF9F9F9"/>
      <color rgb="FFFF9F9F"/>
      <color rgb="FFFFD1D1"/>
      <color rgb="FFE2E2E2"/>
      <color rgb="FFD9D9D9"/>
      <color rgb="FFDEDED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103077</xdr:colOff>
      <xdr:row>6</xdr:row>
      <xdr:rowOff>33896</xdr:rowOff>
    </xdr:from>
    <xdr:ext cx="1400410" cy="479398"/>
    <xdr:pic>
      <xdr:nvPicPr>
        <xdr:cNvPr id="170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006" y="619003"/>
          <a:ext cx="1400410" cy="479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22</xdr:col>
      <xdr:colOff>376598</xdr:colOff>
      <xdr:row>6</xdr:row>
      <xdr:rowOff>108197</xdr:rowOff>
    </xdr:from>
    <xdr:to>
      <xdr:col>22</xdr:col>
      <xdr:colOff>757882</xdr:colOff>
      <xdr:row>7</xdr:row>
      <xdr:rowOff>74714</xdr:rowOff>
    </xdr:to>
    <xdr:pic>
      <xdr:nvPicPr>
        <xdr:cNvPr id="1715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5692" y="679697"/>
          <a:ext cx="382984" cy="3951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25082</xdr:colOff>
      <xdr:row>15</xdr:row>
      <xdr:rowOff>131598</xdr:rowOff>
    </xdr:from>
    <xdr:to>
      <xdr:col>8</xdr:col>
      <xdr:colOff>392679</xdr:colOff>
      <xdr:row>17</xdr:row>
      <xdr:rowOff>74612</xdr:rowOff>
    </xdr:to>
    <xdr:pic macro="[0]!Feuil2.refresch">
      <xdr:nvPicPr>
        <xdr:cNvPr id="5" name="Image 4" descr="https://encrypted-tbn0.gstatic.com/images?q=tbn:ANd9GcTxgS58yOjB6lOGGmLB1DHoUwsxi7gUgB9m9IqJsSBaSPvizChNz1HUshQ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0895" y="2893848"/>
          <a:ext cx="367597" cy="371637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oneCell">
    <xdr:from>
      <xdr:col>8</xdr:col>
      <xdr:colOff>528363</xdr:colOff>
      <xdr:row>15</xdr:row>
      <xdr:rowOff>131754</xdr:rowOff>
    </xdr:from>
    <xdr:to>
      <xdr:col>8</xdr:col>
      <xdr:colOff>911286</xdr:colOff>
      <xdr:row>17</xdr:row>
      <xdr:rowOff>50784</xdr:rowOff>
    </xdr:to>
    <xdr:pic macro="[0]!Extrect_Excel_value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14176" y="2894004"/>
          <a:ext cx="382923" cy="347653"/>
        </a:xfrm>
        <a:prstGeom prst="rect">
          <a:avLst/>
        </a:prstGeom>
        <a:effectLst>
          <a:reflection blurRad="6350" stA="50000" endA="300" endPos="38500" dist="50800" dir="5400000" sy="-100000" algn="bl" rotWithShape="0"/>
        </a:effectLst>
      </xdr:spPr>
    </xdr:pic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5" tint="0.79998168889431442"/>
  </sheetPr>
  <dimension ref="A1:B73"/>
  <sheetViews>
    <sheetView showGridLines="0" workbookViewId="0">
      <selection activeCell="B6" sqref="B6"/>
    </sheetView>
  </sheetViews>
  <sheetFormatPr baseColWidth="10" defaultColWidth="11.42578125" defaultRowHeight="15" x14ac:dyDescent="0.25"/>
  <cols>
    <col min="1" max="1" width="48.140625" style="102" customWidth="1"/>
    <col min="2" max="2" width="35.85546875" customWidth="1"/>
    <col min="3" max="3" width="33.85546875" bestFit="1" customWidth="1"/>
    <col min="4" max="4" width="35.85546875" customWidth="1"/>
  </cols>
  <sheetData>
    <row r="1" spans="1:2" ht="18" x14ac:dyDescent="0.25">
      <c r="A1" s="108" t="s">
        <v>4</v>
      </c>
    </row>
    <row r="2" spans="1:2" x14ac:dyDescent="0.25">
      <c r="A2" s="101"/>
    </row>
    <row r="3" spans="1:2" ht="15.75" x14ac:dyDescent="0.25">
      <c r="A3" s="103" t="s">
        <v>5</v>
      </c>
    </row>
    <row r="4" spans="1:2" x14ac:dyDescent="0.25">
      <c r="A4" s="104" t="s">
        <v>6</v>
      </c>
      <c r="B4" s="106" t="s">
        <v>180</v>
      </c>
    </row>
    <row r="5" spans="1:2" x14ac:dyDescent="0.25">
      <c r="A5" s="104" t="s">
        <v>7</v>
      </c>
      <c r="B5" s="107" t="str">
        <f>LEFT(Server,LEN(Server)-1)</f>
        <v>tango_core_model</v>
      </c>
    </row>
    <row r="6" spans="1:2" x14ac:dyDescent="0.25">
      <c r="A6" s="104" t="s">
        <v>8</v>
      </c>
      <c r="B6" s="105" t="str">
        <f ca="1">Host_Serveur</f>
        <v>FRSAPP021269</v>
      </c>
    </row>
    <row r="7" spans="1:2" x14ac:dyDescent="0.25">
      <c r="A7" s="104" t="s">
        <v>9</v>
      </c>
      <c r="B7" s="105">
        <v>0</v>
      </c>
    </row>
    <row r="8" spans="1:2" x14ac:dyDescent="0.25">
      <c r="A8" s="104" t="s">
        <v>10</v>
      </c>
      <c r="B8" s="105">
        <v>0</v>
      </c>
    </row>
    <row r="9" spans="1:2" ht="15.75" x14ac:dyDescent="0.25">
      <c r="A9" s="103" t="s">
        <v>11</v>
      </c>
    </row>
    <row r="11" spans="1:2" x14ac:dyDescent="0.25">
      <c r="A11" s="104" t="s">
        <v>12</v>
      </c>
      <c r="B11" s="105" t="s">
        <v>101</v>
      </c>
    </row>
    <row r="12" spans="1:2" x14ac:dyDescent="0.25">
      <c r="A12" s="104" t="s">
        <v>13</v>
      </c>
      <c r="B12" s="111"/>
    </row>
    <row r="13" spans="1:2" x14ac:dyDescent="0.25">
      <c r="A13" s="104" t="s">
        <v>31</v>
      </c>
      <c r="B13" s="111"/>
    </row>
    <row r="14" spans="1:2" x14ac:dyDescent="0.25">
      <c r="A14" s="104" t="s">
        <v>14</v>
      </c>
      <c r="B14" s="107" t="str">
        <f ca="1">_xll.DBR(Server&amp;"z_admin_Param","YEAR_ACTUAL","STR_VAR1")</f>
        <v>2020</v>
      </c>
    </row>
    <row r="15" spans="1:2" x14ac:dyDescent="0.25">
      <c r="A15" s="104" t="s">
        <v>15</v>
      </c>
      <c r="B15" s="107" t="str">
        <f ca="1">_xll.DBR(Server&amp;"z_admin_Param","MONTH_ACTUAL","STR_VAR1")</f>
        <v>2020.06</v>
      </c>
    </row>
    <row r="16" spans="1:2" x14ac:dyDescent="0.25">
      <c r="A16" s="104" t="s">
        <v>16</v>
      </c>
      <c r="B16" s="107" t="str">
        <f ca="1">_xll.DBR(Server&amp;"z_admin_Param","BUDGET_VERSION","STR_VAR1")</f>
        <v>BUDG_TOT</v>
      </c>
    </row>
    <row r="17" spans="1:2" x14ac:dyDescent="0.25">
      <c r="A17" s="104" t="s">
        <v>17</v>
      </c>
      <c r="B17" s="107" t="str">
        <f ca="1">_xll.DBR(Server&amp;"z_admin_Param","FORECAST_VERSION","STR_VAR1")</f>
        <v>FC_2_TOT</v>
      </c>
    </row>
    <row r="18" spans="1:2" x14ac:dyDescent="0.25">
      <c r="A18" s="104" t="s">
        <v>18</v>
      </c>
      <c r="B18" s="107" t="s">
        <v>26</v>
      </c>
    </row>
    <row r="19" spans="1:2" x14ac:dyDescent="0.25">
      <c r="A19" s="231" t="s">
        <v>19</v>
      </c>
      <c r="B19" s="113"/>
    </row>
    <row r="20" spans="1:2" x14ac:dyDescent="0.25">
      <c r="A20" s="231"/>
      <c r="B20" s="113"/>
    </row>
    <row r="21" spans="1:2" x14ac:dyDescent="0.25">
      <c r="A21" s="231" t="s">
        <v>20</v>
      </c>
      <c r="B21" s="105" t="s">
        <v>27</v>
      </c>
    </row>
    <row r="22" spans="1:2" x14ac:dyDescent="0.25">
      <c r="A22" s="231"/>
      <c r="B22" s="105" t="s">
        <v>28</v>
      </c>
    </row>
    <row r="23" spans="1:2" x14ac:dyDescent="0.25">
      <c r="A23" s="231"/>
      <c r="B23" s="105" t="s">
        <v>29</v>
      </c>
    </row>
    <row r="24" spans="1:2" x14ac:dyDescent="0.25">
      <c r="A24" s="101"/>
    </row>
    <row r="25" spans="1:2" ht="15.75" x14ac:dyDescent="0.25">
      <c r="A25" s="103" t="s">
        <v>21</v>
      </c>
    </row>
    <row r="26" spans="1:2" x14ac:dyDescent="0.25">
      <c r="A26" s="101" t="s">
        <v>22</v>
      </c>
    </row>
    <row r="27" spans="1:2" x14ac:dyDescent="0.25">
      <c r="A27" s="101" t="s">
        <v>23</v>
      </c>
    </row>
    <row r="28" spans="1:2" x14ac:dyDescent="0.25">
      <c r="A28" s="101" t="s">
        <v>24</v>
      </c>
    </row>
    <row r="29" spans="1:2" x14ac:dyDescent="0.25">
      <c r="A29" s="101" t="s">
        <v>25</v>
      </c>
    </row>
    <row r="30" spans="1:2" x14ac:dyDescent="0.25">
      <c r="A30" s="115"/>
    </row>
    <row r="32" spans="1:2" x14ac:dyDescent="0.25">
      <c r="B32" s="100" t="s">
        <v>99</v>
      </c>
    </row>
    <row r="33" spans="2:2" x14ac:dyDescent="0.25">
      <c r="B33" s="81" t="s">
        <v>100</v>
      </c>
    </row>
    <row r="34" spans="2:2" x14ac:dyDescent="0.25">
      <c r="B34" s="81"/>
    </row>
    <row r="35" spans="2:2" x14ac:dyDescent="0.25">
      <c r="B35" s="81"/>
    </row>
    <row r="36" spans="2:2" x14ac:dyDescent="0.25">
      <c r="B36" s="81"/>
    </row>
    <row r="37" spans="2:2" x14ac:dyDescent="0.25">
      <c r="B37" s="81"/>
    </row>
    <row r="38" spans="2:2" x14ac:dyDescent="0.25">
      <c r="B38" s="81"/>
    </row>
    <row r="39" spans="2:2" x14ac:dyDescent="0.25">
      <c r="B39" s="81"/>
    </row>
    <row r="40" spans="2:2" x14ac:dyDescent="0.25">
      <c r="B40" s="81"/>
    </row>
    <row r="41" spans="2:2" x14ac:dyDescent="0.25">
      <c r="B41" s="81"/>
    </row>
    <row r="42" spans="2:2" x14ac:dyDescent="0.25">
      <c r="B42" s="81"/>
    </row>
    <row r="43" spans="2:2" x14ac:dyDescent="0.25">
      <c r="B43" s="81"/>
    </row>
    <row r="44" spans="2:2" x14ac:dyDescent="0.25">
      <c r="B44" s="81"/>
    </row>
    <row r="45" spans="2:2" x14ac:dyDescent="0.25">
      <c r="B45" s="114"/>
    </row>
    <row r="46" spans="2:2" x14ac:dyDescent="0.25">
      <c r="B46" s="114"/>
    </row>
    <row r="47" spans="2:2" x14ac:dyDescent="0.25">
      <c r="B47" s="114"/>
    </row>
    <row r="48" spans="2:2" x14ac:dyDescent="0.25">
      <c r="B48" s="114"/>
    </row>
    <row r="49" spans="2:2" x14ac:dyDescent="0.25">
      <c r="B49" s="114"/>
    </row>
    <row r="50" spans="2:2" x14ac:dyDescent="0.25">
      <c r="B50" s="114"/>
    </row>
    <row r="51" spans="2:2" x14ac:dyDescent="0.25">
      <c r="B51" s="114"/>
    </row>
    <row r="52" spans="2:2" x14ac:dyDescent="0.25">
      <c r="B52" s="114"/>
    </row>
    <row r="53" spans="2:2" x14ac:dyDescent="0.25">
      <c r="B53" s="114"/>
    </row>
    <row r="54" spans="2:2" x14ac:dyDescent="0.25">
      <c r="B54" s="114"/>
    </row>
    <row r="55" spans="2:2" x14ac:dyDescent="0.25">
      <c r="B55" s="114"/>
    </row>
    <row r="56" spans="2:2" x14ac:dyDescent="0.25">
      <c r="B56" s="114"/>
    </row>
    <row r="57" spans="2:2" x14ac:dyDescent="0.25">
      <c r="B57" s="114"/>
    </row>
    <row r="58" spans="2:2" x14ac:dyDescent="0.25">
      <c r="B58" s="114"/>
    </row>
    <row r="59" spans="2:2" x14ac:dyDescent="0.25">
      <c r="B59" s="114"/>
    </row>
    <row r="60" spans="2:2" x14ac:dyDescent="0.25">
      <c r="B60" s="114"/>
    </row>
    <row r="61" spans="2:2" x14ac:dyDescent="0.25">
      <c r="B61" s="114"/>
    </row>
    <row r="62" spans="2:2" x14ac:dyDescent="0.25">
      <c r="B62" s="114"/>
    </row>
    <row r="63" spans="2:2" x14ac:dyDescent="0.25">
      <c r="B63" s="114"/>
    </row>
    <row r="64" spans="2:2" x14ac:dyDescent="0.25">
      <c r="B64" s="114"/>
    </row>
    <row r="65" spans="1:2" ht="18" x14ac:dyDescent="0.25">
      <c r="A65" s="116"/>
      <c r="B65" s="114"/>
    </row>
    <row r="66" spans="1:2" x14ac:dyDescent="0.25">
      <c r="B66" s="119"/>
    </row>
    <row r="73" spans="1:2" ht="18" x14ac:dyDescent="0.25">
      <c r="A73" s="116"/>
    </row>
  </sheetData>
  <sheetProtection sheet="1" objects="1" scenarios="1"/>
  <mergeCells count="2">
    <mergeCell ref="A19:A20"/>
    <mergeCell ref="A21:A2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DN377"/>
  <sheetViews>
    <sheetView showGridLines="0" tabSelected="1" topLeftCell="E5" zoomScale="70" zoomScaleNormal="70" zoomScaleSheetLayoutView="55" workbookViewId="0">
      <selection activeCell="J9" sqref="J9"/>
    </sheetView>
  </sheetViews>
  <sheetFormatPr baseColWidth="10" defaultColWidth="11.42578125" defaultRowHeight="18" customHeight="1" outlineLevelRow="1" outlineLevelCol="1" x14ac:dyDescent="0.25"/>
  <cols>
    <col min="1" max="1" width="9.42578125" style="10" hidden="1" customWidth="1"/>
    <col min="2" max="2" width="9.42578125" style="1" hidden="1" customWidth="1"/>
    <col min="3" max="3" width="28.85546875" style="1" hidden="1" customWidth="1"/>
    <col min="4" max="4" width="28.7109375" style="211" hidden="1" customWidth="1"/>
    <col min="5" max="5" width="3.42578125" style="1" customWidth="1"/>
    <col min="6" max="6" width="4" style="1" customWidth="1"/>
    <col min="7" max="7" width="1.28515625" style="1" customWidth="1"/>
    <col min="8" max="8" width="3.28515625" style="1" customWidth="1"/>
    <col min="9" max="9" width="30.5703125" style="67" customWidth="1"/>
    <col min="10" max="10" width="43.140625" style="67" customWidth="1"/>
    <col min="11" max="11" width="1.7109375" style="10" customWidth="1"/>
    <col min="12" max="13" width="16" style="10" customWidth="1"/>
    <col min="14" max="14" width="15.28515625" style="98" customWidth="1"/>
    <col min="15" max="15" width="12.42578125" style="98" customWidth="1"/>
    <col min="16" max="16" width="1.140625" style="99" customWidth="1"/>
    <col min="17" max="17" width="16" style="10" customWidth="1" outlineLevel="1"/>
    <col min="18" max="18" width="15.28515625" style="98" customWidth="1" outlineLevel="1"/>
    <col min="19" max="19" width="12.42578125" style="98" customWidth="1" outlineLevel="1"/>
    <col min="20" max="20" width="1.140625" style="99" customWidth="1" outlineLevel="1"/>
    <col min="21" max="21" width="16" style="10" customWidth="1"/>
    <col min="22" max="22" width="15.28515625" style="99" customWidth="1"/>
    <col min="23" max="23" width="13.42578125" style="37" bestFit="1" customWidth="1"/>
    <col min="24" max="24" width="1.28515625" style="37" customWidth="1"/>
    <col min="25" max="25" width="4" style="37" customWidth="1"/>
    <col min="26" max="26" width="20" style="37" bestFit="1" customWidth="1"/>
    <col min="27" max="29" width="17.85546875" style="37" customWidth="1"/>
    <col min="30" max="34" width="13.28515625" style="37" customWidth="1"/>
    <col min="35" max="43" width="18.85546875" style="37" bestFit="1" customWidth="1"/>
    <col min="44" max="62" width="13.28515625" style="37" customWidth="1"/>
    <col min="63" max="63" width="44.7109375" style="37" customWidth="1"/>
    <col min="64" max="91" width="13.28515625" style="37" customWidth="1"/>
    <col min="92" max="93" width="13.28515625" style="10" customWidth="1"/>
    <col min="94" max="103" width="6.5703125" style="10" customWidth="1"/>
    <col min="104" max="105" width="6.42578125" style="10" customWidth="1"/>
    <col min="106" max="16384" width="11.42578125" style="10"/>
  </cols>
  <sheetData>
    <row r="1" spans="1:118" ht="37.5" hidden="1" customHeight="1" x14ac:dyDescent="0.25">
      <c r="B1" s="10"/>
      <c r="D1" s="203"/>
      <c r="E1" s="2"/>
      <c r="F1" s="2"/>
      <c r="G1" s="2"/>
      <c r="H1" s="2"/>
      <c r="I1" s="3"/>
      <c r="J1" s="4" t="s">
        <v>0</v>
      </c>
      <c r="K1" s="5"/>
      <c r="L1" s="6" t="s">
        <v>1</v>
      </c>
      <c r="M1" s="7" t="str">
        <f ca="1">ActualBudget</f>
        <v>BUDG_TOT</v>
      </c>
      <c r="N1" s="6"/>
      <c r="O1" s="6"/>
      <c r="P1" s="8"/>
      <c r="Q1" s="7" t="str">
        <f ca="1">ActualForecast</f>
        <v>FC_2_TOT</v>
      </c>
      <c r="R1" s="6"/>
      <c r="S1" s="6"/>
      <c r="T1" s="8"/>
      <c r="U1" s="6" t="s">
        <v>1</v>
      </c>
      <c r="V1" s="6"/>
      <c r="W1" s="6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</row>
    <row r="2" spans="1:118" ht="37.5" hidden="1" customHeight="1" x14ac:dyDescent="0.25">
      <c r="B2" s="10"/>
      <c r="D2" s="203"/>
      <c r="E2" s="2"/>
      <c r="F2" s="2"/>
      <c r="G2" s="2"/>
      <c r="H2" s="2"/>
      <c r="I2" s="11"/>
      <c r="J2" s="12" t="s">
        <v>2</v>
      </c>
      <c r="K2" s="13"/>
      <c r="L2" s="14"/>
      <c r="M2" s="15"/>
      <c r="N2" s="110"/>
      <c r="O2" s="8"/>
      <c r="P2" s="8"/>
      <c r="Q2" s="15"/>
      <c r="R2" s="110"/>
      <c r="S2" s="8"/>
      <c r="T2" s="8"/>
      <c r="U2" s="14" t="str">
        <f ca="1">_xll.DBRA(Server&amp;$J$2,$J$11,"Prior year")</f>
        <v>2019.06_YTD</v>
      </c>
      <c r="V2" s="8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</row>
    <row r="3" spans="1:118" ht="37.5" hidden="1" customHeight="1" x14ac:dyDescent="0.25">
      <c r="B3" s="10"/>
      <c r="D3" s="203"/>
      <c r="E3" s="2"/>
      <c r="F3" s="2"/>
      <c r="G3" s="2"/>
      <c r="H3" s="2"/>
      <c r="I3" s="11"/>
      <c r="J3" s="109"/>
      <c r="K3" s="16"/>
      <c r="L3" s="14"/>
      <c r="M3" s="15"/>
      <c r="N3" s="8"/>
      <c r="O3" s="8"/>
      <c r="P3" s="8"/>
      <c r="Q3" s="15"/>
      <c r="R3" s="8"/>
      <c r="S3" s="8"/>
      <c r="T3" s="8"/>
      <c r="U3" s="8"/>
      <c r="V3" s="8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</row>
    <row r="4" spans="1:118" ht="45" hidden="1" customHeight="1" x14ac:dyDescent="0.25">
      <c r="B4" s="10"/>
      <c r="D4" s="203"/>
      <c r="E4" s="2"/>
      <c r="F4" s="2"/>
      <c r="G4" s="2"/>
      <c r="H4" s="2"/>
      <c r="I4" s="11"/>
      <c r="J4" s="11"/>
      <c r="K4" s="17"/>
      <c r="L4" s="18"/>
      <c r="M4" s="15"/>
      <c r="N4" s="8"/>
      <c r="O4" s="8"/>
      <c r="P4" s="8"/>
      <c r="Q4" s="15"/>
      <c r="R4" s="8"/>
      <c r="S4" s="8"/>
      <c r="T4" s="8"/>
      <c r="U4" s="5"/>
      <c r="V4" s="8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</row>
    <row r="5" spans="1:118" ht="13.5" customHeight="1" x14ac:dyDescent="0.25">
      <c r="B5" s="10"/>
      <c r="D5" s="203"/>
      <c r="E5" s="2"/>
      <c r="F5" s="2"/>
      <c r="G5" s="2"/>
      <c r="H5" s="2"/>
      <c r="I5" s="11"/>
      <c r="J5" s="19"/>
      <c r="K5" s="16"/>
      <c r="L5" s="20"/>
      <c r="M5" s="15"/>
      <c r="N5" s="20"/>
      <c r="O5" s="20"/>
      <c r="P5" s="20"/>
      <c r="Q5" s="15"/>
      <c r="R5" s="20"/>
      <c r="S5" s="20"/>
      <c r="T5" s="20"/>
      <c r="U5" s="20"/>
      <c r="V5" s="20"/>
      <c r="W5" s="20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</row>
    <row r="6" spans="1:118" ht="32.25" customHeight="1" x14ac:dyDescent="0.2">
      <c r="A6" s="220"/>
      <c r="B6" s="10" t="s">
        <v>145</v>
      </c>
      <c r="D6" s="203"/>
      <c r="E6" s="2"/>
      <c r="F6" s="21"/>
      <c r="G6" s="22"/>
      <c r="H6" s="22"/>
      <c r="I6" s="23"/>
      <c r="J6" s="24"/>
      <c r="K6" s="25"/>
      <c r="L6" s="25"/>
      <c r="M6" s="25"/>
      <c r="N6" s="26"/>
      <c r="O6" s="26"/>
      <c r="P6" s="27"/>
      <c r="Q6" s="25"/>
      <c r="R6" s="26"/>
      <c r="S6" s="26"/>
      <c r="T6" s="27"/>
      <c r="U6" s="25"/>
      <c r="V6" s="27"/>
      <c r="W6" s="28"/>
      <c r="X6" s="28"/>
      <c r="Y6" s="2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</row>
    <row r="7" spans="1:118" ht="33.75" customHeight="1" x14ac:dyDescent="0.25">
      <c r="A7" s="221"/>
      <c r="B7" s="10" t="s">
        <v>146</v>
      </c>
      <c r="D7" s="203"/>
      <c r="E7" s="2"/>
      <c r="F7" s="30"/>
      <c r="G7" s="234" t="s">
        <v>39</v>
      </c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31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</row>
    <row r="8" spans="1:118" ht="21" customHeight="1" x14ac:dyDescent="0.25">
      <c r="B8" s="10"/>
      <c r="D8" s="203"/>
      <c r="E8" s="2"/>
      <c r="F8" s="32"/>
      <c r="G8" s="235" t="str">
        <f ca="1">_xll.DBRA(Server&amp;$C$12,J$12,"French")&amp;" - "&amp;_xll.DBRA(Server&amp;$C$13,J$13,"French")</f>
        <v>Total Antennes - Tot_Formation_Hors_PST</v>
      </c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31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</row>
    <row r="9" spans="1:118" ht="39" customHeight="1" x14ac:dyDescent="0.2">
      <c r="B9" s="10"/>
      <c r="D9" s="203"/>
      <c r="E9" s="2"/>
      <c r="F9" s="33"/>
      <c r="I9" s="10"/>
      <c r="J9" s="34"/>
      <c r="K9" s="34"/>
      <c r="L9" s="35"/>
      <c r="M9" s="35"/>
      <c r="N9" s="35"/>
      <c r="O9" s="36"/>
      <c r="P9" s="35"/>
      <c r="Q9" s="35"/>
      <c r="R9" s="35"/>
      <c r="S9" s="36"/>
      <c r="T9" s="35"/>
      <c r="U9" s="35"/>
      <c r="V9" s="35"/>
      <c r="W9" s="35"/>
      <c r="X9" s="35"/>
      <c r="Y9" s="31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</row>
    <row r="10" spans="1:118" ht="21" customHeight="1" x14ac:dyDescent="0.2">
      <c r="B10" s="10"/>
      <c r="D10" s="203"/>
      <c r="E10" s="2"/>
      <c r="F10" s="33"/>
      <c r="I10" s="135" t="s">
        <v>38</v>
      </c>
      <c r="J10" s="34"/>
      <c r="K10" s="34"/>
      <c r="L10" s="35"/>
      <c r="M10" s="35"/>
      <c r="N10" s="112"/>
      <c r="O10" s="36"/>
      <c r="P10" s="35"/>
      <c r="Q10" s="35"/>
      <c r="R10" s="112"/>
      <c r="S10" s="36"/>
      <c r="T10" s="35"/>
      <c r="U10" s="35"/>
      <c r="V10" s="35"/>
      <c r="W10" s="35"/>
      <c r="X10" s="35"/>
      <c r="Y10" s="31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</row>
    <row r="11" spans="1:118" ht="17.25" customHeight="1" x14ac:dyDescent="0.4">
      <c r="B11" s="10"/>
      <c r="C11" s="1" t="s">
        <v>2</v>
      </c>
      <c r="D11" s="230" t="str">
        <f ca="1">ActualMonth&amp;"_YTD"</f>
        <v>2020.06_YTD</v>
      </c>
      <c r="E11" s="2"/>
      <c r="F11" s="33"/>
      <c r="I11" s="133" t="s">
        <v>32</v>
      </c>
      <c r="J11" s="159" t="str">
        <f ca="1">_xll.SUBNM(Server&amp;"Period","",DEFAULt_PERIOD)</f>
        <v>2020.06_YTD</v>
      </c>
      <c r="K11" s="34"/>
      <c r="L11" s="35"/>
      <c r="M11" s="35"/>
      <c r="N11" s="35"/>
      <c r="O11" s="36"/>
      <c r="P11" s="35"/>
      <c r="Q11" s="35"/>
      <c r="R11" s="35"/>
      <c r="S11" s="36"/>
      <c r="T11" s="35"/>
      <c r="U11" s="117"/>
      <c r="V11" s="35"/>
      <c r="W11" s="35"/>
      <c r="X11" s="35"/>
      <c r="Y11" s="31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</row>
    <row r="12" spans="1:118" ht="17.25" customHeight="1" x14ac:dyDescent="0.2">
      <c r="B12" s="10"/>
      <c r="C12" s="1" t="s">
        <v>102</v>
      </c>
      <c r="D12" s="203"/>
      <c r="E12" s="2"/>
      <c r="F12" s="33"/>
      <c r="I12" s="134" t="s">
        <v>33</v>
      </c>
      <c r="J12" s="159" t="str">
        <f ca="1">_xll.SUBNM(Server&amp;"GIE_Antennes","","Tot_GIE","French")</f>
        <v>Total Antennes</v>
      </c>
      <c r="K12" s="34"/>
      <c r="L12" s="35"/>
      <c r="M12" s="35"/>
      <c r="N12" s="35"/>
      <c r="O12" s="36"/>
      <c r="P12" s="35"/>
      <c r="Q12" s="35"/>
      <c r="R12" s="35"/>
      <c r="S12" s="36"/>
      <c r="T12" s="35"/>
      <c r="U12" s="35"/>
      <c r="V12" s="35"/>
      <c r="W12" s="35"/>
      <c r="X12" s="35"/>
      <c r="Y12" s="31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</row>
    <row r="13" spans="1:118" ht="17.25" customHeight="1" x14ac:dyDescent="0.2">
      <c r="B13" s="10"/>
      <c r="C13" s="1" t="s">
        <v>104</v>
      </c>
      <c r="D13" s="203"/>
      <c r="E13" s="2"/>
      <c r="F13" s="33"/>
      <c r="I13" s="134" t="s">
        <v>34</v>
      </c>
      <c r="J13" s="159" t="str">
        <f ca="1">_xll.SUBNM(Server&amp;"GIE_Type_formation","","Tot_Formation_hors_PST")</f>
        <v>Tot_Formation_Hors_PST</v>
      </c>
      <c r="K13" s="34"/>
      <c r="L13" s="35" t="s">
        <v>166</v>
      </c>
      <c r="M13" s="35"/>
      <c r="N13" s="35"/>
      <c r="O13" s="36"/>
      <c r="P13" s="35"/>
      <c r="Q13" s="35"/>
      <c r="R13" s="35"/>
      <c r="S13" s="36"/>
      <c r="T13" s="35"/>
      <c r="U13" s="35"/>
      <c r="V13" s="35"/>
      <c r="W13" s="35"/>
      <c r="X13" s="35"/>
      <c r="Y13" s="31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</row>
    <row r="14" spans="1:118" ht="20.25" customHeight="1" x14ac:dyDescent="0.25">
      <c r="B14" s="10"/>
      <c r="C14" s="1" t="s">
        <v>103</v>
      </c>
      <c r="D14" s="203"/>
      <c r="E14" s="2"/>
      <c r="F14" s="33"/>
      <c r="I14" s="134" t="s">
        <v>35</v>
      </c>
      <c r="J14" s="160" t="str">
        <f ca="1">_xll.SUBNM(Server&amp;"GIE_Partenaires","TOUT","Tot_Part","French")</f>
        <v>Total Partenaires</v>
      </c>
      <c r="K14" s="34"/>
      <c r="L14"/>
      <c r="M14" s="35"/>
      <c r="N14" s="35"/>
      <c r="O14" s="10"/>
      <c r="P14" s="35"/>
      <c r="Q14" s="35"/>
      <c r="R14" s="35"/>
      <c r="S14" s="10"/>
      <c r="T14" s="35"/>
      <c r="U14" s="35"/>
      <c r="V14" s="35"/>
      <c r="W14" s="35"/>
      <c r="X14" s="35"/>
      <c r="Y14" s="31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</row>
    <row r="15" spans="1:118" ht="20.25" customHeight="1" x14ac:dyDescent="0.25">
      <c r="B15" s="10"/>
      <c r="C15" s="1" t="s">
        <v>37</v>
      </c>
      <c r="D15" s="203"/>
      <c r="E15" s="2"/>
      <c r="F15" s="33"/>
      <c r="I15" s="134" t="s">
        <v>36</v>
      </c>
      <c r="J15" s="160" t="str">
        <f ca="1">_xll.SUBNM(Server&amp;"GIE_Nat_Analytique","TOUT","Tot_nat_ana","French")</f>
        <v>Total Natures analytiques</v>
      </c>
      <c r="K15" s="34"/>
      <c r="L15" s="35"/>
      <c r="M15" s="35"/>
      <c r="N15"/>
      <c r="O15" s="36"/>
      <c r="P15" s="35"/>
      <c r="Q15" s="35"/>
      <c r="R15"/>
      <c r="S15" s="36"/>
      <c r="T15" s="35"/>
      <c r="U15" s="35"/>
      <c r="V15" s="35"/>
      <c r="W15" s="35"/>
      <c r="X15" s="35"/>
      <c r="Y15" s="31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</row>
    <row r="16" spans="1:118" ht="20.25" customHeight="1" x14ac:dyDescent="0.4">
      <c r="B16" s="10"/>
      <c r="D16" s="203"/>
      <c r="E16" s="2"/>
      <c r="F16" s="33"/>
      <c r="I16" s="10"/>
      <c r="J16" s="34"/>
      <c r="K16" s="34"/>
      <c r="L16" s="117"/>
      <c r="M16" s="118"/>
      <c r="N16" s="35"/>
      <c r="O16" s="36"/>
      <c r="P16" s="35"/>
      <c r="Q16" s="118"/>
      <c r="R16" s="35"/>
      <c r="S16" s="36"/>
      <c r="T16" s="35"/>
      <c r="U16" s="35"/>
      <c r="V16" s="35"/>
      <c r="W16" s="35"/>
      <c r="X16" s="35"/>
      <c r="Y16" s="31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</row>
    <row r="17" spans="1:118" s="38" customFormat="1" ht="12.75" customHeight="1" x14ac:dyDescent="0.25">
      <c r="B17" s="1"/>
      <c r="D17" s="204"/>
      <c r="E17" s="39"/>
      <c r="F17" s="40"/>
      <c r="G17" s="41"/>
      <c r="H17" s="41"/>
      <c r="I17" s="10"/>
      <c r="J17" s="10"/>
      <c r="K17" s="42"/>
      <c r="L17" s="240" t="str">
        <f ca="1">_xll.DBRA(Server&amp;$C$11,$J11,"French")</f>
        <v>Cumul Juin 2020</v>
      </c>
      <c r="M17" s="240"/>
      <c r="N17" s="240"/>
      <c r="O17" s="240"/>
      <c r="P17" s="240"/>
      <c r="Q17" s="240"/>
      <c r="R17" s="240"/>
      <c r="S17" s="240"/>
      <c r="T17" s="240"/>
      <c r="U17" s="240"/>
      <c r="V17" s="240"/>
      <c r="W17" s="240"/>
      <c r="X17" s="43"/>
      <c r="Y17" s="31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</row>
    <row r="18" spans="1:118" s="38" customFormat="1" ht="12.75" customHeight="1" x14ac:dyDescent="0.25">
      <c r="B18" s="1"/>
      <c r="C18" s="44"/>
      <c r="D18" s="204"/>
      <c r="E18" s="39"/>
      <c r="F18" s="40"/>
      <c r="G18" s="41"/>
      <c r="H18" s="41"/>
      <c r="I18" s="10"/>
      <c r="J18" s="45"/>
      <c r="K18" s="42"/>
      <c r="L18" s="240"/>
      <c r="M18" s="240"/>
      <c r="N18" s="240"/>
      <c r="O18" s="240"/>
      <c r="P18" s="240"/>
      <c r="Q18" s="240"/>
      <c r="R18" s="240"/>
      <c r="S18" s="240"/>
      <c r="T18" s="240"/>
      <c r="U18" s="240"/>
      <c r="V18" s="240"/>
      <c r="W18" s="240"/>
      <c r="X18" s="43"/>
      <c r="Y18" s="31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</row>
    <row r="19" spans="1:118" s="50" customFormat="1" ht="2.25" customHeight="1" x14ac:dyDescent="0.25">
      <c r="B19" s="46"/>
      <c r="C19" s="47"/>
      <c r="D19" s="204"/>
      <c r="E19" s="39"/>
      <c r="F19" s="48"/>
      <c r="G19" s="49"/>
      <c r="H19" s="49"/>
      <c r="J19" s="51"/>
      <c r="K19" s="52"/>
      <c r="L19" s="53"/>
      <c r="M19" s="53"/>
      <c r="N19" s="53"/>
      <c r="O19" s="53"/>
      <c r="P19" s="54"/>
      <c r="Q19" s="53"/>
      <c r="R19" s="53"/>
      <c r="S19" s="53"/>
      <c r="T19" s="54"/>
      <c r="U19" s="53"/>
      <c r="V19" s="53"/>
      <c r="W19" s="53"/>
      <c r="X19" s="55"/>
      <c r="Y19" s="56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</row>
    <row r="20" spans="1:118" s="38" customFormat="1" ht="26.25" customHeight="1" x14ac:dyDescent="0.25">
      <c r="B20" s="1"/>
      <c r="C20" s="44"/>
      <c r="D20" s="204" t="s">
        <v>40</v>
      </c>
      <c r="E20" s="39"/>
      <c r="F20" s="40"/>
      <c r="G20" s="41"/>
      <c r="H20" s="41"/>
      <c r="I20" s="10"/>
      <c r="J20" s="158"/>
      <c r="K20" s="42"/>
      <c r="L20" s="156" t="str">
        <f ca="1">_xll.DBRA(Server&amp;$J$1,L$1,"French")</f>
        <v>Réalisé</v>
      </c>
      <c r="M20" s="156" t="str">
        <f ca="1">_xll.DBRA(Server&amp;$J$1,M$1,"French")</f>
        <v>Budget</v>
      </c>
      <c r="N20" s="241" t="str">
        <f ca="1">L20&amp;" vs. "&amp;M20</f>
        <v>Réalisé vs. Budget</v>
      </c>
      <c r="O20" s="242"/>
      <c r="P20" s="157"/>
      <c r="Q20" s="156" t="str">
        <f ca="1">_xll.DBRA(Server&amp;$J$1,Q$1,"French")</f>
        <v>Estimé 2</v>
      </c>
      <c r="R20" s="241" t="str">
        <f ca="1">L20&amp;" vs. "&amp;Q20</f>
        <v>Réalisé vs. Estimé 2</v>
      </c>
      <c r="S20" s="242"/>
      <c r="T20" s="157"/>
      <c r="U20" s="156" t="str">
        <f ca="1">_xll.DBRA(Server&amp;Context!$B$32,Context!$B$33,"French")</f>
        <v>Réalisé N-1</v>
      </c>
      <c r="V20" s="241" t="str">
        <f ca="1">L20&amp;" vs. "&amp;U20</f>
        <v>Réalisé vs. Réalisé N-1</v>
      </c>
      <c r="W20" s="242"/>
      <c r="X20" s="43"/>
      <c r="Y20" s="31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</row>
    <row r="21" spans="1:118" s="38" customFormat="1" ht="5.25" customHeight="1" x14ac:dyDescent="0.25">
      <c r="B21" s="1"/>
      <c r="C21" s="44"/>
      <c r="D21" s="205"/>
      <c r="E21" s="39"/>
      <c r="F21" s="40"/>
      <c r="G21" s="41"/>
      <c r="H21" s="41"/>
      <c r="I21" s="10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31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</row>
    <row r="22" spans="1:118" s="38" customFormat="1" ht="5.25" customHeight="1" x14ac:dyDescent="0.25">
      <c r="C22" s="44"/>
      <c r="D22" s="205"/>
      <c r="E22" s="39"/>
      <c r="F22" s="40"/>
      <c r="G22" s="41"/>
      <c r="H22" s="41"/>
      <c r="I22" s="10"/>
      <c r="J22" s="45"/>
      <c r="K22" s="42"/>
      <c r="L22" s="58"/>
      <c r="M22" s="58"/>
      <c r="N22" s="43"/>
      <c r="O22" s="43"/>
      <c r="P22" s="57"/>
      <c r="Q22" s="58"/>
      <c r="R22" s="43"/>
      <c r="S22" s="43"/>
      <c r="T22" s="57"/>
      <c r="U22" s="58"/>
      <c r="V22" s="58"/>
      <c r="W22" s="59"/>
      <c r="X22" s="43"/>
      <c r="Y22" s="31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</row>
    <row r="23" spans="1:118" s="37" customFormat="1" ht="23.25" customHeight="1" collapsed="1" thickBot="1" x14ac:dyDescent="0.3">
      <c r="A23" s="10"/>
      <c r="B23" s="1"/>
      <c r="C23" s="44"/>
      <c r="D23" s="215" t="s">
        <v>105</v>
      </c>
      <c r="E23" s="68"/>
      <c r="F23" s="69"/>
      <c r="G23" s="244" t="str">
        <f ca="1">_xll.DBRA(Server&amp;$D$20,$D23,"French")</f>
        <v>Prestations pédagogiques</v>
      </c>
      <c r="H23" s="244" t="str">
        <f ca="1">_xll.DBRA(Server&amp;$D$20,$D23,"French")</f>
        <v>Prestations pédagogiques</v>
      </c>
      <c r="I23" s="244"/>
      <c r="J23" s="244"/>
      <c r="K23" s="154" t="s">
        <v>3</v>
      </c>
      <c r="L23" s="162">
        <f ca="1">_xll.DBRW(Server&amp;Cube1,$J$12,$J$13,$J$14,$L$1,$J$11,$J$15,$D23)</f>
        <v>1564724.64</v>
      </c>
      <c r="M23" s="162">
        <f ca="1">_xll.DBRW(Server&amp;Cube1,$J$12,$J$13,$J$14,$M$1,$J$11,$J$15,$D23)</f>
        <v>2316337.89</v>
      </c>
      <c r="N23" s="163">
        <f ca="1">L23-M23</f>
        <v>-751613.25000000023</v>
      </c>
      <c r="O23" s="164">
        <f ca="1">IF(ISERROR(N23/M23),"-",N23/M23)</f>
        <v>-0.32448342413463704</v>
      </c>
      <c r="P23" s="132"/>
      <c r="Q23" s="162">
        <f ca="1">_xll.DBRW(Server&amp;Cube1,$J$12,$J$13,$J$14,$Q$1,$J$11,$J$15,$D23)</f>
        <v>0</v>
      </c>
      <c r="R23" s="163">
        <f ca="1">L23-Q23</f>
        <v>1564724.64</v>
      </c>
      <c r="S23" s="164" t="str">
        <f ca="1">IF(ISERROR(R23/Q23),"-",R23/Q23)</f>
        <v>-</v>
      </c>
      <c r="T23" s="132"/>
      <c r="U23" s="162">
        <f ca="1">_xll.DBRW(Server&amp;Cube1,$J$12,$J$13,$J$14,$U$1,$U$2,$J$15,$D23)</f>
        <v>2288318.14</v>
      </c>
      <c r="V23" s="163">
        <f ca="1">L23-U23</f>
        <v>-723593.50000000023</v>
      </c>
      <c r="W23" s="164">
        <f ca="1">IF(ISERROR(V23/U23),"-",V23/U23)</f>
        <v>-0.31621193196501962</v>
      </c>
      <c r="X23" s="64"/>
      <c r="Y23" s="31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</row>
    <row r="24" spans="1:118" s="37" customFormat="1" ht="23.25" customHeight="1" thickTop="1" x14ac:dyDescent="0.25">
      <c r="A24" s="10"/>
      <c r="B24" s="1"/>
      <c r="C24" s="44"/>
      <c r="D24" s="215" t="s">
        <v>124</v>
      </c>
      <c r="E24" s="68"/>
      <c r="F24" s="69"/>
      <c r="G24" s="251" t="str">
        <f ca="1">_xll.DBRA(Server&amp;$D$20,$D24,"French")</f>
        <v>Prestations Formations continues</v>
      </c>
      <c r="H24" s="251" t="str">
        <f ca="1">_xll.DBRA(Server&amp;$D$20,$D24,"French")</f>
        <v>Prestations Formations continues</v>
      </c>
      <c r="I24" s="251"/>
      <c r="J24" s="217"/>
      <c r="K24" s="154"/>
      <c r="L24" s="151">
        <f ca="1">_xll.DBRW(Server&amp;Cube1,$J$12,$J$13,$J$14,$L$1,$J$11,$J$15,$D24)</f>
        <v>655011.91000000015</v>
      </c>
      <c r="M24" s="151">
        <f ca="1">_xll.DBRW(Server&amp;Cube1,$J$12,$J$13,$J$14,$M$1,$J$11,$J$15,$D24)</f>
        <v>1389552.45</v>
      </c>
      <c r="N24" s="152">
        <f t="shared" ref="N24:N26" ca="1" si="0">L24-M24</f>
        <v>-734540.5399999998</v>
      </c>
      <c r="O24" s="153">
        <f ca="1">IF(ISERROR(N24/M24),"-",N24/M24)</f>
        <v>-0.52861663480209031</v>
      </c>
      <c r="P24" s="138"/>
      <c r="Q24" s="151">
        <f ca="1">_xll.DBRW(Server&amp;Cube1,$J$12,$J$13,$J$14,$Q$1,$J$11,$J$15,$D24)</f>
        <v>0</v>
      </c>
      <c r="R24" s="152">
        <f ca="1">L24-Q24</f>
        <v>655011.91000000015</v>
      </c>
      <c r="S24" s="153" t="str">
        <f t="shared" ref="S24:S26" ca="1" si="1">IF(ISERROR(R24/Q24),"-",R24/Q24)</f>
        <v>-</v>
      </c>
      <c r="T24" s="138"/>
      <c r="U24" s="151">
        <f ca="1">_xll.DBRW(Server&amp;Cube1,$J$12,$J$13,$J$14,$U$1,$U$2,$J$15,$D24)</f>
        <v>1313046.3900000001</v>
      </c>
      <c r="V24" s="152">
        <f t="shared" ref="V24:V26" ca="1" si="2">L24-U24</f>
        <v>-658034.48</v>
      </c>
      <c r="W24" s="153">
        <f t="shared" ref="W24:W26" ca="1" si="3">IF(ISERROR(V24/U24),"-",V24/U24)</f>
        <v>-0.50115097609003745</v>
      </c>
      <c r="X24" s="64"/>
      <c r="Y24" s="31"/>
      <c r="Z24" s="228"/>
      <c r="AA24" s="5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</row>
    <row r="25" spans="1:118" s="37" customFormat="1" ht="23.25" customHeight="1" x14ac:dyDescent="0.25">
      <c r="A25" s="10"/>
      <c r="B25" s="1"/>
      <c r="C25" s="44"/>
      <c r="D25" s="215" t="s">
        <v>125</v>
      </c>
      <c r="E25" s="68"/>
      <c r="F25" s="69"/>
      <c r="G25" s="245" t="str">
        <f ca="1">_xll.DBRA(Server&amp;$D$20,$D25,"French")</f>
        <v>Prestations FCO Simples</v>
      </c>
      <c r="H25" s="245" t="str">
        <f ca="1">_xll.DBRA(Server&amp;$D$20,$D25,"French")</f>
        <v>Prestations FCO Simples</v>
      </c>
      <c r="I25" s="245"/>
      <c r="J25" s="217"/>
      <c r="K25" s="154"/>
      <c r="L25" s="151">
        <f ca="1">_xll.DBRW(Server&amp;Cube1,$J$12,$J$13,$J$14,$L$1,$J$11,$J$15,$D25)</f>
        <v>125553.55999999997</v>
      </c>
      <c r="M25" s="151">
        <f ca="1">_xll.DBRW(Server&amp;Cube1,$J$12,$J$13,$J$14,$M$1,$J$11,$J$15,$D25)</f>
        <v>173376.00000000003</v>
      </c>
      <c r="N25" s="152">
        <f t="shared" ca="1" si="0"/>
        <v>-47822.440000000061</v>
      </c>
      <c r="O25" s="153">
        <f ca="1">IF(ISERROR(N25/M25),"-",N25/M25)</f>
        <v>-0.27583079549649347</v>
      </c>
      <c r="P25" s="138"/>
      <c r="Q25" s="151">
        <f ca="1">_xll.DBRW(Server&amp;Cube1,$J$12,$J$13,$J$14,$Q$1,$J$11,$J$15,$D25)</f>
        <v>0</v>
      </c>
      <c r="R25" s="152">
        <f t="shared" ref="R25:R26" ca="1" si="4">L25-Q25</f>
        <v>125553.55999999997</v>
      </c>
      <c r="S25" s="153" t="str">
        <f t="shared" ca="1" si="1"/>
        <v>-</v>
      </c>
      <c r="T25" s="138"/>
      <c r="U25" s="151">
        <f ca="1">_xll.DBRW(Server&amp;Cube1,$J$12,$J$13,$J$14,$U$1,$U$2,$J$15,$D25)</f>
        <v>175064.90000000002</v>
      </c>
      <c r="V25" s="152">
        <f t="shared" ca="1" si="2"/>
        <v>-49511.340000000055</v>
      </c>
      <c r="W25" s="153">
        <f t="shared" ca="1" si="3"/>
        <v>-0.28281705813101338</v>
      </c>
      <c r="X25" s="64"/>
      <c r="Y25" s="31"/>
      <c r="Z25" s="228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</row>
    <row r="26" spans="1:118" s="37" customFormat="1" ht="23.25" customHeight="1" thickBot="1" x14ac:dyDescent="0.3">
      <c r="A26" s="10"/>
      <c r="B26" s="1"/>
      <c r="C26" s="44"/>
      <c r="D26" s="215" t="s">
        <v>126</v>
      </c>
      <c r="E26" s="68"/>
      <c r="F26" s="69"/>
      <c r="G26" s="245" t="str">
        <f ca="1">_xll.DBRA(Server&amp;$D$20,$D26,"French")</f>
        <v>Prestations FCO Complètes</v>
      </c>
      <c r="H26" s="245" t="str">
        <f ca="1">_xll.DBRA(Server&amp;$D$20,$D26,"French")</f>
        <v>Prestations FCO Complètes</v>
      </c>
      <c r="I26" s="245"/>
      <c r="J26" s="217"/>
      <c r="K26" s="154"/>
      <c r="L26" s="168">
        <f ca="1">_xll.DBRW(Server&amp;Cube1,$J$12,$J$13,$J$14,$L$1,$J$11,$J$15,$D26)</f>
        <v>367938.11</v>
      </c>
      <c r="M26" s="168">
        <f ca="1">_xll.DBRW(Server&amp;Cube1,$J$12,$J$13,$J$14,$M$1,$J$11,$J$15,$D26)</f>
        <v>196152</v>
      </c>
      <c r="N26" s="169">
        <f t="shared" ca="1" si="0"/>
        <v>171786.11</v>
      </c>
      <c r="O26" s="170">
        <f t="shared" ref="O26" ca="1" si="5">IF(ISERROR(N26/M26),"-",N26/M26)</f>
        <v>0.87578056813083727</v>
      </c>
      <c r="P26" s="138"/>
      <c r="Q26" s="168">
        <f ca="1">_xll.DBRW(Server&amp;Cube1,$J$12,$J$13,$J$14,$Q$1,$J$11,$J$15,$D26)</f>
        <v>0</v>
      </c>
      <c r="R26" s="169">
        <f t="shared" ca="1" si="4"/>
        <v>367938.11</v>
      </c>
      <c r="S26" s="170" t="str">
        <f t="shared" ca="1" si="1"/>
        <v>-</v>
      </c>
      <c r="T26" s="138"/>
      <c r="U26" s="168">
        <f ca="1">_xll.DBRW(Server&amp;Cube1,$J$12,$J$13,$J$14,$U$1,$U$2,$J$15,$D26)</f>
        <v>435864.19999999995</v>
      </c>
      <c r="V26" s="169">
        <f t="shared" ca="1" si="2"/>
        <v>-67926.089999999967</v>
      </c>
      <c r="W26" s="170">
        <f t="shared" ca="1" si="3"/>
        <v>-0.15584232428357267</v>
      </c>
      <c r="X26" s="64"/>
      <c r="Y26" s="31"/>
      <c r="Z26" s="228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</row>
    <row r="27" spans="1:118" s="37" customFormat="1" ht="23.25" customHeight="1" thickTop="1" thickBot="1" x14ac:dyDescent="0.3">
      <c r="A27" s="10"/>
      <c r="B27" s="1"/>
      <c r="C27" s="44"/>
      <c r="D27" s="215" t="s">
        <v>151</v>
      </c>
      <c r="E27" s="68"/>
      <c r="F27" s="69"/>
      <c r="G27" s="245" t="str">
        <f ca="1">_xll.DBRA(Server&amp;$D$20,$D27,"French")</f>
        <v>Prestations Formations initiales</v>
      </c>
      <c r="H27" s="245" t="str">
        <f ca="1">_xll.DBRA(Server&amp;$D$20,$D27,"French")</f>
        <v>Prestations Formations initiales</v>
      </c>
      <c r="I27" s="245"/>
      <c r="J27" s="223"/>
      <c r="K27" s="154"/>
      <c r="L27" s="168">
        <f ca="1">_xll.DBRW(Server&amp;Cube1,$J$12,$J$13,$J$14,$L$1,$J$11,$J$15,$D27)</f>
        <v>416221.06</v>
      </c>
      <c r="M27" s="168">
        <f ca="1">_xll.DBRW(Server&amp;Cube1,$J$12,$J$13,$J$14,$M$1,$J$11,$J$15,$D27)</f>
        <v>557257.43999999994</v>
      </c>
      <c r="N27" s="169">
        <f t="shared" ref="N27" ca="1" si="6">L27-M27</f>
        <v>-141036.37999999995</v>
      </c>
      <c r="O27" s="170">
        <f t="shared" ref="O27" ca="1" si="7">IF(ISERROR(N27/M27),"-",N27/M27)</f>
        <v>-0.25309016959917119</v>
      </c>
      <c r="P27" s="138"/>
      <c r="Q27" s="168">
        <f ca="1">_xll.DBRW(Server&amp;Cube1,$J$12,$J$13,$J$14,$Q$1,$J$11,$J$15,$D27)</f>
        <v>0</v>
      </c>
      <c r="R27" s="169">
        <f t="shared" ref="R27" ca="1" si="8">L27-Q27</f>
        <v>416221.06</v>
      </c>
      <c r="S27" s="170" t="str">
        <f t="shared" ref="S27" ca="1" si="9">IF(ISERROR(R27/Q27),"-",R27/Q27)</f>
        <v>-</v>
      </c>
      <c r="T27" s="138"/>
      <c r="U27" s="168">
        <f ca="1">_xll.DBRW(Server&amp;Cube1,$J$12,$J$13,$J$14,$U$1,$U$2,$J$15,$D27)</f>
        <v>364342.65</v>
      </c>
      <c r="V27" s="169">
        <f t="shared" ref="V27" ca="1" si="10">L27-U27</f>
        <v>51878.409999999974</v>
      </c>
      <c r="W27" s="170">
        <f t="shared" ref="W27" ca="1" si="11">IF(ISERROR(V27/U27),"-",V27/U27)</f>
        <v>0.14238906699503878</v>
      </c>
      <c r="X27" s="64"/>
      <c r="Y27" s="31"/>
      <c r="Z27" s="227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</row>
    <row r="28" spans="1:118" s="37" customFormat="1" ht="23.25" customHeight="1" thickTop="1" x14ac:dyDescent="0.25">
      <c r="A28" s="10"/>
      <c r="B28" s="1"/>
      <c r="C28" s="44"/>
      <c r="D28" s="215" t="s">
        <v>127</v>
      </c>
      <c r="E28" s="68"/>
      <c r="F28" s="69"/>
      <c r="G28" s="245" t="str">
        <f ca="1">_xll.DBRA(Server&amp;$D$20,$D28,"French")</f>
        <v>Ajustement Véhicules</v>
      </c>
      <c r="H28" s="245" t="str">
        <f ca="1">_xll.DBRA(Server&amp;$D$20,$D28,"French")</f>
        <v>Ajustement Véhicules</v>
      </c>
      <c r="I28" s="245"/>
      <c r="J28" s="217"/>
      <c r="K28" s="154"/>
      <c r="L28" s="151">
        <f ca="1">_xll.DBRW(Server&amp;Cube1,$J$12,$J$13,$J$14,$L$1,$J$11,$J$15,$D28)</f>
        <v>0</v>
      </c>
      <c r="M28" s="151">
        <f ca="1">_xll.DBRW(Server&amp;Cube1,$J$12,$J$13,$J$14,$M$1,$J$11,$J$15,$D28)</f>
        <v>0</v>
      </c>
      <c r="N28" s="152">
        <f t="shared" ref="N28:N29" ca="1" si="12">L28-M28</f>
        <v>0</v>
      </c>
      <c r="O28" s="153" t="str">
        <f t="shared" ref="O28:O29" ca="1" si="13">IF(ISERROR(N28/M28),"-",N28/M28)</f>
        <v>-</v>
      </c>
      <c r="P28" s="138"/>
      <c r="Q28" s="151">
        <f ca="1">_xll.DBRW(Server&amp;Cube1,$J$12,$J$13,$J$14,$Q$1,$J$11,$J$15,$D28)</f>
        <v>0</v>
      </c>
      <c r="R28" s="152">
        <f t="shared" ref="R28:R29" ca="1" si="14">L28-Q28</f>
        <v>0</v>
      </c>
      <c r="S28" s="153" t="str">
        <f t="shared" ref="S28:S29" ca="1" si="15">IF(ISERROR(R28/Q28),"-",R28/Q28)</f>
        <v>-</v>
      </c>
      <c r="T28" s="138"/>
      <c r="U28" s="151">
        <f ca="1">_xll.DBRW(Server&amp;Cube1,$J$12,$J$13,$J$14,$U$1,$U$2,$J$15,$D28)</f>
        <v>0</v>
      </c>
      <c r="V28" s="152">
        <f t="shared" ref="V28:V29" ca="1" si="16">L28-U28</f>
        <v>0</v>
      </c>
      <c r="W28" s="153" t="str">
        <f t="shared" ref="W28:W29" ca="1" si="17">IF(ISERROR(V28/U28),"-",V28/U28)</f>
        <v>-</v>
      </c>
      <c r="X28" s="64"/>
      <c r="Y28" s="31"/>
      <c r="Z28" s="227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</row>
    <row r="29" spans="1:118" s="37" customFormat="1" ht="23.25" customHeight="1" thickBot="1" x14ac:dyDescent="0.3">
      <c r="A29" s="10"/>
      <c r="B29" s="1"/>
      <c r="C29" s="44"/>
      <c r="D29" s="215" t="s">
        <v>128</v>
      </c>
      <c r="E29" s="68"/>
      <c r="F29" s="69"/>
      <c r="G29" s="245" t="str">
        <f ca="1">_xll.DBRA(Server&amp;$D$20,$D29,"French")</f>
        <v>Ajustement Formateurs</v>
      </c>
      <c r="H29" s="245" t="str">
        <f ca="1">_xll.DBRA(Server&amp;$D$20,$D29,"French")</f>
        <v>Ajustement Formateurs</v>
      </c>
      <c r="I29" s="245"/>
      <c r="J29" s="217"/>
      <c r="K29" s="154"/>
      <c r="L29" s="168">
        <f ca="1">_xll.DBRW(Server&amp;Cube1,$J$12,$J$13,$J$14,$L$1,$J$11,$J$15,$D29)</f>
        <v>0</v>
      </c>
      <c r="M29" s="168">
        <f ca="1">_xll.DBRW(Server&amp;Cube1,$J$12,$J$13,$J$14,$M$1,$J$11,$J$15,$D29)</f>
        <v>0</v>
      </c>
      <c r="N29" s="169">
        <f t="shared" ca="1" si="12"/>
        <v>0</v>
      </c>
      <c r="O29" s="170" t="str">
        <f t="shared" ca="1" si="13"/>
        <v>-</v>
      </c>
      <c r="P29" s="138"/>
      <c r="Q29" s="168">
        <f ca="1">_xll.DBRW(Server&amp;Cube1,$J$12,$J$13,$J$14,$Q$1,$J$11,$J$15,$D29)</f>
        <v>0</v>
      </c>
      <c r="R29" s="169">
        <f t="shared" ca="1" si="14"/>
        <v>0</v>
      </c>
      <c r="S29" s="170" t="str">
        <f t="shared" ca="1" si="15"/>
        <v>-</v>
      </c>
      <c r="T29" s="138"/>
      <c r="U29" s="168">
        <f ca="1">_xll.DBRW(Server&amp;Cube1,$J$12,$J$13,$J$14,$U$1,$U$2,$J$15,$D29)</f>
        <v>0</v>
      </c>
      <c r="V29" s="169">
        <f t="shared" ca="1" si="16"/>
        <v>0</v>
      </c>
      <c r="W29" s="170" t="str">
        <f t="shared" ca="1" si="17"/>
        <v>-</v>
      </c>
      <c r="X29" s="64"/>
      <c r="Y29" s="31"/>
      <c r="Z29" s="227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</row>
    <row r="30" spans="1:118" s="37" customFormat="1" ht="23.25" customHeight="1" thickTop="1" x14ac:dyDescent="0.25">
      <c r="A30" s="10"/>
      <c r="B30" s="1"/>
      <c r="C30" s="44"/>
      <c r="D30" s="68"/>
      <c r="E30" s="212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64"/>
      <c r="Y30" s="31"/>
      <c r="Z30" s="227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</row>
    <row r="31" spans="1:118" s="37" customFormat="1" ht="23.25" customHeight="1" collapsed="1" thickBot="1" x14ac:dyDescent="0.3">
      <c r="A31" s="10"/>
      <c r="B31" s="1"/>
      <c r="C31" s="44"/>
      <c r="D31" s="215" t="s">
        <v>129</v>
      </c>
      <c r="E31" s="212"/>
      <c r="F31" s="95"/>
      <c r="G31" s="244" t="str">
        <f ca="1">_xll.DBRA(Server&amp;$D$20,$D31,"French")</f>
        <v>Frais de déplacement formateurs / jour</v>
      </c>
      <c r="H31" s="244" t="str">
        <f ca="1">_xll.DBRA(Server&amp;$D$20,$D31,"French")</f>
        <v>Frais de déplacement formateurs / jour</v>
      </c>
      <c r="I31" s="244"/>
      <c r="J31" s="244"/>
      <c r="K31" s="154" t="s">
        <v>3</v>
      </c>
      <c r="L31" s="162">
        <f ca="1">_xll.DBRW(Server&amp;Cube1,$J$12,$J$13,$J$14,$L$1,$J$11,$J$15,$D31)</f>
        <v>3737.4900000000002</v>
      </c>
      <c r="M31" s="162">
        <f ca="1">_xll.DBRW(Server&amp;Cube1,$J$12,$J$13,$J$14,$M$1,$J$11,$J$15,$D31)</f>
        <v>11618.2</v>
      </c>
      <c r="N31" s="163">
        <f ca="1">L31-M31</f>
        <v>-7880.7100000000009</v>
      </c>
      <c r="O31" s="164">
        <f ca="1">IF(ISERROR(N31/M31),"-",N31/M31)</f>
        <v>-0.67830731094317542</v>
      </c>
      <c r="P31" s="132"/>
      <c r="Q31" s="162">
        <f ca="1">_xll.DBRW(Server&amp;Cube1,$J$12,$J$13,$J$14,$Q$1,$J$11,$J$15,$D31)</f>
        <v>0</v>
      </c>
      <c r="R31" s="163">
        <f ca="1">L31-Q31</f>
        <v>3737.4900000000002</v>
      </c>
      <c r="S31" s="164" t="str">
        <f ca="1">IF(ISERROR(R31/Q31),"-",R31/Q31)</f>
        <v>-</v>
      </c>
      <c r="T31" s="132"/>
      <c r="U31" s="162">
        <f ca="1">_xll.DBRW(Server&amp;Cube1,$J$12,$J$13,$J$14,$U$1,$U$2,$J$15,$D31)</f>
        <v>8227.6</v>
      </c>
      <c r="V31" s="163">
        <f ca="1">L31-U31</f>
        <v>-4490.1100000000006</v>
      </c>
      <c r="W31" s="164">
        <f ca="1">IF(ISERROR(V31/U31),"-",V31/U31)</f>
        <v>-0.54573751762360834</v>
      </c>
      <c r="X31" s="64"/>
      <c r="Y31" s="31"/>
      <c r="Z31" s="227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</row>
    <row r="32" spans="1:118" s="37" customFormat="1" ht="23.25" customHeight="1" thickTop="1" thickBot="1" x14ac:dyDescent="0.3">
      <c r="A32" s="10"/>
      <c r="B32" s="1"/>
      <c r="C32" s="44"/>
      <c r="D32" s="215" t="s">
        <v>130</v>
      </c>
      <c r="E32" s="68"/>
      <c r="F32" s="69"/>
      <c r="G32" s="244" t="str">
        <f ca="1">_xll.DBRA(Server&amp;$D$20,$D32,"French")</f>
        <v>Frais de déplacement stagiaires / jour</v>
      </c>
      <c r="H32" s="244" t="str">
        <f ca="1">_xll.DBRA(Server&amp;$D$20,$D32,"French")</f>
        <v>Frais de déplacement stagiaires / jour</v>
      </c>
      <c r="I32" s="244"/>
      <c r="J32" s="244"/>
      <c r="K32" s="154"/>
      <c r="L32" s="162">
        <f ca="1">_xll.DBRW(Server&amp;Cube1,$J$12,$J$13,$J$14,$L$1,$J$11,$J$15,$D32)</f>
        <v>29854</v>
      </c>
      <c r="M32" s="162">
        <f ca="1">_xll.DBRW(Server&amp;Cube1,$J$12,$J$13,$J$14,$M$1,$J$11,$J$15,$D32)</f>
        <v>45535.100000000006</v>
      </c>
      <c r="N32" s="163">
        <f ca="1">L32-M32</f>
        <v>-15681.100000000006</v>
      </c>
      <c r="O32" s="164">
        <f t="shared" ref="O32" ca="1" si="18">IF(ISERROR(N32/M32),"-",N32/M32)</f>
        <v>-0.34437390057340389</v>
      </c>
      <c r="P32" s="132"/>
      <c r="Q32" s="162">
        <f ca="1">_xll.DBRW(Server&amp;Cube1,$J$12,$J$13,$J$14,$Q$1,$J$11,$J$15,$D32)</f>
        <v>0</v>
      </c>
      <c r="R32" s="163">
        <f ca="1">L32-Q32</f>
        <v>3737.4900000000002</v>
      </c>
      <c r="S32" s="164" t="str">
        <f ca="1">IF(ISERROR(R32/Q32),"-",R32/Q32)</f>
        <v>-</v>
      </c>
      <c r="T32" s="132"/>
      <c r="U32" s="162">
        <f ca="1">_xll.DBRW(Server&amp;Cube1,$J$12,$J$13,$J$14,$U$1,$U$2,$J$15,$D32)</f>
        <v>55301</v>
      </c>
      <c r="V32" s="163">
        <f ca="1">L32-U32</f>
        <v>-25447</v>
      </c>
      <c r="W32" s="164">
        <f t="shared" ref="W32" ca="1" si="19">IF(ISERROR(V32/U32),"-",V32/U32)</f>
        <v>-0.4601544275872046</v>
      </c>
      <c r="X32" s="64"/>
      <c r="Y32" s="31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</row>
    <row r="33" spans="1:118" s="37" customFormat="1" ht="23.25" customHeight="1" collapsed="1" thickTop="1" x14ac:dyDescent="0.25">
      <c r="A33" s="10"/>
      <c r="B33" s="1"/>
      <c r="C33" s="44"/>
      <c r="D33" s="206" t="s">
        <v>41</v>
      </c>
      <c r="E33" s="68"/>
      <c r="F33" s="69"/>
      <c r="G33" s="239" t="str">
        <f ca="1">_xll.DBRA(Server&amp;$D$20,$D33,"French")</f>
        <v>Subventions</v>
      </c>
      <c r="H33" s="239" t="str">
        <f ca="1">_xll.DBRA(Server&amp;$D$20,$D33,"French")</f>
        <v>Subventions</v>
      </c>
      <c r="I33" s="239"/>
      <c r="J33" s="239"/>
      <c r="K33" s="154" t="s">
        <v>3</v>
      </c>
      <c r="L33" s="165">
        <f ca="1">SUM(L34:L36)</f>
        <v>-10952.65</v>
      </c>
      <c r="M33" s="165">
        <f ca="1">SUM(M34:M36)</f>
        <v>0</v>
      </c>
      <c r="N33" s="166">
        <f ca="1">L33-M33</f>
        <v>-10952.65</v>
      </c>
      <c r="O33" s="167" t="str">
        <f ca="1">IF(ISERROR(N33/M33),"-",N33/M33)</f>
        <v>-</v>
      </c>
      <c r="P33" s="132"/>
      <c r="Q33" s="165">
        <f ca="1">SUM(Q34:Q36)</f>
        <v>0</v>
      </c>
      <c r="R33" s="166">
        <f ca="1">SUM(R34:R36)</f>
        <v>-10952.65</v>
      </c>
      <c r="S33" s="167" t="str">
        <f ca="1">IF(ISERROR(R33/Q33),"-",R33/Q33)</f>
        <v>-</v>
      </c>
      <c r="T33" s="132"/>
      <c r="U33" s="165">
        <f ca="1">SUM(U34:U36)</f>
        <v>19218.93</v>
      </c>
      <c r="V33" s="166">
        <f ca="1">L33-U33</f>
        <v>-30171.58</v>
      </c>
      <c r="W33" s="167">
        <f ca="1">IF(ISERROR(V33/U33),"-",V33/U33)</f>
        <v>-1.569888646246175</v>
      </c>
      <c r="X33" s="64"/>
      <c r="Y33" s="31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</row>
    <row r="34" spans="1:118" ht="21" customHeight="1" thickBot="1" x14ac:dyDescent="0.3">
      <c r="B34" s="60"/>
      <c r="C34" s="44"/>
      <c r="D34" s="216" t="s">
        <v>43</v>
      </c>
      <c r="E34" s="62"/>
      <c r="F34" s="63"/>
      <c r="G34" s="41"/>
      <c r="H34" s="233" t="str">
        <f ca="1">_xll.DBRA(Server&amp;$D$20,$D34,"French")</f>
        <v>R.R.R. sur prest. de service</v>
      </c>
      <c r="I34" s="233"/>
      <c r="J34" s="233"/>
      <c r="K34" s="150"/>
      <c r="L34" s="168">
        <f ca="1">_xll.DBRW(Server&amp;Cube1,$J$12,$J$13,$J$14,$L$1,$J$11,$J$15,$D34)</f>
        <v>0</v>
      </c>
      <c r="M34" s="168">
        <f ca="1">_xll.DBRW(Server&amp;Cube1,$J$12,$J$13,$J$14,$M$1,$J$11,$J$15,$D34)</f>
        <v>0</v>
      </c>
      <c r="N34" s="169">
        <f ca="1">L34-M34</f>
        <v>0</v>
      </c>
      <c r="O34" s="170" t="str">
        <f ca="1">IF(ISERROR(N34/M34),"-",N34/M34)</f>
        <v>-</v>
      </c>
      <c r="P34" s="138"/>
      <c r="Q34" s="168">
        <f ca="1">_xll.DBRW(Server&amp;Cube1,$J$12,$J$13,$J$14,$Q$1,$J$11,$J$15,$D34)</f>
        <v>0</v>
      </c>
      <c r="R34" s="169">
        <f ca="1">L34-Q34</f>
        <v>0</v>
      </c>
      <c r="S34" s="170" t="str">
        <f ca="1">IF(ISERROR(R34/Q34),"-",R34/Q34)</f>
        <v>-</v>
      </c>
      <c r="T34" s="138"/>
      <c r="U34" s="168">
        <f ca="1">_xll.DBRW(Server&amp;Cube1,$J$12,$J$13,$J$14,$U$1,$U$2,$J$15,$D34)</f>
        <v>0</v>
      </c>
      <c r="V34" s="169">
        <f ca="1">L34-U34</f>
        <v>0</v>
      </c>
      <c r="W34" s="170" t="str">
        <f ca="1">IF(ISERROR(V34/U34),"-",V34/U34)</f>
        <v>-</v>
      </c>
      <c r="X34" s="65"/>
      <c r="Y34" s="31"/>
      <c r="Z34" s="9"/>
      <c r="AA34" s="66"/>
      <c r="AB34" s="66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</row>
    <row r="35" spans="1:118" ht="21" customHeight="1" thickTop="1" thickBot="1" x14ac:dyDescent="0.3">
      <c r="B35" s="60"/>
      <c r="C35" s="213"/>
      <c r="D35" s="216" t="s">
        <v>120</v>
      </c>
      <c r="E35" s="62"/>
      <c r="F35" s="63"/>
      <c r="G35" s="41"/>
      <c r="H35" s="233" t="str">
        <f ca="1">_xll.DBRA(Server&amp;$D$20,$D35,"French")</f>
        <v>Produits divers de gestion courante</v>
      </c>
      <c r="I35" s="233"/>
      <c r="J35" s="233"/>
      <c r="K35" s="150"/>
      <c r="L35" s="151">
        <f ca="1">_xll.DBRW(Server&amp;Cube1,$J$12,$J$13,$J$14,$L$1,$J$11,$J$15,$D35)</f>
        <v>0</v>
      </c>
      <c r="M35" s="151">
        <f ca="1">_xll.DBRW(Server&amp;Cube1,$J$12,$J$13,$J$14,$M$1,$J$11,$J$15,$D35)</f>
        <v>0</v>
      </c>
      <c r="N35" s="152">
        <f t="shared" ref="N35" ca="1" si="20">L35-M35</f>
        <v>0</v>
      </c>
      <c r="O35" s="153" t="str">
        <f t="shared" ref="O35" ca="1" si="21">IF(ISERROR(N35/M35),"-",N35/M35)</f>
        <v>-</v>
      </c>
      <c r="P35" s="138"/>
      <c r="Q35" s="151">
        <f ca="1">_xll.DBRW(Server&amp;Cube1,$J$12,$J$13,$J$14,$Q$1,$J$11,$J$15,$D35)</f>
        <v>0</v>
      </c>
      <c r="R35" s="152">
        <f t="shared" ref="R35" ca="1" si="22">L35-Q35</f>
        <v>0</v>
      </c>
      <c r="S35" s="153" t="str">
        <f t="shared" ref="S35" ca="1" si="23">IF(ISERROR(R35/Q35),"-",R35/Q35)</f>
        <v>-</v>
      </c>
      <c r="T35" s="138"/>
      <c r="U35" s="151">
        <f ca="1">_xll.DBRW(Server&amp;Cube1,$J$12,$J$13,$J$14,$U$1,$U$2,$J$15,$D35)</f>
        <v>0</v>
      </c>
      <c r="V35" s="152">
        <f t="shared" ref="V35" ca="1" si="24">L35-U35</f>
        <v>0</v>
      </c>
      <c r="W35" s="153" t="str">
        <f t="shared" ref="W35" ca="1" si="25">IF(ISERROR(V35/U35),"-",V35/U35)</f>
        <v>-</v>
      </c>
      <c r="X35" s="65"/>
      <c r="Y35" s="31"/>
      <c r="Z35" s="9"/>
      <c r="AA35" s="66"/>
      <c r="AB35" s="66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</row>
    <row r="36" spans="1:118" ht="21" customHeight="1" thickTop="1" thickBot="1" x14ac:dyDescent="0.3">
      <c r="B36" s="60"/>
      <c r="C36" s="44"/>
      <c r="D36" s="216" t="s">
        <v>42</v>
      </c>
      <c r="E36" s="62"/>
      <c r="F36" s="63"/>
      <c r="G36" s="41"/>
      <c r="H36" s="243" t="str">
        <f ca="1">_xll.DBRA(Server&amp;$D$20,$D36,"French")</f>
        <v>Dédit formation</v>
      </c>
      <c r="I36" s="243"/>
      <c r="J36" s="243"/>
      <c r="K36" s="150"/>
      <c r="L36" s="151">
        <f ca="1">_xll.DBRW(Server&amp;Cube1,$J$12,$J$13,$J$14,$L$1,$J$11,$J$15,$D36)</f>
        <v>-10952.65</v>
      </c>
      <c r="M36" s="151">
        <f ca="1">_xll.DBRW(Server&amp;Cube1,$J$12,$J$13,$J$14,$M$1,$J$11,$J$15,$D36)</f>
        <v>0</v>
      </c>
      <c r="N36" s="152">
        <f t="shared" ref="N36:N39" ca="1" si="26">L36-M36</f>
        <v>-10952.65</v>
      </c>
      <c r="O36" s="153" t="str">
        <f t="shared" ref="O36:O39" ca="1" si="27">IF(ISERROR(N36/M36),"-",N36/M36)</f>
        <v>-</v>
      </c>
      <c r="P36" s="138"/>
      <c r="Q36" s="151">
        <f ca="1">_xll.DBRW(Server&amp;Cube1,$J$12,$J$13,$J$14,$Q$1,$J$11,$J$15,$D36)</f>
        <v>0</v>
      </c>
      <c r="R36" s="152">
        <f t="shared" ref="R36:R39" ca="1" si="28">L36-Q36</f>
        <v>-10952.65</v>
      </c>
      <c r="S36" s="153" t="str">
        <f t="shared" ref="S36:S39" ca="1" si="29">IF(ISERROR(R36/Q36),"-",R36/Q36)</f>
        <v>-</v>
      </c>
      <c r="T36" s="138"/>
      <c r="U36" s="151">
        <f ca="1">_xll.DBRW(Server&amp;Cube1,$J$12,$J$13,$J$14,$U$1,$U$2,$J$15,$D36)</f>
        <v>19218.93</v>
      </c>
      <c r="V36" s="152">
        <f ca="1">L36-U36</f>
        <v>-30171.58</v>
      </c>
      <c r="W36" s="153">
        <f ca="1">IF(ISERROR(V36/U36),"-",V36/U36)</f>
        <v>-1.569888646246175</v>
      </c>
      <c r="X36" s="65"/>
      <c r="Y36" s="31"/>
      <c r="Z36" s="9"/>
      <c r="AA36" s="66"/>
      <c r="AB36" s="66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</row>
    <row r="37" spans="1:118" s="37" customFormat="1" ht="23.25" customHeight="1" thickTop="1" x14ac:dyDescent="0.25">
      <c r="A37" s="221"/>
      <c r="B37" s="1"/>
      <c r="C37" s="44"/>
      <c r="D37" s="206" t="s">
        <v>174</v>
      </c>
      <c r="E37" s="68"/>
      <c r="F37" s="69"/>
      <c r="G37" s="239" t="s">
        <v>175</v>
      </c>
      <c r="H37" s="239"/>
      <c r="I37" s="239"/>
      <c r="J37" s="239"/>
      <c r="K37" s="154" t="s">
        <v>3</v>
      </c>
      <c r="L37" s="165">
        <f ca="1">SUM(L38:L39)</f>
        <v>53595.6</v>
      </c>
      <c r="M37" s="165">
        <f ca="1">SUM(M38:M39)</f>
        <v>63452.400000000009</v>
      </c>
      <c r="N37" s="165">
        <f ca="1">SUM(N38:N39)</f>
        <v>-9856.8000000000102</v>
      </c>
      <c r="O37" s="167">
        <f t="shared" ca="1" si="27"/>
        <v>-0.15534164192370989</v>
      </c>
      <c r="P37" s="132"/>
      <c r="Q37" s="165">
        <f ca="1">SUM(Q38:Q39)</f>
        <v>0</v>
      </c>
      <c r="R37" s="166">
        <f ca="1">SUM(R38:R39)</f>
        <v>53595.6</v>
      </c>
      <c r="S37" s="167" t="str">
        <f t="shared" ca="1" si="29"/>
        <v>-</v>
      </c>
      <c r="T37" s="132"/>
      <c r="U37" s="165">
        <f ca="1">SUM(U38:U39)</f>
        <v>66209.799999999988</v>
      </c>
      <c r="V37" s="166">
        <f ca="1">SUM(V38:V39)</f>
        <v>-12614.19999999999</v>
      </c>
      <c r="W37" s="167">
        <f t="shared" ref="W37:W39" ca="1" si="30">IF(ISERROR(V37/U37),"-",V37/U37)</f>
        <v>-0.19051862413117079</v>
      </c>
      <c r="X37" s="64"/>
      <c r="Y37" s="31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</row>
    <row r="38" spans="1:118" ht="21" customHeight="1" x14ac:dyDescent="0.25">
      <c r="B38" s="60"/>
      <c r="C38" s="44"/>
      <c r="D38" s="216" t="s">
        <v>44</v>
      </c>
      <c r="E38" s="62"/>
      <c r="F38" s="63"/>
      <c r="G38" s="41"/>
      <c r="H38" s="243" t="str">
        <f ca="1">_xll.DBRA(Server&amp;$D$20,$D38,"French")</f>
        <v>Cartes CQC (produit)</v>
      </c>
      <c r="I38" s="243"/>
      <c r="J38" s="243"/>
      <c r="K38" s="150"/>
      <c r="L38" s="151">
        <f ca="1">_xll.DBRW(Server&amp;Cube1,$J$12,$J$13,$J$14,$L$1,$J$11,$J$15,$D38)</f>
        <v>53595.6</v>
      </c>
      <c r="M38" s="151">
        <f ca="1">_xll.DBRW(Server&amp;Cube1,$J$12,$J$13,$J$14,$M$1,$J$11,$J$15,$D38)</f>
        <v>63452.400000000009</v>
      </c>
      <c r="N38" s="152">
        <f ca="1">L38-M38</f>
        <v>-9856.8000000000102</v>
      </c>
      <c r="O38" s="153">
        <f t="shared" ca="1" si="27"/>
        <v>-0.15534164192370989</v>
      </c>
      <c r="P38" s="138"/>
      <c r="Q38" s="151">
        <f ca="1">_xll.DBRW(Server&amp;Cube1,$J$12,$J$13,$J$14,$Q$1,$J$11,$J$15,$D38)</f>
        <v>0</v>
      </c>
      <c r="R38" s="152">
        <f t="shared" ca="1" si="28"/>
        <v>53595.6</v>
      </c>
      <c r="S38" s="153" t="str">
        <f t="shared" ca="1" si="29"/>
        <v>-</v>
      </c>
      <c r="T38" s="138"/>
      <c r="U38" s="151">
        <f ca="1">_xll.DBRW(Server&amp;Cube1,$J$12,$J$13,$J$14,$U$1,$U$2,$J$15,$D38)</f>
        <v>66209.799999999988</v>
      </c>
      <c r="V38" s="152">
        <f t="shared" ref="V38:V39" ca="1" si="31">L38-U38</f>
        <v>-12614.19999999999</v>
      </c>
      <c r="W38" s="153">
        <f t="shared" ca="1" si="30"/>
        <v>-0.19051862413117079</v>
      </c>
      <c r="X38" s="65"/>
      <c r="Y38" s="31"/>
      <c r="Z38" s="9"/>
      <c r="AA38" s="66"/>
      <c r="AB38" s="66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</row>
    <row r="39" spans="1:118" ht="21" customHeight="1" x14ac:dyDescent="0.25">
      <c r="B39" s="60"/>
      <c r="C39" s="44"/>
      <c r="D39" s="216" t="s">
        <v>45</v>
      </c>
      <c r="E39" s="62"/>
      <c r="F39" s="63"/>
      <c r="G39" s="41"/>
      <c r="H39" s="243" t="str">
        <f ca="1">_xll.DBRA(Server&amp;$D$20,$D39,"French")</f>
        <v>Autres</v>
      </c>
      <c r="I39" s="243"/>
      <c r="J39" s="243"/>
      <c r="K39" s="150"/>
      <c r="L39" s="151">
        <f ca="1">_xll.DBRW(Server&amp;Cube1,$J$12,$J$13,$J$14,$L$1,$J$11,$J$15,$D39)</f>
        <v>0</v>
      </c>
      <c r="M39" s="151">
        <f ca="1">_xll.DBRW(Server&amp;Cube1,$J$12,$J$13,$J$14,$M$1,$J$11,$J$15,$D39)</f>
        <v>0</v>
      </c>
      <c r="N39" s="152">
        <f t="shared" ca="1" si="26"/>
        <v>0</v>
      </c>
      <c r="O39" s="153" t="str">
        <f t="shared" ca="1" si="27"/>
        <v>-</v>
      </c>
      <c r="P39" s="138"/>
      <c r="Q39" s="151">
        <f ca="1">_xll.DBRW(Server&amp;Cube1,$J$12,$J$13,$J$14,$Q$1,$J$11,$J$15,$D39)</f>
        <v>0</v>
      </c>
      <c r="R39" s="152">
        <f t="shared" ca="1" si="28"/>
        <v>0</v>
      </c>
      <c r="S39" s="153" t="str">
        <f t="shared" ca="1" si="29"/>
        <v>-</v>
      </c>
      <c r="T39" s="138"/>
      <c r="U39" s="151">
        <f ca="1">_xll.DBRW(Server&amp;Cube1,$J$12,$J$13,$J$14,$U$1,$U$2,$J$15,$D39)</f>
        <v>0</v>
      </c>
      <c r="V39" s="152">
        <f t="shared" ca="1" si="31"/>
        <v>0</v>
      </c>
      <c r="W39" s="153" t="str">
        <f t="shared" ca="1" si="30"/>
        <v>-</v>
      </c>
      <c r="X39" s="65"/>
      <c r="Y39" s="31"/>
      <c r="Z39" s="9"/>
      <c r="AA39" s="66"/>
      <c r="AB39" s="66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</row>
    <row r="40" spans="1:118" ht="9" customHeight="1" x14ac:dyDescent="0.25">
      <c r="C40" s="44"/>
      <c r="D40" s="207"/>
      <c r="E40" s="68"/>
      <c r="F40" s="69"/>
      <c r="G40" s="70"/>
      <c r="H40" s="71"/>
      <c r="I40" s="72"/>
      <c r="J40" s="72"/>
      <c r="K40" s="73"/>
      <c r="L40" s="74"/>
      <c r="M40" s="74"/>
      <c r="N40" s="75"/>
      <c r="O40" s="76"/>
      <c r="P40" s="77"/>
      <c r="Q40" s="74"/>
      <c r="R40" s="75"/>
      <c r="S40" s="76"/>
      <c r="T40" s="77"/>
      <c r="U40" s="74"/>
      <c r="V40" s="75"/>
      <c r="W40" s="76"/>
      <c r="X40" s="65"/>
      <c r="Y40" s="31"/>
      <c r="Z40" s="78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</row>
    <row r="41" spans="1:118" s="139" customFormat="1" ht="22.5" customHeight="1" x14ac:dyDescent="0.25">
      <c r="B41" s="140"/>
      <c r="C41" s="44"/>
      <c r="D41" s="208" t="s">
        <v>46</v>
      </c>
      <c r="E41" s="141"/>
      <c r="F41" s="142"/>
      <c r="G41" s="236" t="str">
        <f ca="1">_xll.DBRA(Server&amp;$D$20,$D41,"French")</f>
        <v>Total Produits</v>
      </c>
      <c r="H41" s="237"/>
      <c r="I41" s="237"/>
      <c r="J41" s="238"/>
      <c r="K41" s="143"/>
      <c r="L41" s="144">
        <f ca="1">+L23+L31+L32+L33+L37</f>
        <v>1640959.08</v>
      </c>
      <c r="M41" s="144">
        <f ca="1">+M23+M31+M32+M33+M37</f>
        <v>2436943.5900000003</v>
      </c>
      <c r="N41" s="146">
        <f ca="1">L41-M41</f>
        <v>-795984.51000000024</v>
      </c>
      <c r="O41" s="161">
        <f ca="1">IF(ISERROR(N41/M41),"-",N41/M41)</f>
        <v>-0.32663230830057915</v>
      </c>
      <c r="P41" s="132"/>
      <c r="Q41" s="145">
        <f ca="1">+Q23+Q31+Q32+Q33+Q37</f>
        <v>0</v>
      </c>
      <c r="R41" s="145">
        <f ca="1">+R23+R31+R32+R33+R37</f>
        <v>1611105.08</v>
      </c>
      <c r="S41" s="161" t="str">
        <f ca="1">IF(ISERROR(R41/Q41),"-",R41/Q41)</f>
        <v>-</v>
      </c>
      <c r="T41" s="132"/>
      <c r="U41" s="144">
        <f ca="1">+U23+U31+U32+U33+U37</f>
        <v>2437275.4700000002</v>
      </c>
      <c r="V41" s="146">
        <f ca="1">L41-U41</f>
        <v>-796316.39000000013</v>
      </c>
      <c r="W41" s="161">
        <f ca="1">IF(ISERROR(V41/U41),"-",V41/U41)</f>
        <v>-0.32672399972909094</v>
      </c>
      <c r="X41" s="147"/>
      <c r="Y41" s="148"/>
      <c r="Z41" s="149"/>
      <c r="AA41" s="149"/>
      <c r="AB41" s="149"/>
      <c r="AC41" s="149"/>
      <c r="AD41" s="149"/>
      <c r="AE41" s="149"/>
      <c r="AF41" s="149"/>
      <c r="AG41" s="149"/>
      <c r="AH41" s="149"/>
      <c r="AI41" s="149"/>
      <c r="AJ41" s="149"/>
      <c r="AK41" s="149"/>
      <c r="AL41" s="149"/>
      <c r="AM41" s="149"/>
      <c r="AN41" s="149"/>
      <c r="AO41" s="149"/>
      <c r="AP41" s="149"/>
      <c r="AQ41" s="149"/>
      <c r="AR41" s="149"/>
      <c r="AS41" s="149"/>
      <c r="AT41" s="149"/>
      <c r="AU41" s="149"/>
      <c r="AV41" s="149"/>
      <c r="AW41" s="149"/>
      <c r="AX41" s="149"/>
      <c r="AY41" s="149"/>
      <c r="AZ41" s="149"/>
      <c r="BA41" s="149"/>
      <c r="BB41" s="149"/>
      <c r="BC41" s="149"/>
      <c r="BD41" s="149"/>
      <c r="BE41" s="149"/>
      <c r="BF41" s="149"/>
      <c r="BG41" s="149"/>
      <c r="BH41" s="149"/>
      <c r="BI41" s="149"/>
      <c r="BJ41" s="149"/>
      <c r="BK41" s="149"/>
      <c r="BL41" s="149"/>
      <c r="BM41" s="149"/>
      <c r="BN41" s="149"/>
      <c r="BO41" s="149"/>
      <c r="BP41" s="149"/>
      <c r="BQ41" s="149"/>
      <c r="BR41" s="149"/>
      <c r="BS41" s="149"/>
      <c r="BT41" s="149"/>
      <c r="BU41" s="149"/>
      <c r="BV41" s="149"/>
      <c r="BW41" s="149"/>
      <c r="BX41" s="149"/>
      <c r="BY41" s="149"/>
      <c r="BZ41" s="149"/>
      <c r="CA41" s="149"/>
      <c r="CB41" s="149"/>
      <c r="CC41" s="149"/>
      <c r="CD41" s="149"/>
      <c r="CE41" s="149"/>
      <c r="CF41" s="149"/>
      <c r="CG41" s="149"/>
      <c r="CH41" s="149"/>
      <c r="CI41" s="149"/>
      <c r="CJ41" s="149"/>
      <c r="CK41" s="149"/>
      <c r="CL41" s="149"/>
      <c r="CM41" s="149"/>
      <c r="CN41" s="149"/>
      <c r="CO41" s="149"/>
      <c r="CP41" s="149"/>
      <c r="CQ41" s="149"/>
      <c r="CR41" s="149"/>
      <c r="CS41" s="149"/>
      <c r="CT41" s="149"/>
      <c r="CU41" s="149"/>
      <c r="CV41" s="149"/>
      <c r="CW41" s="149"/>
      <c r="CX41" s="149"/>
      <c r="CY41" s="149"/>
      <c r="CZ41" s="149"/>
      <c r="DA41" s="149"/>
      <c r="DB41" s="149"/>
      <c r="DC41" s="149"/>
      <c r="DD41" s="149"/>
      <c r="DE41" s="149"/>
      <c r="DF41" s="149"/>
      <c r="DG41" s="149"/>
      <c r="DH41" s="149"/>
      <c r="DI41" s="149"/>
      <c r="DJ41" s="149"/>
      <c r="DK41" s="149"/>
      <c r="DL41" s="149"/>
      <c r="DM41" s="149"/>
      <c r="DN41" s="149"/>
    </row>
    <row r="42" spans="1:118" ht="20.25" customHeight="1" thickBot="1" x14ac:dyDescent="0.3">
      <c r="C42" s="44"/>
      <c r="D42" s="206"/>
      <c r="E42" s="62"/>
      <c r="F42" s="63"/>
      <c r="G42" s="82"/>
      <c r="H42" s="82"/>
      <c r="I42" s="64"/>
      <c r="J42" s="64"/>
      <c r="K42" s="64"/>
      <c r="L42" s="83"/>
      <c r="M42" s="83"/>
      <c r="N42" s="83"/>
      <c r="O42" s="84"/>
      <c r="P42" s="83"/>
      <c r="Q42" s="83"/>
      <c r="R42" s="83"/>
      <c r="S42" s="84"/>
      <c r="T42" s="83"/>
      <c r="U42" s="83"/>
      <c r="V42" s="83"/>
      <c r="W42" s="84"/>
      <c r="X42" s="64"/>
      <c r="Y42" s="31"/>
      <c r="Z42" s="9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/>
      <c r="BE42" s="85"/>
      <c r="BF42" s="85"/>
      <c r="BG42" s="85"/>
      <c r="BH42" s="85"/>
      <c r="BI42" s="85"/>
      <c r="BJ42" s="85"/>
      <c r="BK42" s="85"/>
      <c r="BL42" s="85"/>
      <c r="BM42" s="85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  <c r="DF42" s="85"/>
      <c r="DG42" s="85"/>
      <c r="DH42" s="85"/>
      <c r="DI42" s="85"/>
      <c r="DJ42" s="85"/>
      <c r="DK42" s="85"/>
      <c r="DL42" s="85"/>
      <c r="DM42" s="85"/>
      <c r="DN42" s="85"/>
    </row>
    <row r="43" spans="1:118" s="37" customFormat="1" ht="23.25" customHeight="1" collapsed="1" thickTop="1" x14ac:dyDescent="0.25">
      <c r="A43" s="10"/>
      <c r="B43" s="1"/>
      <c r="C43" s="44"/>
      <c r="D43" s="215" t="s">
        <v>47</v>
      </c>
      <c r="E43" s="68"/>
      <c r="F43" s="69"/>
      <c r="G43" s="239" t="str">
        <f ca="1">_xll.DBRA(Server&amp;$D$20,$D43,"French")</f>
        <v>Formateurs et autres frais de personnel directs (interne groupe)</v>
      </c>
      <c r="H43" s="239" t="str">
        <f ca="1">_xll.DBRA(Server&amp;$D$20,$D43,"French")</f>
        <v>Formateurs et autres frais de personnel directs (interne groupe)</v>
      </c>
      <c r="I43" s="239"/>
      <c r="J43" s="239"/>
      <c r="K43" s="154" t="s">
        <v>3</v>
      </c>
      <c r="L43" s="165">
        <f ca="1">L44+L45+L46</f>
        <v>-293909.05</v>
      </c>
      <c r="M43" s="165">
        <f ca="1">M44+M45+M46</f>
        <v>-258190.8</v>
      </c>
      <c r="N43" s="166">
        <f ca="1">L43-M43</f>
        <v>-35718.25</v>
      </c>
      <c r="O43" s="167">
        <f t="shared" ref="O43:O44" ca="1" si="32">IF(ISERROR(N43/M43),"-",N43/M43)</f>
        <v>0.13834052181564951</v>
      </c>
      <c r="P43" s="132"/>
      <c r="Q43" s="165">
        <f ca="1">Q44+Q45+Q46</f>
        <v>0</v>
      </c>
      <c r="R43" s="166">
        <f t="shared" ref="R43:R45" ca="1" si="33">L43-Q43</f>
        <v>-293909.05</v>
      </c>
      <c r="S43" s="167" t="str">
        <f t="shared" ref="S43:S45" ca="1" si="34">IF(ISERROR(R43/Q43),"-",R43/Q43)</f>
        <v>-</v>
      </c>
      <c r="T43" s="132"/>
      <c r="U43" s="165">
        <f ca="1">U44+U45+U46</f>
        <v>-370353.30999999994</v>
      </c>
      <c r="V43" s="166">
        <f ca="1">L43-U43</f>
        <v>76444.259999999951</v>
      </c>
      <c r="W43" s="167">
        <f t="shared" ref="W43:W45" ca="1" si="35">IF(ISERROR(V43/U43),"-",V43/U43)</f>
        <v>-0.20640900981821916</v>
      </c>
      <c r="X43" s="64"/>
      <c r="Y43" s="31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</row>
    <row r="44" spans="1:118" ht="21" customHeight="1" x14ac:dyDescent="0.25">
      <c r="B44" s="60"/>
      <c r="C44" s="44"/>
      <c r="D44" s="216" t="s">
        <v>48</v>
      </c>
      <c r="E44" s="62"/>
      <c r="F44" s="63"/>
      <c r="G44" s="41"/>
      <c r="H44" s="243" t="str">
        <f ca="1">_xll.DBRA(Server&amp;$D$20,$D44,"French")</f>
        <v>MAD formateurs</v>
      </c>
      <c r="I44" s="243"/>
      <c r="J44" s="243"/>
      <c r="K44" s="150"/>
      <c r="L44" s="151">
        <f ca="1">_xll.DBRW(Server&amp;Cube1,$J$12,$J$13,$J$14,$L$1,$J$11,$J$15,$D44)</f>
        <v>-191226.32</v>
      </c>
      <c r="M44" s="151">
        <f ca="1">_xll.DBRW(Server&amp;Cube1,$J$12,$J$13,$J$14,$M$1,$J$11,$J$15,$D44)</f>
        <v>-189247</v>
      </c>
      <c r="N44" s="152">
        <f t="shared" ref="N44" ca="1" si="36">L44-M44</f>
        <v>-1979.320000000007</v>
      </c>
      <c r="O44" s="153">
        <f t="shared" ca="1" si="32"/>
        <v>1.0458924051636259E-2</v>
      </c>
      <c r="P44" s="138"/>
      <c r="Q44" s="151">
        <f ca="1">_xll.DBRW(Server&amp;Cube1,$J$12,$J$13,$J$14,$Q$1,$J$11,$J$15,$D44)</f>
        <v>0</v>
      </c>
      <c r="R44" s="152">
        <f t="shared" ca="1" si="33"/>
        <v>-191226.32</v>
      </c>
      <c r="S44" s="153" t="str">
        <f t="shared" ca="1" si="34"/>
        <v>-</v>
      </c>
      <c r="T44" s="138"/>
      <c r="U44" s="151">
        <f ca="1">_xll.DBRW(Server&amp;Cube1,$J$12,$J$13,$J$14,$U$1,$U$2,$J$15,$D44)</f>
        <v>-292542.38999999996</v>
      </c>
      <c r="V44" s="152">
        <f t="shared" ref="V44" ca="1" si="37">L44-U44</f>
        <v>101316.06999999995</v>
      </c>
      <c r="W44" s="153">
        <f t="shared" ca="1" si="35"/>
        <v>-0.34632953535383354</v>
      </c>
      <c r="X44" s="65"/>
      <c r="Y44" s="31"/>
      <c r="Z44" s="228"/>
      <c r="AA44" s="226"/>
      <c r="AB44" s="66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</row>
    <row r="45" spans="1:118" ht="21" customHeight="1" thickBot="1" x14ac:dyDescent="0.3">
      <c r="B45" s="60"/>
      <c r="C45" s="44"/>
      <c r="D45" s="203" t="s">
        <v>49</v>
      </c>
      <c r="E45" s="62"/>
      <c r="F45" s="63"/>
      <c r="G45" s="41"/>
      <c r="H45" s="233" t="str">
        <f ca="1">_xll.DBRA(Server&amp;$D$20,$D45,"French")</f>
        <v>Frais du formateur</v>
      </c>
      <c r="I45" s="233"/>
      <c r="J45" s="233"/>
      <c r="K45" s="150"/>
      <c r="L45" s="168">
        <f ca="1">_xll.DBRW(Server&amp;Cube1,$J$12,$J$13,$J$14,$L$1,$J$11,$J$15,$D45)</f>
        <v>-79211.510000000009</v>
      </c>
      <c r="M45" s="168">
        <f ca="1">_xll.DBRW(Server&amp;Cube1,$J$12,$J$13,$J$14,$M$1,$J$11,$J$15,$D45)</f>
        <v>-23814.999999999996</v>
      </c>
      <c r="N45" s="169">
        <f ca="1">L45-M45</f>
        <v>-55396.510000000009</v>
      </c>
      <c r="O45" s="170">
        <f ca="1">IF(ISERROR(N45/M45),"-",N45/M45)</f>
        <v>2.3261184127650649</v>
      </c>
      <c r="P45" s="138"/>
      <c r="Q45" s="168">
        <f ca="1">_xll.DBRW(Server&amp;Cube1,$J$12,$J$13,$J$14,$Q$1,$J$11,$J$15,$D45)</f>
        <v>0</v>
      </c>
      <c r="R45" s="169">
        <f t="shared" ca="1" si="33"/>
        <v>-79211.510000000009</v>
      </c>
      <c r="S45" s="170" t="str">
        <f t="shared" ca="1" si="34"/>
        <v>-</v>
      </c>
      <c r="T45" s="138"/>
      <c r="U45" s="168">
        <f ca="1">_xll.DBRW(Server&amp;Cube1,$J$12,$J$13,$J$14,$U$1,$U$2,$J$15,$D45)</f>
        <v>-26057.49</v>
      </c>
      <c r="V45" s="169">
        <f ca="1">L45-U45</f>
        <v>-53154.020000000004</v>
      </c>
      <c r="W45" s="170">
        <f t="shared" ca="1" si="35"/>
        <v>2.0398749073682847</v>
      </c>
      <c r="X45" s="65"/>
      <c r="Y45" s="31"/>
      <c r="Z45" s="228"/>
      <c r="AA45" s="66"/>
      <c r="AB45" s="66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</row>
    <row r="46" spans="1:118" ht="21" customHeight="1" thickTop="1" thickBot="1" x14ac:dyDescent="0.3">
      <c r="B46" s="60"/>
      <c r="C46" s="44"/>
      <c r="D46" s="214" t="s">
        <v>56</v>
      </c>
      <c r="E46" s="62"/>
      <c r="F46" s="63"/>
      <c r="G46" s="41"/>
      <c r="H46" s="233" t="str">
        <f ca="1">_xll.DBRA(Server&amp;$D$20,$D46,"French")</f>
        <v>Frais de stagiaires</v>
      </c>
      <c r="I46" s="233"/>
      <c r="J46" s="233"/>
      <c r="K46" s="150"/>
      <c r="L46" s="168">
        <f ca="1">_xll.DBRW(Server&amp;Cube1,$J$12,$J$13,$J$14,$L$1,$J$11,$J$15,$D46)</f>
        <v>-23471.219999999998</v>
      </c>
      <c r="M46" s="168">
        <f ca="1">_xll.DBRW(Server&amp;Cube1,$J$12,$J$13,$J$14,$M$1,$J$11,$J$15,$D46)</f>
        <v>-45128.800000000003</v>
      </c>
      <c r="N46" s="169">
        <f ca="1">L46-M46</f>
        <v>21657.580000000005</v>
      </c>
      <c r="O46" s="170">
        <f ca="1">IF(ISERROR(N46/M46),"-",N46/M46)</f>
        <v>-0.47990595805782571</v>
      </c>
      <c r="P46" s="138"/>
      <c r="Q46" s="168">
        <f ca="1">_xll.DBRW(Server&amp;Cube1,$J$12,$J$13,$J$14,$Q$1,$J$11,$J$15,$D46)</f>
        <v>0</v>
      </c>
      <c r="R46" s="169">
        <f t="shared" ref="R46" ca="1" si="38">L46-Q46</f>
        <v>-79211.510000000009</v>
      </c>
      <c r="S46" s="170" t="str">
        <f t="shared" ref="S46" ca="1" si="39">IF(ISERROR(R46/Q46),"-",R46/Q46)</f>
        <v>-</v>
      </c>
      <c r="T46" s="138"/>
      <c r="U46" s="168">
        <f ca="1">_xll.DBRW(Server&amp;Cube1,$J$12,$J$13,$J$14,$U$1,$U$2,$J$15,$D46)</f>
        <v>-51753.430000000008</v>
      </c>
      <c r="V46" s="169">
        <f ca="1">L46-U46</f>
        <v>28282.21000000001</v>
      </c>
      <c r="W46" s="170">
        <f ca="1">IF(ISERROR(V46/U46),"-",V46/U46)</f>
        <v>-0.54647991447136945</v>
      </c>
      <c r="X46" s="65"/>
      <c r="Y46" s="31"/>
      <c r="Z46" s="228"/>
      <c r="AA46" s="66"/>
      <c r="AB46" s="66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</row>
    <row r="47" spans="1:118" s="37" customFormat="1" ht="23.25" customHeight="1" thickTop="1" thickBot="1" x14ac:dyDescent="0.3">
      <c r="A47" s="10"/>
      <c r="B47" s="1"/>
      <c r="C47" s="44"/>
      <c r="D47" s="206" t="s">
        <v>50</v>
      </c>
      <c r="E47" s="68"/>
      <c r="F47" s="69"/>
      <c r="G47" s="239" t="str">
        <f ca="1">_xll.DBRA(Server&amp;$D$20,$D47,"French")</f>
        <v>Honoraires conseil et formation</v>
      </c>
      <c r="H47" s="239" t="str">
        <f ca="1">_xll.DBRA(Server&amp;$D$20,$D47,"French")</f>
        <v>Honoraires conseil et formation</v>
      </c>
      <c r="I47" s="239"/>
      <c r="J47" s="239"/>
      <c r="K47" s="154"/>
      <c r="L47" s="165">
        <f ca="1">_xll.DBRW(Server&amp;Cube1,$J$12,$J$13,$J$14,$L$1,$J$11,$J$15,$D47)</f>
        <v>-508516.15</v>
      </c>
      <c r="M47" s="165">
        <f ca="1">_xll.DBRW(Server&amp;Cube1,$J$12,$J$13,$J$14,$M$1,$J$11,$J$15,$D47)</f>
        <v>-803484.8</v>
      </c>
      <c r="N47" s="166">
        <f ca="1">L47-M47</f>
        <v>294968.65000000002</v>
      </c>
      <c r="O47" s="167">
        <f ca="1">IF(ISERROR(N47/M47),"-",N47/M47)</f>
        <v>-0.36711167404784756</v>
      </c>
      <c r="P47" s="132"/>
      <c r="Q47" s="165">
        <f ca="1">_xll.DBRW(Server&amp;Cube1,$J$12,$J$13,$J$14,$Q$1,$J$11,$J$15,$D47)</f>
        <v>0</v>
      </c>
      <c r="R47" s="166">
        <f ca="1">L47-Q47</f>
        <v>-508516.15</v>
      </c>
      <c r="S47" s="167" t="str">
        <f ca="1">IF(ISERROR(R47/Q47),"-",R47/Q47)</f>
        <v>-</v>
      </c>
      <c r="T47" s="132"/>
      <c r="U47" s="165">
        <f ca="1">_xll.DBRW(Server&amp;Cube1,$J$12,$J$13,$J$14,$U$1,$U$2,$J$15,$D47)</f>
        <v>-624593.60999999987</v>
      </c>
      <c r="V47" s="166">
        <f ca="1">L47-U47</f>
        <v>116077.45999999985</v>
      </c>
      <c r="W47" s="167">
        <f ca="1">IF(ISERROR(V47/U47),"-",V47/U47)</f>
        <v>-0.18584477673410696</v>
      </c>
      <c r="X47" s="64"/>
      <c r="Y47" s="31"/>
      <c r="Z47" s="228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</row>
    <row r="48" spans="1:118" s="37" customFormat="1" ht="23.25" customHeight="1" collapsed="1" thickTop="1" x14ac:dyDescent="0.25">
      <c r="A48" s="221"/>
      <c r="B48" s="1"/>
      <c r="C48" s="44"/>
      <c r="D48" s="206" t="s">
        <v>185</v>
      </c>
      <c r="E48" s="68"/>
      <c r="F48" s="69"/>
      <c r="G48" s="239" t="s">
        <v>176</v>
      </c>
      <c r="H48" s="239"/>
      <c r="I48" s="239"/>
      <c r="J48" s="239"/>
      <c r="K48" s="154" t="s">
        <v>3</v>
      </c>
      <c r="L48" s="165">
        <f ca="1">SUM(L49:L52)</f>
        <v>9151.98</v>
      </c>
      <c r="M48" s="165">
        <f ca="1">SUM(M49:M52)</f>
        <v>-58294.5</v>
      </c>
      <c r="N48" s="165">
        <f ca="1">SUM(N49:N52)</f>
        <v>67446.48</v>
      </c>
      <c r="O48" s="167">
        <f ca="1">IF(ISERROR(N48/M48),"-",N48/M48)</f>
        <v>-1.156995599927952</v>
      </c>
      <c r="P48" s="132"/>
      <c r="Q48" s="165" t="str">
        <f ca="1">_xll.DBRW(Server&amp;Cube1,$J$12,$J$13,$J$14,$Q$1,$J$11,$J$15,$D48)</f>
        <v>*KEY_ERR</v>
      </c>
      <c r="R48" s="166" t="e">
        <f ca="1">L48-Q48</f>
        <v>#VALUE!</v>
      </c>
      <c r="S48" s="167" t="str">
        <f ca="1">IF(ISERROR(R48/Q48),"-",R48/Q48)</f>
        <v>-</v>
      </c>
      <c r="T48" s="132"/>
      <c r="U48" s="165">
        <f ca="1">SUM(U49:U52)</f>
        <v>-61270.909999999982</v>
      </c>
      <c r="V48" s="166">
        <f ca="1">SUM(V49:V52)</f>
        <v>70422.889999999985</v>
      </c>
      <c r="W48" s="167">
        <f ca="1">IF(ISERROR(V48/U48),"-",V48/U48)</f>
        <v>-1.1493690888547274</v>
      </c>
      <c r="X48" s="64"/>
      <c r="Y48" s="31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</row>
    <row r="49" spans="1:118" ht="21" customHeight="1" x14ac:dyDescent="0.25">
      <c r="B49" s="60"/>
      <c r="C49" s="44"/>
      <c r="D49" s="203" t="s">
        <v>51</v>
      </c>
      <c r="E49" s="62"/>
      <c r="F49" s="63"/>
      <c r="G49" s="41"/>
      <c r="H49" s="232" t="str">
        <f ca="1">_xll.DBRA(Server&amp;$D$20,$D49,"French")</f>
        <v>Location et MAD salle de formation</v>
      </c>
      <c r="I49" s="232"/>
      <c r="J49" s="232"/>
      <c r="K49" s="150"/>
      <c r="L49" s="151">
        <f ca="1">_xll.DBRW(Server&amp;Cube1,$J$12,$J$13,$J$14,$L$1,$J$11,$J$15,$D49)</f>
        <v>4382.9799999999996</v>
      </c>
      <c r="M49" s="151">
        <f ca="1">_xll.DBRW(Server&amp;Cube1,$J$12,$J$13,$J$14,$M$1,$J$11,$J$15,$D49)</f>
        <v>-58921.5</v>
      </c>
      <c r="N49" s="152">
        <f t="shared" ref="N49:N63" ca="1" si="40">L49-M49</f>
        <v>63304.479999999996</v>
      </c>
      <c r="O49" s="153">
        <f t="shared" ref="O49:O63" ca="1" si="41">IF(ISERROR(N49/M49),"-",N49/M49)</f>
        <v>-1.0743867688365027</v>
      </c>
      <c r="P49" s="138"/>
      <c r="Q49" s="151">
        <f ca="1">_xll.DBRW(Server&amp;Cube1,$J$12,$J$13,$J$14,$Q$1,$J$11,$J$15,$D49)</f>
        <v>0</v>
      </c>
      <c r="R49" s="152">
        <f t="shared" ref="Q49:R63" ca="1" si="42">L49-Q49</f>
        <v>4382.9799999999996</v>
      </c>
      <c r="S49" s="153" t="str">
        <f t="shared" ref="S49:S63" ca="1" si="43">IF(ISERROR(R49/Q49),"-",R49/Q49)</f>
        <v>-</v>
      </c>
      <c r="T49" s="138"/>
      <c r="U49" s="151">
        <f ca="1">_xll.DBRW(Server&amp;Cube1,$J$12,$J$13,$J$14,$U$1,$U$2,$J$15,$D49)</f>
        <v>-62108.909999999982</v>
      </c>
      <c r="V49" s="152">
        <f t="shared" ref="V49:V63" ca="1" si="44">L49-U49</f>
        <v>66491.889999999985</v>
      </c>
      <c r="W49" s="153">
        <f t="shared" ref="W49:W63" ca="1" si="45">IF(ISERROR(V49/U49),"-",V49/U49)</f>
        <v>-1.0705692629286201</v>
      </c>
      <c r="X49" s="65"/>
      <c r="Y49" s="31"/>
      <c r="Z49" s="9"/>
      <c r="AA49" s="66"/>
      <c r="AB49" s="66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</row>
    <row r="50" spans="1:118" ht="21" customHeight="1" thickBot="1" x14ac:dyDescent="0.3">
      <c r="B50" s="60"/>
      <c r="C50" s="44"/>
      <c r="D50" s="203" t="s">
        <v>109</v>
      </c>
      <c r="E50" s="62"/>
      <c r="F50" s="63"/>
      <c r="G50" s="41"/>
      <c r="H50" s="232" t="str">
        <f ca="1">_xll.DBRA(Server&amp;$D$20,$D50,"French")</f>
        <v>Location et MAD véhicule de formation</v>
      </c>
      <c r="I50" s="232"/>
      <c r="J50" s="232"/>
      <c r="K50" s="150"/>
      <c r="L50" s="168">
        <f ca="1">_xll.DBRW(Server&amp;Cube1,$J$12,$J$13,$J$14,$L$1,$J$11,$J$15,$D50)</f>
        <v>-231</v>
      </c>
      <c r="M50" s="168">
        <f ca="1">_xll.DBRW(Server&amp;Cube1,$J$12,$J$13,$J$14,$M$1,$J$11,$J$15,$D50)</f>
        <v>290.95000000000005</v>
      </c>
      <c r="N50" s="169">
        <f t="shared" ca="1" si="40"/>
        <v>-521.95000000000005</v>
      </c>
      <c r="O50" s="153">
        <f t="shared" ca="1" si="41"/>
        <v>-1.7939508506616255</v>
      </c>
      <c r="P50" s="138"/>
      <c r="Q50" s="168">
        <f ca="1">_xll.DBRW(Server&amp;Cube1,$J$12,$J$13,$J$14,$Q$1,$J$11,$J$15,$D50)</f>
        <v>0</v>
      </c>
      <c r="R50" s="169">
        <f t="shared" ca="1" si="42"/>
        <v>-231</v>
      </c>
      <c r="S50" s="153" t="str">
        <f t="shared" ca="1" si="43"/>
        <v>-</v>
      </c>
      <c r="T50" s="138"/>
      <c r="U50" s="168">
        <f ca="1">_xll.DBRW(Server&amp;Cube1,$J$12,$J$13,$J$14,$U$1,$U$2,$J$15,$D50)</f>
        <v>338</v>
      </c>
      <c r="V50" s="169">
        <f t="shared" ca="1" si="44"/>
        <v>-569</v>
      </c>
      <c r="W50" s="153">
        <f t="shared" ca="1" si="45"/>
        <v>-1.6834319526627219</v>
      </c>
      <c r="X50" s="65"/>
      <c r="Y50" s="31"/>
      <c r="Z50" s="9"/>
      <c r="AA50" s="66"/>
      <c r="AB50" s="66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</row>
    <row r="51" spans="1:118" ht="21" customHeight="1" thickTop="1" thickBot="1" x14ac:dyDescent="0.3">
      <c r="B51" s="60"/>
      <c r="C51" s="44"/>
      <c r="D51" s="203" t="s">
        <v>110</v>
      </c>
      <c r="E51" s="62"/>
      <c r="F51" s="63"/>
      <c r="G51" s="41"/>
      <c r="H51" s="232" t="str">
        <f ca="1">_xll.DBRA(Server&amp;$D$20,$D51,"French")</f>
        <v>Location et MAD matériel divers</v>
      </c>
      <c r="I51" s="232"/>
      <c r="J51" s="232"/>
      <c r="K51" s="150"/>
      <c r="L51" s="168">
        <f ca="1">_xll.DBRW(Server&amp;Cube1,$J$12,$J$13,$J$14,$L$1,$J$11,$J$15,$D51)</f>
        <v>5000</v>
      </c>
      <c r="M51" s="168">
        <f ca="1">_xll.DBRW(Server&amp;Cube1,$J$12,$J$13,$J$14,$M$1,$J$11,$J$15,$D51)</f>
        <v>336.04999999999995</v>
      </c>
      <c r="N51" s="169">
        <f t="shared" ref="N51" ca="1" si="46">L51-M51</f>
        <v>4663.95</v>
      </c>
      <c r="O51" s="153">
        <f t="shared" ref="O51" ca="1" si="47">IF(ISERROR(N51/M51),"-",N51/M51)</f>
        <v>13.878738282993604</v>
      </c>
      <c r="P51" s="138"/>
      <c r="Q51" s="168">
        <f ca="1">_xll.DBRW(Server&amp;Cube1,$J$12,$J$13,$J$14,$Q$1,$J$11,$J$15,$D51)</f>
        <v>0</v>
      </c>
      <c r="R51" s="169">
        <f t="shared" ref="R51" ca="1" si="48">L51-Q51</f>
        <v>5000</v>
      </c>
      <c r="S51" s="153" t="str">
        <f t="shared" ref="S51" ca="1" si="49">IF(ISERROR(R51/Q51),"-",R51/Q51)</f>
        <v>-</v>
      </c>
      <c r="T51" s="138"/>
      <c r="U51" s="168">
        <f ca="1">_xll.DBRW(Server&amp;Cube1,$J$12,$J$13,$J$14,$U$1,$U$2,$J$15,$D51)</f>
        <v>500</v>
      </c>
      <c r="V51" s="169">
        <f t="shared" ref="V51" ca="1" si="50">L51-U51</f>
        <v>4500</v>
      </c>
      <c r="W51" s="153">
        <f t="shared" ref="W51" ca="1" si="51">IF(ISERROR(V51/U51),"-",V51/U51)</f>
        <v>9</v>
      </c>
      <c r="X51" s="65"/>
      <c r="Y51" s="31"/>
      <c r="Z51" s="9"/>
      <c r="AA51" s="66"/>
      <c r="AB51" s="66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</row>
    <row r="52" spans="1:118" ht="21" customHeight="1" thickTop="1" thickBot="1" x14ac:dyDescent="0.3">
      <c r="B52" s="60"/>
      <c r="C52" s="44"/>
      <c r="D52" s="214" t="s">
        <v>135</v>
      </c>
      <c r="E52" s="62"/>
      <c r="F52" s="63"/>
      <c r="G52" s="41"/>
      <c r="H52" s="232" t="str">
        <f ca="1">_xll.DBRA(Server&amp;$D$20,$D52,"French")</f>
        <v>Location mobilière diverse (coûts directs)</v>
      </c>
      <c r="I52" s="232"/>
      <c r="J52" s="232"/>
      <c r="K52" s="150"/>
      <c r="L52" s="168">
        <f ca="1">_xll.DBRW(Server&amp;Cube1,$J$12,$J$13,$J$14,$L$1,$J$11,$J$15,$D52)</f>
        <v>0</v>
      </c>
      <c r="M52" s="168">
        <f ca="1">_xll.DBRW(Server&amp;Cube1,$J$12,$J$13,$J$14,$M$1,$J$11,$J$15,$D52)</f>
        <v>0</v>
      </c>
      <c r="N52" s="169">
        <f t="shared" ref="N52" ca="1" si="52">L52-M52</f>
        <v>0</v>
      </c>
      <c r="O52" s="153" t="str">
        <f t="shared" ref="O52" ca="1" si="53">IF(ISERROR(N52/M52),"-",N52/M52)</f>
        <v>-</v>
      </c>
      <c r="P52" s="138"/>
      <c r="Q52" s="168">
        <f ca="1">_xll.DBRW(Server&amp;Cube1,$J$12,$J$13,$J$14,$Q$1,$J$11,$J$15,$D52)</f>
        <v>0</v>
      </c>
      <c r="R52" s="169">
        <f t="shared" ref="R52" ca="1" si="54">L52-Q52</f>
        <v>0</v>
      </c>
      <c r="S52" s="153" t="str">
        <f t="shared" ref="S52" ca="1" si="55">IF(ISERROR(R52/Q52),"-",R52/Q52)</f>
        <v>-</v>
      </c>
      <c r="T52" s="138"/>
      <c r="U52" s="168">
        <f ca="1">_xll.DBRW(Server&amp;Cube1,$J$12,$J$13,$J$14,$U$1,$U$2,$J$15,$D52)</f>
        <v>0</v>
      </c>
      <c r="V52" s="169">
        <f t="shared" ref="V52" ca="1" si="56">L52-U52</f>
        <v>0</v>
      </c>
      <c r="W52" s="153" t="str">
        <f t="shared" ref="W52" ca="1" si="57">IF(ISERROR(V52/U52),"-",V52/U52)</f>
        <v>-</v>
      </c>
      <c r="X52" s="65"/>
      <c r="Y52" s="31"/>
      <c r="Z52" s="9"/>
      <c r="AA52" s="66"/>
      <c r="AB52" s="66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</row>
    <row r="53" spans="1:118" s="37" customFormat="1" ht="23.25" customHeight="1" thickTop="1" x14ac:dyDescent="0.25">
      <c r="A53" s="221"/>
      <c r="B53" s="1"/>
      <c r="C53" s="44"/>
      <c r="D53" s="206" t="s">
        <v>57</v>
      </c>
      <c r="E53" s="68"/>
      <c r="F53" s="69"/>
      <c r="G53" s="239" t="str">
        <f ca="1">_xll.DBRA(Server&amp;$D$20,$D53,"French")</f>
        <v>Autres coûts directs</v>
      </c>
      <c r="H53" s="239" t="str">
        <f ca="1">_xll.DBRA(Server&amp;$D$20,$D53,"French")</f>
        <v>Autres coûts directs</v>
      </c>
      <c r="I53" s="239"/>
      <c r="J53" s="239"/>
      <c r="K53" s="154"/>
      <c r="L53" s="165">
        <f ca="1">SUM(L54:L63)</f>
        <v>-59828.07</v>
      </c>
      <c r="M53" s="165">
        <f ca="1">SUM(M54:M63)</f>
        <v>-79427.7</v>
      </c>
      <c r="N53" s="165">
        <f ca="1">SUM(N54:N63)</f>
        <v>19599.62999999999</v>
      </c>
      <c r="O53" s="167">
        <f t="shared" ca="1" si="41"/>
        <v>-0.2467606389206787</v>
      </c>
      <c r="P53" s="132"/>
      <c r="Q53" s="165">
        <f ca="1">SUM(Q54:Q63)</f>
        <v>-59828.07</v>
      </c>
      <c r="R53" s="166">
        <f t="shared" ca="1" si="42"/>
        <v>-59828.07</v>
      </c>
      <c r="S53" s="167" t="str">
        <f t="shared" ca="1" si="43"/>
        <v>-</v>
      </c>
      <c r="T53" s="132"/>
      <c r="U53" s="165">
        <f ca="1">SUM(U54:U63)</f>
        <v>-80893.759999999995</v>
      </c>
      <c r="V53" s="166">
        <f ca="1">SUM(V54:V63)</f>
        <v>21065.689999999988</v>
      </c>
      <c r="W53" s="167">
        <f t="shared" ca="1" si="45"/>
        <v>-0.26041180432211319</v>
      </c>
      <c r="X53" s="64"/>
      <c r="Y53" s="31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</row>
    <row r="54" spans="1:118" ht="23.25" x14ac:dyDescent="0.25">
      <c r="B54" s="60"/>
      <c r="C54" s="44"/>
      <c r="D54" s="214" t="s">
        <v>160</v>
      </c>
      <c r="E54" s="62"/>
      <c r="F54" s="63"/>
      <c r="G54" s="41"/>
      <c r="H54" s="232" t="str">
        <f ca="1">_xll.DBRA(Server&amp;$D$20,$D54,"French")</f>
        <v>Accés formation à distance (coûts directs)</v>
      </c>
      <c r="I54" s="232"/>
      <c r="J54" s="232"/>
      <c r="K54" s="150"/>
      <c r="L54" s="151">
        <f ca="1">_xll.DBRW(Server&amp;Cube1,$J$12,$J$13,$J$14,$L$1,$J$11,$J$15,$D54)</f>
        <v>0</v>
      </c>
      <c r="M54" s="151">
        <f ca="1">_xll.DBRW(Server&amp;Cube1,$J$12,$J$13,$J$14,$M$1,$J$11,$J$15,$D54)</f>
        <v>0</v>
      </c>
      <c r="N54" s="136">
        <f t="shared" ref="N54" ca="1" si="58">L54-M54</f>
        <v>0</v>
      </c>
      <c r="O54" s="137" t="str">
        <f t="shared" ref="O54" ca="1" si="59">IF(ISERROR(N54/M54),"-",N54/M54)</f>
        <v>-</v>
      </c>
      <c r="P54" s="138"/>
      <c r="Q54" s="151">
        <f ca="1">_xll.DBRW(Server&amp;Cube1,$J$12,$J$13,$J$14,$Q$1,$J$11,$J$15,$D54)</f>
        <v>0</v>
      </c>
      <c r="R54" s="136">
        <f t="shared" ref="R54" ca="1" si="60">L54-Q54</f>
        <v>0</v>
      </c>
      <c r="S54" s="137" t="str">
        <f t="shared" ref="S54" ca="1" si="61">IF(ISERROR(R54/Q54),"-",R54/Q54)</f>
        <v>-</v>
      </c>
      <c r="T54" s="138"/>
      <c r="U54" s="151">
        <f ca="1">_xll.DBRW(Server&amp;Cube1,$J$12,$J$13,$J$14,$U$1,$U$2,$J$15,$D54)</f>
        <v>0</v>
      </c>
      <c r="V54" s="136">
        <f t="shared" ref="V54" ca="1" si="62">L54-U54</f>
        <v>0</v>
      </c>
      <c r="W54" s="137" t="str">
        <f t="shared" ref="W54" ca="1" si="63">IF(ISERROR(V54/U54),"-",V54/U54)</f>
        <v>-</v>
      </c>
      <c r="X54" s="65"/>
      <c r="Y54" s="31"/>
      <c r="Z54" s="9"/>
      <c r="AA54" s="66"/>
      <c r="AB54" s="66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</row>
    <row r="55" spans="1:118" ht="23.25" x14ac:dyDescent="0.25">
      <c r="B55" s="60"/>
      <c r="C55" s="44"/>
      <c r="D55" s="214" t="s">
        <v>164</v>
      </c>
      <c r="E55" s="62"/>
      <c r="F55" s="63"/>
      <c r="G55" s="41"/>
      <c r="H55" s="232" t="str">
        <f ca="1">_xll.DBRA(Server&amp;$D$20,$D55,"French")</f>
        <v>Bonbonne de gaz (coûts directs)</v>
      </c>
      <c r="I55" s="232"/>
      <c r="J55" s="232"/>
      <c r="K55" s="150"/>
      <c r="L55" s="151">
        <f ca="1">_xll.DBRW(Server&amp;Cube1,$J$12,$J$13,$J$14,$L$1,$J$11,$J$15,$D55)</f>
        <v>0</v>
      </c>
      <c r="M55" s="151">
        <f ca="1">_xll.DBRW(Server&amp;Cube1,$J$12,$J$13,$J$14,$M$1,$J$11,$J$15,$D55)</f>
        <v>0</v>
      </c>
      <c r="N55" s="136">
        <f t="shared" ref="N55" ca="1" si="64">L55-M55</f>
        <v>0</v>
      </c>
      <c r="O55" s="137" t="str">
        <f t="shared" ref="O55" ca="1" si="65">IF(ISERROR(N55/M55),"-",N55/M55)</f>
        <v>-</v>
      </c>
      <c r="P55" s="138"/>
      <c r="Q55" s="151">
        <f ca="1">_xll.DBRW(Server&amp;Cube1,$J$12,$J$13,$J$14,$Q$1,$J$11,$J$15,$D55)</f>
        <v>0</v>
      </c>
      <c r="R55" s="136">
        <f t="shared" ref="R55" ca="1" si="66">L55-Q55</f>
        <v>0</v>
      </c>
      <c r="S55" s="137" t="str">
        <f t="shared" ref="S55" ca="1" si="67">IF(ISERROR(R55/Q55),"-",R55/Q55)</f>
        <v>-</v>
      </c>
      <c r="T55" s="138"/>
      <c r="U55" s="151">
        <f ca="1">_xll.DBRW(Server&amp;Cube1,$J$12,$J$13,$J$14,$U$1,$U$2,$J$15,$D55)</f>
        <v>0</v>
      </c>
      <c r="V55" s="136">
        <f t="shared" ref="V55" ca="1" si="68">L55-U55</f>
        <v>0</v>
      </c>
      <c r="W55" s="137" t="str">
        <f t="shared" ref="W55" ca="1" si="69">IF(ISERROR(V55/U55),"-",V55/U55)</f>
        <v>-</v>
      </c>
      <c r="X55" s="65"/>
      <c r="Y55" s="31"/>
      <c r="Z55" s="9"/>
      <c r="AA55" s="66"/>
      <c r="AB55" s="66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</row>
    <row r="56" spans="1:118" ht="23.25" x14ac:dyDescent="0.25">
      <c r="B56" s="60"/>
      <c r="C56" s="44"/>
      <c r="D56" s="214" t="s">
        <v>72</v>
      </c>
      <c r="E56" s="62"/>
      <c r="F56" s="63"/>
      <c r="G56" s="41"/>
      <c r="H56" s="232" t="str">
        <f ca="1">_xll.DBRA(Server&amp;$D$20,$D56,"French")</f>
        <v>Fournitures de bureau (coûts directs)</v>
      </c>
      <c r="I56" s="232"/>
      <c r="J56" s="232"/>
      <c r="K56" s="150"/>
      <c r="L56" s="151">
        <f ca="1">_xll.DBRW(Server&amp;Cube1,$J$12,$J$13,$J$14,$L$1,$J$11,$J$15,$D56)</f>
        <v>0</v>
      </c>
      <c r="M56" s="151">
        <f ca="1">_xll.DBRW(Server&amp;Cube1,$J$12,$J$13,$J$14,$M$1,$J$11,$J$15,$D56)</f>
        <v>0</v>
      </c>
      <c r="N56" s="136">
        <f t="shared" ref="N56" ca="1" si="70">L56-M56</f>
        <v>0</v>
      </c>
      <c r="O56" s="137" t="str">
        <f t="shared" ref="O56" ca="1" si="71">IF(ISERROR(N56/M56),"-",N56/M56)</f>
        <v>-</v>
      </c>
      <c r="P56" s="138"/>
      <c r="Q56" s="151">
        <f ca="1">_xll.DBRW(Server&amp;Cube1,$J$12,$J$13,$J$14,$Q$1,$J$11,$J$15,$D56)</f>
        <v>0</v>
      </c>
      <c r="R56" s="136">
        <f t="shared" ref="R56" ca="1" si="72">L56-Q56</f>
        <v>0</v>
      </c>
      <c r="S56" s="137" t="str">
        <f t="shared" ref="S56" ca="1" si="73">IF(ISERROR(R56/Q56),"-",R56/Q56)</f>
        <v>-</v>
      </c>
      <c r="T56" s="138"/>
      <c r="U56" s="151">
        <f ca="1">_xll.DBRW(Server&amp;Cube1,$J$12,$J$13,$J$14,$U$1,$U$2,$J$15,$D56)</f>
        <v>0</v>
      </c>
      <c r="V56" s="136">
        <f t="shared" ref="V56" ca="1" si="74">L56-U56</f>
        <v>0</v>
      </c>
      <c r="W56" s="137" t="str">
        <f t="shared" ref="W56" ca="1" si="75">IF(ISERROR(V56/U56),"-",V56/U56)</f>
        <v>-</v>
      </c>
      <c r="X56" s="65"/>
      <c r="Y56" s="31"/>
      <c r="Z56" s="9"/>
      <c r="AA56" s="66"/>
      <c r="AB56" s="66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</row>
    <row r="57" spans="1:118" ht="21" customHeight="1" x14ac:dyDescent="0.25">
      <c r="B57" s="60"/>
      <c r="C57" s="44"/>
      <c r="D57" s="203" t="s">
        <v>137</v>
      </c>
      <c r="E57" s="62"/>
      <c r="F57" s="63"/>
      <c r="G57" s="41"/>
      <c r="H57" s="232" t="str">
        <f ca="1">_xll.DBRA(Server&amp;$D$20,$D57,"French")</f>
        <v>Maintenance Informatique</v>
      </c>
      <c r="I57" s="232"/>
      <c r="J57" s="232"/>
      <c r="K57" s="150"/>
      <c r="L57" s="151">
        <f ca="1">_xll.DBRW(Server&amp;Cube1,$J$12,$J$13,$J$14,$L$1,$J$11,$J$15,$D57)</f>
        <v>-2779.3400000000011</v>
      </c>
      <c r="M57" s="151">
        <f ca="1">_xll.DBRW(Server&amp;Cube1,$J$12,$J$13,$J$14,$M$1,$J$11,$J$15,$D57)</f>
        <v>-9538.65</v>
      </c>
      <c r="N57" s="152">
        <f ca="1">L57-M57</f>
        <v>6759.3099999999986</v>
      </c>
      <c r="O57" s="153">
        <f ca="1">IF(ISERROR(N57/M57),"-",N57/M57)</f>
        <v>-0.70862333768405372</v>
      </c>
      <c r="P57" s="138"/>
      <c r="Q57" s="151">
        <f ca="1">_xll.DBRW(Server&amp;Cube1,$J$12,$J$13,$J$14,$Q$1,$J$11,$J$15,$D57)</f>
        <v>0</v>
      </c>
      <c r="R57" s="152">
        <f ca="1">L57-Q57</f>
        <v>-2779.3400000000011</v>
      </c>
      <c r="S57" s="153" t="str">
        <f ca="1">IF(ISERROR(R57/Q57),"-",R57/Q57)</f>
        <v>-</v>
      </c>
      <c r="T57" s="138"/>
      <c r="U57" s="151">
        <f ca="1">_xll.DBRW(Server&amp;Cube1,$J$12,$J$13,$J$14,$U$1,$U$2,$J$15,$D57)</f>
        <v>-9704.32</v>
      </c>
      <c r="V57" s="152">
        <f ca="1">L57-U57</f>
        <v>6924.9799999999987</v>
      </c>
      <c r="W57" s="153">
        <f ca="1">IF(ISERROR(V57/U57),"-",V57/U57)</f>
        <v>-0.71359765547714815</v>
      </c>
      <c r="X57" s="65"/>
      <c r="Y57" s="31"/>
      <c r="Z57" s="9"/>
      <c r="AA57" s="66"/>
      <c r="AB57" s="66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</row>
    <row r="58" spans="1:118" ht="21" customHeight="1" x14ac:dyDescent="0.25">
      <c r="B58" s="60"/>
      <c r="C58" s="44"/>
      <c r="D58" s="216" t="s">
        <v>154</v>
      </c>
      <c r="E58" s="62"/>
      <c r="F58" s="63"/>
      <c r="G58" s="41"/>
      <c r="H58" s="232" t="str">
        <f ca="1">_xll.DBRA(Server&amp;$D$20,$D58,"French")</f>
        <v>Documentation technique et reprographie (coûts directs)</v>
      </c>
      <c r="I58" s="232"/>
      <c r="J58" s="232"/>
      <c r="K58" s="150"/>
      <c r="L58" s="151">
        <f ca="1">_xll.DBRW(Server&amp;Cube1,$J$12,$J$13,$J$14,$L$1,$J$11,$J$15,$D58)</f>
        <v>-2255.48</v>
      </c>
      <c r="M58" s="151">
        <f ca="1">_xll.DBRW(Server&amp;Cube1,$J$12,$J$13,$J$14,$M$1,$J$11,$J$15,$D58)</f>
        <v>-3836.25</v>
      </c>
      <c r="N58" s="152">
        <f t="shared" ref="N58" ca="1" si="76">L58-M58</f>
        <v>1580.77</v>
      </c>
      <c r="O58" s="153">
        <f t="shared" ref="O58" ca="1" si="77">IF(ISERROR(N58/M58),"-",N58/M58)</f>
        <v>-0.41206125773867708</v>
      </c>
      <c r="P58" s="138"/>
      <c r="Q58" s="151">
        <f ca="1">_xll.DBRW(Server&amp;Cube1,$J$12,$J$13,$J$14,$Q$1,$J$11,$J$15,$D58)</f>
        <v>0</v>
      </c>
      <c r="R58" s="152">
        <f t="shared" ref="R58" ca="1" si="78">L58-Q58</f>
        <v>-2255.48</v>
      </c>
      <c r="S58" s="153" t="str">
        <f t="shared" ref="S58" ca="1" si="79">IF(ISERROR(R58/Q58),"-",R58/Q58)</f>
        <v>-</v>
      </c>
      <c r="T58" s="138"/>
      <c r="U58" s="151">
        <f ca="1">_xll.DBRW(Server&amp;Cube1,$J$12,$J$13,$J$14,$U$1,$U$2,$J$15,$D58)</f>
        <v>-4820.0300000000007</v>
      </c>
      <c r="V58" s="152">
        <f t="shared" ref="V58" ca="1" si="80">L58-U58</f>
        <v>2564.5500000000006</v>
      </c>
      <c r="W58" s="153">
        <f t="shared" ref="W58" ca="1" si="81">IF(ISERROR(V58/U58),"-",V58/U58)</f>
        <v>-0.53206100376968612</v>
      </c>
      <c r="X58" s="65"/>
      <c r="Y58" s="31"/>
      <c r="Z58" s="9"/>
      <c r="AA58" s="66"/>
      <c r="AB58" s="66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</row>
    <row r="59" spans="1:118" ht="23.25" x14ac:dyDescent="0.25">
      <c r="B59" s="60"/>
      <c r="C59" s="44"/>
      <c r="D59" s="203" t="s">
        <v>52</v>
      </c>
      <c r="E59" s="62"/>
      <c r="F59" s="63"/>
      <c r="G59" s="41"/>
      <c r="H59" s="232" t="str">
        <f ca="1">_xll.DBRA(Server&amp;$D$20,$D59,"French")</f>
        <v>Documentation Livrets,DVD et Autres (coûts directs)</v>
      </c>
      <c r="I59" s="232"/>
      <c r="J59" s="232"/>
      <c r="K59" s="150"/>
      <c r="L59" s="151">
        <f ca="1">_xll.DBRW(Server&amp;Cube1,$J$12,$J$13,$J$14,$L$1,$J$11,$J$15,$D59)</f>
        <v>0</v>
      </c>
      <c r="M59" s="151">
        <f ca="1">_xll.DBRW(Server&amp;Cube1,$J$12,$J$13,$J$14,$M$1,$J$11,$J$15,$D59)</f>
        <v>-1465.2</v>
      </c>
      <c r="N59" s="136">
        <f t="shared" ca="1" si="40"/>
        <v>1465.2</v>
      </c>
      <c r="O59" s="137">
        <f t="shared" ca="1" si="41"/>
        <v>-1</v>
      </c>
      <c r="P59" s="138"/>
      <c r="Q59" s="151">
        <f ca="1">_xll.DBRW(Server&amp;Cube1,$J$12,$J$13,$J$14,$Q$1,$J$11,$J$15,$D59)</f>
        <v>0</v>
      </c>
      <c r="R59" s="136">
        <f t="shared" ca="1" si="42"/>
        <v>0</v>
      </c>
      <c r="S59" s="137" t="str">
        <f t="shared" ca="1" si="43"/>
        <v>-</v>
      </c>
      <c r="T59" s="138"/>
      <c r="U59" s="151">
        <f ca="1">_xll.DBRW(Server&amp;Cube1,$J$12,$J$13,$J$14,$U$1,$U$2,$J$15,$D59)</f>
        <v>0</v>
      </c>
      <c r="V59" s="136">
        <f t="shared" ca="1" si="44"/>
        <v>0</v>
      </c>
      <c r="W59" s="137" t="str">
        <f t="shared" ca="1" si="45"/>
        <v>-</v>
      </c>
      <c r="X59" s="65"/>
      <c r="Y59" s="31"/>
      <c r="Z59" s="9"/>
      <c r="AA59" s="66"/>
      <c r="AB59" s="66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</row>
    <row r="60" spans="1:118" ht="23.25" x14ac:dyDescent="0.25">
      <c r="B60" s="60"/>
      <c r="C60" s="44"/>
      <c r="D60" s="203" t="s">
        <v>53</v>
      </c>
      <c r="E60" s="62"/>
      <c r="F60" s="63"/>
      <c r="G60" s="41"/>
      <c r="H60" s="232" t="str">
        <f ca="1">_xll.DBRA(Server&amp;$D$20,$D60,"French")</f>
        <v>Cartes CQC (charge)</v>
      </c>
      <c r="I60" s="232"/>
      <c r="J60" s="232"/>
      <c r="K60" s="150"/>
      <c r="L60" s="151">
        <f ca="1">_xll.DBRW(Server&amp;Cube1,$J$12,$J$13,$J$14,$L$1,$J$11,$J$15,$D60)</f>
        <v>-54430.8</v>
      </c>
      <c r="M60" s="151">
        <f ca="1">_xll.DBRW(Server&amp;Cube1,$J$12,$J$13,$J$14,$M$1,$J$11,$J$15,$D60)</f>
        <v>-63610.799999999996</v>
      </c>
      <c r="N60" s="136">
        <f t="shared" ca="1" si="40"/>
        <v>9179.9999999999927</v>
      </c>
      <c r="O60" s="137">
        <f t="shared" ca="1" si="41"/>
        <v>-0.14431511630100538</v>
      </c>
      <c r="P60" s="138"/>
      <c r="Q60" s="151">
        <f ca="1">_xll.DBRW(Server&amp;Cube1,$J$12,$J$13,$J$14,$Q$1,$J$11,$J$15,$D60)</f>
        <v>0</v>
      </c>
      <c r="R60" s="136">
        <f t="shared" ca="1" si="42"/>
        <v>-54430.8</v>
      </c>
      <c r="S60" s="137" t="str">
        <f t="shared" ca="1" si="43"/>
        <v>-</v>
      </c>
      <c r="T60" s="138"/>
      <c r="U60" s="151">
        <f ca="1">_xll.DBRW(Server&amp;Cube1,$J$12,$J$13,$J$14,$U$1,$U$2,$J$15,$D60)</f>
        <v>-64869.489999999991</v>
      </c>
      <c r="V60" s="136">
        <f t="shared" ca="1" si="44"/>
        <v>10438.689999999988</v>
      </c>
      <c r="W60" s="137">
        <f t="shared" ca="1" si="45"/>
        <v>-0.16091833001924308</v>
      </c>
      <c r="X60" s="65"/>
      <c r="Y60" s="31"/>
      <c r="Z60" s="9"/>
      <c r="AA60" s="66"/>
      <c r="AB60" s="66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</row>
    <row r="61" spans="1:118" ht="21" customHeight="1" x14ac:dyDescent="0.25">
      <c r="B61" s="60"/>
      <c r="C61" s="44"/>
      <c r="D61" s="214" t="s">
        <v>143</v>
      </c>
      <c r="E61" s="62"/>
      <c r="F61" s="63"/>
      <c r="G61" s="41"/>
      <c r="H61" s="232" t="str">
        <f ca="1">_xll.DBRA(Server&amp;$D$20,$D61,"French")</f>
        <v>Publicité et Marketing (coûts directs)</v>
      </c>
      <c r="I61" s="232"/>
      <c r="J61" s="232"/>
      <c r="K61" s="150"/>
      <c r="L61" s="151">
        <f ca="1">_xll.DBRW(Server&amp;Cube1,$J$12,$J$13,$J$14,$L$1,$J$11,$J$15,$D61)</f>
        <v>0</v>
      </c>
      <c r="M61" s="151">
        <f ca="1">_xll.DBRW(Server&amp;Cube1,$J$12,$J$13,$J$14,$M$1,$J$11,$J$15,$D61)</f>
        <v>0</v>
      </c>
      <c r="N61" s="152">
        <f t="shared" ref="N61" ca="1" si="82">L61-M61</f>
        <v>0</v>
      </c>
      <c r="O61" s="153" t="str">
        <f t="shared" ref="O61" ca="1" si="83">IF(ISERROR(N61/M61),"-",N61/M61)</f>
        <v>-</v>
      </c>
      <c r="P61" s="138"/>
      <c r="Q61" s="151">
        <f ca="1">_xll.DBRW(Server&amp;Cube1,$J$12,$J$13,$J$14,$Q$1,$J$11,$J$15,$D61)</f>
        <v>0</v>
      </c>
      <c r="R61" s="152">
        <f t="shared" ref="R61" ca="1" si="84">L61-Q61</f>
        <v>0</v>
      </c>
      <c r="S61" s="153" t="str">
        <f t="shared" ref="S61" ca="1" si="85">IF(ISERROR(R61/Q61),"-",R61/Q61)</f>
        <v>-</v>
      </c>
      <c r="T61" s="138"/>
      <c r="U61" s="151">
        <f ca="1">_xll.DBRW(Server&amp;Cube1,$J$12,$J$13,$J$14,$U$1,$U$2,$J$15,$D61)</f>
        <v>0</v>
      </c>
      <c r="V61" s="152">
        <f t="shared" ref="V61" ca="1" si="86">L61-U61</f>
        <v>0</v>
      </c>
      <c r="W61" s="153" t="str">
        <f t="shared" ref="W61" ca="1" si="87">IF(ISERROR(V61/U61),"-",V61/U61)</f>
        <v>-</v>
      </c>
      <c r="X61" s="65"/>
      <c r="Y61" s="31"/>
      <c r="Z61" s="9"/>
      <c r="AA61" s="66"/>
      <c r="AB61" s="66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</row>
    <row r="62" spans="1:118" ht="21" customHeight="1" x14ac:dyDescent="0.25">
      <c r="B62" s="60"/>
      <c r="C62" s="44"/>
      <c r="D62" s="214" t="s">
        <v>115</v>
      </c>
      <c r="E62" s="62"/>
      <c r="F62" s="63"/>
      <c r="G62" s="41"/>
      <c r="H62" s="232" t="str">
        <f ca="1">_xll.DBRA(Server&amp;$D$20,$D62,"French")</f>
        <v>Cadeaux Stagiaires (coûts directs)</v>
      </c>
      <c r="I62" s="232"/>
      <c r="J62" s="232"/>
      <c r="K62" s="150"/>
      <c r="L62" s="151">
        <f ca="1">_xll.DBRW(Server&amp;Cube1,$J$12,$J$13,$J$14,$L$1,$J$11,$J$15,$D62)</f>
        <v>0</v>
      </c>
      <c r="M62" s="151">
        <f ca="1">_xll.DBRW(Server&amp;Cube1,$J$12,$J$13,$J$14,$M$1,$J$11,$J$15,$D62)</f>
        <v>-330</v>
      </c>
      <c r="N62" s="152">
        <f t="shared" ref="N62" ca="1" si="88">L62-M62</f>
        <v>330</v>
      </c>
      <c r="O62" s="153">
        <f t="shared" ref="O62" ca="1" si="89">IF(ISERROR(N62/M62),"-",N62/M62)</f>
        <v>-1</v>
      </c>
      <c r="P62" s="138"/>
      <c r="Q62" s="151">
        <f ca="1">_xll.DBRW(Server&amp;Cube1,$J$12,$J$13,$J$14,$Q$1,$J$11,$J$15,$D62)</f>
        <v>0</v>
      </c>
      <c r="R62" s="152">
        <f t="shared" ref="R62" ca="1" si="90">L62-Q62</f>
        <v>0</v>
      </c>
      <c r="S62" s="153" t="str">
        <f t="shared" ref="S62" ca="1" si="91">IF(ISERROR(R62/Q62),"-",R62/Q62)</f>
        <v>-</v>
      </c>
      <c r="T62" s="138"/>
      <c r="U62" s="151">
        <f ca="1">_xll.DBRW(Server&amp;Cube1,$J$12,$J$13,$J$14,$U$1,$U$2,$J$15,$D62)</f>
        <v>-616</v>
      </c>
      <c r="V62" s="152">
        <f t="shared" ref="V62" ca="1" si="92">L62-U62</f>
        <v>616</v>
      </c>
      <c r="W62" s="153">
        <f t="shared" ref="W62" ca="1" si="93">IF(ISERROR(V62/U62),"-",V62/U62)</f>
        <v>-1</v>
      </c>
      <c r="X62" s="65"/>
      <c r="Y62" s="31"/>
      <c r="Z62" s="9"/>
      <c r="AA62" s="66"/>
      <c r="AB62" s="66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</row>
    <row r="63" spans="1:118" ht="21" customHeight="1" x14ac:dyDescent="0.25">
      <c r="B63" s="60"/>
      <c r="C63" s="44"/>
      <c r="D63" s="203" t="s">
        <v>70</v>
      </c>
      <c r="E63" s="62"/>
      <c r="F63" s="63"/>
      <c r="G63" s="41"/>
      <c r="H63" s="232" t="str">
        <f ca="1">_xll.DBRA(Server&amp;$D$20,$D63,"French")</f>
        <v>Transport sur achat (coûts directs)</v>
      </c>
      <c r="I63" s="232"/>
      <c r="J63" s="232"/>
      <c r="K63" s="150"/>
      <c r="L63" s="151">
        <f ca="1">_xll.DBRW(Server&amp;Cube1,$J$12,$J$13,$J$14,$L$1,$J$11,$J$15,$D63)</f>
        <v>-362.45</v>
      </c>
      <c r="M63" s="151">
        <f ca="1">_xll.DBRW(Server&amp;Cube1,$J$12,$J$13,$J$14,$M$1,$J$11,$J$15,$D63)</f>
        <v>-646.79999999999995</v>
      </c>
      <c r="N63" s="152">
        <f t="shared" ca="1" si="40"/>
        <v>284.34999999999997</v>
      </c>
      <c r="O63" s="153">
        <f t="shared" ca="1" si="41"/>
        <v>-0.43962585034013602</v>
      </c>
      <c r="P63" s="138"/>
      <c r="Q63" s="151">
        <f ca="1">_xll.DBRW(Server&amp;Cube1,$J$12,$J$13,$J$14,$Q$1,$J$11,$J$15,$D63)</f>
        <v>0</v>
      </c>
      <c r="R63" s="152">
        <f t="shared" ca="1" si="42"/>
        <v>-362.45</v>
      </c>
      <c r="S63" s="153" t="str">
        <f t="shared" ca="1" si="43"/>
        <v>-</v>
      </c>
      <c r="T63" s="138"/>
      <c r="U63" s="151">
        <f ca="1">_xll.DBRW(Server&amp;Cube1,$J$12,$J$13,$J$14,$U$1,$U$2,$J$15,$D63)</f>
        <v>-883.92000000000007</v>
      </c>
      <c r="V63" s="152">
        <f t="shared" ca="1" si="44"/>
        <v>521.47</v>
      </c>
      <c r="W63" s="153">
        <f t="shared" ca="1" si="45"/>
        <v>-0.589951579328446</v>
      </c>
      <c r="X63" s="65"/>
      <c r="Y63" s="31"/>
      <c r="Z63" s="9"/>
      <c r="AA63" s="66"/>
      <c r="AB63" s="66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</row>
    <row r="64" spans="1:118" ht="9" customHeight="1" x14ac:dyDescent="0.25">
      <c r="C64" s="44"/>
      <c r="D64" s="207"/>
      <c r="E64" s="68"/>
      <c r="F64" s="69"/>
      <c r="G64" s="70"/>
      <c r="H64" s="71"/>
      <c r="I64" s="72"/>
      <c r="J64" s="72"/>
      <c r="K64" s="73"/>
      <c r="L64" s="74"/>
      <c r="M64" s="74"/>
      <c r="N64" s="75"/>
      <c r="O64" s="76"/>
      <c r="P64" s="77"/>
      <c r="Q64" s="74"/>
      <c r="R64" s="75"/>
      <c r="S64" s="76"/>
      <c r="T64" s="77"/>
      <c r="U64" s="74"/>
      <c r="V64" s="75"/>
      <c r="W64" s="76"/>
      <c r="X64" s="65"/>
      <c r="Y64" s="31"/>
      <c r="Z64" s="78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</row>
    <row r="65" spans="1:118" s="139" customFormat="1" ht="22.5" customHeight="1" x14ac:dyDescent="0.25">
      <c r="A65" s="221"/>
      <c r="B65" s="140"/>
      <c r="C65" s="44"/>
      <c r="D65" s="208" t="s">
        <v>58</v>
      </c>
      <c r="E65" s="141"/>
      <c r="F65" s="142"/>
      <c r="G65" s="236" t="str">
        <f ca="1">_xll.DBRA(Server&amp;$D$20,$D65,"French")</f>
        <v>Coûts directs de la formation</v>
      </c>
      <c r="H65" s="237"/>
      <c r="I65" s="237"/>
      <c r="J65" s="238"/>
      <c r="K65" s="143"/>
      <c r="L65" s="144">
        <f ca="1">+L43+L47+L48+L53</f>
        <v>-853101.28999999992</v>
      </c>
      <c r="M65" s="144">
        <f ca="1">+M43+M47+M48+M53</f>
        <v>-1199397.8</v>
      </c>
      <c r="N65" s="144">
        <f ca="1">+N43+N47+N48+N53</f>
        <v>346296.51</v>
      </c>
      <c r="O65" s="161">
        <f ca="1">IF(ISERROR(N65/M65),"-",N65/M65)</f>
        <v>-0.28872531698824194</v>
      </c>
      <c r="P65" s="132"/>
      <c r="Q65" s="145">
        <f ca="1">_xll.DBRW(Server&amp;Cube1,$J$12,$J$13,$J$14,$Q$1,$J$11,$J$15,$D65)</f>
        <v>0</v>
      </c>
      <c r="R65" s="146">
        <f ca="1">L65-Q65</f>
        <v>-853101.28999999992</v>
      </c>
      <c r="S65" s="161" t="str">
        <f ca="1">IF(ISERROR(R65/Q65),"-",R65/Q65)</f>
        <v>-</v>
      </c>
      <c r="T65" s="132"/>
      <c r="U65" s="144">
        <f ca="1">+U43+U47+U48+U53</f>
        <v>-1137111.5899999999</v>
      </c>
      <c r="V65" s="146">
        <f ca="1">L65-U65</f>
        <v>284010.29999999993</v>
      </c>
      <c r="W65" s="161">
        <f ca="1">IF(ISERROR(V65/U65),"-",V65/U65)</f>
        <v>-0.24976466909461364</v>
      </c>
      <c r="X65" s="155"/>
      <c r="Y65" s="148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  <c r="BB65" s="149"/>
      <c r="BC65" s="149"/>
      <c r="BD65" s="149"/>
      <c r="BE65" s="149"/>
      <c r="BF65" s="149"/>
      <c r="BG65" s="149"/>
      <c r="BH65" s="149"/>
      <c r="BI65" s="149"/>
      <c r="BJ65" s="149"/>
      <c r="BK65" s="149"/>
      <c r="BL65" s="149"/>
      <c r="BM65" s="149"/>
      <c r="BN65" s="149"/>
      <c r="BO65" s="149"/>
      <c r="BP65" s="149"/>
      <c r="BQ65" s="149"/>
      <c r="BR65" s="149"/>
      <c r="BS65" s="149"/>
      <c r="BT65" s="149"/>
      <c r="BU65" s="149"/>
      <c r="BV65" s="149"/>
      <c r="BW65" s="149"/>
      <c r="BX65" s="149"/>
      <c r="BY65" s="149"/>
      <c r="BZ65" s="149"/>
      <c r="CA65" s="149"/>
      <c r="CB65" s="149"/>
      <c r="CC65" s="149"/>
      <c r="CD65" s="149"/>
      <c r="CE65" s="149"/>
      <c r="CF65" s="149"/>
      <c r="CG65" s="149"/>
      <c r="CH65" s="149"/>
      <c r="CI65" s="149"/>
      <c r="CJ65" s="149"/>
      <c r="CK65" s="149"/>
      <c r="CL65" s="149"/>
      <c r="CM65" s="149"/>
      <c r="CN65" s="149"/>
      <c r="CO65" s="149"/>
      <c r="CP65" s="149"/>
      <c r="CQ65" s="149"/>
      <c r="CR65" s="149"/>
      <c r="CS65" s="149"/>
      <c r="CT65" s="149"/>
      <c r="CU65" s="149"/>
      <c r="CV65" s="149"/>
      <c r="CW65" s="149"/>
      <c r="CX65" s="149"/>
      <c r="CY65" s="149"/>
      <c r="CZ65" s="149"/>
      <c r="DA65" s="149"/>
      <c r="DB65" s="149"/>
      <c r="DC65" s="149"/>
      <c r="DD65" s="149"/>
      <c r="DE65" s="149"/>
      <c r="DF65" s="149"/>
      <c r="DG65" s="149"/>
      <c r="DH65" s="149"/>
      <c r="DI65" s="149"/>
      <c r="DJ65" s="149"/>
      <c r="DK65" s="149"/>
      <c r="DL65" s="149"/>
      <c r="DM65" s="149"/>
      <c r="DN65" s="149"/>
    </row>
    <row r="66" spans="1:118" ht="8.25" customHeight="1" x14ac:dyDescent="0.25">
      <c r="C66" s="44"/>
      <c r="D66" s="206"/>
      <c r="E66" s="62"/>
      <c r="F66" s="63"/>
      <c r="G66" s="82"/>
      <c r="H66" s="82"/>
      <c r="I66" s="64"/>
      <c r="J66" s="64"/>
      <c r="K66" s="64"/>
      <c r="L66" s="83"/>
      <c r="M66" s="83"/>
      <c r="N66" s="83"/>
      <c r="O66" s="84"/>
      <c r="P66" s="83"/>
      <c r="Q66" s="83"/>
      <c r="R66" s="83"/>
      <c r="S66" s="84"/>
      <c r="T66" s="83"/>
      <c r="U66" s="83"/>
      <c r="V66" s="83"/>
      <c r="W66" s="130"/>
      <c r="X66" s="131"/>
      <c r="Y66" s="31"/>
      <c r="Z66" s="9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  <c r="AT66" s="85"/>
      <c r="AU66" s="85"/>
      <c r="AV66" s="85"/>
      <c r="AW66" s="85"/>
      <c r="AX66" s="85"/>
      <c r="AY66" s="85"/>
      <c r="AZ66" s="85"/>
      <c r="BA66" s="85"/>
      <c r="BB66" s="85"/>
      <c r="BC66" s="85"/>
      <c r="BD66" s="85"/>
      <c r="BE66" s="85"/>
      <c r="BF66" s="85"/>
      <c r="BG66" s="85"/>
      <c r="BH66" s="85"/>
      <c r="BI66" s="85"/>
      <c r="BJ66" s="85"/>
      <c r="BK66" s="85"/>
      <c r="BL66" s="85"/>
      <c r="BM66" s="85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  <c r="DF66" s="85"/>
      <c r="DG66" s="85"/>
      <c r="DH66" s="85"/>
      <c r="DI66" s="85"/>
      <c r="DJ66" s="85"/>
      <c r="DK66" s="85"/>
      <c r="DL66" s="85"/>
      <c r="DM66" s="85"/>
      <c r="DN66" s="85"/>
    </row>
    <row r="67" spans="1:118" ht="8.25" customHeight="1" x14ac:dyDescent="0.25">
      <c r="C67" s="44"/>
      <c r="D67" s="206"/>
      <c r="E67" s="62"/>
      <c r="F67" s="63"/>
      <c r="G67" s="82"/>
      <c r="H67" s="82"/>
      <c r="I67" s="64"/>
      <c r="J67" s="64"/>
      <c r="K67" s="64"/>
      <c r="L67" s="83"/>
      <c r="M67" s="83"/>
      <c r="N67" s="83"/>
      <c r="O67" s="84"/>
      <c r="P67" s="83"/>
      <c r="Q67" s="83"/>
      <c r="R67" s="83"/>
      <c r="S67" s="84"/>
      <c r="T67" s="83"/>
      <c r="U67" s="83"/>
      <c r="V67" s="83"/>
      <c r="W67" s="84"/>
      <c r="X67" s="64"/>
      <c r="Y67" s="31"/>
      <c r="Z67" s="9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  <c r="BE67" s="85"/>
      <c r="BF67" s="85"/>
      <c r="BG67" s="85"/>
      <c r="BH67" s="85"/>
      <c r="BI67" s="85"/>
      <c r="BJ67" s="85"/>
      <c r="BK67" s="85"/>
      <c r="BL67" s="85"/>
      <c r="BM67" s="85"/>
      <c r="BN67" s="85"/>
      <c r="BO67" s="85"/>
      <c r="BP67" s="85"/>
      <c r="BQ67" s="85"/>
      <c r="BR67" s="85"/>
      <c r="BS67" s="85"/>
      <c r="BT67" s="85"/>
      <c r="BU67" s="85"/>
      <c r="BV67" s="85"/>
      <c r="BW67" s="85"/>
      <c r="BX67" s="85"/>
      <c r="BY67" s="85"/>
      <c r="BZ67" s="85"/>
      <c r="CA67" s="85"/>
      <c r="CB67" s="85"/>
      <c r="CC67" s="85"/>
      <c r="CD67" s="85"/>
      <c r="CE67" s="85"/>
      <c r="CF67" s="85"/>
      <c r="CG67" s="85"/>
      <c r="CH67" s="85"/>
      <c r="CI67" s="85"/>
      <c r="CJ67" s="85"/>
      <c r="CK67" s="85"/>
      <c r="CL67" s="85"/>
      <c r="CM67" s="85"/>
      <c r="CN67" s="85"/>
      <c r="CO67" s="85"/>
      <c r="CP67" s="85"/>
      <c r="CQ67" s="85"/>
      <c r="CR67" s="85"/>
      <c r="CS67" s="85"/>
      <c r="CT67" s="85"/>
      <c r="CU67" s="85"/>
      <c r="CV67" s="85"/>
      <c r="CW67" s="85"/>
      <c r="CX67" s="85"/>
      <c r="CY67" s="85"/>
      <c r="CZ67" s="85"/>
      <c r="DA67" s="85"/>
      <c r="DB67" s="85"/>
      <c r="DC67" s="85"/>
      <c r="DD67" s="85"/>
      <c r="DE67" s="85"/>
      <c r="DF67" s="85"/>
      <c r="DG67" s="85"/>
      <c r="DH67" s="85"/>
      <c r="DI67" s="85"/>
      <c r="DJ67" s="85"/>
      <c r="DK67" s="85"/>
      <c r="DL67" s="85"/>
      <c r="DM67" s="85"/>
      <c r="DN67" s="85"/>
    </row>
    <row r="68" spans="1:118" ht="8.25" customHeight="1" x14ac:dyDescent="0.25">
      <c r="C68" s="44"/>
      <c r="D68" s="206"/>
      <c r="E68" s="62"/>
      <c r="F68" s="63"/>
      <c r="G68" s="183"/>
      <c r="H68" s="184"/>
      <c r="I68" s="185"/>
      <c r="J68" s="185"/>
      <c r="K68" s="185"/>
      <c r="L68" s="186"/>
      <c r="M68" s="186"/>
      <c r="N68" s="186"/>
      <c r="O68" s="187"/>
      <c r="P68" s="186"/>
      <c r="Q68" s="186"/>
      <c r="R68" s="186"/>
      <c r="S68" s="187"/>
      <c r="T68" s="186"/>
      <c r="U68" s="186"/>
      <c r="V68" s="186"/>
      <c r="W68" s="187"/>
      <c r="X68" s="188"/>
      <c r="Y68" s="86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  <c r="BE68" s="85"/>
      <c r="BF68" s="85"/>
      <c r="BG68" s="85"/>
      <c r="BH68" s="85"/>
      <c r="BI68" s="85"/>
      <c r="BJ68" s="85"/>
      <c r="BK68" s="85"/>
      <c r="BL68" s="85"/>
      <c r="BM68" s="85"/>
      <c r="BN68" s="85"/>
      <c r="BO68" s="85"/>
      <c r="BP68" s="85"/>
      <c r="BQ68" s="85"/>
      <c r="BR68" s="85"/>
      <c r="BS68" s="85"/>
      <c r="BT68" s="85"/>
      <c r="BU68" s="85"/>
      <c r="BV68" s="85"/>
      <c r="BW68" s="85"/>
      <c r="BX68" s="85"/>
      <c r="BY68" s="85"/>
      <c r="BZ68" s="85"/>
      <c r="CA68" s="85"/>
      <c r="CB68" s="85"/>
      <c r="CC68" s="85"/>
      <c r="CD68" s="85"/>
      <c r="CE68" s="85"/>
      <c r="CF68" s="85"/>
      <c r="CG68" s="85"/>
      <c r="CH68" s="85"/>
      <c r="CI68" s="85"/>
      <c r="CJ68" s="85"/>
      <c r="CK68" s="85"/>
      <c r="CL68" s="85"/>
      <c r="CM68" s="85"/>
      <c r="CN68" s="85"/>
      <c r="CO68" s="85"/>
      <c r="CP68" s="85"/>
      <c r="CQ68" s="85"/>
      <c r="CR68" s="85"/>
      <c r="CS68" s="85"/>
      <c r="CT68" s="85"/>
      <c r="CU68" s="85"/>
      <c r="CV68" s="85"/>
      <c r="CW68" s="85"/>
      <c r="CX68" s="85"/>
      <c r="CY68" s="85"/>
      <c r="CZ68" s="85"/>
      <c r="DA68" s="85"/>
      <c r="DB68" s="85"/>
      <c r="DC68" s="85"/>
      <c r="DD68" s="85"/>
      <c r="DE68" s="85"/>
      <c r="DF68" s="85"/>
      <c r="DG68" s="85"/>
      <c r="DH68" s="85"/>
      <c r="DI68" s="85"/>
      <c r="DJ68" s="85"/>
      <c r="DK68" s="85"/>
      <c r="DL68" s="85"/>
      <c r="DM68" s="85"/>
      <c r="DN68" s="85"/>
    </row>
    <row r="69" spans="1:118" s="61" customFormat="1" ht="22.5" customHeight="1" x14ac:dyDescent="0.25">
      <c r="A69" s="221"/>
      <c r="B69" s="60"/>
      <c r="C69" s="44"/>
      <c r="D69" s="206" t="s">
        <v>59</v>
      </c>
      <c r="E69" s="79"/>
      <c r="F69" s="80"/>
      <c r="G69" s="199"/>
      <c r="H69" s="236" t="str">
        <f ca="1">_xll.DBRA(Server&amp;$D$20,$D69,"French")</f>
        <v>MARGE sur coûts directs de formation</v>
      </c>
      <c r="I69" s="237"/>
      <c r="J69" s="238"/>
      <c r="K69" s="200"/>
      <c r="L69" s="144">
        <f ca="1">SUM(L41,L65)</f>
        <v>787857.79000000015</v>
      </c>
      <c r="M69" s="144">
        <f ca="1">SUM(M41,M65)</f>
        <v>1237545.7900000003</v>
      </c>
      <c r="N69" s="144">
        <f ca="1">SUM(N41,N65)</f>
        <v>-449688.00000000023</v>
      </c>
      <c r="O69" s="161">
        <f ca="1">IF(ISERROR(N69/M69),"-",N69/M69)</f>
        <v>-0.36337079697067221</v>
      </c>
      <c r="P69" s="201"/>
      <c r="Q69" s="145">
        <f ca="1">_xll.DBRW(Server&amp;Cube1,$J$12,$J$13,$J$14,$Q$1,$J$11,$J$15,$D69)</f>
        <v>0</v>
      </c>
      <c r="R69" s="146">
        <f ca="1">L69-Q69</f>
        <v>787857.79000000015</v>
      </c>
      <c r="S69" s="161" t="str">
        <f ca="1">IF(ISERROR(R69/Q69),"-",R69/Q69)</f>
        <v>-</v>
      </c>
      <c r="T69" s="172"/>
      <c r="U69" s="144">
        <f ca="1">SUM(U41,U65)</f>
        <v>1300163.8800000004</v>
      </c>
      <c r="V69" s="146">
        <f ca="1">L69-U69</f>
        <v>-512306.0900000002</v>
      </c>
      <c r="W69" s="161">
        <f ca="1">IF(ISERROR(V69/U69),"-",V69/U69)</f>
        <v>-0.39403193542032566</v>
      </c>
      <c r="X69" s="189"/>
      <c r="Y69" s="87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  <c r="CH69" s="66"/>
      <c r="CI69" s="66"/>
      <c r="CJ69" s="66"/>
      <c r="CK69" s="66"/>
      <c r="CL69" s="66"/>
      <c r="CM69" s="66"/>
      <c r="CN69" s="66"/>
      <c r="CO69" s="66"/>
      <c r="CP69" s="66"/>
      <c r="CQ69" s="66"/>
      <c r="CR69" s="66"/>
      <c r="CS69" s="66"/>
      <c r="CT69" s="66"/>
      <c r="CU69" s="66"/>
      <c r="CV69" s="66"/>
      <c r="CW69" s="66"/>
      <c r="CX69" s="66"/>
      <c r="CY69" s="66"/>
      <c r="CZ69" s="66"/>
      <c r="DA69" s="66"/>
      <c r="DB69" s="66"/>
      <c r="DC69" s="66"/>
      <c r="DD69" s="66"/>
      <c r="DE69" s="66"/>
      <c r="DF69" s="66"/>
      <c r="DG69" s="66"/>
      <c r="DH69" s="66"/>
      <c r="DI69" s="66"/>
      <c r="DJ69" s="66"/>
      <c r="DK69" s="66"/>
      <c r="DL69" s="66"/>
      <c r="DM69" s="66"/>
      <c r="DN69" s="66"/>
    </row>
    <row r="70" spans="1:118" s="94" customFormat="1" ht="22.5" customHeight="1" collapsed="1" x14ac:dyDescent="0.25">
      <c r="A70" s="88"/>
      <c r="B70" s="89"/>
      <c r="C70" s="44"/>
      <c r="D70" s="209" t="s">
        <v>30</v>
      </c>
      <c r="E70" s="90"/>
      <c r="F70" s="91"/>
      <c r="G70" s="191"/>
      <c r="H70" s="90"/>
      <c r="I70" s="90"/>
      <c r="J70" s="192" t="s">
        <v>98</v>
      </c>
      <c r="K70" s="193"/>
      <c r="L70" s="194">
        <f ca="1">IF(ISERROR(L69/L41),"-",L69/L41)</f>
        <v>0.48012031476129197</v>
      </c>
      <c r="M70" s="194">
        <f ca="1">IF(ISERROR(M69/M41),"-",M69/M41)</f>
        <v>0.50782701539677422</v>
      </c>
      <c r="N70" s="246">
        <f ca="1">IF(ISERROR((L70-M70)*100),"-",(L70-M70)*100)</f>
        <v>-2.7706700635482253</v>
      </c>
      <c r="O70" s="246"/>
      <c r="P70" s="195"/>
      <c r="Q70" s="194" t="str">
        <f ca="1">IF(ISERROR(Q69/Q41),"-",Q69/Q41)</f>
        <v>-</v>
      </c>
      <c r="R70" s="248" t="str">
        <f ca="1">IF(ISERROR((P70-Q70)*100),"-",(P70-Q70)*100)</f>
        <v>-</v>
      </c>
      <c r="S70" s="248"/>
      <c r="T70" s="195"/>
      <c r="U70" s="194">
        <f ca="1">IF(ISERROR(U69/U41),"-",U69/U41)</f>
        <v>0.53344970480501341</v>
      </c>
      <c r="V70" s="246">
        <f ca="1">IF(ISERROR((L70-U70)*100),"-",(L70-U70)*100)</f>
        <v>-5.332939004372145</v>
      </c>
      <c r="W70" s="246"/>
      <c r="X70" s="190"/>
      <c r="Y70" s="92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  <c r="AM70" s="93"/>
      <c r="AN70" s="93"/>
      <c r="AO70" s="93"/>
      <c r="AP70" s="93"/>
      <c r="AQ70" s="93"/>
      <c r="AR70" s="93"/>
      <c r="AS70" s="93"/>
      <c r="AT70" s="93"/>
      <c r="AU70" s="93"/>
      <c r="AV70" s="93"/>
      <c r="AW70" s="93"/>
      <c r="AX70" s="93"/>
      <c r="AY70" s="93"/>
      <c r="AZ70" s="93"/>
      <c r="BA70" s="93"/>
      <c r="BB70" s="93"/>
      <c r="BC70" s="93"/>
      <c r="BD70" s="93"/>
      <c r="BE70" s="93"/>
      <c r="BF70" s="93"/>
      <c r="BG70" s="93"/>
      <c r="BH70" s="93"/>
      <c r="BI70" s="93"/>
      <c r="BJ70" s="93"/>
      <c r="BK70" s="93"/>
      <c r="BL70" s="93"/>
      <c r="BM70" s="93"/>
      <c r="BN70" s="93"/>
      <c r="BO70" s="93"/>
      <c r="BP70" s="93"/>
      <c r="BQ70" s="93"/>
      <c r="BR70" s="93"/>
      <c r="BS70" s="93"/>
      <c r="BT70" s="93"/>
      <c r="BU70" s="93"/>
      <c r="BV70" s="93"/>
      <c r="BW70" s="93"/>
      <c r="BX70" s="93"/>
      <c r="BY70" s="93"/>
      <c r="BZ70" s="93"/>
      <c r="CA70" s="93"/>
      <c r="CB70" s="93"/>
      <c r="CC70" s="93"/>
      <c r="CD70" s="93"/>
      <c r="CE70" s="93"/>
      <c r="CF70" s="93"/>
      <c r="CG70" s="93"/>
      <c r="CH70" s="93"/>
      <c r="CI70" s="93"/>
      <c r="CJ70" s="93"/>
      <c r="CK70" s="93"/>
      <c r="CL70" s="93"/>
      <c r="CM70" s="93"/>
      <c r="CN70" s="93"/>
      <c r="CO70" s="93"/>
      <c r="CP70" s="93"/>
      <c r="CQ70" s="93"/>
      <c r="CR70" s="93"/>
      <c r="CS70" s="93"/>
      <c r="CT70" s="93"/>
      <c r="CU70" s="93"/>
      <c r="CV70" s="93"/>
      <c r="CW70" s="93"/>
      <c r="CX70" s="93"/>
      <c r="CY70" s="93"/>
      <c r="CZ70" s="93"/>
      <c r="DA70" s="93"/>
      <c r="DB70" s="93"/>
      <c r="DC70" s="93"/>
      <c r="DD70" s="93"/>
      <c r="DE70" s="93"/>
      <c r="DF70" s="93"/>
      <c r="DG70" s="93"/>
      <c r="DH70" s="93"/>
      <c r="DI70" s="93"/>
      <c r="DJ70" s="93"/>
      <c r="DK70" s="93"/>
      <c r="DL70" s="93"/>
      <c r="DM70" s="93"/>
      <c r="DN70" s="93"/>
    </row>
    <row r="71" spans="1:118" s="37" customFormat="1" ht="5.25" customHeight="1" x14ac:dyDescent="0.25">
      <c r="A71" s="10"/>
      <c r="B71" s="1"/>
      <c r="C71" s="44"/>
      <c r="D71" s="207"/>
      <c r="E71" s="68"/>
      <c r="F71" s="69"/>
      <c r="G71" s="196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  <c r="V71" s="197"/>
      <c r="W71" s="197"/>
      <c r="X71" s="198"/>
      <c r="Y71" s="31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</row>
    <row r="72" spans="1:118" s="37" customFormat="1" ht="5.25" customHeight="1" x14ac:dyDescent="0.25">
      <c r="A72" s="10"/>
      <c r="B72" s="1"/>
      <c r="C72" s="44"/>
      <c r="D72" s="207"/>
      <c r="E72" s="68"/>
      <c r="F72" s="95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31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</row>
    <row r="73" spans="1:118" s="37" customFormat="1" ht="15" customHeight="1" thickBot="1" x14ac:dyDescent="0.3">
      <c r="A73" s="10"/>
      <c r="B73" s="1"/>
      <c r="C73" s="224" t="s">
        <v>163</v>
      </c>
      <c r="D73" s="224"/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224"/>
      <c r="Q73" s="224"/>
      <c r="R73" s="224"/>
      <c r="S73" s="224"/>
      <c r="T73" s="224"/>
      <c r="U73" s="224"/>
      <c r="V73" s="224"/>
      <c r="W73" s="224"/>
      <c r="X73" s="224"/>
      <c r="Y73" s="225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</row>
    <row r="74" spans="1:118" s="37" customFormat="1" ht="23.25" customHeight="1" collapsed="1" thickTop="1" thickBot="1" x14ac:dyDescent="0.3">
      <c r="A74" s="221"/>
      <c r="B74" s="1"/>
      <c r="C74" s="44"/>
      <c r="D74" s="206" t="s">
        <v>60</v>
      </c>
      <c r="E74" s="68"/>
      <c r="F74" s="69"/>
      <c r="G74" s="239" t="str">
        <f ca="1">_xll.DBRA(Server&amp;$D$20,$D74,"French")</f>
        <v>Salaires</v>
      </c>
      <c r="H74" s="239" t="str">
        <f ca="1">_xll.DBRA(Server&amp;$D$20,$D74,"French")</f>
        <v>Salaires</v>
      </c>
      <c r="I74" s="239"/>
      <c r="J74" s="239"/>
      <c r="K74" s="154" t="s">
        <v>3</v>
      </c>
      <c r="L74" s="165">
        <f ca="1">SUM(L75:L77)</f>
        <v>-819634.63</v>
      </c>
      <c r="M74" s="165">
        <f ca="1">SUM(M75:M77)</f>
        <v>-1001240.4999999999</v>
      </c>
      <c r="N74" s="165">
        <f ca="1">SUM(N75:N77)</f>
        <v>181605.86999999982</v>
      </c>
      <c r="O74" s="167">
        <f ca="1">IF(ISERROR(N74/M74),"-",N74/M74)</f>
        <v>-0.18138086703444362</v>
      </c>
      <c r="P74" s="132"/>
      <c r="Q74" s="165">
        <f ca="1">SUM(Q75:Q77)</f>
        <v>-819634.63</v>
      </c>
      <c r="R74" s="166">
        <f t="shared" ref="R74:R126" ca="1" si="94">L74-Q74</f>
        <v>-819634.63</v>
      </c>
      <c r="S74" s="167" t="str">
        <f t="shared" ref="S74:S126" ca="1" si="95">IF(ISERROR(R74/Q74),"-",R74/Q74)</f>
        <v>-</v>
      </c>
      <c r="T74" s="132"/>
      <c r="U74" s="165">
        <f ca="1">SUM(U75:U77)</f>
        <v>-1069624.67</v>
      </c>
      <c r="V74" s="166">
        <f ca="1">SUM(V75:V77)</f>
        <v>249990.03999999998</v>
      </c>
      <c r="W74" s="167">
        <f ca="1">IF(ISERROR(V74/U74),"-",V74/U74)</f>
        <v>-0.23371753383362034</v>
      </c>
      <c r="X74" s="64"/>
      <c r="Y74" s="31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</row>
    <row r="75" spans="1:118" ht="21" hidden="1" customHeight="1" outlineLevel="1" x14ac:dyDescent="0.25">
      <c r="B75" s="60"/>
      <c r="C75" s="44"/>
      <c r="D75" s="203" t="s">
        <v>61</v>
      </c>
      <c r="E75" s="62"/>
      <c r="F75" s="63"/>
      <c r="G75" s="41"/>
      <c r="H75" s="232" t="str">
        <f ca="1">_xll.DBRA(Server&amp;$D$20,$D75,"French")</f>
        <v>Personnel intérimaire</v>
      </c>
      <c r="I75" s="232"/>
      <c r="J75" s="232"/>
      <c r="K75" s="150"/>
      <c r="L75" s="151">
        <f ca="1">_xll.DBRW(Server&amp;Cube1,$J$12,$L$13,$J$14,$L$1,$J$11,$J$15,$D75)</f>
        <v>-36098.439999999995</v>
      </c>
      <c r="M75" s="151">
        <f ca="1">_xll.DBRW(Server&amp;Cube1,$J$12,$L$13,$J$14,$M$1,$J$11,$J$15,$D75)</f>
        <v>0</v>
      </c>
      <c r="N75" s="152">
        <f ca="1">L75-M75</f>
        <v>-36098.439999999995</v>
      </c>
      <c r="O75" s="153" t="str">
        <f t="shared" ref="O75:O126" ca="1" si="96">IF(ISERROR(N75/M75),"-",N75/M75)</f>
        <v>-</v>
      </c>
      <c r="P75" s="138"/>
      <c r="Q75" s="151">
        <f ca="1">_xll.DBRW(Server&amp;Cube1,$J$12,$L$13,$J$14,$Q$1,$J$11,$J$15,$D75)</f>
        <v>0</v>
      </c>
      <c r="R75" s="152">
        <f t="shared" ca="1" si="94"/>
        <v>-36098.439999999995</v>
      </c>
      <c r="S75" s="153" t="str">
        <f t="shared" ca="1" si="95"/>
        <v>-</v>
      </c>
      <c r="T75" s="138"/>
      <c r="U75" s="151">
        <f ca="1">_xll.DBRW(Server&amp;Cube1,$J$12,$L$13,$J$14,$U$1,$U$2,$J$15,$D75)</f>
        <v>-65098.510000000009</v>
      </c>
      <c r="V75" s="152">
        <f t="shared" ref="V75:V126" ca="1" si="97">L75-U75</f>
        <v>29000.070000000014</v>
      </c>
      <c r="W75" s="153">
        <f t="shared" ref="W75:W126" ca="1" si="98">IF(ISERROR(V75/U75),"-",V75/U75)</f>
        <v>-0.44547978133447308</v>
      </c>
      <c r="X75" s="65"/>
      <c r="Y75" s="31"/>
      <c r="Z75" s="228"/>
      <c r="AA75" s="229"/>
      <c r="AB75" s="66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</row>
    <row r="76" spans="1:118" ht="21" hidden="1" customHeight="1" outlineLevel="1" thickBot="1" x14ac:dyDescent="0.3">
      <c r="B76" s="60"/>
      <c r="C76" s="44"/>
      <c r="D76" s="216" t="s">
        <v>156</v>
      </c>
      <c r="E76" s="62"/>
      <c r="F76" s="63"/>
      <c r="G76" s="41"/>
      <c r="H76" s="247" t="str">
        <f ca="1">_xll.DBRA(Server&amp;$D$20,$D76,"French")</f>
        <v>PMAD - Resp. administrative et personnel GIE</v>
      </c>
      <c r="I76" s="247"/>
      <c r="J76" s="247"/>
      <c r="K76" s="150"/>
      <c r="L76" s="168">
        <f ca="1">_xll.DBRW(Server&amp;Cube1,$J$12,$L$13,$J$14,$L$1,$J$11,$J$15,$D76)</f>
        <v>-783536.19000000006</v>
      </c>
      <c r="M76" s="168">
        <f ca="1">_xll.DBRW(Server&amp;Cube1,$J$12,$L$13,$J$14,$M$1,$J$11,$J$15,$D76)</f>
        <v>-1001240.4999999999</v>
      </c>
      <c r="N76" s="169">
        <f ca="1">L76-M76</f>
        <v>217704.30999999982</v>
      </c>
      <c r="O76" s="153">
        <f t="shared" ca="1" si="96"/>
        <v>-0.21743458240053198</v>
      </c>
      <c r="P76" s="138"/>
      <c r="Q76" s="168">
        <f ca="1">_xll.DBRW(Server&amp;Cube1,$J$12,$L$13,$J$14,$Q$1,$J$11,$J$15,$D76)</f>
        <v>0</v>
      </c>
      <c r="R76" s="169">
        <f t="shared" ca="1" si="94"/>
        <v>-783536.19000000006</v>
      </c>
      <c r="S76" s="153" t="str">
        <f t="shared" ca="1" si="95"/>
        <v>-</v>
      </c>
      <c r="T76" s="138"/>
      <c r="U76" s="168">
        <f ca="1">_xll.DBRW(Server&amp;Cube1,$J$12,$L$13,$J$14,$U$1,$U$2,$J$15,$D76)</f>
        <v>-1004526.16</v>
      </c>
      <c r="V76" s="169">
        <f t="shared" ca="1" si="97"/>
        <v>220989.96999999997</v>
      </c>
      <c r="W76" s="153">
        <f t="shared" ca="1" si="98"/>
        <v>-0.21999424086675848</v>
      </c>
      <c r="X76" s="65"/>
      <c r="Y76" s="31"/>
      <c r="Z76" s="228"/>
      <c r="AA76" s="66"/>
      <c r="AB76" s="66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</row>
    <row r="77" spans="1:118" ht="21" hidden="1" customHeight="1" outlineLevel="1" thickTop="1" thickBot="1" x14ac:dyDescent="0.3">
      <c r="B77" s="60"/>
      <c r="C77" s="44"/>
      <c r="D77" s="216" t="s">
        <v>157</v>
      </c>
      <c r="E77" s="62"/>
      <c r="F77" s="63"/>
      <c r="G77" s="41"/>
      <c r="H77" s="247" t="str">
        <f ca="1">_xll.DBRA(Server&amp;$D$20,$D77,"French")</f>
        <v>PMAD - Contributions projets pédagogiques</v>
      </c>
      <c r="I77" s="247"/>
      <c r="J77" s="247"/>
      <c r="K77" s="150"/>
      <c r="L77" s="168">
        <f ca="1">_xll.DBRW(Server&amp;Cube1,$J$12,$L$13,$J$14,$L$1,$J$11,$J$15,$D77)</f>
        <v>0</v>
      </c>
      <c r="M77" s="168">
        <f ca="1">_xll.DBRW(Server&amp;Cube1,$J$12,$L$13,$J$14,$M$1,$J$11,$J$15,$D77)</f>
        <v>0</v>
      </c>
      <c r="N77" s="169">
        <f ca="1">L77-M77</f>
        <v>0</v>
      </c>
      <c r="O77" s="153" t="str">
        <f t="shared" ref="O77" ca="1" si="99">IF(ISERROR(N77/M77),"-",N77/M77)</f>
        <v>-</v>
      </c>
      <c r="P77" s="138"/>
      <c r="Q77" s="168">
        <f ca="1">_xll.DBRW(Server&amp;Cube1,$J$12,$L$13,$J$14,$Q$1,$J$11,$J$15,$D77)</f>
        <v>0</v>
      </c>
      <c r="R77" s="169">
        <f t="shared" ref="R77" ca="1" si="100">L77-Q77</f>
        <v>0</v>
      </c>
      <c r="S77" s="153" t="str">
        <f t="shared" ref="S77" ca="1" si="101">IF(ISERROR(R77/Q77),"-",R77/Q77)</f>
        <v>-</v>
      </c>
      <c r="T77" s="138"/>
      <c r="U77" s="168">
        <f ca="1">_xll.DBRW(Server&amp;Cube1,$J$12,$L$13,$J$14,$U$1,$U$2,$J$15,$D77)</f>
        <v>0</v>
      </c>
      <c r="V77" s="169">
        <f t="shared" ref="V77" ca="1" si="102">L77-U77</f>
        <v>0</v>
      </c>
      <c r="W77" s="153" t="str">
        <f t="shared" ref="W77" ca="1" si="103">IF(ISERROR(V77/U77),"-",V77/U77)</f>
        <v>-</v>
      </c>
      <c r="X77" s="65"/>
      <c r="Y77" s="31"/>
      <c r="Z77" s="9"/>
      <c r="AA77" s="66"/>
      <c r="AB77" s="66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</row>
    <row r="78" spans="1:118" s="37" customFormat="1" ht="23.25" customHeight="1" collapsed="1" thickTop="1" thickBot="1" x14ac:dyDescent="0.3">
      <c r="A78" s="10"/>
      <c r="B78" s="1"/>
      <c r="C78" s="44"/>
      <c r="D78" s="206" t="s">
        <v>177</v>
      </c>
      <c r="E78" s="68"/>
      <c r="F78" s="69"/>
      <c r="G78" s="239" t="s">
        <v>178</v>
      </c>
      <c r="H78" s="239"/>
      <c r="I78" s="239"/>
      <c r="J78" s="239"/>
      <c r="K78" s="154" t="s">
        <v>3</v>
      </c>
      <c r="L78" s="165">
        <f ca="1">SUM(L79:L80)</f>
        <v>-18381.080000000002</v>
      </c>
      <c r="M78" s="165">
        <f ca="1">SUM(M79:M80)</f>
        <v>-17451</v>
      </c>
      <c r="N78" s="165">
        <f ca="1">SUM(N79:N80)</f>
        <v>-930.07999999999993</v>
      </c>
      <c r="O78" s="167">
        <f t="shared" ca="1" si="96"/>
        <v>5.3296659217236829E-2</v>
      </c>
      <c r="P78" s="132"/>
      <c r="Q78" s="165">
        <f ca="1">SUM(Q79:Q80)</f>
        <v>0</v>
      </c>
      <c r="R78" s="166">
        <f t="shared" ca="1" si="94"/>
        <v>-18381.080000000002</v>
      </c>
      <c r="S78" s="167" t="str">
        <f t="shared" ca="1" si="95"/>
        <v>-</v>
      </c>
      <c r="T78" s="132"/>
      <c r="U78" s="165">
        <f ca="1">SUM(U79:U80)</f>
        <v>-18643.349999999999</v>
      </c>
      <c r="V78" s="166">
        <f ca="1">SUM(V79:V80)</f>
        <v>262.27000000000044</v>
      </c>
      <c r="W78" s="167">
        <f t="shared" ca="1" si="98"/>
        <v>-1.4067750699311038E-2</v>
      </c>
      <c r="X78" s="64"/>
      <c r="Y78" s="31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</row>
    <row r="79" spans="1:118" ht="21" hidden="1" customHeight="1" outlineLevel="1" x14ac:dyDescent="0.25">
      <c r="B79" s="60"/>
      <c r="C79" s="44"/>
      <c r="D79" s="203" t="s">
        <v>138</v>
      </c>
      <c r="E79" s="62"/>
      <c r="F79" s="63"/>
      <c r="G79" s="41"/>
      <c r="H79" s="232" t="str">
        <f ca="1">_xll.DBRA(Server&amp;$D$20,$D79,"French")</f>
        <v>Maintenance Informatique Pack Finance</v>
      </c>
      <c r="I79" s="232"/>
      <c r="J79" s="232"/>
      <c r="K79" s="150"/>
      <c r="L79" s="151">
        <f ca="1">_xll.DBRW(Server&amp;Cube1,$J$12,$L$13,$J$14,$L$1,$J$11,$J$15,$D79)</f>
        <v>-3804.16</v>
      </c>
      <c r="M79" s="151">
        <f ca="1">_xll.DBRW(Server&amp;Cube1,$J$12,$L$13,$J$14,$M$1,$J$11,$J$15,$D79)</f>
        <v>-4674</v>
      </c>
      <c r="N79" s="152">
        <f ca="1">L79-M79</f>
        <v>869.84000000000015</v>
      </c>
      <c r="O79" s="153">
        <f t="shared" ca="1" si="96"/>
        <v>-0.18610183996576812</v>
      </c>
      <c r="P79" s="138"/>
      <c r="Q79" s="151">
        <f ca="1">_xll.DBRW(Server&amp;Cube1,$J$12,$L$13,$J$14,$Q$1,$J$11,$J$15,$D79)</f>
        <v>0</v>
      </c>
      <c r="R79" s="152">
        <f t="shared" ca="1" si="94"/>
        <v>-3804.16</v>
      </c>
      <c r="S79" s="153" t="str">
        <f t="shared" ca="1" si="95"/>
        <v>-</v>
      </c>
      <c r="T79" s="138"/>
      <c r="U79" s="151">
        <f ca="1">_xll.DBRW(Server&amp;Cube1,$J$12,$L$13,$J$14,$U$1,$U$2,$J$15,$D79)</f>
        <v>-5148.34</v>
      </c>
      <c r="V79" s="152">
        <f t="shared" ca="1" si="97"/>
        <v>1344.1800000000003</v>
      </c>
      <c r="W79" s="153">
        <f t="shared" ca="1" si="98"/>
        <v>-0.26108998240209469</v>
      </c>
      <c r="X79" s="65"/>
      <c r="Y79" s="31"/>
      <c r="Z79" s="9"/>
      <c r="AA79" s="66"/>
      <c r="AB79" s="66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</row>
    <row r="80" spans="1:118" ht="21" hidden="1" customHeight="1" outlineLevel="1" thickBot="1" x14ac:dyDescent="0.3">
      <c r="B80" s="60"/>
      <c r="C80" s="44"/>
      <c r="D80" s="203" t="s">
        <v>62</v>
      </c>
      <c r="E80" s="62"/>
      <c r="F80" s="63"/>
      <c r="G80" s="41"/>
      <c r="H80" s="247" t="str">
        <f ca="1">_xll.DBRA(Server&amp;$D$20,$D80,"French")</f>
        <v>Abonnement SAAS</v>
      </c>
      <c r="I80" s="247"/>
      <c r="J80" s="247"/>
      <c r="K80" s="150"/>
      <c r="L80" s="168">
        <f ca="1">_xll.DBRW(Server&amp;Cube1,$J$12,$L$13,$J$14,$L$1,$J$11,$J$15,$D80)</f>
        <v>-14576.92</v>
      </c>
      <c r="M80" s="168">
        <f ca="1">_xll.DBRW(Server&amp;Cube1,$J$12,$L$13,$J$14,$M$1,$J$11,$J$15,$D80)</f>
        <v>-12777</v>
      </c>
      <c r="N80" s="169">
        <f ca="1">L80-M80</f>
        <v>-1799.92</v>
      </c>
      <c r="O80" s="153">
        <f t="shared" ca="1" si="96"/>
        <v>0.14087187915786178</v>
      </c>
      <c r="P80" s="138"/>
      <c r="Q80" s="168">
        <f ca="1">_xll.DBRW(Server&amp;Cube1,$J$12,$L$13,$J$14,$Q$1,$J$11,$J$15,$D80)</f>
        <v>0</v>
      </c>
      <c r="R80" s="169">
        <f t="shared" ca="1" si="94"/>
        <v>-14576.92</v>
      </c>
      <c r="S80" s="153" t="str">
        <f t="shared" ca="1" si="95"/>
        <v>-</v>
      </c>
      <c r="T80" s="138"/>
      <c r="U80" s="168">
        <f ca="1">_xll.DBRW(Server&amp;Cube1,$J$12,$L$13,$J$14,$U$1,$U$2,$J$15,$D80)</f>
        <v>-13495.01</v>
      </c>
      <c r="V80" s="169">
        <f t="shared" ca="1" si="97"/>
        <v>-1081.9099999999999</v>
      </c>
      <c r="W80" s="153">
        <f t="shared" ca="1" si="98"/>
        <v>8.017111510106327E-2</v>
      </c>
      <c r="X80" s="65"/>
      <c r="Y80" s="31"/>
      <c r="Z80" s="9"/>
      <c r="AA80" s="66"/>
      <c r="AB80" s="66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</row>
    <row r="81" spans="1:118" s="37" customFormat="1" ht="23.25" customHeight="1" collapsed="1" thickTop="1" thickBot="1" x14ac:dyDescent="0.3">
      <c r="A81" s="221"/>
      <c r="B81" s="1"/>
      <c r="C81" s="44"/>
      <c r="D81" s="206" t="s">
        <v>63</v>
      </c>
      <c r="E81" s="68"/>
      <c r="F81" s="69"/>
      <c r="G81" s="239" t="str">
        <f ca="1">_xll.DBRA(Server&amp;$D$20,$D81,"French")</f>
        <v>Location VH et Télephonie</v>
      </c>
      <c r="H81" s="239" t="str">
        <f ca="1">_xll.DBRA(Server&amp;$D$20,$D81,"French")</f>
        <v>Location VH et Télephonie</v>
      </c>
      <c r="I81" s="239"/>
      <c r="J81" s="239"/>
      <c r="K81" s="154" t="s">
        <v>3</v>
      </c>
      <c r="L81" s="165">
        <f ca="1">SUM(L82:L87)</f>
        <v>-55074.65</v>
      </c>
      <c r="M81" s="165">
        <f ca="1">SUM(M82:M87)</f>
        <v>-81496</v>
      </c>
      <c r="N81" s="165">
        <f ca="1">SUM(N82:N87)</f>
        <v>26421.350000000002</v>
      </c>
      <c r="O81" s="167">
        <f t="shared" ca="1" si="96"/>
        <v>-0.32420425542357911</v>
      </c>
      <c r="P81" s="132"/>
      <c r="Q81" s="165">
        <f ca="1">_xll.DBRW(Server&amp;Cube1,$J$12,$L$13,$J$14,$Q$1,$J$11,$J$15,$D81)</f>
        <v>0</v>
      </c>
      <c r="R81" s="166">
        <f t="shared" ca="1" si="94"/>
        <v>-55074.65</v>
      </c>
      <c r="S81" s="167" t="str">
        <f t="shared" ca="1" si="95"/>
        <v>-</v>
      </c>
      <c r="T81" s="132"/>
      <c r="U81" s="165">
        <f ca="1">SUM(U82:U87)</f>
        <v>-53038.23</v>
      </c>
      <c r="V81" s="165">
        <f ca="1">SUM(V82:V87)</f>
        <v>-2036.4199999999919</v>
      </c>
      <c r="W81" s="167">
        <f t="shared" ca="1" si="98"/>
        <v>3.8395323524182304E-2</v>
      </c>
      <c r="X81" s="64"/>
      <c r="Y81" s="31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</row>
    <row r="82" spans="1:118" ht="21" hidden="1" customHeight="1" outlineLevel="1" thickBot="1" x14ac:dyDescent="0.3">
      <c r="B82" s="60"/>
      <c r="C82" s="44"/>
      <c r="D82" s="203" t="s">
        <v>139</v>
      </c>
      <c r="E82" s="62"/>
      <c r="F82" s="63"/>
      <c r="G82" s="41"/>
      <c r="H82" s="247" t="str">
        <f ca="1">_xll.DBRA(Server&amp;$D$20,$D82,"French")</f>
        <v>Véhicule de fonction - Entretiens et réparations</v>
      </c>
      <c r="I82" s="247"/>
      <c r="J82" s="247"/>
      <c r="K82" s="150"/>
      <c r="L82" s="151">
        <f ca="1">_xll.DBRW(Server&amp;Cube1,$J$12,$L$13,$J$14,$L$1,$J$11,$J$15,$D82)</f>
        <v>0</v>
      </c>
      <c r="M82" s="151">
        <f ca="1">_xll.DBRW(Server&amp;Cube1,$J$12,$L$13,$J$14,$M$1,$J$11,$J$15,$D82)</f>
        <v>0</v>
      </c>
      <c r="N82" s="152">
        <f t="shared" ref="N82:N88" ca="1" si="104">L82-M82</f>
        <v>0</v>
      </c>
      <c r="O82" s="153" t="str">
        <f t="shared" ca="1" si="96"/>
        <v>-</v>
      </c>
      <c r="P82" s="138"/>
      <c r="Q82" s="151">
        <f ca="1">_xll.DBRW(Server&amp;Cube1,$J$12,$L$13,$J$14,$Q$1,$J$11,$J$15,$D82)</f>
        <v>0</v>
      </c>
      <c r="R82" s="152">
        <f t="shared" ca="1" si="94"/>
        <v>0</v>
      </c>
      <c r="S82" s="153" t="str">
        <f t="shared" ca="1" si="95"/>
        <v>-</v>
      </c>
      <c r="T82" s="138"/>
      <c r="U82" s="151">
        <f ca="1">_xll.DBRW(Server&amp;Cube1,$J$12,$L$13,$J$14,$U$1,$U$2,$J$15,$D82)</f>
        <v>0</v>
      </c>
      <c r="V82" s="152">
        <f t="shared" ca="1" si="97"/>
        <v>0</v>
      </c>
      <c r="W82" s="153" t="str">
        <f t="shared" ca="1" si="98"/>
        <v>-</v>
      </c>
      <c r="X82" s="65"/>
      <c r="Y82" s="31"/>
      <c r="Z82" s="9"/>
      <c r="AA82" s="66"/>
      <c r="AB82" s="66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</row>
    <row r="83" spans="1:118" ht="21" hidden="1" customHeight="1" outlineLevel="1" thickTop="1" thickBot="1" x14ac:dyDescent="0.3">
      <c r="B83" s="60"/>
      <c r="C83" s="44"/>
      <c r="D83" s="214" t="s">
        <v>162</v>
      </c>
      <c r="E83" s="62"/>
      <c r="F83" s="63"/>
      <c r="G83" s="41"/>
      <c r="H83" s="247" t="str">
        <f ca="1">_xll.DBRA(Server&amp;$D$20,$D83,"French")</f>
        <v>Véhicule de Fonction - Prime d'assurance</v>
      </c>
      <c r="I83" s="247"/>
      <c r="J83" s="247"/>
      <c r="K83" s="150"/>
      <c r="L83" s="151">
        <f ca="1">_xll.DBRW(Server&amp;Cube1,$J$12,$L$13,$J$14,$L$1,$J$11,$J$15,$D83)</f>
        <v>-2559.9000000000005</v>
      </c>
      <c r="M83" s="151">
        <f ca="1">_xll.DBRW(Server&amp;Cube1,$J$12,$L$13,$J$14,$M$1,$J$11,$J$15,$D83)</f>
        <v>-3719.0000000000005</v>
      </c>
      <c r="N83" s="152">
        <f t="shared" ca="1" si="104"/>
        <v>1159.0999999999999</v>
      </c>
      <c r="O83" s="153">
        <f t="shared" ref="O83" ca="1" si="105">IF(ISERROR(N83/M83),"-",N83/M83)</f>
        <v>-0.31166980371067488</v>
      </c>
      <c r="P83" s="138"/>
      <c r="Q83" s="151">
        <f ca="1">_xll.DBRW(Server&amp;Cube1,$J$12,$L$13,$J$14,$Q$1,$J$11,$J$15,$D83)</f>
        <v>0</v>
      </c>
      <c r="R83" s="152">
        <f t="shared" ref="R83" ca="1" si="106">L83-Q83</f>
        <v>-2559.9000000000005</v>
      </c>
      <c r="S83" s="153" t="str">
        <f t="shared" ref="S83" ca="1" si="107">IF(ISERROR(R83/Q83),"-",R83/Q83)</f>
        <v>-</v>
      </c>
      <c r="T83" s="138"/>
      <c r="U83" s="151">
        <f ca="1">_xll.DBRW(Server&amp;Cube1,$J$12,$L$13,$J$14,$U$1,$U$2,$J$15,$D83)</f>
        <v>-2559.9000000000005</v>
      </c>
      <c r="V83" s="152">
        <f t="shared" ref="V83" ca="1" si="108">L83-U83</f>
        <v>0</v>
      </c>
      <c r="W83" s="153">
        <f t="shared" ref="W83" ca="1" si="109">IF(ISERROR(V83/U83),"-",V83/U83)</f>
        <v>0</v>
      </c>
      <c r="X83" s="65"/>
      <c r="Y83" s="31"/>
      <c r="Z83" s="9"/>
      <c r="AA83" s="66"/>
      <c r="AB83" s="66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</row>
    <row r="84" spans="1:118" ht="21" hidden="1" customHeight="1" outlineLevel="1" thickTop="1" thickBot="1" x14ac:dyDescent="0.3">
      <c r="B84" s="60"/>
      <c r="C84" s="44"/>
      <c r="D84" s="203" t="s">
        <v>140</v>
      </c>
      <c r="E84" s="62"/>
      <c r="F84" s="63"/>
      <c r="G84" s="41"/>
      <c r="H84" s="247" t="str">
        <f ca="1">_xll.DBRA(Server&amp;$D$20,$D84,"French")</f>
        <v>Véhicule de Fonction - Frais de location</v>
      </c>
      <c r="I84" s="247"/>
      <c r="J84" s="247"/>
      <c r="K84" s="150"/>
      <c r="L84" s="151">
        <f ca="1">_xll.DBRW(Server&amp;Cube1,$J$12,$L$13,$J$14,$L$1,$J$11,$J$15,$D84)</f>
        <v>-39608.579999999994</v>
      </c>
      <c r="M84" s="151">
        <f ca="1">_xll.DBRW(Server&amp;Cube1,$J$12,$L$13,$J$14,$M$1,$J$11,$J$15,$D84)</f>
        <v>-35525.999999999993</v>
      </c>
      <c r="N84" s="152">
        <f t="shared" ca="1" si="104"/>
        <v>-4082.5800000000017</v>
      </c>
      <c r="O84" s="153">
        <f t="shared" ref="O84" ca="1" si="110">IF(ISERROR(N84/M84),"-",N84/M84)</f>
        <v>0.11491808816078372</v>
      </c>
      <c r="P84" s="138"/>
      <c r="Q84" s="151">
        <f ca="1">_xll.DBRW(Server&amp;Cube1,$J$12,$L$13,$J$14,$Q$1,$J$11,$J$15,$D84)</f>
        <v>0</v>
      </c>
      <c r="R84" s="152">
        <f t="shared" ref="R84" ca="1" si="111">L84-Q84</f>
        <v>-39608.579999999994</v>
      </c>
      <c r="S84" s="153" t="str">
        <f t="shared" ref="S84" ca="1" si="112">IF(ISERROR(R84/Q84),"-",R84/Q84)</f>
        <v>-</v>
      </c>
      <c r="T84" s="138"/>
      <c r="U84" s="151">
        <f ca="1">_xll.DBRW(Server&amp;Cube1,$J$12,$L$13,$J$14,$U$1,$U$2,$J$15,$D84)</f>
        <v>-27879.320000000003</v>
      </c>
      <c r="V84" s="152">
        <f t="shared" ref="V84" ca="1" si="113">L84-U84</f>
        <v>-11729.259999999991</v>
      </c>
      <c r="W84" s="153">
        <f t="shared" ref="W84" ca="1" si="114">IF(ISERROR(V84/U84),"-",V84/U84)</f>
        <v>0.42071542634468811</v>
      </c>
      <c r="X84" s="65"/>
      <c r="Y84" s="31"/>
      <c r="Z84" s="9"/>
      <c r="AA84" s="66"/>
      <c r="AB84" s="66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</row>
    <row r="85" spans="1:118" ht="21" hidden="1" customHeight="1" outlineLevel="1" thickTop="1" thickBot="1" x14ac:dyDescent="0.3">
      <c r="B85" s="60"/>
      <c r="C85" s="44"/>
      <c r="D85" s="214" t="s">
        <v>141</v>
      </c>
      <c r="E85" s="62"/>
      <c r="F85" s="63"/>
      <c r="G85" s="41"/>
      <c r="H85" s="218" t="str">
        <f ca="1">_xll.DBRA(Server&amp;$D$20,$D85,"French")</f>
        <v>Véhicule de Fonction - Frais de péage</v>
      </c>
      <c r="I85" s="218"/>
      <c r="J85" s="218"/>
      <c r="K85" s="150"/>
      <c r="L85" s="151">
        <f ca="1">_xll.DBRW(Server&amp;Cube1,$J$12,$L$13,$J$14,$L$1,$J$11,$J$15,$D85)</f>
        <v>-408.18000000000006</v>
      </c>
      <c r="M85" s="151">
        <f ca="1">_xll.DBRW(Server&amp;Cube1,$J$12,$L$13,$J$14,$M$1,$J$11,$J$15,$D85)</f>
        <v>-19370</v>
      </c>
      <c r="N85" s="152">
        <f t="shared" ca="1" si="104"/>
        <v>18961.82</v>
      </c>
      <c r="O85" s="153">
        <f t="shared" ref="O85" ca="1" si="115">IF(ISERROR(N85/M85),"-",N85/M85)</f>
        <v>-0.97892720702116676</v>
      </c>
      <c r="P85" s="138"/>
      <c r="Q85" s="151">
        <f ca="1">_xll.DBRW(Server&amp;Cube1,$J$12,$L$13,$J$14,$Q$1,$J$11,$J$15,$D85)</f>
        <v>0</v>
      </c>
      <c r="R85" s="152">
        <f t="shared" ref="R85" ca="1" si="116">L85-Q85</f>
        <v>-408.18000000000006</v>
      </c>
      <c r="S85" s="153" t="str">
        <f t="shared" ref="S85" ca="1" si="117">IF(ISERROR(R85/Q85),"-",R85/Q85)</f>
        <v>-</v>
      </c>
      <c r="T85" s="138"/>
      <c r="U85" s="151">
        <f ca="1">_xll.DBRW(Server&amp;Cube1,$J$12,$L$13,$J$14,$U$1,$U$2,$J$15,$D85)</f>
        <v>-9671.09</v>
      </c>
      <c r="V85" s="152">
        <f t="shared" ref="V85" ca="1" si="118">L85-U85</f>
        <v>9262.91</v>
      </c>
      <c r="W85" s="153">
        <f t="shared" ref="W85" ca="1" si="119">IF(ISERROR(V85/U85),"-",V85/U85)</f>
        <v>-0.95779379573553758</v>
      </c>
      <c r="X85" s="65"/>
      <c r="Y85" s="31"/>
      <c r="Z85" s="9"/>
      <c r="AA85" s="66"/>
      <c r="AB85" s="66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</row>
    <row r="86" spans="1:118" ht="21" hidden="1" customHeight="1" outlineLevel="1" thickTop="1" thickBot="1" x14ac:dyDescent="0.3">
      <c r="B86" s="60"/>
      <c r="C86" s="44"/>
      <c r="D86" s="214" t="s">
        <v>142</v>
      </c>
      <c r="E86" s="62"/>
      <c r="F86" s="63"/>
      <c r="G86" s="41"/>
      <c r="H86" s="218" t="str">
        <f ca="1">_xll.DBRA(Server&amp;$D$20,$D86,"French")</f>
        <v>Véhicule de Fonction - Frais de carburant</v>
      </c>
      <c r="I86" s="218"/>
      <c r="J86" s="218"/>
      <c r="K86" s="150"/>
      <c r="L86" s="151">
        <f ca="1">_xll.DBRW(Server&amp;Cube1,$J$12,$L$13,$J$14,$L$1,$J$11,$J$15,$D86)</f>
        <v>-11594.23</v>
      </c>
      <c r="M86" s="151">
        <f ca="1">_xll.DBRW(Server&amp;Cube1,$J$12,$L$13,$J$14,$M$1,$J$11,$J$15,$D86)</f>
        <v>-19718</v>
      </c>
      <c r="N86" s="152">
        <f t="shared" ca="1" si="104"/>
        <v>8123.77</v>
      </c>
      <c r="O86" s="153">
        <f t="shared" ref="O86" ca="1" si="120">IF(ISERROR(N86/M86),"-",N86/M86)</f>
        <v>-0.4119976671061974</v>
      </c>
      <c r="P86" s="138"/>
      <c r="Q86" s="151">
        <f ca="1">_xll.DBRW(Server&amp;Cube1,$J$12,$L$13,$J$14,$Q$1,$J$11,$J$15,$D86)</f>
        <v>0</v>
      </c>
      <c r="R86" s="152">
        <f t="shared" ref="R86" ca="1" si="121">L86-Q86</f>
        <v>-11594.23</v>
      </c>
      <c r="S86" s="153" t="str">
        <f t="shared" ref="S86" ca="1" si="122">IF(ISERROR(R86/Q86),"-",R86/Q86)</f>
        <v>-</v>
      </c>
      <c r="T86" s="138"/>
      <c r="U86" s="151">
        <f ca="1">_xll.DBRW(Server&amp;Cube1,$J$12,$L$13,$J$14,$U$1,$U$2,$J$15,$D86)</f>
        <v>-9455.3599999999988</v>
      </c>
      <c r="V86" s="152">
        <f t="shared" ref="V86" ca="1" si="123">L86-U86</f>
        <v>-2138.8700000000008</v>
      </c>
      <c r="W86" s="153">
        <f t="shared" ref="W86" ca="1" si="124">IF(ISERROR(V86/U86),"-",V86/U86)</f>
        <v>0.22620714599972938</v>
      </c>
      <c r="X86" s="65"/>
      <c r="Y86" s="31"/>
      <c r="Z86" s="9"/>
      <c r="AA86" s="66"/>
      <c r="AB86" s="66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</row>
    <row r="87" spans="1:118" ht="21" hidden="1" customHeight="1" outlineLevel="1" thickTop="1" thickBot="1" x14ac:dyDescent="0.3">
      <c r="B87" s="60"/>
      <c r="C87" s="44"/>
      <c r="D87" s="203" t="s">
        <v>64</v>
      </c>
      <c r="E87" s="62"/>
      <c r="F87" s="63"/>
      <c r="G87" s="41"/>
      <c r="H87" s="247" t="str">
        <f ca="1">_xll.DBRA(Server&amp;$D$20,$D87,"French")</f>
        <v>Téléphone mobile</v>
      </c>
      <c r="I87" s="247"/>
      <c r="J87" s="247"/>
      <c r="K87" s="150"/>
      <c r="L87" s="168">
        <f ca="1">_xll.DBRW(Server&amp;Cube1,$J$12,$L$13,$J$14,$L$1,$J$11,$J$15,$D87)</f>
        <v>-903.76</v>
      </c>
      <c r="M87" s="168">
        <f ca="1">_xll.DBRW(Server&amp;Cube1,$J$12,$L$13,$J$14,$M$1,$J$11,$J$15,$D87)</f>
        <v>-3163.0000000000009</v>
      </c>
      <c r="N87" s="169">
        <f t="shared" ca="1" si="104"/>
        <v>2259.2400000000007</v>
      </c>
      <c r="O87" s="153">
        <f t="shared" ca="1" si="96"/>
        <v>-0.71427126146063868</v>
      </c>
      <c r="P87" s="138"/>
      <c r="Q87" s="168">
        <f ca="1">_xll.DBRW(Server&amp;Cube1,$J$12,$L$13,$J$14,$Q$1,$J$11,$J$15,$D87)</f>
        <v>0</v>
      </c>
      <c r="R87" s="169">
        <f t="shared" ca="1" si="94"/>
        <v>-903.76</v>
      </c>
      <c r="S87" s="153" t="str">
        <f t="shared" ca="1" si="95"/>
        <v>-</v>
      </c>
      <c r="T87" s="138"/>
      <c r="U87" s="168">
        <f ca="1">_xll.DBRW(Server&amp;Cube1,$J$12,$L$13,$J$14,$U$1,$U$2,$J$15,$D87)</f>
        <v>-3472.5600000000004</v>
      </c>
      <c r="V87" s="169">
        <f t="shared" ca="1" si="97"/>
        <v>2568.8000000000002</v>
      </c>
      <c r="W87" s="153">
        <f t="shared" ca="1" si="98"/>
        <v>-0.73974243785564542</v>
      </c>
      <c r="X87" s="65"/>
      <c r="Y87" s="31"/>
      <c r="Z87" s="9"/>
      <c r="AA87" s="66"/>
      <c r="AB87" s="66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</row>
    <row r="88" spans="1:118" s="37" customFormat="1" ht="23.25" customHeight="1" collapsed="1" thickTop="1" thickBot="1" x14ac:dyDescent="0.3">
      <c r="A88" s="10"/>
      <c r="B88" s="1"/>
      <c r="C88" s="44"/>
      <c r="D88" s="206" t="s">
        <v>65</v>
      </c>
      <c r="E88" s="68"/>
      <c r="F88" s="69"/>
      <c r="G88" s="239" t="str">
        <f ca="1">_xll.DBRA(Server&amp;$D$20,$D88,"French")</f>
        <v>Honoraires</v>
      </c>
      <c r="H88" s="239" t="str">
        <f ca="1">_xll.DBRA(Server&amp;$D$20,$D88,"French")</f>
        <v>Honoraires</v>
      </c>
      <c r="I88" s="239"/>
      <c r="J88" s="239"/>
      <c r="K88" s="154" t="s">
        <v>3</v>
      </c>
      <c r="L88" s="165">
        <f ca="1">_xll.DBRW(Server&amp;Cube1,$J$12,$L$13,$J$14,$L$1,$J$11,$J$15,$D88)</f>
        <v>-72181.789999999994</v>
      </c>
      <c r="M88" s="165">
        <f ca="1">_xll.DBRW(Server&amp;Cube1,$J$12,$L$13,$J$14,$M$1,$J$11,$J$15,$D88)</f>
        <v>-89863.999999999985</v>
      </c>
      <c r="N88" s="166">
        <f t="shared" ca="1" si="104"/>
        <v>17682.209999999992</v>
      </c>
      <c r="O88" s="167">
        <f t="shared" ca="1" si="96"/>
        <v>-0.19676633579631436</v>
      </c>
      <c r="P88" s="132"/>
      <c r="Q88" s="165">
        <f ca="1">_xll.DBRW(Server&amp;Cube1,$J$12,$L$13,$J$14,$Q$1,$J$11,$J$15,$D88)</f>
        <v>0</v>
      </c>
      <c r="R88" s="166">
        <f t="shared" ca="1" si="94"/>
        <v>-72181.789999999994</v>
      </c>
      <c r="S88" s="167" t="str">
        <f t="shared" ca="1" si="95"/>
        <v>-</v>
      </c>
      <c r="T88" s="132"/>
      <c r="U88" s="165">
        <f ca="1">_xll.DBRW(Server&amp;Cube1,$J$12,$L$13,$J$14,$U$1,$U$2,$J$15,$D88)</f>
        <v>-101568.35</v>
      </c>
      <c r="V88" s="166">
        <f t="shared" ca="1" si="97"/>
        <v>29386.560000000012</v>
      </c>
      <c r="W88" s="167">
        <f t="shared" ca="1" si="98"/>
        <v>-0.28932792548072317</v>
      </c>
      <c r="X88" s="64"/>
      <c r="Y88" s="31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</row>
    <row r="89" spans="1:118" ht="21" hidden="1" customHeight="1" outlineLevel="1" x14ac:dyDescent="0.25">
      <c r="B89" s="60"/>
      <c r="C89" s="44"/>
      <c r="D89" s="203" t="s">
        <v>106</v>
      </c>
      <c r="E89" s="62"/>
      <c r="F89" s="63"/>
      <c r="G89" s="41"/>
      <c r="H89" s="232" t="str">
        <f ca="1">_xll.DBRA(Server&amp;$D$20,$D89,"French")</f>
        <v>Assistance comptable et financière</v>
      </c>
      <c r="I89" s="232"/>
      <c r="J89" s="232"/>
      <c r="K89" s="150"/>
      <c r="L89" s="151">
        <f ca="1">_xll.DBRW(Server&amp;Cube1,$J$12,$L$13,$J$14,$L$1,$J$11,$J$15,$D89)</f>
        <v>-69881.789999999994</v>
      </c>
      <c r="M89" s="151">
        <f ca="1">_xll.DBRW(Server&amp;Cube1,$J$12,$L$13,$J$14,$M$1,$J$11,$J$15,$D89)</f>
        <v>-69882</v>
      </c>
      <c r="N89" s="152">
        <f t="shared" ref="N89:N126" ca="1" si="125">L89-M89</f>
        <v>0.21000000000640284</v>
      </c>
      <c r="O89" s="153">
        <f t="shared" ca="1" si="96"/>
        <v>-3.0050656822415336E-6</v>
      </c>
      <c r="P89" s="138"/>
      <c r="Q89" s="151">
        <f ca="1">_xll.DBRW(Server&amp;Cube1,$J$12,$L$13,$J$14,$Q$1,$J$11,$J$15,$D89)</f>
        <v>0</v>
      </c>
      <c r="R89" s="152">
        <f t="shared" ca="1" si="94"/>
        <v>-69881.789999999994</v>
      </c>
      <c r="S89" s="153" t="str">
        <f t="shared" ca="1" si="95"/>
        <v>-</v>
      </c>
      <c r="T89" s="138"/>
      <c r="U89" s="151">
        <f ca="1">_xll.DBRW(Server&amp;Cube1,$J$12,$L$13,$J$14,$U$1,$U$2,$J$15,$D89)</f>
        <v>-99256</v>
      </c>
      <c r="V89" s="152">
        <f t="shared" ca="1" si="97"/>
        <v>29374.210000000006</v>
      </c>
      <c r="W89" s="153">
        <f t="shared" ca="1" si="98"/>
        <v>-0.29594392278552434</v>
      </c>
      <c r="X89" s="65"/>
      <c r="Y89" s="31"/>
      <c r="Z89" s="9"/>
      <c r="AA89" s="66"/>
      <c r="AB89" s="66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</row>
    <row r="90" spans="1:118" ht="21" hidden="1" customHeight="1" outlineLevel="1" x14ac:dyDescent="0.25">
      <c r="B90" s="60"/>
      <c r="C90" s="44"/>
      <c r="D90" s="214" t="s">
        <v>107</v>
      </c>
      <c r="E90" s="62"/>
      <c r="F90" s="63"/>
      <c r="G90" s="41"/>
      <c r="H90" s="219" t="str">
        <f ca="1">_xll.DBRA(Server&amp;$D$20,$D90,"French")</f>
        <v>Honoraires CAC</v>
      </c>
      <c r="I90" s="219"/>
      <c r="J90" s="219"/>
      <c r="K90" s="150"/>
      <c r="L90" s="151">
        <f ca="1">_xll.DBRW(Server&amp;Cube1,$J$12,$L$13,$J$14,$L$1,$J$11,$J$15,$D90)</f>
        <v>-2300</v>
      </c>
      <c r="M90" s="151">
        <f ca="1">_xll.DBRW(Server&amp;Cube1,$J$12,$L$13,$J$14,$M$1,$J$11,$J$15,$D90)</f>
        <v>-2382</v>
      </c>
      <c r="N90" s="152">
        <f t="shared" ref="N90" ca="1" si="126">L90-M90</f>
        <v>82</v>
      </c>
      <c r="O90" s="153">
        <f t="shared" ref="O90" ca="1" si="127">IF(ISERROR(N90/M90),"-",N90/M90)</f>
        <v>-3.4424853064651553E-2</v>
      </c>
      <c r="P90" s="138"/>
      <c r="Q90" s="151">
        <f ca="1">_xll.DBRW(Server&amp;Cube1,$J$12,$L$13,$J$14,$Q$1,$J$11,$J$15,$D90)</f>
        <v>0</v>
      </c>
      <c r="R90" s="152">
        <f t="shared" ref="R90" ca="1" si="128">L90-Q90</f>
        <v>-2300</v>
      </c>
      <c r="S90" s="153" t="str">
        <f t="shared" ref="S90" ca="1" si="129">IF(ISERROR(R90/Q90),"-",R90/Q90)</f>
        <v>-</v>
      </c>
      <c r="T90" s="138"/>
      <c r="U90" s="151">
        <f ca="1">_xll.DBRW(Server&amp;Cube1,$J$12,$L$13,$J$14,$U$1,$U$2,$J$15,$D90)</f>
        <v>-2312.3499999999995</v>
      </c>
      <c r="V90" s="152">
        <f t="shared" ref="V90" ca="1" si="130">L90-U90</f>
        <v>12.349999999999454</v>
      </c>
      <c r="W90" s="153">
        <f t="shared" ref="W90" ca="1" si="131">IF(ISERROR(V90/U90),"-",V90/U90)</f>
        <v>-5.3408869764522918E-3</v>
      </c>
      <c r="X90" s="65"/>
      <c r="Y90" s="31"/>
      <c r="Z90" s="9"/>
      <c r="AA90" s="66"/>
      <c r="AB90" s="66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</row>
    <row r="91" spans="1:118" ht="21" hidden="1" customHeight="1" outlineLevel="1" x14ac:dyDescent="0.25">
      <c r="B91" s="60"/>
      <c r="C91" s="44"/>
      <c r="D91" s="214" t="s">
        <v>111</v>
      </c>
      <c r="E91" s="62"/>
      <c r="F91" s="63"/>
      <c r="G91" s="41"/>
      <c r="H91" s="219" t="str">
        <f ca="1">_xll.DBRA(Server&amp;$D$20,$D91,"French")</f>
        <v>Honoraires - Conseils</v>
      </c>
      <c r="I91" s="219"/>
      <c r="J91" s="219"/>
      <c r="K91" s="150"/>
      <c r="L91" s="151">
        <f ca="1">_xll.DBRW(Server&amp;Cube1,$J$12,$L$13,$J$14,$L$1,$J$11,$J$15,$D91)</f>
        <v>0</v>
      </c>
      <c r="M91" s="151">
        <f ca="1">_xll.DBRW(Server&amp;Cube1,$J$12,$L$13,$J$14,$M$1,$J$11,$J$15,$D91)</f>
        <v>-17500</v>
      </c>
      <c r="N91" s="152">
        <f t="shared" ref="N91" ca="1" si="132">L91-M91</f>
        <v>17500</v>
      </c>
      <c r="O91" s="153">
        <f t="shared" ref="O91" ca="1" si="133">IF(ISERROR(N91/M91),"-",N91/M91)</f>
        <v>-1</v>
      </c>
      <c r="P91" s="138"/>
      <c r="Q91" s="151">
        <f ca="1">_xll.DBRW(Server&amp;Cube1,$J$12,$L$13,$J$14,$Q$1,$J$11,$J$15,$D91)</f>
        <v>0</v>
      </c>
      <c r="R91" s="152">
        <f t="shared" ref="R91" ca="1" si="134">L91-Q91</f>
        <v>0</v>
      </c>
      <c r="S91" s="153" t="str">
        <f t="shared" ref="S91" ca="1" si="135">IF(ISERROR(R91/Q91),"-",R91/Q91)</f>
        <v>-</v>
      </c>
      <c r="T91" s="138"/>
      <c r="U91" s="151">
        <f ca="1">_xll.DBRW(Server&amp;Cube1,$J$12,$L$13,$J$14,$U$1,$U$2,$J$15,$D91)</f>
        <v>0</v>
      </c>
      <c r="V91" s="152">
        <f t="shared" ref="V91" ca="1" si="136">L91-U91</f>
        <v>0</v>
      </c>
      <c r="W91" s="153" t="str">
        <f t="shared" ref="W91" ca="1" si="137">IF(ISERROR(V91/U91),"-",V91/U91)</f>
        <v>-</v>
      </c>
      <c r="X91" s="65"/>
      <c r="Y91" s="31"/>
      <c r="Z91" s="9"/>
      <c r="AA91" s="66"/>
      <c r="AB91" s="66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</row>
    <row r="92" spans="1:118" ht="21" hidden="1" customHeight="1" outlineLevel="1" thickBot="1" x14ac:dyDescent="0.3">
      <c r="B92" s="60"/>
      <c r="C92" s="44"/>
      <c r="D92" s="203" t="s">
        <v>66</v>
      </c>
      <c r="E92" s="62"/>
      <c r="F92" s="63"/>
      <c r="G92" s="41"/>
      <c r="H92" s="232" t="str">
        <f ca="1">_xll.DBRA(Server&amp;$D$20,$D92,"French")</f>
        <v>Frais d'actes et de contentieux publications et divers</v>
      </c>
      <c r="I92" s="232"/>
      <c r="J92" s="232"/>
      <c r="K92" s="150"/>
      <c r="L92" s="168">
        <f ca="1">_xll.DBRW(Server&amp;Cube1,$J$12,$L$13,$J$14,$L$1,$J$11,$J$15,$D92)</f>
        <v>0</v>
      </c>
      <c r="M92" s="168">
        <f ca="1">_xll.DBRW(Server&amp;Cube1,$J$12,$L$13,$J$14,$M$1,$J$11,$J$15,$D92)</f>
        <v>-100.00000000000001</v>
      </c>
      <c r="N92" s="169">
        <f t="shared" ca="1" si="125"/>
        <v>100.00000000000001</v>
      </c>
      <c r="O92" s="153">
        <f t="shared" ca="1" si="96"/>
        <v>-1</v>
      </c>
      <c r="P92" s="138"/>
      <c r="Q92" s="168">
        <f ca="1">_xll.DBRW(Server&amp;Cube1,$J$12,$L$13,$J$14,$Q$1,$J$11,$J$15,$D92)</f>
        <v>0</v>
      </c>
      <c r="R92" s="169">
        <f t="shared" ca="1" si="94"/>
        <v>0</v>
      </c>
      <c r="S92" s="153" t="str">
        <f t="shared" ca="1" si="95"/>
        <v>-</v>
      </c>
      <c r="T92" s="138"/>
      <c r="U92" s="168">
        <f ca="1">_xll.DBRW(Server&amp;Cube1,$J$12,$L$13,$J$14,$U$1,$U$2,$J$15,$D92)</f>
        <v>0</v>
      </c>
      <c r="V92" s="169">
        <f t="shared" ca="1" si="97"/>
        <v>0</v>
      </c>
      <c r="W92" s="153" t="str">
        <f t="shared" ca="1" si="98"/>
        <v>-</v>
      </c>
      <c r="X92" s="65"/>
      <c r="Y92" s="31"/>
      <c r="Z92" s="9"/>
      <c r="AA92" s="66"/>
      <c r="AB92" s="66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</row>
    <row r="93" spans="1:118" s="37" customFormat="1" ht="23.25" customHeight="1" collapsed="1" thickTop="1" x14ac:dyDescent="0.25">
      <c r="A93" s="221"/>
      <c r="C93" s="44"/>
      <c r="D93" s="206" t="s">
        <v>67</v>
      </c>
      <c r="E93" s="68"/>
      <c r="F93" s="69"/>
      <c r="G93" s="239" t="str">
        <f ca="1">_xll.DBRA(Server&amp;$D$20,$D93,"French")</f>
        <v>Autres frais</v>
      </c>
      <c r="H93" s="239" t="str">
        <f ca="1">_xll.DBRA(Server&amp;$D$20,$D93,"French")</f>
        <v>Autres frais</v>
      </c>
      <c r="I93" s="239"/>
      <c r="J93" s="239"/>
      <c r="K93" s="154" t="s">
        <v>3</v>
      </c>
      <c r="L93" s="165">
        <f ca="1">SUM(L94:L127)</f>
        <v>-271523.68</v>
      </c>
      <c r="M93" s="165">
        <f ca="1">SUM(M94:M127)</f>
        <v>-250671</v>
      </c>
      <c r="N93" s="165">
        <f ca="1">SUM(N94:N127)</f>
        <v>-20852.679999999989</v>
      </c>
      <c r="O93" s="167">
        <f ca="1">IF(ISERROR(N93/M93),"-",N93/M93)</f>
        <v>8.3187444897894008E-2</v>
      </c>
      <c r="P93" s="132"/>
      <c r="Q93" s="165">
        <f ca="1">SUM(Q94:Q127)</f>
        <v>-271523.68</v>
      </c>
      <c r="R93" s="166">
        <f t="shared" ca="1" si="94"/>
        <v>-271523.68</v>
      </c>
      <c r="S93" s="167" t="str">
        <f t="shared" ca="1" si="95"/>
        <v>-</v>
      </c>
      <c r="T93" s="132"/>
      <c r="U93" s="165">
        <f ca="1">SUM(U94:U127)</f>
        <v>-329314.43</v>
      </c>
      <c r="V93" s="166">
        <f ca="1">SUM(V94:V127)</f>
        <v>57790.749999999985</v>
      </c>
      <c r="W93" s="167">
        <f ca="1">IF(ISERROR(V93/U93),"-",V93/U93)</f>
        <v>-0.17548805863138153</v>
      </c>
      <c r="X93" s="64"/>
      <c r="Y93" s="31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</row>
    <row r="94" spans="1:118" ht="21" hidden="1" customHeight="1" outlineLevel="1" x14ac:dyDescent="0.25">
      <c r="B94" s="60"/>
      <c r="C94" s="44"/>
      <c r="D94" s="214" t="s">
        <v>160</v>
      </c>
      <c r="E94" s="62"/>
      <c r="F94" s="63"/>
      <c r="G94" s="41"/>
      <c r="H94" s="232" t="s">
        <v>169</v>
      </c>
      <c r="I94" s="232"/>
      <c r="J94" s="232"/>
      <c r="K94" s="150"/>
      <c r="L94" s="151">
        <f ca="1">_xll.DBRW(Server&amp;Cube1,$J$12,$L$13,$J$14,$L$1,$J$11,$J$15,$D94)</f>
        <v>0</v>
      </c>
      <c r="M94" s="151">
        <f ca="1">_xll.DBRW(Server&amp;Cube1,$J$12,$L$13,$J$14,$M$1,$J$11,$J$15,$D94)</f>
        <v>0</v>
      </c>
      <c r="N94" s="152">
        <f t="shared" ref="N94" ca="1" si="138">L94-M94</f>
        <v>0</v>
      </c>
      <c r="O94" s="153" t="str">
        <f t="shared" ref="O94" ca="1" si="139">IF(ISERROR(N94/M94),"-",N94/M94)</f>
        <v>-</v>
      </c>
      <c r="P94" s="138"/>
      <c r="Q94" s="151">
        <f ca="1">_xll.DBRW(Server&amp;Cube1,$J$12,$L$13,$J$14,$Q$1,$J$11,$J$15,$D94)</f>
        <v>0</v>
      </c>
      <c r="R94" s="152">
        <f t="shared" ref="R94" ca="1" si="140">L94-Q94</f>
        <v>0</v>
      </c>
      <c r="S94" s="153" t="str">
        <f t="shared" ref="S94" ca="1" si="141">IF(ISERROR(R94/Q94),"-",R94/Q94)</f>
        <v>-</v>
      </c>
      <c r="T94" s="138"/>
      <c r="U94" s="151">
        <f ca="1">_xll.DBRW(Server&amp;Cube1,$J$12,$L$13,$J$14,$U$1,$U$2,$J$15,$D94)</f>
        <v>0</v>
      </c>
      <c r="V94" s="152">
        <f t="shared" ref="V94" ca="1" si="142">L94-U94</f>
        <v>0</v>
      </c>
      <c r="W94" s="153" t="str">
        <f t="shared" ref="W94" ca="1" si="143">IF(ISERROR(V94/U94),"-",V94/U94)</f>
        <v>-</v>
      </c>
      <c r="X94" s="65"/>
      <c r="Y94" s="31"/>
      <c r="Z94" s="9"/>
      <c r="AA94" s="66"/>
      <c r="AB94" s="66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</row>
    <row r="95" spans="1:118" ht="21" hidden="1" customHeight="1" outlineLevel="1" x14ac:dyDescent="0.25">
      <c r="B95" s="60"/>
      <c r="C95" s="44"/>
      <c r="D95" s="214" t="s">
        <v>164</v>
      </c>
      <c r="E95" s="62"/>
      <c r="F95" s="63"/>
      <c r="G95" s="41"/>
      <c r="H95" s="232" t="s">
        <v>172</v>
      </c>
      <c r="I95" s="232"/>
      <c r="J95" s="232"/>
      <c r="K95" s="150"/>
      <c r="L95" s="151">
        <f ca="1">_xll.DBRW(Server&amp;Cube1,$J$12,$L$13,$J$14,$L$1,$J$11,$J$15,$D95)</f>
        <v>0</v>
      </c>
      <c r="M95" s="151">
        <f ca="1">_xll.DBRW(Server&amp;Cube1,$J$12,$L$13,$J$14,$M$1,$J$11,$J$15,$D95)</f>
        <v>0</v>
      </c>
      <c r="N95" s="152">
        <f t="shared" ref="N95" ca="1" si="144">L95-M95</f>
        <v>0</v>
      </c>
      <c r="O95" s="153" t="str">
        <f t="shared" ref="O95" ca="1" si="145">IF(ISERROR(N95/M95),"-",N95/M95)</f>
        <v>-</v>
      </c>
      <c r="P95" s="138"/>
      <c r="Q95" s="151">
        <f ca="1">_xll.DBRW(Server&amp;Cube1,$J$12,$L$13,$J$14,$Q$1,$J$11,$J$15,$D95)</f>
        <v>0</v>
      </c>
      <c r="R95" s="152">
        <f t="shared" ref="R95" ca="1" si="146">L95-Q95</f>
        <v>0</v>
      </c>
      <c r="S95" s="153" t="str">
        <f t="shared" ref="S95" ca="1" si="147">IF(ISERROR(R95/Q95),"-",R95/Q95)</f>
        <v>-</v>
      </c>
      <c r="T95" s="138"/>
      <c r="U95" s="151">
        <f ca="1">_xll.DBRW(Server&amp;Cube1,$J$12,$L$13,$J$14,$U$1,$U$2,$J$15,$D95)</f>
        <v>0</v>
      </c>
      <c r="V95" s="152">
        <f t="shared" ref="V95" ca="1" si="148">L95-U95</f>
        <v>0</v>
      </c>
      <c r="W95" s="153" t="str">
        <f t="shared" ref="W95" ca="1" si="149">IF(ISERROR(V95/U95),"-",V95/U95)</f>
        <v>-</v>
      </c>
      <c r="X95" s="65"/>
      <c r="Y95" s="31"/>
      <c r="Z95" s="9"/>
      <c r="AA95" s="66"/>
      <c r="AB95" s="66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</row>
    <row r="96" spans="1:118" ht="21" hidden="1" customHeight="1" outlineLevel="1" x14ac:dyDescent="0.25">
      <c r="B96" s="60"/>
      <c r="C96" s="44"/>
      <c r="D96" s="214" t="s">
        <v>112</v>
      </c>
      <c r="E96" s="62"/>
      <c r="F96" s="63"/>
      <c r="G96" s="41"/>
      <c r="H96" s="232" t="str">
        <f ca="1">_xll.DBRA(Server&amp;$D$20,$D96,"French")</f>
        <v>Achat petit mobilier</v>
      </c>
      <c r="I96" s="232"/>
      <c r="J96" s="232"/>
      <c r="K96" s="150"/>
      <c r="L96" s="151">
        <f ca="1">_xll.DBRW(Server&amp;Cube1,$J$12,$L$13,$J$14,$L$1,$J$11,$J$15,$D96)</f>
        <v>0</v>
      </c>
      <c r="M96" s="151">
        <f ca="1">_xll.DBRW(Server&amp;Cube1,$J$12,$L$13,$J$14,$M$1,$J$11,$J$15,$D96)</f>
        <v>0</v>
      </c>
      <c r="N96" s="152">
        <f ca="1">L96-M96</f>
        <v>0</v>
      </c>
      <c r="O96" s="153" t="str">
        <f ca="1">IF(ISERROR(N96/M96),"-",N96/M96)</f>
        <v>-</v>
      </c>
      <c r="P96" s="138"/>
      <c r="Q96" s="151">
        <f ca="1">_xll.DBRW(Server&amp;Cube1,$J$12,$L$13,$J$14,$Q$1,$J$11,$J$15,$D96)</f>
        <v>0</v>
      </c>
      <c r="R96" s="152">
        <f ca="1">L96-Q96</f>
        <v>0</v>
      </c>
      <c r="S96" s="153" t="str">
        <f ca="1">IF(ISERROR(R96/Q96),"-",R96/Q96)</f>
        <v>-</v>
      </c>
      <c r="T96" s="138"/>
      <c r="U96" s="151">
        <f ca="1">_xll.DBRW(Server&amp;Cube1,$J$12,$L$13,$J$14,$U$1,$U$2,$J$15,$D96)</f>
        <v>0</v>
      </c>
      <c r="V96" s="152">
        <f ca="1">L96-U96</f>
        <v>0</v>
      </c>
      <c r="W96" s="153" t="str">
        <f ca="1">IF(ISERROR(V96/U96),"-",V96/U96)</f>
        <v>-</v>
      </c>
      <c r="X96" s="65"/>
      <c r="Y96" s="31"/>
      <c r="Z96" s="9"/>
      <c r="AA96" s="66"/>
      <c r="AB96" s="66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</row>
    <row r="97" spans="2:118" ht="21" hidden="1" customHeight="1" outlineLevel="1" x14ac:dyDescent="0.25">
      <c r="B97" s="60"/>
      <c r="C97" s="44"/>
      <c r="D97" s="214" t="s">
        <v>72</v>
      </c>
      <c r="E97" s="62"/>
      <c r="F97" s="63"/>
      <c r="G97" s="41"/>
      <c r="H97" s="232" t="s">
        <v>170</v>
      </c>
      <c r="I97" s="232"/>
      <c r="J97" s="232"/>
      <c r="K97" s="150"/>
      <c r="L97" s="151">
        <f ca="1">_xll.DBRW(Server&amp;Cube1,$J$12,$L$13,$J$14,$L$1,$J$11,$J$15,$D97)</f>
        <v>-4459.3900000000003</v>
      </c>
      <c r="M97" s="151">
        <f ca="1">_xll.DBRW(Server&amp;Cube1,$J$12,$L$13,$J$14,$M$1,$J$11,$J$15,$D97)</f>
        <v>-4625</v>
      </c>
      <c r="N97" s="152">
        <f ca="1">L97-M97</f>
        <v>165.60999999999967</v>
      </c>
      <c r="O97" s="153">
        <f ca="1">IF(ISERROR(N97/M97),"-",N97/M97)</f>
        <v>-3.5807567567567498E-2</v>
      </c>
      <c r="P97" s="138"/>
      <c r="Q97" s="151">
        <f ca="1">_xll.DBRW(Server&amp;Cube1,$J$12,$L$13,$J$14,$Q$1,$J$11,$J$15,$D97)</f>
        <v>0</v>
      </c>
      <c r="R97" s="152">
        <f ca="1">L97-Q97</f>
        <v>-4459.3900000000003</v>
      </c>
      <c r="S97" s="153" t="str">
        <f ca="1">IF(ISERROR(R97/Q97),"-",R97/Q97)</f>
        <v>-</v>
      </c>
      <c r="T97" s="138"/>
      <c r="U97" s="151">
        <f ca="1">_xll.DBRW(Server&amp;Cube1,$J$12,$L$13,$J$14,$U$1,$U$2,$J$15,$D97)</f>
        <v>-4978.3399999999992</v>
      </c>
      <c r="V97" s="152">
        <f ca="1">L97-U97</f>
        <v>518.94999999999891</v>
      </c>
      <c r="W97" s="153">
        <f ca="1">IF(ISERROR(V97/U97),"-",V97/U97)</f>
        <v>-0.104241574500737</v>
      </c>
      <c r="X97" s="65"/>
      <c r="Y97" s="31"/>
      <c r="Z97" s="9"/>
      <c r="AA97" s="66"/>
      <c r="AB97" s="66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</row>
    <row r="98" spans="2:118" ht="21" hidden="1" customHeight="1" outlineLevel="1" x14ac:dyDescent="0.25">
      <c r="B98" s="60"/>
      <c r="C98" s="44"/>
      <c r="D98" s="214" t="s">
        <v>73</v>
      </c>
      <c r="E98" s="62"/>
      <c r="F98" s="63"/>
      <c r="G98" s="41"/>
      <c r="H98" s="232" t="str">
        <f ca="1">_xll.DBRA(Server&amp;$D$20,$D98,"French")</f>
        <v>Achats imprimés de bureau/Imprimerie</v>
      </c>
      <c r="I98" s="232"/>
      <c r="J98" s="232"/>
      <c r="K98" s="150"/>
      <c r="L98" s="151">
        <f ca="1">_xll.DBRW(Server&amp;Cube1,$J$12,$L$13,$J$14,$L$1,$J$11,$J$15,$D98)</f>
        <v>-989.38</v>
      </c>
      <c r="M98" s="151">
        <f ca="1">_xll.DBRW(Server&amp;Cube1,$J$12,$L$13,$J$14,$M$1,$J$11,$J$15,$D98)</f>
        <v>-999.99999999999989</v>
      </c>
      <c r="N98" s="152">
        <f ca="1">L98-M98</f>
        <v>10.619999999999891</v>
      </c>
      <c r="O98" s="153">
        <f ca="1">IF(ISERROR(N98/M98),"-",N98/M98)</f>
        <v>-1.0619999999999892E-2</v>
      </c>
      <c r="P98" s="138"/>
      <c r="Q98" s="151">
        <f ca="1">_xll.DBRW(Server&amp;Cube1,$J$12,$L$13,$J$14,$Q$1,$J$11,$J$15,$D98)</f>
        <v>0</v>
      </c>
      <c r="R98" s="152">
        <f ca="1">L98-Q98</f>
        <v>-989.38</v>
      </c>
      <c r="S98" s="153" t="str">
        <f ca="1">IF(ISERROR(R98/Q98),"-",R98/Q98)</f>
        <v>-</v>
      </c>
      <c r="T98" s="138"/>
      <c r="U98" s="151">
        <f ca="1">_xll.DBRW(Server&amp;Cube1,$J$12,$L$13,$J$14,$U$1,$U$2,$J$15,$D98)</f>
        <v>-1239.3900000000001</v>
      </c>
      <c r="V98" s="152">
        <f ca="1">L98-U98</f>
        <v>250.0100000000001</v>
      </c>
      <c r="W98" s="153">
        <f ca="1">IF(ISERROR(V98/U98),"-",V98/U98)</f>
        <v>-0.20172020106665384</v>
      </c>
      <c r="X98" s="65"/>
      <c r="Y98" s="31"/>
      <c r="Z98" s="9"/>
      <c r="AA98" s="66"/>
      <c r="AB98" s="66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</row>
    <row r="99" spans="2:118" ht="21" hidden="1" customHeight="1" outlineLevel="1" x14ac:dyDescent="0.25">
      <c r="B99" s="60"/>
      <c r="C99" s="44"/>
      <c r="D99" s="214" t="s">
        <v>74</v>
      </c>
      <c r="E99" s="62"/>
      <c r="F99" s="63"/>
      <c r="G99" s="41"/>
      <c r="H99" s="232" t="str">
        <f ca="1">_xll.DBRA(Server&amp;$D$20,$D99,"French")</f>
        <v>Achats fournitures informatiques</v>
      </c>
      <c r="I99" s="232"/>
      <c r="J99" s="232"/>
      <c r="K99" s="150"/>
      <c r="L99" s="151">
        <f ca="1">_xll.DBRW(Server&amp;Cube1,$J$12,$L$13,$J$14,$L$1,$J$11,$J$15,$D99)</f>
        <v>-4079.53</v>
      </c>
      <c r="M99" s="151">
        <f ca="1">_xll.DBRW(Server&amp;Cube1,$J$12,$L$13,$J$14,$M$1,$J$11,$J$15,$D99)</f>
        <v>-450</v>
      </c>
      <c r="N99" s="152">
        <f ca="1">L99-M99</f>
        <v>-3629.53</v>
      </c>
      <c r="O99" s="153">
        <f ca="1">IF(ISERROR(N99/M99),"-",N99/M99)</f>
        <v>8.0656222222222222</v>
      </c>
      <c r="P99" s="138"/>
      <c r="Q99" s="151">
        <f ca="1">_xll.DBRW(Server&amp;Cube1,$J$12,$L$13,$J$14,$Q$1,$J$11,$J$15,$D99)</f>
        <v>0</v>
      </c>
      <c r="R99" s="152">
        <f ca="1">L99-Q99</f>
        <v>-4079.53</v>
      </c>
      <c r="S99" s="153" t="str">
        <f ca="1">IF(ISERROR(R99/Q99),"-",R99/Q99)</f>
        <v>-</v>
      </c>
      <c r="T99" s="138"/>
      <c r="U99" s="151">
        <f ca="1">_xll.DBRW(Server&amp;Cube1,$J$12,$L$13,$J$14,$U$1,$U$2,$J$15,$D99)</f>
        <v>3546.67</v>
      </c>
      <c r="V99" s="152">
        <f t="shared" ref="V99" ca="1" si="150">L99-U99</f>
        <v>-7626.2000000000007</v>
      </c>
      <c r="W99" s="153">
        <f ca="1">IF(ISERROR(V99/U99),"-",V99/U99)</f>
        <v>-2.150242339997801</v>
      </c>
      <c r="X99" s="65"/>
      <c r="Y99" s="31"/>
      <c r="Z99" s="9"/>
      <c r="AA99" s="66"/>
      <c r="AB99" s="66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</row>
    <row r="100" spans="2:118" ht="21" hidden="1" customHeight="1" outlineLevel="1" x14ac:dyDescent="0.25">
      <c r="B100" s="60"/>
      <c r="C100" s="44"/>
      <c r="D100" s="203" t="s">
        <v>69</v>
      </c>
      <c r="E100" s="62"/>
      <c r="F100" s="63"/>
      <c r="G100" s="41"/>
      <c r="H100" s="232" t="str">
        <f ca="1">_xll.DBRA(Server&amp;$D$20,$D100,"French")</f>
        <v>Location bureau structure</v>
      </c>
      <c r="I100" s="232"/>
      <c r="J100" s="232"/>
      <c r="K100" s="150"/>
      <c r="L100" s="151">
        <f ca="1">_xll.DBRW(Server&amp;Cube1,$J$12,$L$13,$J$14,$L$1,$J$11,$J$15,$D100)</f>
        <v>-111569.22</v>
      </c>
      <c r="M100" s="151">
        <f ca="1">_xll.DBRW(Server&amp;Cube1,$J$12,$L$13,$J$14,$M$1,$J$11,$J$15,$D100)</f>
        <v>-97210</v>
      </c>
      <c r="N100" s="152">
        <f t="shared" ca="1" si="125"/>
        <v>-14359.220000000001</v>
      </c>
      <c r="O100" s="153">
        <f t="shared" ca="1" si="96"/>
        <v>0.14771340397078492</v>
      </c>
      <c r="P100" s="138"/>
      <c r="Q100" s="151">
        <f ca="1">_xll.DBRW(Server&amp;Cube1,$J$12,$L$13,$J$14,$Q$1,$J$11,$J$15,$D100)</f>
        <v>0</v>
      </c>
      <c r="R100" s="152">
        <f t="shared" ca="1" si="94"/>
        <v>-111569.22</v>
      </c>
      <c r="S100" s="153" t="str">
        <f t="shared" ca="1" si="95"/>
        <v>-</v>
      </c>
      <c r="T100" s="138"/>
      <c r="U100" s="151">
        <f ca="1">_xll.DBRW(Server&amp;Cube1,$J$12,$L$13,$J$14,$U$1,$U$2,$J$15,$D100)</f>
        <v>-103331.19999999998</v>
      </c>
      <c r="V100" s="152">
        <f ca="1">L100-U100</f>
        <v>-8238.0200000000186</v>
      </c>
      <c r="W100" s="153">
        <f t="shared" ca="1" si="98"/>
        <v>7.9724420117060671E-2</v>
      </c>
      <c r="X100" s="65"/>
      <c r="Y100" s="31"/>
      <c r="Z100" s="9"/>
      <c r="AA100" s="66"/>
      <c r="AB100" s="66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</row>
    <row r="101" spans="2:118" ht="21" hidden="1" customHeight="1" outlineLevel="1" x14ac:dyDescent="0.25">
      <c r="B101" s="60"/>
      <c r="C101" s="44"/>
      <c r="D101" s="214" t="s">
        <v>109</v>
      </c>
      <c r="E101" s="62"/>
      <c r="F101" s="63"/>
      <c r="G101" s="41"/>
      <c r="H101" s="232" t="s">
        <v>171</v>
      </c>
      <c r="I101" s="232"/>
      <c r="J101" s="232"/>
      <c r="K101" s="150"/>
      <c r="L101" s="151">
        <f ca="1">_xll.DBRW(Server&amp;Cube1,$J$12,$L$13,$J$14,$L$1,$J$11,$J$15,$D101)</f>
        <v>0</v>
      </c>
      <c r="M101" s="151">
        <f ca="1">_xll.DBRW(Server&amp;Cube1,$J$12,$L$13,$J$14,$M$1,$J$11,$J$15,$D101)</f>
        <v>0</v>
      </c>
      <c r="N101" s="152">
        <f t="shared" ref="N101" ca="1" si="151">L101-M101</f>
        <v>0</v>
      </c>
      <c r="O101" s="153" t="str">
        <f t="shared" ref="O101" ca="1" si="152">IF(ISERROR(N101/M101),"-",N101/M101)</f>
        <v>-</v>
      </c>
      <c r="P101" s="138"/>
      <c r="Q101" s="151">
        <f ca="1">_xll.DBRW(Server&amp;Cube1,$J$12,$L$13,$J$14,$Q$1,$J$11,$J$15,$D101)</f>
        <v>0</v>
      </c>
      <c r="R101" s="152">
        <f t="shared" ref="R101" ca="1" si="153">L101-Q101</f>
        <v>0</v>
      </c>
      <c r="S101" s="153" t="str">
        <f t="shared" ref="S101" ca="1" si="154">IF(ISERROR(R101/Q101),"-",R101/Q101)</f>
        <v>-</v>
      </c>
      <c r="T101" s="138"/>
      <c r="U101" s="151">
        <f ca="1">_xll.DBRW(Server&amp;Cube1,$J$12,$L$13,$J$14,$U$1,$U$2,$J$15,$D101)</f>
        <v>0</v>
      </c>
      <c r="V101" s="152">
        <f t="shared" ref="V101" ca="1" si="155">L101-U101</f>
        <v>0</v>
      </c>
      <c r="W101" s="153" t="str">
        <f t="shared" ref="W101" ca="1" si="156">IF(ISERROR(V101/U101),"-",V101/U101)</f>
        <v>-</v>
      </c>
      <c r="X101" s="65"/>
      <c r="Y101" s="31"/>
      <c r="Z101" s="9"/>
      <c r="AA101" s="66"/>
      <c r="AB101" s="66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</row>
    <row r="102" spans="2:118" ht="21" hidden="1" customHeight="1" outlineLevel="1" x14ac:dyDescent="0.25">
      <c r="B102" s="60"/>
      <c r="C102" s="44"/>
      <c r="D102" s="214" t="s">
        <v>110</v>
      </c>
      <c r="E102" s="62"/>
      <c r="F102" s="63"/>
      <c r="G102" s="41"/>
      <c r="H102" s="232" t="str">
        <f ca="1">_xll.DBRA(Server&amp;$D$20,$D102,"French")</f>
        <v>Location et MAD matériel divers</v>
      </c>
      <c r="I102" s="232"/>
      <c r="J102" s="232"/>
      <c r="K102" s="150"/>
      <c r="L102" s="151">
        <f ca="1">_xll.DBRW(Server&amp;Cube1,$J$12,$L$13,$J$14,$L$1,$J$11,$J$15,$D102)</f>
        <v>0</v>
      </c>
      <c r="M102" s="151">
        <f ca="1">_xll.DBRW(Server&amp;Cube1,$J$12,$L$13,$J$14,$M$1,$J$11,$J$15,$D102)</f>
        <v>0</v>
      </c>
      <c r="N102" s="152">
        <f t="shared" ref="N102" ca="1" si="157">L102-M102</f>
        <v>0</v>
      </c>
      <c r="O102" s="153" t="str">
        <f t="shared" ref="O102" ca="1" si="158">IF(ISERROR(N102/M102),"-",N102/M102)</f>
        <v>-</v>
      </c>
      <c r="P102" s="138"/>
      <c r="Q102" s="151">
        <f ca="1">_xll.DBRW(Server&amp;Cube1,$J$12,$L$13,$J$14,$Q$1,$J$11,$J$15,$D102)</f>
        <v>0</v>
      </c>
      <c r="R102" s="152">
        <f t="shared" ref="R102" ca="1" si="159">L102-Q102</f>
        <v>0</v>
      </c>
      <c r="S102" s="153" t="str">
        <f t="shared" ref="S102" ca="1" si="160">IF(ISERROR(R102/Q102),"-",R102/Q102)</f>
        <v>-</v>
      </c>
      <c r="T102" s="138"/>
      <c r="U102" s="151">
        <f ca="1">_xll.DBRW(Server&amp;Cube1,$J$12,$L$13,$J$14,$U$1,$U$2,$J$15,$D102)</f>
        <v>-472.28</v>
      </c>
      <c r="V102" s="152">
        <f t="shared" ref="V102" ca="1" si="161">L102-U102</f>
        <v>472.28</v>
      </c>
      <c r="W102" s="153">
        <f t="shared" ref="W102" ca="1" si="162">IF(ISERROR(V102/U102),"-",V102/U102)</f>
        <v>-1</v>
      </c>
      <c r="X102" s="65"/>
      <c r="Y102" s="31"/>
      <c r="Z102" s="9"/>
      <c r="AA102" s="66"/>
      <c r="AB102" s="66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</row>
    <row r="103" spans="2:118" ht="21" hidden="1" customHeight="1" outlineLevel="1" x14ac:dyDescent="0.25">
      <c r="B103" s="60"/>
      <c r="C103" s="44"/>
      <c r="D103" s="214" t="s">
        <v>136</v>
      </c>
      <c r="E103" s="62"/>
      <c r="F103" s="63"/>
      <c r="G103" s="41"/>
      <c r="H103" s="232" t="str">
        <f ca="1">_xll.DBRA(Server&amp;$D$20,$D103,"French")</f>
        <v>Location mobilière diverse</v>
      </c>
      <c r="I103" s="232"/>
      <c r="J103" s="232"/>
      <c r="K103" s="150"/>
      <c r="L103" s="151">
        <f ca="1">_xll.DBRW(Server&amp;Cube1,$J$12,$L$13,$J$14,$L$1,$J$11,$J$15,$D103)</f>
        <v>-63</v>
      </c>
      <c r="M103" s="151">
        <f ca="1">_xll.DBRW(Server&amp;Cube1,$J$12,$L$13,$J$14,$M$1,$J$11,$J$15,$D103)</f>
        <v>-1126</v>
      </c>
      <c r="N103" s="152">
        <f t="shared" ref="N103" ca="1" si="163">L103-M103</f>
        <v>1063</v>
      </c>
      <c r="O103" s="153">
        <f t="shared" ref="O103" ca="1" si="164">IF(ISERROR(N103/M103),"-",N103/M103)</f>
        <v>-0.94404973357015987</v>
      </c>
      <c r="P103" s="138"/>
      <c r="Q103" s="151">
        <f ca="1">_xll.DBRW(Server&amp;Cube1,$J$12,$L$13,$J$14,$Q$1,$J$11,$J$15,$D103)</f>
        <v>0</v>
      </c>
      <c r="R103" s="152">
        <f t="shared" ref="R103" ca="1" si="165">L103-Q103</f>
        <v>-63</v>
      </c>
      <c r="S103" s="153" t="str">
        <f t="shared" ref="S103" ca="1" si="166">IF(ISERROR(R103/Q103),"-",R103/Q103)</f>
        <v>-</v>
      </c>
      <c r="T103" s="138"/>
      <c r="U103" s="151">
        <f ca="1">_xll.DBRW(Server&amp;Cube1,$J$12,$L$13,$J$14,$U$1,$U$2,$J$15,$D103)</f>
        <v>-126</v>
      </c>
      <c r="V103" s="152">
        <f t="shared" ref="V103" ca="1" si="167">L103-U103</f>
        <v>63</v>
      </c>
      <c r="W103" s="153">
        <f t="shared" ref="W103" ca="1" si="168">IF(ISERROR(V103/U103),"-",V103/U103)</f>
        <v>-0.5</v>
      </c>
      <c r="X103" s="65"/>
      <c r="Y103" s="31"/>
      <c r="Z103" s="9"/>
      <c r="AA103" s="66"/>
      <c r="AB103" s="66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</row>
    <row r="104" spans="2:118" ht="21" hidden="1" customHeight="1" outlineLevel="1" x14ac:dyDescent="0.25">
      <c r="B104" s="60"/>
      <c r="C104" s="44"/>
      <c r="D104" s="214" t="s">
        <v>184</v>
      </c>
      <c r="E104" s="62"/>
      <c r="F104" s="63"/>
      <c r="G104" s="41"/>
      <c r="H104" s="232" t="str">
        <f ca="1">_xll.DBRA(Server&amp;$D$20,$D104,"French")</f>
        <v>Entretien réparation immobilier</v>
      </c>
      <c r="I104" s="232"/>
      <c r="J104" s="232"/>
      <c r="K104" s="150"/>
      <c r="L104" s="151">
        <f ca="1">_xll.DBRW(Server&amp;Cube1,$J$12,$L$13,$J$14,$L$1,$J$11,$J$15,$D104)</f>
        <v>-2558.75</v>
      </c>
      <c r="M104" s="151">
        <f ca="1">_xll.DBRW(Server&amp;Cube1,$J$12,$L$13,$J$14,$M$1,$J$11,$J$15,$D104)</f>
        <v>0</v>
      </c>
      <c r="N104" s="152">
        <f t="shared" ref="N104" ca="1" si="169">L104-M104</f>
        <v>-2558.75</v>
      </c>
      <c r="O104" s="153" t="str">
        <f t="shared" ref="O104" ca="1" si="170">IF(ISERROR(N104/M104),"-",N104/M104)</f>
        <v>-</v>
      </c>
      <c r="P104" s="138"/>
      <c r="Q104" s="151">
        <f ca="1">_xll.DBRW(Server&amp;Cube1,$J$12,$L$13,$J$14,$Q$1,$J$11,$J$15,$D104)</f>
        <v>0</v>
      </c>
      <c r="R104" s="152">
        <f t="shared" ref="R104" ca="1" si="171">L104-Q104</f>
        <v>-2558.75</v>
      </c>
      <c r="S104" s="153" t="str">
        <f t="shared" ref="S104" ca="1" si="172">IF(ISERROR(R104/Q104),"-",R104/Q104)</f>
        <v>-</v>
      </c>
      <c r="T104" s="138"/>
      <c r="U104" s="151">
        <f ca="1">_xll.DBRW(Server&amp;Cube1,$J$12,$L$13,$J$14,$U$1,$U$2,$J$15,$D104)</f>
        <v>-3564.7999999999997</v>
      </c>
      <c r="V104" s="152">
        <f t="shared" ref="V104" ca="1" si="173">L104-U104</f>
        <v>1006.0499999999997</v>
      </c>
      <c r="W104" s="153">
        <f t="shared" ref="W104" ca="1" si="174">IF(ISERROR(V104/U104),"-",V104/U104)</f>
        <v>-0.28221779622980248</v>
      </c>
      <c r="X104" s="65"/>
      <c r="Y104" s="31"/>
      <c r="Z104" s="9"/>
      <c r="AA104" s="66"/>
      <c r="AB104" s="66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</row>
    <row r="105" spans="2:118" ht="21" hidden="1" customHeight="1" outlineLevel="1" x14ac:dyDescent="0.25">
      <c r="B105" s="60"/>
      <c r="C105" s="44"/>
      <c r="D105" s="216" t="s">
        <v>168</v>
      </c>
      <c r="E105" s="62"/>
      <c r="F105" s="63"/>
      <c r="G105" s="41"/>
      <c r="H105" s="232" t="str">
        <f ca="1">_xll.DBRA(Server&amp;$D$20,$D105,"French")</f>
        <v>Entretiens et réparations divers</v>
      </c>
      <c r="I105" s="232"/>
      <c r="J105" s="232"/>
      <c r="K105" s="150"/>
      <c r="L105" s="151">
        <f ca="1">_xll.DBRW(Server&amp;Cube1,$J$12,$L$13,$J$14,$L$1,$J$11,$J$15,$D105)</f>
        <v>0</v>
      </c>
      <c r="M105" s="151">
        <f ca="1">_xll.DBRW(Server&amp;Cube1,$J$12,$L$13,$J$14,$M$1,$J$11,$J$15,$D105)</f>
        <v>-950.00000000000011</v>
      </c>
      <c r="N105" s="152">
        <f t="shared" ref="N105" ca="1" si="175">L105-M105</f>
        <v>950.00000000000011</v>
      </c>
      <c r="O105" s="153">
        <f t="shared" ref="O105" ca="1" si="176">IF(ISERROR(N105/M105),"-",N105/M105)</f>
        <v>-1</v>
      </c>
      <c r="P105" s="138"/>
      <c r="Q105" s="151">
        <f ca="1">_xll.DBRW(Server&amp;Cube1,$J$12,$L$13,$J$14,$Q$1,$J$11,$J$15,$D105)</f>
        <v>0</v>
      </c>
      <c r="R105" s="152">
        <f t="shared" ref="R105" ca="1" si="177">L105-Q105</f>
        <v>0</v>
      </c>
      <c r="S105" s="153" t="str">
        <f t="shared" ref="S105" ca="1" si="178">IF(ISERROR(R105/Q105),"-",R105/Q105)</f>
        <v>-</v>
      </c>
      <c r="T105" s="138"/>
      <c r="U105" s="151">
        <f ca="1">_xll.DBRW(Server&amp;Cube1,$J$12,$L$13,$J$14,$U$1,$U$2,$J$15,$D105)</f>
        <v>0</v>
      </c>
      <c r="V105" s="152">
        <f t="shared" ref="V105" ca="1" si="179">L105-U105</f>
        <v>0</v>
      </c>
      <c r="W105" s="153" t="str">
        <f t="shared" ref="W105" ca="1" si="180">IF(ISERROR(V105/U105),"-",V105/U105)</f>
        <v>-</v>
      </c>
      <c r="X105" s="65"/>
      <c r="Y105" s="31"/>
      <c r="Z105" s="9"/>
      <c r="AA105" s="66"/>
      <c r="AB105" s="66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</row>
    <row r="106" spans="2:118" ht="21" hidden="1" customHeight="1" outlineLevel="1" x14ac:dyDescent="0.25">
      <c r="B106" s="60"/>
      <c r="C106" s="44"/>
      <c r="D106" s="216" t="s">
        <v>155</v>
      </c>
      <c r="E106" s="62"/>
      <c r="F106" s="63"/>
      <c r="G106" s="41"/>
      <c r="H106" s="232" t="str">
        <f ca="1">_xll.DBRA(Server&amp;$D$20,$D106,"French")</f>
        <v>Reprographie et documentation technique</v>
      </c>
      <c r="I106" s="232"/>
      <c r="J106" s="232"/>
      <c r="K106" s="150"/>
      <c r="L106" s="151">
        <f ca="1">_xll.DBRW(Server&amp;Cube1,$J$12,$L$13,$J$14,$L$1,$J$11,$J$15,$D106)</f>
        <v>-1470.67</v>
      </c>
      <c r="M106" s="151">
        <f ca="1">_xll.DBRW(Server&amp;Cube1,$J$12,$L$13,$J$14,$M$1,$J$11,$J$15,$D106)</f>
        <v>-2133</v>
      </c>
      <c r="N106" s="152">
        <f t="shared" ref="N106" ca="1" si="181">L106-M106</f>
        <v>662.32999999999993</v>
      </c>
      <c r="O106" s="153">
        <f t="shared" ref="O106" ca="1" si="182">IF(ISERROR(N106/M106),"-",N106/M106)</f>
        <v>-0.31051570557899666</v>
      </c>
      <c r="P106" s="138"/>
      <c r="Q106" s="151">
        <f ca="1">_xll.DBRW(Server&amp;Cube1,$J$12,$L$13,$J$14,$Q$1,$J$11,$J$15,$D106)</f>
        <v>0</v>
      </c>
      <c r="R106" s="152">
        <f t="shared" ref="R106" ca="1" si="183">L106-Q106</f>
        <v>-1470.67</v>
      </c>
      <c r="S106" s="153" t="str">
        <f t="shared" ref="S106" ca="1" si="184">IF(ISERROR(R106/Q106),"-",R106/Q106)</f>
        <v>-</v>
      </c>
      <c r="T106" s="138"/>
      <c r="U106" s="151">
        <f ca="1">_xll.DBRW(Server&amp;Cube1,$J$12,$L$13,$J$14,$U$1,$U$2,$J$15,$D106)</f>
        <v>-1638.6799999999998</v>
      </c>
      <c r="V106" s="152">
        <f t="shared" ref="V106" ca="1" si="185">L106-U106</f>
        <v>168.00999999999976</v>
      </c>
      <c r="W106" s="153">
        <f t="shared" ref="W106" ca="1" si="186">IF(ISERROR(V106/U106),"-",V106/U106)</f>
        <v>-0.10252764420143029</v>
      </c>
      <c r="X106" s="65"/>
      <c r="Y106" s="31"/>
      <c r="Z106" s="9"/>
      <c r="AA106" s="66"/>
      <c r="AB106" s="66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</row>
    <row r="107" spans="2:118" ht="21" hidden="1" customHeight="1" outlineLevel="1" x14ac:dyDescent="0.25">
      <c r="B107" s="60"/>
      <c r="C107" s="44"/>
      <c r="D107" s="216" t="s">
        <v>165</v>
      </c>
      <c r="E107" s="62"/>
      <c r="F107" s="63"/>
      <c r="G107" s="41"/>
      <c r="H107" s="232" t="str">
        <f ca="1">_xll.DBRA(Server&amp;$D$20,$D107,"French")</f>
        <v>Documentation technique</v>
      </c>
      <c r="I107" s="232"/>
      <c r="J107" s="232"/>
      <c r="K107" s="150"/>
      <c r="L107" s="151">
        <f ca="1">_xll.DBRW(Server&amp;Cube1,$J$12,$L$13,$J$14,$L$1,$J$11,$J$15,$D107)</f>
        <v>-5562.67</v>
      </c>
      <c r="M107" s="151">
        <f ca="1">_xll.DBRW(Server&amp;Cube1,$J$12,$L$13,$J$14,$M$1,$J$11,$J$15,$D107)</f>
        <v>-2695</v>
      </c>
      <c r="N107" s="152">
        <f t="shared" ref="N107" ca="1" si="187">L107-M107</f>
        <v>-2867.67</v>
      </c>
      <c r="O107" s="153">
        <f t="shared" ref="O107" ca="1" si="188">IF(ISERROR(N107/M107),"-",N107/M107)</f>
        <v>1.0640705009276439</v>
      </c>
      <c r="P107" s="138"/>
      <c r="Q107" s="151">
        <f ca="1">_xll.DBRW(Server&amp;Cube1,$J$12,$L$13,$J$14,$Q$1,$J$11,$J$15,$D107)</f>
        <v>0</v>
      </c>
      <c r="R107" s="152">
        <f t="shared" ref="R107" ca="1" si="189">L107-Q107</f>
        <v>-5562.67</v>
      </c>
      <c r="S107" s="153" t="str">
        <f t="shared" ref="S107" ca="1" si="190">IF(ISERROR(R107/Q107),"-",R107/Q107)</f>
        <v>-</v>
      </c>
      <c r="T107" s="138"/>
      <c r="U107" s="151">
        <f ca="1">_xll.DBRW(Server&amp;Cube1,$J$12,$L$13,$J$14,$U$1,$U$2,$J$15,$D107)</f>
        <v>-8014.61</v>
      </c>
      <c r="V107" s="152">
        <f t="shared" ref="V107" ca="1" si="191">L107-U107</f>
        <v>2451.9399999999996</v>
      </c>
      <c r="W107" s="153">
        <f t="shared" ref="W107" ca="1" si="192">IF(ISERROR(V107/U107),"-",V107/U107)</f>
        <v>-0.30593378841889995</v>
      </c>
      <c r="X107" s="65"/>
      <c r="Y107" s="31"/>
      <c r="Z107" s="9"/>
      <c r="AA107" s="66"/>
      <c r="AB107" s="66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</row>
    <row r="108" spans="2:118" ht="21" hidden="1" customHeight="1" outlineLevel="1" x14ac:dyDescent="0.25">
      <c r="B108" s="60"/>
      <c r="C108" s="44"/>
      <c r="D108" s="214" t="s">
        <v>144</v>
      </c>
      <c r="E108" s="62"/>
      <c r="F108" s="63"/>
      <c r="G108" s="41"/>
      <c r="H108" s="232" t="str">
        <f ca="1">_xll.DBRA(Server&amp;$D$20,$D108,"French")</f>
        <v>Frais de publicité et marketing</v>
      </c>
      <c r="I108" s="232"/>
      <c r="J108" s="232"/>
      <c r="K108" s="150"/>
      <c r="L108" s="151">
        <f ca="1">_xll.DBRW(Server&amp;Cube1,$J$12,$L$13,$J$14,$L$1,$J$11,$J$15,$D108)</f>
        <v>0</v>
      </c>
      <c r="M108" s="151">
        <f ca="1">_xll.DBRW(Server&amp;Cube1,$J$12,$L$13,$J$14,$M$1,$J$11,$J$15,$D108)</f>
        <v>-1670.0000000000005</v>
      </c>
      <c r="N108" s="152">
        <f t="shared" ref="N108" ca="1" si="193">L108-M108</f>
        <v>1670.0000000000005</v>
      </c>
      <c r="O108" s="153">
        <f t="shared" ref="O108" ca="1" si="194">IF(ISERROR(N108/M108),"-",N108/M108)</f>
        <v>-1</v>
      </c>
      <c r="P108" s="138"/>
      <c r="Q108" s="151">
        <f ca="1">_xll.DBRW(Server&amp;Cube1,$J$12,$L$13,$J$14,$Q$1,$J$11,$J$15,$D108)</f>
        <v>0</v>
      </c>
      <c r="R108" s="152">
        <f t="shared" ref="R108" ca="1" si="195">L108-Q108</f>
        <v>0</v>
      </c>
      <c r="S108" s="153" t="str">
        <f t="shared" ref="S108" ca="1" si="196">IF(ISERROR(R108/Q108),"-",R108/Q108)</f>
        <v>-</v>
      </c>
      <c r="T108" s="138"/>
      <c r="U108" s="151">
        <f ca="1">_xll.DBRW(Server&amp;Cube1,$J$12,$L$13,$J$14,$U$1,$U$2,$J$15,$D108)</f>
        <v>-2245</v>
      </c>
      <c r="V108" s="152">
        <f t="shared" ref="V108" ca="1" si="197">L108-U108</f>
        <v>2245</v>
      </c>
      <c r="W108" s="153">
        <f t="shared" ref="W108" ca="1" si="198">IF(ISERROR(V108/U108),"-",V108/U108)</f>
        <v>-1</v>
      </c>
      <c r="X108" s="65"/>
      <c r="Y108" s="31"/>
      <c r="Z108" s="9"/>
      <c r="AA108" s="66"/>
      <c r="AB108" s="66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</row>
    <row r="109" spans="2:118" ht="21" hidden="1" customHeight="1" outlineLevel="1" x14ac:dyDescent="0.25">
      <c r="B109" s="60"/>
      <c r="C109" s="44"/>
      <c r="D109" s="203" t="s">
        <v>115</v>
      </c>
      <c r="E109" s="62"/>
      <c r="F109" s="63"/>
      <c r="G109" s="41"/>
      <c r="H109" s="232" t="s">
        <v>173</v>
      </c>
      <c r="I109" s="232"/>
      <c r="J109" s="232"/>
      <c r="K109" s="150"/>
      <c r="L109" s="151">
        <f ca="1">_xll.DBRW(Server&amp;Cube1,$J$12,$L$13,$J$14,$L$1,$J$11,$J$15,$D109)</f>
        <v>-1200</v>
      </c>
      <c r="M109" s="151">
        <f ca="1">_xll.DBRW(Server&amp;Cube1,$J$12,$L$13,$J$14,$M$1,$J$11,$J$15,$D109)</f>
        <v>0</v>
      </c>
      <c r="N109" s="152">
        <f ca="1">L109-M109</f>
        <v>-1200</v>
      </c>
      <c r="O109" s="153" t="str">
        <f ca="1">IF(ISERROR(N109/M109),"-",N109/M109)</f>
        <v>-</v>
      </c>
      <c r="P109" s="138"/>
      <c r="Q109" s="151">
        <f ca="1">_xll.DBRW(Server&amp;Cube1,$J$12,$L$13,$J$14,$Q$1,$J$11,$J$15,$D109)</f>
        <v>0</v>
      </c>
      <c r="R109" s="152">
        <f ca="1">L109-Q109</f>
        <v>-1200</v>
      </c>
      <c r="S109" s="153" t="str">
        <f ca="1">IF(ISERROR(R109/Q109),"-",R109/Q109)</f>
        <v>-</v>
      </c>
      <c r="T109" s="138"/>
      <c r="U109" s="151">
        <f ca="1">_xll.DBRW(Server&amp;Cube1,$J$12,$L$13,$J$14,$U$1,$U$2,$J$15,$D109)</f>
        <v>0</v>
      </c>
      <c r="V109" s="152">
        <f ca="1">L109-U109</f>
        <v>-1200</v>
      </c>
      <c r="W109" s="153" t="str">
        <f ca="1">IF(ISERROR(V109/U109),"-",V109/U109)</f>
        <v>-</v>
      </c>
      <c r="X109" s="65"/>
      <c r="Y109" s="31"/>
      <c r="Z109" s="9"/>
      <c r="AA109" s="66"/>
      <c r="AB109" s="66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</row>
    <row r="110" spans="2:118" ht="21" hidden="1" customHeight="1" outlineLevel="1" x14ac:dyDescent="0.25">
      <c r="B110" s="60"/>
      <c r="C110" s="44"/>
      <c r="D110" s="214" t="s">
        <v>54</v>
      </c>
      <c r="E110" s="62"/>
      <c r="F110" s="63"/>
      <c r="G110" s="41"/>
      <c r="H110" s="232" t="str">
        <f ca="1">_xll.DBRA(Server&amp;$D$20,$D110,"French")</f>
        <v>Catalogue "Siège"</v>
      </c>
      <c r="I110" s="232"/>
      <c r="J110" s="232"/>
      <c r="K110" s="150"/>
      <c r="L110" s="151">
        <f ca="1">_xll.DBRW(Server&amp;Cube1,$J$12,$L$13,$J$14,$L$1,$J$11,$J$15,$D110)</f>
        <v>-6008</v>
      </c>
      <c r="M110" s="151">
        <f ca="1">_xll.DBRW(Server&amp;Cube1,$J$12,$L$13,$J$14,$M$1,$J$11,$J$15,$D110)</f>
        <v>-12500.000000000002</v>
      </c>
      <c r="N110" s="152">
        <f t="shared" ref="N110" ca="1" si="199">L110-M110</f>
        <v>6492.0000000000018</v>
      </c>
      <c r="O110" s="153">
        <f t="shared" ref="O110" ca="1" si="200">IF(ISERROR(N110/M110),"-",N110/M110)</f>
        <v>-0.51936000000000004</v>
      </c>
      <c r="P110" s="138"/>
      <c r="Q110" s="151">
        <f ca="1">_xll.DBRW(Server&amp;Cube1,$J$12,$L$13,$J$14,$Q$1,$J$11,$J$15,$D110)</f>
        <v>0</v>
      </c>
      <c r="R110" s="152">
        <f t="shared" ref="R110" ca="1" si="201">L110-Q110</f>
        <v>-6008</v>
      </c>
      <c r="S110" s="153" t="str">
        <f t="shared" ref="S110" ca="1" si="202">IF(ISERROR(R110/Q110),"-",R110/Q110)</f>
        <v>-</v>
      </c>
      <c r="T110" s="138"/>
      <c r="U110" s="151">
        <f ca="1">_xll.DBRW(Server&amp;Cube1,$J$12,$L$13,$J$14,$U$1,$U$2,$J$15,$D110)</f>
        <v>0</v>
      </c>
      <c r="V110" s="152">
        <f t="shared" ref="V110" ca="1" si="203">L110-U110</f>
        <v>-6008</v>
      </c>
      <c r="W110" s="153"/>
      <c r="X110" s="65"/>
      <c r="Y110" s="31"/>
      <c r="Z110" s="9"/>
      <c r="AA110" s="66"/>
      <c r="AB110" s="66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</row>
    <row r="111" spans="2:118" ht="21" hidden="1" customHeight="1" outlineLevel="1" x14ac:dyDescent="0.25">
      <c r="B111" s="60"/>
      <c r="C111" s="44"/>
      <c r="D111" s="203" t="s">
        <v>55</v>
      </c>
      <c r="E111" s="62"/>
      <c r="F111" s="63"/>
      <c r="G111" s="41"/>
      <c r="H111" s="232" t="str">
        <f ca="1">_xll.DBRA(Server&amp;$D$20,$D111,"French")</f>
        <v>Autre transport sur achat</v>
      </c>
      <c r="I111" s="232"/>
      <c r="J111" s="232"/>
      <c r="K111" s="150"/>
      <c r="L111" s="151">
        <f ca="1">_xll.DBRW(Server&amp;Cube1,$J$12,$L$13,$J$14,$L$1,$J$11,$J$15,$D111)</f>
        <v>-25.38</v>
      </c>
      <c r="M111" s="151">
        <f ca="1">_xll.DBRW(Server&amp;Cube1,$J$12,$L$13,$J$14,$M$1,$J$11,$J$15,$D111)</f>
        <v>-200.00000000000003</v>
      </c>
      <c r="N111" s="152">
        <f t="shared" ca="1" si="125"/>
        <v>174.62000000000003</v>
      </c>
      <c r="O111" s="153">
        <f t="shared" ca="1" si="96"/>
        <v>-0.87309999999999999</v>
      </c>
      <c r="P111" s="138"/>
      <c r="Q111" s="151">
        <f ca="1">_xll.DBRW(Server&amp;Cube1,$J$12,$L$13,$J$14,$Q$1,$J$11,$J$15,$D111)</f>
        <v>0</v>
      </c>
      <c r="R111" s="152">
        <f t="shared" ca="1" si="94"/>
        <v>-25.38</v>
      </c>
      <c r="S111" s="153" t="str">
        <f t="shared" ca="1" si="95"/>
        <v>-</v>
      </c>
      <c r="T111" s="138"/>
      <c r="U111" s="151">
        <f ca="1">_xll.DBRW(Server&amp;Cube1,$J$12,$L$13,$J$14,$U$1,$U$2,$J$15,$D111)</f>
        <v>-54.46</v>
      </c>
      <c r="V111" s="152">
        <f t="shared" ca="1" si="97"/>
        <v>29.080000000000002</v>
      </c>
      <c r="W111" s="153">
        <f t="shared" ca="1" si="98"/>
        <v>-0.5339698861549762</v>
      </c>
      <c r="X111" s="65"/>
      <c r="Y111" s="31"/>
      <c r="Z111" s="9"/>
      <c r="AA111" s="66"/>
      <c r="AB111" s="66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</row>
    <row r="112" spans="2:118" ht="21" hidden="1" customHeight="1" outlineLevel="1" x14ac:dyDescent="0.25">
      <c r="B112" s="60"/>
      <c r="C112" s="44"/>
      <c r="D112" s="214" t="s">
        <v>158</v>
      </c>
      <c r="E112" s="62"/>
      <c r="F112" s="63"/>
      <c r="G112" s="41"/>
      <c r="H112" s="232" t="str">
        <f ca="1">_xll.DBRA(Server&amp;$D$20,$D112,"French")</f>
        <v>Frais de colloques, séminaires, conférences</v>
      </c>
      <c r="I112" s="232"/>
      <c r="J112" s="232"/>
      <c r="K112" s="150"/>
      <c r="L112" s="151">
        <f ca="1">_xll.DBRW(Server&amp;Cube1,$J$12,$L$13,$J$14,$L$1,$J$11,$J$15,$D112)</f>
        <v>-3685.48</v>
      </c>
      <c r="M112" s="151">
        <f ca="1">_xll.DBRW(Server&amp;Cube1,$J$12,$L$13,$J$14,$M$1,$J$11,$J$15,$D112)</f>
        <v>-6000</v>
      </c>
      <c r="N112" s="152">
        <f t="shared" ref="N112" ca="1" si="204">L112-M112</f>
        <v>2314.52</v>
      </c>
      <c r="O112" s="153">
        <f t="shared" ref="O112" ca="1" si="205">IF(ISERROR(N112/M112),"-",N112/M112)</f>
        <v>-0.38575333333333334</v>
      </c>
      <c r="P112" s="138"/>
      <c r="Q112" s="151">
        <f ca="1">_xll.DBRW(Server&amp;Cube1,$J$12,$L$13,$J$14,$Q$1,$J$11,$J$15,$D112)</f>
        <v>0</v>
      </c>
      <c r="R112" s="152">
        <f t="shared" ref="R112" ca="1" si="206">L112-Q112</f>
        <v>-3685.48</v>
      </c>
      <c r="S112" s="153" t="str">
        <f t="shared" ref="S112" ca="1" si="207">IF(ISERROR(R112/Q112),"-",R112/Q112)</f>
        <v>-</v>
      </c>
      <c r="T112" s="138"/>
      <c r="U112" s="151">
        <f ca="1">_xll.DBRW(Server&amp;Cube1,$J$12,$L$13,$J$14,$U$1,$U$2,$J$15,$D112)</f>
        <v>-6412.46</v>
      </c>
      <c r="V112" s="152">
        <f t="shared" ref="V112" ca="1" si="208">L112-U112</f>
        <v>2726.98</v>
      </c>
      <c r="W112" s="153">
        <f t="shared" ref="W112" ca="1" si="209">IF(ISERROR(V112/U112),"-",V112/U112)</f>
        <v>-0.42526269169710218</v>
      </c>
      <c r="X112" s="65"/>
      <c r="Y112" s="31"/>
      <c r="Z112" s="9"/>
      <c r="AA112" s="66"/>
      <c r="AB112" s="66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</row>
    <row r="113" spans="2:118" ht="21" hidden="1" customHeight="1" outlineLevel="1" x14ac:dyDescent="0.25">
      <c r="B113" s="60"/>
      <c r="C113" s="44"/>
      <c r="D113" s="203" t="s">
        <v>113</v>
      </c>
      <c r="E113" s="62"/>
      <c r="F113" s="63"/>
      <c r="G113" s="41"/>
      <c r="H113" s="232" t="str">
        <f ca="1">_xll.DBRA(Server&amp;$D$20,$D113,"French")</f>
        <v>Frais de déménagements</v>
      </c>
      <c r="I113" s="232"/>
      <c r="J113" s="232"/>
      <c r="K113" s="150"/>
      <c r="L113" s="151">
        <f ca="1">_xll.DBRW(Server&amp;Cube1,$J$12,$L$13,$J$14,$L$1,$J$11,$J$15,$D113)</f>
        <v>0</v>
      </c>
      <c r="M113" s="151">
        <f ca="1">_xll.DBRW(Server&amp;Cube1,$J$12,$L$13,$J$14,$M$1,$J$11,$J$15,$D113)</f>
        <v>0</v>
      </c>
      <c r="N113" s="152">
        <f ca="1">L113-M113</f>
        <v>0</v>
      </c>
      <c r="O113" s="153" t="str">
        <f ca="1">IF(ISERROR(N113/M113),"-",N113/M113)</f>
        <v>-</v>
      </c>
      <c r="P113" s="138"/>
      <c r="Q113" s="151">
        <f ca="1">_xll.DBRW(Server&amp;Cube1,$J$12,$L$13,$J$14,$Q$1,$J$11,$J$15,$D113)</f>
        <v>0</v>
      </c>
      <c r="R113" s="152">
        <f ca="1">L113-Q113</f>
        <v>0</v>
      </c>
      <c r="S113" s="153" t="str">
        <f ca="1">IF(ISERROR(R113/Q113),"-",R113/Q113)</f>
        <v>-</v>
      </c>
      <c r="T113" s="138"/>
      <c r="U113" s="151">
        <f ca="1">_xll.DBRW(Server&amp;Cube1,$J$12,$L$13,$J$14,$U$1,$U$2,$J$15,$D113)</f>
        <v>-1170</v>
      </c>
      <c r="V113" s="152">
        <f ca="1">L113-U113</f>
        <v>1170</v>
      </c>
      <c r="W113" s="153">
        <f ca="1">IF(ISERROR(V113/U113),"-",V113/U113)</f>
        <v>-1</v>
      </c>
      <c r="X113" s="65"/>
      <c r="Y113" s="31"/>
      <c r="Z113" s="9"/>
      <c r="AA113" s="66"/>
      <c r="AB113" s="66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</row>
    <row r="114" spans="2:118" ht="21" hidden="1" customHeight="1" outlineLevel="1" x14ac:dyDescent="0.25">
      <c r="C114" s="44"/>
      <c r="D114" s="203" t="s">
        <v>75</v>
      </c>
      <c r="E114" s="62"/>
      <c r="F114" s="63"/>
      <c r="G114" s="41"/>
      <c r="H114" s="232" t="str">
        <f ca="1">_xll.DBRA(Server&amp;$D$20,$D114,"French")</f>
        <v>Frais de missions</v>
      </c>
      <c r="I114" s="232"/>
      <c r="J114" s="232"/>
      <c r="K114" s="150"/>
      <c r="L114" s="151">
        <f ca="1">_xll.DBRW(Server&amp;Cube1,$J$12,$L$13,$J$14,$L$1,$J$11,$J$15,$D114)</f>
        <v>-47597.479999999996</v>
      </c>
      <c r="M114" s="151">
        <f ca="1">_xll.DBRW(Server&amp;Cube1,$J$12,$L$13,$J$14,$M$1,$J$11,$J$15,$D114)</f>
        <v>-38832.5</v>
      </c>
      <c r="N114" s="152">
        <f ca="1">L114-M114</f>
        <v>-8764.9799999999959</v>
      </c>
      <c r="O114" s="153">
        <f ca="1">IF(ISERROR(N114/M114),"-",N114/M114)</f>
        <v>0.2257124831004956</v>
      </c>
      <c r="P114" s="138"/>
      <c r="Q114" s="151">
        <f ca="1">_xll.DBRW(Server&amp;Cube1,$J$12,$L$13,$J$14,$Q$1,$J$11,$J$15,$D114)</f>
        <v>0</v>
      </c>
      <c r="R114" s="152">
        <f ca="1">L114-Q114</f>
        <v>-47597.479999999996</v>
      </c>
      <c r="S114" s="153" t="str">
        <f ca="1">IF(ISERROR(R114/Q114),"-",R114/Q114)</f>
        <v>-</v>
      </c>
      <c r="T114" s="138"/>
      <c r="U114" s="151">
        <f ca="1">_xll.DBRW(Server&amp;Cube1,$J$12,$L$13,$J$14,$U$1,$U$2,$J$15,$D114)</f>
        <v>-36446.920000000006</v>
      </c>
      <c r="V114" s="152">
        <f ca="1">L114-U114</f>
        <v>-11150.55999999999</v>
      </c>
      <c r="W114" s="153">
        <f ca="1">IF(ISERROR(V114/U114),"-",V114/U114)</f>
        <v>0.30593970629068212</v>
      </c>
      <c r="X114" s="65"/>
      <c r="Y114" s="31"/>
      <c r="Z114" s="9"/>
      <c r="AA114" s="66"/>
      <c r="AB114" s="66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</row>
    <row r="115" spans="2:118" ht="21" hidden="1" customHeight="1" outlineLevel="1" x14ac:dyDescent="0.25">
      <c r="B115" s="60"/>
      <c r="C115" s="44"/>
      <c r="D115" s="214" t="s">
        <v>76</v>
      </c>
      <c r="E115" s="62"/>
      <c r="F115" s="63"/>
      <c r="G115" s="41"/>
      <c r="H115" s="232" t="str">
        <f ca="1">_xll.DBRA(Server&amp;$D$20,$D115,"French")</f>
        <v>Frais de réceptions</v>
      </c>
      <c r="I115" s="232"/>
      <c r="J115" s="232"/>
      <c r="K115" s="150"/>
      <c r="L115" s="151">
        <f ca="1">_xll.DBRW(Server&amp;Cube1,$J$12,$L$13,$J$14,$L$1,$J$11,$J$15,$D115)</f>
        <v>-6610.619999999999</v>
      </c>
      <c r="M115" s="151">
        <f ca="1">_xll.DBRW(Server&amp;Cube1,$J$12,$L$13,$J$14,$M$1,$J$11,$J$15,$D115)</f>
        <v>-16914.5</v>
      </c>
      <c r="N115" s="152">
        <f ca="1">L115-M115</f>
        <v>10303.880000000001</v>
      </c>
      <c r="O115" s="153">
        <f ca="1">IF(ISERROR(N115/M115),"-",N115/M115)</f>
        <v>-0.60917437701380484</v>
      </c>
      <c r="P115" s="138"/>
      <c r="Q115" s="151">
        <f ca="1">_xll.DBRW(Server&amp;Cube1,$J$12,$L$13,$J$14,$Q$1,$J$11,$J$15,$D115)</f>
        <v>0</v>
      </c>
      <c r="R115" s="152">
        <f ca="1">L115-Q115</f>
        <v>-6610.619999999999</v>
      </c>
      <c r="S115" s="153" t="str">
        <f ca="1">IF(ISERROR(R115/Q115),"-",R115/Q115)</f>
        <v>-</v>
      </c>
      <c r="T115" s="138"/>
      <c r="U115" s="151">
        <f ca="1">_xll.DBRW(Server&amp;Cube1,$J$12,$L$13,$J$14,$U$1,$U$2,$J$15,$D115)</f>
        <v>-14676.030000000002</v>
      </c>
      <c r="V115" s="152">
        <f ca="1">L115-U115</f>
        <v>8065.4100000000035</v>
      </c>
      <c r="W115" s="153">
        <f ca="1">IF(ISERROR(V115/U115),"-",V115/U115)</f>
        <v>-0.54956347186534793</v>
      </c>
      <c r="X115" s="65"/>
      <c r="Y115" s="31"/>
      <c r="Z115" s="9"/>
      <c r="AA115" s="66"/>
      <c r="AB115" s="66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</row>
    <row r="116" spans="2:118" ht="21" hidden="1" customHeight="1" outlineLevel="1" x14ac:dyDescent="0.25">
      <c r="B116" s="60"/>
      <c r="C116" s="44"/>
      <c r="D116" s="203" t="s">
        <v>71</v>
      </c>
      <c r="E116" s="62"/>
      <c r="F116" s="63"/>
      <c r="G116" s="41"/>
      <c r="H116" s="232" t="str">
        <f ca="1">_xll.DBRA(Server&amp;$D$20,$D116,"French")</f>
        <v>Frais d'affranchissements</v>
      </c>
      <c r="I116" s="232"/>
      <c r="J116" s="232"/>
      <c r="K116" s="150"/>
      <c r="L116" s="151">
        <f ca="1">_xll.DBRW(Server&amp;Cube1,$J$12,$L$13,$J$14,$L$1,$J$11,$J$15,$D116)</f>
        <v>-286.55</v>
      </c>
      <c r="M116" s="151">
        <f ca="1">_xll.DBRW(Server&amp;Cube1,$J$12,$L$13,$J$14,$M$1,$J$11,$J$15,$D116)</f>
        <v>-499.99999999999994</v>
      </c>
      <c r="N116" s="152">
        <f t="shared" ca="1" si="125"/>
        <v>213.44999999999993</v>
      </c>
      <c r="O116" s="153">
        <f t="shared" ca="1" si="96"/>
        <v>-0.42689999999999989</v>
      </c>
      <c r="P116" s="138"/>
      <c r="Q116" s="151">
        <f ca="1">_xll.DBRW(Server&amp;Cube1,$J$12,$L$13,$J$14,$Q$1,$J$11,$J$15,$D116)</f>
        <v>0</v>
      </c>
      <c r="R116" s="152">
        <f t="shared" ca="1" si="94"/>
        <v>-286.55</v>
      </c>
      <c r="S116" s="153" t="str">
        <f t="shared" ca="1" si="95"/>
        <v>-</v>
      </c>
      <c r="T116" s="138"/>
      <c r="U116" s="151">
        <f ca="1">_xll.DBRW(Server&amp;Cube1,$J$12,$L$13,$J$14,$U$1,$U$2,$J$15,$D116)</f>
        <v>-558.93000000000006</v>
      </c>
      <c r="V116" s="152">
        <f ca="1">L116-U116</f>
        <v>272.38000000000005</v>
      </c>
      <c r="W116" s="153">
        <f t="shared" ca="1" si="98"/>
        <v>-0.48732399406007909</v>
      </c>
      <c r="X116" s="65"/>
      <c r="Y116" s="31"/>
      <c r="Z116" s="9"/>
      <c r="AA116" s="66"/>
      <c r="AB116" s="66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</row>
    <row r="117" spans="2:118" ht="21" hidden="1" customHeight="1" outlineLevel="1" x14ac:dyDescent="0.25">
      <c r="B117" s="60"/>
      <c r="C117" s="44"/>
      <c r="D117" s="214" t="s">
        <v>148</v>
      </c>
      <c r="E117" s="62"/>
      <c r="F117" s="63"/>
      <c r="G117" s="41"/>
      <c r="H117" s="232" t="str">
        <f ca="1">_xll.DBRA(Server&amp;$D$20,$D117,"French")</f>
        <v>Webconférence</v>
      </c>
      <c r="I117" s="232"/>
      <c r="J117" s="232"/>
      <c r="K117" s="150"/>
      <c r="L117" s="151">
        <f ca="1">_xll.DBRW(Server&amp;Cube1,$J$12,$L$13,$J$14,$L$1,$J$11,$J$15,$D117)</f>
        <v>-45</v>
      </c>
      <c r="M117" s="151">
        <f ca="1">_xll.DBRW(Server&amp;Cube1,$J$12,$L$13,$J$14,$M$1,$J$11,$J$15,$D117)</f>
        <v>0</v>
      </c>
      <c r="N117" s="152">
        <f t="shared" ref="N117:N118" ca="1" si="210">L117-M117</f>
        <v>-45</v>
      </c>
      <c r="O117" s="153" t="str">
        <f t="shared" ref="O117:O118" ca="1" si="211">IF(ISERROR(N117/M117),"-",N117/M117)</f>
        <v>-</v>
      </c>
      <c r="P117" s="138"/>
      <c r="Q117" s="151">
        <f ca="1">_xll.DBRW(Server&amp;Cube1,$J$12,$L$13,$J$14,$Q$1,$J$11,$J$15,$D117)</f>
        <v>0</v>
      </c>
      <c r="R117" s="152">
        <f t="shared" ref="R117:R118" ca="1" si="212">L117-Q117</f>
        <v>-45</v>
      </c>
      <c r="S117" s="153" t="str">
        <f t="shared" ref="S117:S118" ca="1" si="213">IF(ISERROR(R117/Q117),"-",R117/Q117)</f>
        <v>-</v>
      </c>
      <c r="T117" s="138"/>
      <c r="U117" s="151">
        <f ca="1">_xll.DBRW(Server&amp;Cube1,$J$12,$L$13,$J$14,$U$1,$U$2,$J$15,$D117)</f>
        <v>-212.24</v>
      </c>
      <c r="V117" s="152">
        <f t="shared" ref="V117:V118" ca="1" si="214">L117-U117</f>
        <v>167.24</v>
      </c>
      <c r="W117" s="153">
        <f t="shared" ca="1" si="98"/>
        <v>-0.78797587636637767</v>
      </c>
      <c r="X117" s="65"/>
      <c r="Y117" s="31"/>
      <c r="Z117" s="9"/>
      <c r="AA117" s="66"/>
      <c r="AB117" s="66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</row>
    <row r="118" spans="2:118" ht="21" hidden="1" customHeight="1" outlineLevel="1" x14ac:dyDescent="0.25">
      <c r="B118" s="60"/>
      <c r="C118" s="44"/>
      <c r="D118" s="214" t="s">
        <v>149</v>
      </c>
      <c r="E118" s="62"/>
      <c r="F118" s="63"/>
      <c r="G118" s="41"/>
      <c r="H118" s="232" t="str">
        <f ca="1">_xll.DBRA(Server&amp;$D$20,$D118,"French")</f>
        <v>Télécom &amp; internet</v>
      </c>
      <c r="I118" s="232"/>
      <c r="J118" s="232"/>
      <c r="K118" s="150"/>
      <c r="L118" s="151">
        <f ca="1">_xll.DBRW(Server&amp;Cube1,$J$12,$L$13,$J$14,$L$1,$J$11,$J$15,$D118)</f>
        <v>-60</v>
      </c>
      <c r="M118" s="151">
        <f ca="1">_xll.DBRW(Server&amp;Cube1,$J$12,$L$13,$J$14,$M$1,$J$11,$J$15,$D118)</f>
        <v>-270</v>
      </c>
      <c r="N118" s="152">
        <f t="shared" ca="1" si="210"/>
        <v>210</v>
      </c>
      <c r="O118" s="153">
        <f t="shared" ca="1" si="211"/>
        <v>-0.77777777777777779</v>
      </c>
      <c r="P118" s="138"/>
      <c r="Q118" s="151">
        <f ca="1">_xll.DBRW(Server&amp;Cube1,$J$12,$L$13,$J$14,$Q$1,$J$11,$J$15,$D118)</f>
        <v>0</v>
      </c>
      <c r="R118" s="152">
        <f t="shared" ca="1" si="212"/>
        <v>-60</v>
      </c>
      <c r="S118" s="153" t="str">
        <f t="shared" ca="1" si="213"/>
        <v>-</v>
      </c>
      <c r="T118" s="138"/>
      <c r="U118" s="151">
        <f ca="1">_xll.DBRW(Server&amp;Cube1,$J$12,$L$13,$J$14,$U$1,$U$2,$J$15,$D118)</f>
        <v>-135</v>
      </c>
      <c r="V118" s="152">
        <f t="shared" ca="1" si="214"/>
        <v>75</v>
      </c>
      <c r="W118" s="153">
        <f t="shared" ca="1" si="98"/>
        <v>-0.55555555555555558</v>
      </c>
      <c r="X118" s="65"/>
      <c r="Y118" s="31"/>
      <c r="Z118" s="9"/>
      <c r="AA118" s="66"/>
      <c r="AB118" s="66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</row>
    <row r="119" spans="2:118" ht="21" hidden="1" customHeight="1" outlineLevel="1" x14ac:dyDescent="0.25">
      <c r="B119" s="60"/>
      <c r="C119" s="44"/>
      <c r="D119" s="214" t="s">
        <v>181</v>
      </c>
      <c r="E119" s="62"/>
      <c r="F119" s="63"/>
      <c r="G119" s="41"/>
      <c r="H119" s="232" t="str">
        <f ca="1">_xll.DBRA(Server&amp;$D$20,$D119,"French")</f>
        <v>Formation du personnel</v>
      </c>
      <c r="I119" s="232"/>
      <c r="J119" s="232"/>
      <c r="K119" s="150"/>
      <c r="L119" s="151">
        <f ca="1">_xll.DBRW(Server&amp;Cube1,$J$12,$L$13,$J$14,$L$1,$J$11,$J$15,$D119)</f>
        <v>0</v>
      </c>
      <c r="M119" s="151">
        <f ca="1">_xll.DBRW(Server&amp;Cube1,$J$12,$L$13,$J$14,$M$1,$J$11,$J$15,$D119)</f>
        <v>0</v>
      </c>
      <c r="N119" s="152">
        <f t="shared" ref="N119" ca="1" si="215">L119-M119</f>
        <v>0</v>
      </c>
      <c r="O119" s="153" t="str">
        <f t="shared" ref="O119" ca="1" si="216">IF(ISERROR(N119/M119),"-",N119/M119)</f>
        <v>-</v>
      </c>
      <c r="P119" s="138"/>
      <c r="Q119" s="151">
        <f ca="1">_xll.DBRW(Server&amp;Cube1,$J$12,$L$13,$J$14,$Q$1,$J$11,$J$15,$D119)</f>
        <v>0</v>
      </c>
      <c r="R119" s="152">
        <f t="shared" ref="R119" ca="1" si="217">L119-Q119</f>
        <v>0</v>
      </c>
      <c r="S119" s="153" t="str">
        <f t="shared" ref="S119" ca="1" si="218">IF(ISERROR(R119/Q119),"-",R119/Q119)</f>
        <v>-</v>
      </c>
      <c r="T119" s="138"/>
      <c r="U119" s="151">
        <f ca="1">_xll.DBRW(Server&amp;Cube1,$J$12,$L$13,$J$14,$U$1,$U$2,$J$15,$D119)</f>
        <v>0</v>
      </c>
      <c r="V119" s="152">
        <f t="shared" ref="V119" ca="1" si="219">L119-U119</f>
        <v>0</v>
      </c>
      <c r="W119" s="153" t="str">
        <f t="shared" ca="1" si="98"/>
        <v>-</v>
      </c>
      <c r="X119" s="65"/>
      <c r="Y119" s="31"/>
      <c r="Z119" s="9"/>
      <c r="AA119" s="66"/>
      <c r="AB119" s="66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</row>
    <row r="120" spans="2:118" ht="21" hidden="1" customHeight="1" outlineLevel="1" x14ac:dyDescent="0.25">
      <c r="B120" s="60"/>
      <c r="C120" s="44"/>
      <c r="D120" s="214" t="s">
        <v>131</v>
      </c>
      <c r="E120" s="62"/>
      <c r="F120" s="63"/>
      <c r="G120" s="41"/>
      <c r="H120" s="250" t="str">
        <f ca="1">_xll.DBRA(Server&amp;$D$20,$D120,"French")</f>
        <v>Projets pédagogiques</v>
      </c>
      <c r="I120" s="250"/>
      <c r="J120" s="250"/>
      <c r="K120" s="150"/>
      <c r="L120" s="151">
        <f ca="1">_xll.DBRW(Server&amp;Cube1,$J$12,$L$13,$J$14,$L$1,$J$11,$J$15,$D120)</f>
        <v>-71366.5</v>
      </c>
      <c r="M120" s="151">
        <f ca="1">_xll.DBRW(Server&amp;Cube1,$J$12,$L$13,$J$14,$M$1,$J$11,$J$15,$D120)</f>
        <v>-59880</v>
      </c>
      <c r="N120" s="152">
        <f t="shared" ref="N120" ca="1" si="220">L120-M120</f>
        <v>-11486.5</v>
      </c>
      <c r="O120" s="153">
        <f t="shared" ref="O120" ca="1" si="221">IF(ISERROR(N120/M120),"-",N120/M120)</f>
        <v>0.1918253173012692</v>
      </c>
      <c r="P120" s="138"/>
      <c r="Q120" s="151">
        <f ca="1">_xll.DBRW(Server&amp;Cube1,$J$12,$L$13,$J$14,$Q$1,$J$11,$J$15,$D120)</f>
        <v>0</v>
      </c>
      <c r="R120" s="152">
        <f t="shared" ref="R120" ca="1" si="222">L120-Q120</f>
        <v>-71366.5</v>
      </c>
      <c r="S120" s="153" t="str">
        <f t="shared" ref="S120" ca="1" si="223">IF(ISERROR(R120/Q120),"-",R120/Q120)</f>
        <v>-</v>
      </c>
      <c r="T120" s="138"/>
      <c r="U120" s="151">
        <f ca="1">_xll.DBRW(Server&amp;Cube1,$J$12,$L$13,$J$14,$U$1,$U$2,$J$15,$D120)</f>
        <v>-57004.92</v>
      </c>
      <c r="V120" s="152">
        <f t="shared" ref="V120" ca="1" si="224">L120-U120</f>
        <v>-14361.580000000002</v>
      </c>
      <c r="W120" s="153">
        <f t="shared" ref="W120:W121" ca="1" si="225">IF(ISERROR(V120/U120),"-",V120/U120)</f>
        <v>0.25193579782236342</v>
      </c>
      <c r="X120" s="65"/>
      <c r="Y120" s="31"/>
      <c r="Z120" s="9"/>
      <c r="AA120" s="66"/>
      <c r="AB120" s="66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</row>
    <row r="121" spans="2:118" ht="21" hidden="1" customHeight="1" outlineLevel="1" x14ac:dyDescent="0.25">
      <c r="B121" s="60"/>
      <c r="C121" s="44"/>
      <c r="D121" s="214" t="s">
        <v>159</v>
      </c>
      <c r="E121" s="62"/>
      <c r="F121" s="63"/>
      <c r="G121" s="41"/>
      <c r="H121" s="232" t="str">
        <f ca="1">_xll.DBRA(Server&amp;$D$20,$D121,"French")</f>
        <v>Licences</v>
      </c>
      <c r="I121" s="232"/>
      <c r="J121" s="232"/>
      <c r="K121" s="150"/>
      <c r="L121" s="151">
        <f ca="1">_xll.DBRW(Server&amp;Cube1,$J$12,$L$13,$J$14,$L$1,$J$11,$J$15,$D121)</f>
        <v>-1925.68</v>
      </c>
      <c r="M121" s="151">
        <f ca="1">_xll.DBRW(Server&amp;Cube1,$J$12,$L$13,$J$14,$M$1,$J$11,$J$15,$D121)</f>
        <v>-2239.5</v>
      </c>
      <c r="N121" s="152">
        <f t="shared" ref="N121" ca="1" si="226">L121-M121</f>
        <v>313.81999999999994</v>
      </c>
      <c r="O121" s="153">
        <f t="shared" ref="O121" ca="1" si="227">IF(ISERROR(N121/M121),"-",N121/M121)</f>
        <v>-0.14012949319044427</v>
      </c>
      <c r="P121" s="138"/>
      <c r="Q121" s="151">
        <f ca="1">_xll.DBRW(Server&amp;Cube1,$J$12,$L$13,$J$14,$Q$1,$J$11,$J$15,$D121)</f>
        <v>0</v>
      </c>
      <c r="R121" s="152">
        <f t="shared" ref="R121" ca="1" si="228">L121-Q121</f>
        <v>-1925.68</v>
      </c>
      <c r="S121" s="153" t="str">
        <f t="shared" ref="S121" ca="1" si="229">IF(ISERROR(R121/Q121),"-",R121/Q121)</f>
        <v>-</v>
      </c>
      <c r="T121" s="138"/>
      <c r="U121" s="151">
        <f ca="1">_xll.DBRW(Server&amp;Cube1,$J$12,$L$13,$J$14,$U$1,$U$2,$J$15,$D121)</f>
        <v>-1722.31</v>
      </c>
      <c r="V121" s="152">
        <f t="shared" ref="V121" ca="1" si="230">L121-U121</f>
        <v>-203.37000000000012</v>
      </c>
      <c r="W121" s="153">
        <f t="shared" ca="1" si="225"/>
        <v>0.11807978819144063</v>
      </c>
      <c r="X121" s="65"/>
      <c r="Y121" s="31"/>
      <c r="Z121" s="9"/>
      <c r="AA121" s="66"/>
      <c r="AB121" s="66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</row>
    <row r="122" spans="2:118" ht="21" hidden="1" customHeight="1" outlineLevel="1" x14ac:dyDescent="0.25">
      <c r="B122" s="60"/>
      <c r="C122" s="44"/>
      <c r="D122" s="203" t="s">
        <v>116</v>
      </c>
      <c r="E122" s="62"/>
      <c r="F122" s="63"/>
      <c r="G122" s="41"/>
      <c r="H122" s="232" t="str">
        <f ca="1">_xll.DBRA(Server&amp;$D$20,$D122,"French")</f>
        <v>Dot.Amort. Immob. Incorporelles</v>
      </c>
      <c r="I122" s="232"/>
      <c r="J122" s="232"/>
      <c r="K122" s="150"/>
      <c r="L122" s="151">
        <f ca="1">_xll.DBRW(Server&amp;Cube1,$J$12,$L$13,$J$14,$L$1,$J$11,$J$15,$D122)</f>
        <v>0</v>
      </c>
      <c r="M122" s="151">
        <f ca="1">_xll.DBRW(Server&amp;Cube1,$J$12,$L$13,$J$14,$M$1,$J$11,$J$15,$D122)</f>
        <v>0</v>
      </c>
      <c r="N122" s="152">
        <f t="shared" ref="N122" ca="1" si="231">L122-M122</f>
        <v>0</v>
      </c>
      <c r="O122" s="153" t="str">
        <f t="shared" ref="O122" ca="1" si="232">IF(ISERROR(N122/M122),"-",N122/M122)</f>
        <v>-</v>
      </c>
      <c r="P122" s="138"/>
      <c r="Q122" s="151">
        <f ca="1">_xll.DBRW(Server&amp;Cube1,$J$12,$L$13,$J$14,$Q$1,$J$11,$J$15,$D122)</f>
        <v>0</v>
      </c>
      <c r="R122" s="152">
        <f t="shared" ref="R122" ca="1" si="233">L122-Q122</f>
        <v>0</v>
      </c>
      <c r="S122" s="153" t="str">
        <f t="shared" ref="S122" ca="1" si="234">IF(ISERROR(R122/Q122),"-",R122/Q122)</f>
        <v>-</v>
      </c>
      <c r="T122" s="138"/>
      <c r="U122" s="151">
        <f ca="1">_xll.DBRW(Server&amp;Cube1,$J$12,$L$13,$J$14,$U$1,$U$2,$J$15,$D122)</f>
        <v>0</v>
      </c>
      <c r="V122" s="152">
        <f t="shared" ref="V122" ca="1" si="235">L122-U122</f>
        <v>0</v>
      </c>
      <c r="W122" s="153" t="str">
        <f t="shared" ref="W122" ca="1" si="236">IF(ISERROR(V122/U122),"-",V122/U122)</f>
        <v>-</v>
      </c>
      <c r="X122" s="65"/>
      <c r="Y122" s="31"/>
      <c r="Z122" s="9"/>
      <c r="AA122" s="66"/>
      <c r="AB122" s="66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</row>
    <row r="123" spans="2:118" ht="21" hidden="1" customHeight="1" outlineLevel="1" x14ac:dyDescent="0.25">
      <c r="B123" s="60"/>
      <c r="C123" s="44"/>
      <c r="D123" s="214" t="s">
        <v>68</v>
      </c>
      <c r="E123" s="62"/>
      <c r="F123" s="63"/>
      <c r="G123" s="41"/>
      <c r="H123" s="232" t="str">
        <f ca="1">_xll.DBRA(Server&amp;$D$20,$D123,"French")</f>
        <v>Dot.Amort. Immob. Corporelles</v>
      </c>
      <c r="I123" s="232"/>
      <c r="J123" s="232"/>
      <c r="K123" s="150"/>
      <c r="L123" s="151">
        <f ca="1">_xll.DBRW(Server&amp;Cube1,$J$12,$L$13,$J$14,$L$1,$J$11,$J$15,$D123)</f>
        <v>-1484.78</v>
      </c>
      <c r="M123" s="151">
        <f ca="1">_xll.DBRW(Server&amp;Cube1,$J$12,$L$13,$J$14,$M$1,$J$11,$J$15,$D123)</f>
        <v>-1475.5000000000002</v>
      </c>
      <c r="N123" s="152">
        <f ca="1">L123-M123</f>
        <v>-9.2799999999997453</v>
      </c>
      <c r="O123" s="153">
        <f ca="1">IF(ISERROR(N123/M123),"-",N123/M123)</f>
        <v>6.2893934259571288E-3</v>
      </c>
      <c r="P123" s="138"/>
      <c r="Q123" s="151">
        <f ca="1">_xll.DBRW(Server&amp;Cube1,$J$12,$L$13,$J$14,$Q$1,$J$11,$J$15,$D123)</f>
        <v>0</v>
      </c>
      <c r="R123" s="152">
        <f t="shared" ref="R123" ca="1" si="237">L123-Q123</f>
        <v>-1484.78</v>
      </c>
      <c r="S123" s="153" t="str">
        <f t="shared" ref="S123" ca="1" si="238">IF(ISERROR(R123/Q123),"-",R123/Q123)</f>
        <v>-</v>
      </c>
      <c r="T123" s="138"/>
      <c r="U123" s="151">
        <f ca="1">_xll.DBRW(Server&amp;Cube1,$J$12,$L$13,$J$14,$U$1,$U$2,$J$15,$D123)</f>
        <v>-884.57</v>
      </c>
      <c r="V123" s="152">
        <f ca="1">L123-U123</f>
        <v>-600.20999999999992</v>
      </c>
      <c r="W123" s="153">
        <f t="shared" ref="W123" ca="1" si="239">IF(ISERROR(V123/U123),"-",V123/U123)</f>
        <v>0.67853307256633155</v>
      </c>
      <c r="X123" s="65"/>
      <c r="Y123" s="31"/>
      <c r="Z123" s="9"/>
      <c r="AA123" s="66"/>
      <c r="AB123" s="66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</row>
    <row r="124" spans="2:118" ht="21" hidden="1" customHeight="1" outlineLevel="1" x14ac:dyDescent="0.25">
      <c r="B124" s="60"/>
      <c r="C124" s="44"/>
      <c r="D124" s="203" t="s">
        <v>117</v>
      </c>
      <c r="E124" s="62"/>
      <c r="F124" s="63"/>
      <c r="G124" s="41"/>
      <c r="H124" s="232" t="str">
        <f ca="1">_xll.DBRA(Server&amp;$D$20,$D124,"French")</f>
        <v>Dot. Aux dépréciations créances</v>
      </c>
      <c r="I124" s="232"/>
      <c r="J124" s="232"/>
      <c r="K124" s="150"/>
      <c r="L124" s="151">
        <f ca="1">_xll.DBRW(Server&amp;Cube1,$J$12,$L$13,$J$14,$L$1,$J$11,$J$15,$D124)</f>
        <v>0</v>
      </c>
      <c r="M124" s="151">
        <f ca="1">_xll.DBRW(Server&amp;Cube1,$J$12,$L$13,$J$14,$M$1,$J$11,$J$15,$D124)</f>
        <v>0</v>
      </c>
      <c r="N124" s="152">
        <f t="shared" ref="N124" ca="1" si="240">L124-M124</f>
        <v>0</v>
      </c>
      <c r="O124" s="153" t="str">
        <f t="shared" ref="O124" ca="1" si="241">IF(ISERROR(N124/M124),"-",N124/M124)</f>
        <v>-</v>
      </c>
      <c r="P124" s="138"/>
      <c r="Q124" s="151">
        <f ca="1">_xll.DBRW(Server&amp;Cube1,$J$12,$L$13,$J$14,$Q$1,$J$11,$J$15,$D124)</f>
        <v>0</v>
      </c>
      <c r="R124" s="152">
        <f t="shared" ref="R124" ca="1" si="242">L124-Q124</f>
        <v>0</v>
      </c>
      <c r="S124" s="153" t="str">
        <f t="shared" ref="S124" ca="1" si="243">IF(ISERROR(R124/Q124),"-",R124/Q124)</f>
        <v>-</v>
      </c>
      <c r="T124" s="138"/>
      <c r="U124" s="151">
        <f ca="1">_xll.DBRW(Server&amp;Cube1,$J$12,$L$13,$J$14,$U$1,$U$2,$J$15,$D124)</f>
        <v>-87971.62</v>
      </c>
      <c r="V124" s="152">
        <f t="shared" ref="V124" ca="1" si="244">L124-U124</f>
        <v>87971.62</v>
      </c>
      <c r="W124" s="153">
        <f t="shared" ref="W124" ca="1" si="245">IF(ISERROR(V124/U124),"-",V124/U124)</f>
        <v>-1</v>
      </c>
      <c r="X124" s="65"/>
      <c r="Y124" s="31"/>
      <c r="Z124" s="9"/>
      <c r="AA124" s="66"/>
      <c r="AB124" s="66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</row>
    <row r="125" spans="2:118" ht="21" hidden="1" customHeight="1" outlineLevel="1" x14ac:dyDescent="0.25">
      <c r="B125" s="60"/>
      <c r="C125" s="44"/>
      <c r="D125" s="203" t="s">
        <v>77</v>
      </c>
      <c r="E125" s="62"/>
      <c r="F125" s="63"/>
      <c r="G125" s="41"/>
      <c r="H125" s="232" t="str">
        <f ca="1">_xll.DBRA(Server&amp;$D$20,$D125,"French")</f>
        <v>Divers (Autres frais)</v>
      </c>
      <c r="I125" s="232"/>
      <c r="J125" s="232"/>
      <c r="K125" s="150"/>
      <c r="L125" s="151">
        <f ca="1">_xll.DBRW(Server&amp;Cube1,$J$12,$L$13,$J$14,$L$1,$J$11,$J$15,$D125)</f>
        <v>0</v>
      </c>
      <c r="M125" s="151">
        <f ca="1">_xll.DBRW(Server&amp;Cube1,$J$12,$L$13,$J$14,$M$1,$J$11,$J$15,$D125)</f>
        <v>0</v>
      </c>
      <c r="N125" s="152">
        <f t="shared" ca="1" si="125"/>
        <v>0</v>
      </c>
      <c r="O125" s="153" t="str">
        <f t="shared" ca="1" si="96"/>
        <v>-</v>
      </c>
      <c r="P125" s="138"/>
      <c r="Q125" s="151">
        <f ca="1">_xll.DBRW(Server&amp;Cube1,$J$12,$L$13,$J$14,$Q$1,$J$11,$J$15,$D125)</f>
        <v>0</v>
      </c>
      <c r="R125" s="152">
        <f t="shared" ca="1" si="94"/>
        <v>0</v>
      </c>
      <c r="S125" s="153" t="str">
        <f t="shared" ca="1" si="95"/>
        <v>-</v>
      </c>
      <c r="T125" s="138"/>
      <c r="U125" s="151">
        <f ca="1">_xll.DBRW(Server&amp;Cube1,$J$12,$L$13,$J$14,$U$1,$U$2,$J$15,$D125)</f>
        <v>0</v>
      </c>
      <c r="V125" s="152">
        <f t="shared" ca="1" si="97"/>
        <v>0</v>
      </c>
      <c r="W125" s="153" t="str">
        <f t="shared" ca="1" si="98"/>
        <v>-</v>
      </c>
      <c r="X125" s="65"/>
      <c r="Y125" s="31"/>
      <c r="Z125" s="9"/>
      <c r="AA125" s="66"/>
      <c r="AB125" s="66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</row>
    <row r="126" spans="2:118" ht="21" hidden="1" customHeight="1" outlineLevel="1" x14ac:dyDescent="0.25">
      <c r="B126" s="60"/>
      <c r="C126" s="44"/>
      <c r="D126" s="214" t="s">
        <v>182</v>
      </c>
      <c r="E126" s="62"/>
      <c r="F126" s="63"/>
      <c r="G126" s="41"/>
      <c r="H126" s="232" t="str">
        <f ca="1">_xll.DBRA(Server&amp;$D$20,$D126,"French")</f>
        <v>Pertes/créances irrécouvr. exer.ant.</v>
      </c>
      <c r="I126" s="232"/>
      <c r="J126" s="232"/>
      <c r="K126" s="150"/>
      <c r="L126" s="151">
        <f ca="1">_xll.DBRW(Server&amp;Cube1,$J$12,$L$13,$J$14,$L$1,$J$11,$J$15,$D126)</f>
        <v>0</v>
      </c>
      <c r="M126" s="151">
        <f ca="1">_xll.DBRW(Server&amp;Cube1,$J$12,$L$13,$J$14,$M$1,$J$11,$J$15,$D126)</f>
        <v>0</v>
      </c>
      <c r="N126" s="152">
        <f t="shared" ca="1" si="125"/>
        <v>0</v>
      </c>
      <c r="O126" s="153" t="str">
        <f t="shared" ca="1" si="96"/>
        <v>-</v>
      </c>
      <c r="P126" s="138"/>
      <c r="Q126" s="151">
        <f ca="1">_xll.DBRW(Server&amp;Cube1,$J$12,$L$13,$J$14,$Q$1,$J$11,$J$15,$D126)</f>
        <v>0</v>
      </c>
      <c r="R126" s="152">
        <f t="shared" ca="1" si="94"/>
        <v>0</v>
      </c>
      <c r="S126" s="153" t="str">
        <f t="shared" ca="1" si="95"/>
        <v>-</v>
      </c>
      <c r="T126" s="138"/>
      <c r="U126" s="151">
        <f ca="1">_xll.DBRW(Server&amp;Cube1,$J$12,$L$13,$J$14,$U$1,$U$2,$J$15,$D126)</f>
        <v>0</v>
      </c>
      <c r="V126" s="152">
        <f t="shared" ca="1" si="97"/>
        <v>0</v>
      </c>
      <c r="W126" s="153" t="str">
        <f t="shared" ca="1" si="98"/>
        <v>-</v>
      </c>
      <c r="X126" s="65"/>
      <c r="Y126" s="31"/>
      <c r="Z126" s="9"/>
      <c r="AA126" s="66"/>
      <c r="AB126" s="66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</row>
    <row r="127" spans="2:118" ht="21" hidden="1" customHeight="1" outlineLevel="1" x14ac:dyDescent="0.25">
      <c r="B127" s="60"/>
      <c r="C127" s="44"/>
      <c r="D127" s="214" t="s">
        <v>114</v>
      </c>
      <c r="E127" s="62"/>
      <c r="F127" s="63"/>
      <c r="G127" s="41"/>
      <c r="H127" s="232" t="str">
        <f ca="1">_xll.DBRA(Server&amp;$D$20,$D127,"French")</f>
        <v>Charges diverses de gestion courante</v>
      </c>
      <c r="I127" s="232"/>
      <c r="J127" s="232"/>
      <c r="K127" s="150"/>
      <c r="L127" s="151">
        <f ca="1">_xll.DBRW(Server&amp;Cube1,$J$12,$L$13,$J$14,$L$1,$J$11,$J$15,$D127)</f>
        <v>-475.6</v>
      </c>
      <c r="M127" s="151">
        <f ca="1">_xll.DBRW(Server&amp;Cube1,$J$12,$L$13,$J$14,$M$1,$J$11,$J$15,$D127)</f>
        <v>0</v>
      </c>
      <c r="N127" s="152">
        <f t="shared" ref="N127" ca="1" si="246">L127-M127</f>
        <v>-475.6</v>
      </c>
      <c r="O127" s="153" t="str">
        <f t="shared" ref="O127" ca="1" si="247">IF(ISERROR(N127/M127),"-",N127/M127)</f>
        <v>-</v>
      </c>
      <c r="P127" s="138"/>
      <c r="Q127" s="151">
        <f ca="1">_xll.DBRW(Server&amp;Cube1,$J$12,$L$13,$J$14,$Q$1,$J$11,$J$15,$D127)</f>
        <v>0</v>
      </c>
      <c r="R127" s="152">
        <f t="shared" ref="R127" ca="1" si="248">L127-Q127</f>
        <v>-475.6</v>
      </c>
      <c r="S127" s="153" t="str">
        <f t="shared" ref="S127" ca="1" si="249">IF(ISERROR(R127/Q127),"-",R127/Q127)</f>
        <v>-</v>
      </c>
      <c r="T127" s="138"/>
      <c r="U127" s="151">
        <f ca="1">_xll.DBRW(Server&amp;Cube1,$J$12,$L$13,$J$14,$U$1,$U$2,$J$15,$D127)</f>
        <v>-1.34</v>
      </c>
      <c r="V127" s="152">
        <f t="shared" ref="V127" ca="1" si="250">L127-U127</f>
        <v>-474.26000000000005</v>
      </c>
      <c r="W127" s="153">
        <f t="shared" ref="W127" ca="1" si="251">IF(ISERROR(V127/U127),"-",V127/U127)</f>
        <v>353.92537313432837</v>
      </c>
      <c r="X127" s="65"/>
      <c r="Y127" s="31"/>
      <c r="Z127" s="9"/>
      <c r="AA127" s="66"/>
      <c r="AB127" s="66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</row>
    <row r="128" spans="2:118" ht="15" customHeight="1" collapsed="1" x14ac:dyDescent="0.25">
      <c r="C128" s="44"/>
      <c r="D128" s="207"/>
      <c r="E128" s="68"/>
      <c r="F128" s="69"/>
      <c r="G128" s="70"/>
      <c r="H128" s="71"/>
      <c r="I128" s="72"/>
      <c r="J128" s="72"/>
      <c r="K128" s="73"/>
      <c r="L128" s="74"/>
      <c r="M128" s="74"/>
      <c r="N128" s="75"/>
      <c r="O128" s="76"/>
      <c r="P128" s="77"/>
      <c r="Q128" s="74"/>
      <c r="R128" s="75"/>
      <c r="S128" s="76"/>
      <c r="T128" s="77"/>
      <c r="U128" s="74"/>
      <c r="V128" s="75"/>
      <c r="W128" s="76"/>
      <c r="X128" s="65"/>
      <c r="Y128" s="31"/>
      <c r="Z128" s="78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</row>
    <row r="129" spans="1:118" s="139" customFormat="1" ht="22.5" customHeight="1" x14ac:dyDescent="0.25">
      <c r="A129" s="221"/>
      <c r="B129" s="140"/>
      <c r="C129" s="44"/>
      <c r="D129" s="208" t="s">
        <v>78</v>
      </c>
      <c r="E129" s="141"/>
      <c r="F129" s="142"/>
      <c r="G129" s="236" t="str">
        <f ca="1">_xll.DBRA(Server&amp;$D$20,$D129,"French")</f>
        <v>Coûts de structure</v>
      </c>
      <c r="H129" s="237"/>
      <c r="I129" s="237"/>
      <c r="J129" s="238"/>
      <c r="K129" s="143"/>
      <c r="L129" s="144">
        <f ca="1">SUM(L74,L78,L81,L88,L93)</f>
        <v>-1236795.83</v>
      </c>
      <c r="M129" s="144">
        <f ca="1">SUM(M74,M78,M81,M88,M93)</f>
        <v>-1440722.5</v>
      </c>
      <c r="N129" s="144">
        <f ca="1">SUM(N74,N78,N81,N88,N93)</f>
        <v>203926.66999999984</v>
      </c>
      <c r="O129" s="161">
        <f ca="1">IF(ISERROR(N129/M129),"-",N129/M129)</f>
        <v>-0.14154472495570788</v>
      </c>
      <c r="P129" s="132"/>
      <c r="Q129" s="145">
        <f ca="1">_xll.DBRW(Server&amp;Cube1,$J$12,$L$13,$J$14,$Q$1,$J$11,$J$15,$D129)</f>
        <v>0</v>
      </c>
      <c r="R129" s="146">
        <f ca="1">L129-Q129</f>
        <v>-1236795.83</v>
      </c>
      <c r="S129" s="161" t="str">
        <f t="shared" ref="S129" ca="1" si="252">IF(ISERROR(R129/Q129),"-",R129/Q129)</f>
        <v>-</v>
      </c>
      <c r="T129" s="132"/>
      <c r="U129" s="144">
        <f ca="1">SUM(U74,U78,U81,U88,U93)</f>
        <v>-1572189.03</v>
      </c>
      <c r="V129" s="144">
        <f ca="1">SUM(V74,V78,V81,V88,V93)</f>
        <v>335393.2</v>
      </c>
      <c r="W129" s="161">
        <f ca="1">IF(ISERROR(V129/U129),"-",V129/U129)</f>
        <v>-0.21332880054505915</v>
      </c>
      <c r="X129" s="155"/>
      <c r="Y129" s="148"/>
      <c r="Z129" s="149"/>
      <c r="AA129" s="149"/>
      <c r="AB129" s="149"/>
      <c r="AC129" s="149"/>
      <c r="AD129" s="149"/>
      <c r="AE129" s="149"/>
      <c r="AF129" s="149"/>
      <c r="AG129" s="149"/>
      <c r="AH129" s="149"/>
      <c r="AI129" s="149"/>
      <c r="AJ129" s="149"/>
      <c r="AK129" s="149"/>
      <c r="AL129" s="149"/>
      <c r="AM129" s="149"/>
      <c r="AN129" s="149"/>
      <c r="AO129" s="149"/>
      <c r="AP129" s="149"/>
      <c r="AQ129" s="149"/>
      <c r="AR129" s="149"/>
      <c r="AS129" s="149"/>
      <c r="AT129" s="149"/>
      <c r="AU129" s="149"/>
      <c r="AV129" s="149"/>
      <c r="AW129" s="149"/>
      <c r="AX129" s="149"/>
      <c r="AY129" s="149"/>
      <c r="AZ129" s="149"/>
      <c r="BA129" s="149"/>
      <c r="BB129" s="149"/>
      <c r="BC129" s="149"/>
      <c r="BD129" s="149"/>
      <c r="BE129" s="149"/>
      <c r="BF129" s="149"/>
      <c r="BG129" s="149"/>
      <c r="BH129" s="149"/>
      <c r="BI129" s="149"/>
      <c r="BJ129" s="149"/>
      <c r="BK129" s="149"/>
      <c r="BL129" s="149"/>
      <c r="BM129" s="149"/>
      <c r="BN129" s="149"/>
      <c r="BO129" s="149"/>
      <c r="BP129" s="149"/>
      <c r="BQ129" s="149"/>
      <c r="BR129" s="149"/>
      <c r="BS129" s="149"/>
      <c r="BT129" s="149"/>
      <c r="BU129" s="149"/>
      <c r="BV129" s="149"/>
      <c r="BW129" s="149"/>
      <c r="BX129" s="149"/>
      <c r="BY129" s="149"/>
      <c r="BZ129" s="149"/>
      <c r="CA129" s="149"/>
      <c r="CB129" s="149"/>
      <c r="CC129" s="149"/>
      <c r="CD129" s="149"/>
      <c r="CE129" s="149"/>
      <c r="CF129" s="149"/>
      <c r="CG129" s="149"/>
      <c r="CH129" s="149"/>
      <c r="CI129" s="149"/>
      <c r="CJ129" s="149"/>
      <c r="CK129" s="149"/>
      <c r="CL129" s="149"/>
      <c r="CM129" s="149"/>
      <c r="CN129" s="149"/>
      <c r="CO129" s="149"/>
      <c r="CP129" s="149"/>
      <c r="CQ129" s="149"/>
      <c r="CR129" s="149"/>
      <c r="CS129" s="149"/>
      <c r="CT129" s="149"/>
      <c r="CU129" s="149"/>
      <c r="CV129" s="149"/>
      <c r="CW129" s="149"/>
      <c r="CX129" s="149"/>
      <c r="CY129" s="149"/>
      <c r="CZ129" s="149"/>
      <c r="DA129" s="149"/>
      <c r="DB129" s="149"/>
      <c r="DC129" s="149"/>
      <c r="DD129" s="149"/>
      <c r="DE129" s="149"/>
      <c r="DF129" s="149"/>
      <c r="DG129" s="149"/>
      <c r="DH129" s="149"/>
      <c r="DI129" s="149"/>
      <c r="DJ129" s="149"/>
      <c r="DK129" s="149"/>
      <c r="DL129" s="149"/>
      <c r="DM129" s="149"/>
      <c r="DN129" s="149"/>
    </row>
    <row r="130" spans="1:118" s="37" customFormat="1" ht="15" customHeight="1" thickBot="1" x14ac:dyDescent="0.3">
      <c r="A130" s="10"/>
      <c r="B130" s="1"/>
      <c r="C130" s="44"/>
      <c r="D130" s="207"/>
      <c r="E130" s="68"/>
      <c r="F130" s="69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31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</row>
    <row r="131" spans="1:118" s="37" customFormat="1" ht="23.25" customHeight="1" collapsed="1" thickTop="1" thickBot="1" x14ac:dyDescent="0.3">
      <c r="A131" s="10"/>
      <c r="B131" s="1"/>
      <c r="C131" s="44"/>
      <c r="D131" s="215" t="s">
        <v>152</v>
      </c>
      <c r="E131" s="68"/>
      <c r="F131" s="69"/>
      <c r="G131" s="239" t="str">
        <f ca="1">_xll.DBRA(Server&amp;$D$20,$D131,"French")</f>
        <v>Produits structures</v>
      </c>
      <c r="H131" s="239" t="str">
        <f ca="1">_xll.DBRA(Server&amp;$D$20,$D131,"French")</f>
        <v>Produits structures</v>
      </c>
      <c r="I131" s="239"/>
      <c r="J131" s="239"/>
      <c r="K131" s="154" t="s">
        <v>3</v>
      </c>
      <c r="L131" s="165">
        <f ca="1">_xll.DBRW(Server&amp;Cube1,$J$12,$L$13,$J$14,$L$1,$J$11,$J$15,$D131)</f>
        <v>10.8</v>
      </c>
      <c r="M131" s="165">
        <f ca="1">_xll.DBRW(Server&amp;Cube1,$J$12,$L$13,$J$14,$M$1,$J$11,$J$15,$D131)</f>
        <v>0</v>
      </c>
      <c r="N131" s="166">
        <f t="shared" ref="N131:N138" ca="1" si="253">L131-M131</f>
        <v>10.8</v>
      </c>
      <c r="O131" s="167" t="str">
        <f ca="1">IF(ISERROR(N131/M131),"-",N131/M131)</f>
        <v>-</v>
      </c>
      <c r="P131" s="132"/>
      <c r="Q131" s="165">
        <f ca="1">_xll.DBRW(Server&amp;Cube1,$J$12,$L$13,$J$14,$Q$1,$J$11,$J$15,$D131)</f>
        <v>0</v>
      </c>
      <c r="R131" s="166">
        <f t="shared" ref="R131" ca="1" si="254">L131-Q131</f>
        <v>10.8</v>
      </c>
      <c r="S131" s="167" t="str">
        <f t="shared" ref="S131" ca="1" si="255">IF(ISERROR(R131/Q131),"-",R131/Q131)</f>
        <v>-</v>
      </c>
      <c r="T131" s="132"/>
      <c r="U131" s="165">
        <f ca="1">_xll.DBRW(Server&amp;Cube1,$J$12,$L$13,$J$14,$U$1,$U$2,$J$15,$D131)</f>
        <v>0</v>
      </c>
      <c r="V131" s="166">
        <f t="shared" ref="V131:V138" ca="1" si="256">L131-U131</f>
        <v>10.8</v>
      </c>
      <c r="W131" s="167" t="str">
        <f t="shared" ref="W131:W138" ca="1" si="257">IF(ISERROR(V131/U131),"-",V131/U131)</f>
        <v>-</v>
      </c>
      <c r="X131" s="64"/>
      <c r="Y131" s="31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</row>
    <row r="132" spans="1:118" s="37" customFormat="1" ht="23.25" customHeight="1" thickTop="1" thickBot="1" x14ac:dyDescent="0.3">
      <c r="A132" s="10"/>
      <c r="B132" s="1"/>
      <c r="C132" s="44"/>
      <c r="D132" s="215" t="s">
        <v>150</v>
      </c>
      <c r="E132" s="68"/>
      <c r="F132" s="69"/>
      <c r="G132" s="239" t="str">
        <f ca="1">_xll.DBRA(Server&amp;$D$20,$D132,"French")</f>
        <v>Subvention OPCA Transport</v>
      </c>
      <c r="H132" s="239" t="str">
        <f ca="1">_xll.DBRA(Server&amp;$D$20,$D132,"French")</f>
        <v>Subvention OPCA Transport</v>
      </c>
      <c r="I132" s="239"/>
      <c r="J132" s="239"/>
      <c r="K132" s="154"/>
      <c r="L132" s="165">
        <f ca="1">_xll.DBRW(Server&amp;Cube1,$J$12,$L$13,$J$14,$L$1,$J$11,$J$15,$D132)</f>
        <v>0</v>
      </c>
      <c r="M132" s="165">
        <f ca="1">_xll.DBRW(Server&amp;Cube1,$J$12,$L$13,$J$14,$M$1,$J$11,$J$15,$D132)</f>
        <v>249999.99999999997</v>
      </c>
      <c r="N132" s="166">
        <f t="shared" ca="1" si="253"/>
        <v>-249999.99999999997</v>
      </c>
      <c r="O132" s="167" t="s">
        <v>167</v>
      </c>
      <c r="P132" s="132"/>
      <c r="Q132" s="165">
        <v>0</v>
      </c>
      <c r="R132" s="166">
        <v>0</v>
      </c>
      <c r="S132" s="167" t="s">
        <v>167</v>
      </c>
      <c r="T132" s="132"/>
      <c r="U132" s="165">
        <f ca="1">_xll.DBRW(Server&amp;Cube1,$J$12,$L$13,$J$14,$U$1,$U$2,$J$15,$D132)</f>
        <v>0</v>
      </c>
      <c r="V132" s="166">
        <f t="shared" ca="1" si="256"/>
        <v>0</v>
      </c>
      <c r="W132" s="167" t="str">
        <f t="shared" ca="1" si="257"/>
        <v>-</v>
      </c>
      <c r="X132" s="64"/>
      <c r="Y132" s="31"/>
      <c r="Z132" s="226"/>
      <c r="AA132" s="226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</row>
    <row r="133" spans="1:118" s="37" customFormat="1" ht="23.25" customHeight="1" thickTop="1" thickBot="1" x14ac:dyDescent="0.3">
      <c r="A133" s="10"/>
      <c r="B133" s="1"/>
      <c r="C133" s="44"/>
      <c r="D133" s="215" t="s">
        <v>161</v>
      </c>
      <c r="E133" s="68"/>
      <c r="F133" s="69"/>
      <c r="G133" s="239" t="str">
        <f ca="1">_xll.DBRA(Server&amp;$D$20,$D133,"French")</f>
        <v>Droit d'utilisation de produits pédagogiques</v>
      </c>
      <c r="H133" s="239" t="str">
        <f ca="1">_xll.DBRA(Server&amp;$D$20,$D133,"French")</f>
        <v>Droit d'utilisation de produits pédagogiques</v>
      </c>
      <c r="I133" s="239"/>
      <c r="J133" s="239"/>
      <c r="K133" s="154"/>
      <c r="L133" s="165">
        <f ca="1">_xll.DBRW(Server&amp;Cube1,$J$12,$L$13,$J$14,$L$1,$J$11,$J$15,$D133)</f>
        <v>0</v>
      </c>
      <c r="M133" s="165">
        <f ca="1">_xll.DBRW(Server&amp;Cube1,$J$12,$L$13,$J$14,$M$1,$J$11,$J$15,$D133)</f>
        <v>0</v>
      </c>
      <c r="N133" s="166">
        <f t="shared" ref="N133" ca="1" si="258">L133-M133</f>
        <v>0</v>
      </c>
      <c r="O133" s="167" t="s">
        <v>167</v>
      </c>
      <c r="P133" s="132"/>
      <c r="Q133" s="165">
        <v>0</v>
      </c>
      <c r="R133" s="166">
        <v>0</v>
      </c>
      <c r="S133" s="167" t="s">
        <v>167</v>
      </c>
      <c r="T133" s="132"/>
      <c r="U133" s="165">
        <f ca="1">_xll.DBRW(Server&amp;Cube1,$J$12,$L$13,$J$14,$U$1,$U$2,$J$15,$D133)</f>
        <v>0</v>
      </c>
      <c r="V133" s="166">
        <f t="shared" ref="V133" ca="1" si="259">L133-U133</f>
        <v>0</v>
      </c>
      <c r="W133" s="167" t="str">
        <f t="shared" ref="W133" ca="1" si="260">IF(ISERROR(V133/U133),"-",V133/U133)</f>
        <v>-</v>
      </c>
      <c r="X133" s="64"/>
      <c r="Y133" s="31"/>
      <c r="Z133" s="226"/>
      <c r="AA133" s="226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</row>
    <row r="134" spans="1:118" s="37" customFormat="1" ht="23.25" customHeight="1" thickTop="1" thickBot="1" x14ac:dyDescent="0.3">
      <c r="A134" s="10"/>
      <c r="B134" s="1"/>
      <c r="C134" s="44"/>
      <c r="D134" s="206" t="s">
        <v>120</v>
      </c>
      <c r="E134" s="68"/>
      <c r="F134" s="69"/>
      <c r="G134" s="239" t="str">
        <f ca="1">_xll.DBRA(Server&amp;$D$20,$D134,"French")</f>
        <v>Produits divers de gestion courante</v>
      </c>
      <c r="H134" s="239" t="str">
        <f ca="1">_xll.DBRA(Server&amp;$D$20,$D134,"French")</f>
        <v>Produits divers de gestion courante</v>
      </c>
      <c r="I134" s="239"/>
      <c r="J134" s="239"/>
      <c r="K134" s="154" t="s">
        <v>3</v>
      </c>
      <c r="L134" s="165">
        <f ca="1">_xll.DBRW(Server&amp;Cube1,$J$12,$L$13,$J$14,$L$1,$J$11,$J$15,$D134)</f>
        <v>250000.01</v>
      </c>
      <c r="M134" s="165">
        <f ca="1">_xll.DBRW(Server&amp;Cube1,$J$12,$L$13,$J$14,$M$1,$J$11,$J$15,$D134)</f>
        <v>0</v>
      </c>
      <c r="N134" s="166">
        <f t="shared" ca="1" si="253"/>
        <v>250000.01</v>
      </c>
      <c r="O134" s="167" t="str">
        <f ca="1">IF(ISERROR(N134/M134),"-",N134/M134)</f>
        <v>-</v>
      </c>
      <c r="P134" s="132"/>
      <c r="Q134" s="165">
        <f ca="1">_xll.DBRW(Server&amp;Cube1,$J$12,$L$13,$J$14,$Q$1,$J$11,$J$15,$D134)</f>
        <v>0</v>
      </c>
      <c r="R134" s="166">
        <f ca="1">L134-Q134</f>
        <v>250000.01</v>
      </c>
      <c r="S134" s="167" t="str">
        <f ca="1">IF(ISERROR(R134/Q134),"-",R134/Q134)</f>
        <v>-</v>
      </c>
      <c r="T134" s="132"/>
      <c r="U134" s="165">
        <f ca="1">_xll.DBRW(Server&amp;Cube1,$J$12,$L$13,$J$14,$U$1,$U$2,$J$15,$D134)</f>
        <v>250000</v>
      </c>
      <c r="V134" s="166">
        <f t="shared" ca="1" si="256"/>
        <v>1.0000000009313226E-2</v>
      </c>
      <c r="W134" s="167">
        <f t="shared" ca="1" si="257"/>
        <v>4.00000000372529E-8</v>
      </c>
      <c r="X134" s="64"/>
      <c r="Y134" s="31"/>
      <c r="Z134" s="226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</row>
    <row r="135" spans="1:118" s="37" customFormat="1" ht="23.25" customHeight="1" thickTop="1" thickBot="1" x14ac:dyDescent="0.3">
      <c r="A135" s="10"/>
      <c r="B135" s="1"/>
      <c r="C135" s="44"/>
      <c r="D135" s="206" t="s">
        <v>121</v>
      </c>
      <c r="E135" s="68"/>
      <c r="F135" s="69"/>
      <c r="G135" s="239" t="str">
        <f ca="1">_xll.DBRA(Server&amp;$D$20,$D135,"French")</f>
        <v>Ports et frais accessoires facturés</v>
      </c>
      <c r="H135" s="239" t="str">
        <f ca="1">_xll.DBRA(Server&amp;$D$20,$D135,"French")</f>
        <v>Ports et frais accessoires facturés</v>
      </c>
      <c r="I135" s="239"/>
      <c r="J135" s="239"/>
      <c r="K135" s="154" t="s">
        <v>3</v>
      </c>
      <c r="L135" s="165">
        <f ca="1">_xll.DBRW(Server&amp;Cube1,$J$12,$L$13,$J$14,$L$1,$J$11,$J$15,$D135)</f>
        <v>0</v>
      </c>
      <c r="M135" s="165">
        <f ca="1">_xll.DBRW(Server&amp;Cube1,$J$12,$L$13,$J$14,$M$1,$J$11,$J$15,$D135)</f>
        <v>0</v>
      </c>
      <c r="N135" s="166">
        <f t="shared" ca="1" si="253"/>
        <v>0</v>
      </c>
      <c r="O135" s="167" t="str">
        <f ca="1">IF(ISERROR(N135/M135),"-",N135/M135)</f>
        <v>-</v>
      </c>
      <c r="P135" s="132"/>
      <c r="Q135" s="165">
        <f ca="1">_xll.DBRW(Server&amp;Cube1,$J$12,$L$13,$J$14,$Q$1,$J$11,$J$15,$D135)</f>
        <v>0</v>
      </c>
      <c r="R135" s="166">
        <f ca="1">L135-Q135</f>
        <v>0</v>
      </c>
      <c r="S135" s="167" t="str">
        <f ca="1">IF(ISERROR(R135/Q135),"-",R135/Q135)</f>
        <v>-</v>
      </c>
      <c r="T135" s="132"/>
      <c r="U135" s="165">
        <f ca="1">_xll.DBRW(Server&amp;Cube1,$J$12,$L$13,$J$14,$U$1,$U$2,$J$15,$D135)</f>
        <v>0</v>
      </c>
      <c r="V135" s="166">
        <f t="shared" ca="1" si="256"/>
        <v>0</v>
      </c>
      <c r="W135" s="167" t="str">
        <f t="shared" ca="1" si="257"/>
        <v>-</v>
      </c>
      <c r="X135" s="64"/>
      <c r="Y135" s="31"/>
      <c r="Z135" s="226"/>
      <c r="AA135" s="226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</row>
    <row r="136" spans="1:118" s="37" customFormat="1" ht="23.25" customHeight="1" thickTop="1" thickBot="1" x14ac:dyDescent="0.3">
      <c r="A136" s="10"/>
      <c r="B136" s="1"/>
      <c r="C136" s="44"/>
      <c r="D136" s="206" t="s">
        <v>122</v>
      </c>
      <c r="E136" s="68"/>
      <c r="F136" s="69"/>
      <c r="G136" s="239" t="str">
        <f ca="1">_xll.DBRA(Server&amp;$D$20,$D136,"French")</f>
        <v>Remise forfaitaire annuelle</v>
      </c>
      <c r="H136" s="239" t="str">
        <f ca="1">_xll.DBRA(Server&amp;$D$20,$D136,"French")</f>
        <v>Remise forfaitaire annuelle</v>
      </c>
      <c r="I136" s="239"/>
      <c r="J136" s="239"/>
      <c r="K136" s="154" t="s">
        <v>3</v>
      </c>
      <c r="L136" s="165">
        <f ca="1">_xll.DBRW(Server&amp;Cube1,$J$12,$L$13,$J$14,$L$1,$J$11,$J$15,$D136)</f>
        <v>27069.88</v>
      </c>
      <c r="M136" s="165">
        <f ca="1">_xll.DBRW(Server&amp;Cube1,$J$12,$L$13,$J$14,$M$1,$J$11,$J$15,$D136)</f>
        <v>75000</v>
      </c>
      <c r="N136" s="166">
        <f ca="1">L136-M136</f>
        <v>-47930.119999999995</v>
      </c>
      <c r="O136" s="167">
        <f ca="1">IF(ISERROR(N136/M136),"-",N136/M136)</f>
        <v>-0.63906826666666661</v>
      </c>
      <c r="P136" s="132"/>
      <c r="Q136" s="165">
        <f ca="1">_xll.DBRW(Server&amp;Cube1,$J$12,$L$13,$J$14,$Q$1,$J$11,$J$15,$D136)</f>
        <v>0</v>
      </c>
      <c r="R136" s="166">
        <f ca="1">L136-Q136</f>
        <v>27069.88</v>
      </c>
      <c r="S136" s="167" t="str">
        <f ca="1">IF(ISERROR(R136/Q136),"-",R136/Q136)</f>
        <v>-</v>
      </c>
      <c r="T136" s="132"/>
      <c r="U136" s="165">
        <f ca="1">_xll.DBRW(Server&amp;Cube1,$J$12,$L$13,$J$14,$U$1,$U$2,$J$15,$D136)</f>
        <v>14799.339999999997</v>
      </c>
      <c r="V136" s="166">
        <f t="shared" ca="1" si="256"/>
        <v>12270.540000000005</v>
      </c>
      <c r="W136" s="167">
        <f t="shared" ca="1" si="257"/>
        <v>0.82912751514594618</v>
      </c>
      <c r="X136" s="64"/>
      <c r="Y136" s="31"/>
      <c r="Z136" s="226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</row>
    <row r="137" spans="1:118" s="37" customFormat="1" ht="23.25" customHeight="1" thickTop="1" thickBot="1" x14ac:dyDescent="0.3">
      <c r="A137" s="10"/>
      <c r="B137" s="1"/>
      <c r="C137" s="44"/>
      <c r="D137" s="206" t="s">
        <v>153</v>
      </c>
      <c r="E137" s="68"/>
      <c r="F137" s="69"/>
      <c r="G137" s="239" t="str">
        <f ca="1">_xll.DBRA(Server&amp;$D$20,$D137,"French")</f>
        <v>Refacturation Personnel MAD</v>
      </c>
      <c r="H137" s="239" t="str">
        <f ca="1">_xll.DBRA(Server&amp;$D$20,$D137,"French")</f>
        <v>Refacturation Personnel MAD</v>
      </c>
      <c r="I137" s="239"/>
      <c r="J137" s="239"/>
      <c r="K137" s="154" t="s">
        <v>3</v>
      </c>
      <c r="L137" s="165">
        <f ca="1">_xll.DBRW(Server&amp;Cube1,$J$12,$L$13,$J$14,$L$1,$J$11,$J$15,$D137)</f>
        <v>1608</v>
      </c>
      <c r="M137" s="165">
        <f ca="1">_xll.DBRW(Server&amp;Cube1,$J$12,$L$13,$J$14,$M$1,$J$11,$J$15,$D137)</f>
        <v>0</v>
      </c>
      <c r="N137" s="166">
        <f t="shared" ca="1" si="253"/>
        <v>1608</v>
      </c>
      <c r="O137" s="167" t="str">
        <f ca="1">IF(ISERROR(N137/M137),"-",N137/M137)</f>
        <v>-</v>
      </c>
      <c r="P137" s="132"/>
      <c r="Q137" s="165">
        <f ca="1">_xll.DBRW(Server&amp;Cube1,$J$12,$L$13,$J$14,$Q$1,$J$11,$J$15,$D137)</f>
        <v>0</v>
      </c>
      <c r="R137" s="166">
        <f ca="1">L137-Q137</f>
        <v>1608</v>
      </c>
      <c r="S137" s="167" t="str">
        <f ca="1">IF(ISERROR(R137/Q137),"-",R137/Q137)</f>
        <v>-</v>
      </c>
      <c r="T137" s="132"/>
      <c r="U137" s="165">
        <f ca="1">_xll.DBRW(Server&amp;Cube1,$J$12,$L$13,$J$14,$U$1,$U$2,$J$15,$D137)</f>
        <v>0</v>
      </c>
      <c r="V137" s="166">
        <f t="shared" ca="1" si="256"/>
        <v>1608</v>
      </c>
      <c r="W137" s="167" t="str">
        <f t="shared" ca="1" si="257"/>
        <v>-</v>
      </c>
      <c r="X137" s="64"/>
      <c r="Y137" s="31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</row>
    <row r="138" spans="1:118" s="37" customFormat="1" ht="23.25" customHeight="1" collapsed="1" thickTop="1" x14ac:dyDescent="0.25">
      <c r="A138" s="10"/>
      <c r="B138" s="1"/>
      <c r="C138" s="44"/>
      <c r="D138" s="206" t="s">
        <v>108</v>
      </c>
      <c r="E138" s="68"/>
      <c r="F138" s="69"/>
      <c r="G138" s="239" t="str">
        <f ca="1">_xll.DBRA(Server&amp;$D$20,$D138,"French")</f>
        <v>Reprise sur provision d'exploitation (Douteux)</v>
      </c>
      <c r="H138" s="239" t="str">
        <f ca="1">_xll.DBRA(Server&amp;$D$20,$D138,"French")</f>
        <v>Reprise sur provision d'exploitation (Douteux)</v>
      </c>
      <c r="I138" s="239"/>
      <c r="J138" s="239"/>
      <c r="K138" s="154" t="s">
        <v>3</v>
      </c>
      <c r="L138" s="165">
        <f ca="1">_xll.DBRW(Server&amp;Cube1,$J$12,$L$13,$J$14,$L$1,$J$11,$J$15,$D138)</f>
        <v>0</v>
      </c>
      <c r="M138" s="165">
        <f ca="1">_xll.DBRW(Server&amp;Cube1,$J$12,$L$13,$J$14,$M$1,$J$11,$J$15,$D138)</f>
        <v>0</v>
      </c>
      <c r="N138" s="166">
        <f t="shared" ca="1" si="253"/>
        <v>0</v>
      </c>
      <c r="O138" s="167" t="str">
        <f ca="1">IF(ISERROR(N138/M138),"-",N138/M138)</f>
        <v>-</v>
      </c>
      <c r="P138" s="132"/>
      <c r="Q138" s="165">
        <f ca="1">_xll.DBRW(Server&amp;Cube1,$J$12,$L$13,$J$14,$Q$1,$J$11,$J$15,$D138)</f>
        <v>0</v>
      </c>
      <c r="R138" s="166">
        <f t="shared" ref="R138" ca="1" si="261">L138-Q138</f>
        <v>0</v>
      </c>
      <c r="S138" s="167" t="str">
        <f t="shared" ref="S138" ca="1" si="262">IF(ISERROR(R138/Q138),"-",R138/Q138)</f>
        <v>-</v>
      </c>
      <c r="T138" s="132"/>
      <c r="U138" s="165">
        <f ca="1">_xll.DBRW(Server&amp;Cube1,$J$12,$L$13,$J$14,$U$1,$U$2,$J$15,$D138)</f>
        <v>0</v>
      </c>
      <c r="V138" s="166">
        <f t="shared" ca="1" si="256"/>
        <v>0</v>
      </c>
      <c r="W138" s="167" t="str">
        <f t="shared" ca="1" si="257"/>
        <v>-</v>
      </c>
      <c r="X138" s="64"/>
      <c r="Y138" s="31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</row>
    <row r="139" spans="1:118" ht="9" customHeight="1" x14ac:dyDescent="0.25">
      <c r="C139" s="44"/>
      <c r="D139" s="207"/>
      <c r="E139" s="68"/>
      <c r="F139" s="69"/>
      <c r="G139" s="70"/>
      <c r="H139" s="71"/>
      <c r="I139" s="72"/>
      <c r="J139" s="72"/>
      <c r="K139" s="73"/>
      <c r="L139" s="74"/>
      <c r="M139" s="74"/>
      <c r="N139" s="75"/>
      <c r="O139" s="76"/>
      <c r="P139" s="77"/>
      <c r="Q139" s="74"/>
      <c r="R139" s="75"/>
      <c r="S139" s="76"/>
      <c r="T139" s="77"/>
      <c r="U139" s="74"/>
      <c r="V139" s="75"/>
      <c r="W139" s="76"/>
      <c r="X139" s="65"/>
      <c r="Y139" s="31"/>
      <c r="Z139" s="78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</row>
    <row r="140" spans="1:118" s="139" customFormat="1" ht="22.5" customHeight="1" x14ac:dyDescent="0.25">
      <c r="B140" s="140"/>
      <c r="C140" s="44"/>
      <c r="D140" s="208" t="s">
        <v>123</v>
      </c>
      <c r="E140" s="141"/>
      <c r="F140" s="142"/>
      <c r="G140" s="236" t="str">
        <f ca="1">_xll.DBRA(Server&amp;$D$20,$D140,"French")</f>
        <v>Produits de structure</v>
      </c>
      <c r="H140" s="237"/>
      <c r="I140" s="237"/>
      <c r="J140" s="238"/>
      <c r="K140" s="143"/>
      <c r="L140" s="144">
        <f ca="1">+L131+L132+L134+L135+L136+L137+L138</f>
        <v>278688.69</v>
      </c>
      <c r="M140" s="144">
        <f ca="1">+M131+M132+M134+M135+M136+M137+M138</f>
        <v>325000</v>
      </c>
      <c r="N140" s="144">
        <f ca="1">+N131+N132+N134+N135+N136+N137+N138</f>
        <v>-46311.309999999969</v>
      </c>
      <c r="O140" s="161">
        <f ca="1">IF(ISERROR(N140/M140),"-",N140/M140)</f>
        <v>-0.14249633846153836</v>
      </c>
      <c r="P140" s="132"/>
      <c r="Q140" s="145">
        <f ca="1">+Q131+Q132+Q134+Q135+Q136+Q137+Q138</f>
        <v>0</v>
      </c>
      <c r="R140" s="145">
        <f ca="1">+R131+R132+R134+R135+R136+R137+R138</f>
        <v>278688.69</v>
      </c>
      <c r="S140" s="161" t="str">
        <f t="shared" ref="S140" ca="1" si="263">IF(ISERROR(R140/Q140),"-",R140/Q140)</f>
        <v>-</v>
      </c>
      <c r="T140" s="132"/>
      <c r="U140" s="144">
        <f ca="1">+U131+U132+U134+U135+U136+U137+U138</f>
        <v>264799.33999999997</v>
      </c>
      <c r="V140" s="144">
        <f ca="1">+V131+V132+V134+V135+V136+V137+V138</f>
        <v>13889.350000000013</v>
      </c>
      <c r="W140" s="161">
        <f ca="1">IF(ISERROR(V140/U140),"-",V140/U140)</f>
        <v>5.2452358831408016E-2</v>
      </c>
      <c r="X140" s="155"/>
      <c r="Y140" s="148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  <c r="BH140" s="149"/>
      <c r="BI140" s="149"/>
      <c r="BJ140" s="149"/>
      <c r="BK140" s="149"/>
      <c r="BL140" s="149"/>
      <c r="BM140" s="149"/>
      <c r="BN140" s="149"/>
      <c r="BO140" s="149"/>
      <c r="BP140" s="149"/>
      <c r="BQ140" s="149"/>
      <c r="BR140" s="149"/>
      <c r="BS140" s="149"/>
      <c r="BT140" s="149"/>
      <c r="BU140" s="149"/>
      <c r="BV140" s="149"/>
      <c r="BW140" s="149"/>
      <c r="BX140" s="149"/>
      <c r="BY140" s="149"/>
      <c r="BZ140" s="149"/>
      <c r="CA140" s="149"/>
      <c r="CB140" s="149"/>
      <c r="CC140" s="149"/>
      <c r="CD140" s="149"/>
      <c r="CE140" s="149"/>
      <c r="CF140" s="149"/>
      <c r="CG140" s="149"/>
      <c r="CH140" s="149"/>
      <c r="CI140" s="149"/>
      <c r="CJ140" s="149"/>
      <c r="CK140" s="149"/>
      <c r="CL140" s="149"/>
      <c r="CM140" s="149"/>
      <c r="CN140" s="149"/>
      <c r="CO140" s="149"/>
      <c r="CP140" s="149"/>
      <c r="CQ140" s="149"/>
      <c r="CR140" s="149"/>
      <c r="CS140" s="149"/>
      <c r="CT140" s="149"/>
      <c r="CU140" s="149"/>
      <c r="CV140" s="149"/>
      <c r="CW140" s="149"/>
      <c r="CX140" s="149"/>
      <c r="CY140" s="149"/>
      <c r="CZ140" s="149"/>
      <c r="DA140" s="149"/>
      <c r="DB140" s="149"/>
      <c r="DC140" s="149"/>
      <c r="DD140" s="149"/>
      <c r="DE140" s="149"/>
      <c r="DF140" s="149"/>
      <c r="DG140" s="149"/>
      <c r="DH140" s="149"/>
      <c r="DI140" s="149"/>
      <c r="DJ140" s="149"/>
      <c r="DK140" s="149"/>
      <c r="DL140" s="149"/>
      <c r="DM140" s="149"/>
      <c r="DN140" s="149"/>
    </row>
    <row r="141" spans="1:118" ht="8.25" customHeight="1" x14ac:dyDescent="0.25">
      <c r="C141" s="44"/>
      <c r="D141" s="206"/>
      <c r="E141" s="62"/>
      <c r="F141" s="63"/>
      <c r="G141" s="82"/>
      <c r="H141" s="82"/>
      <c r="I141" s="64"/>
      <c r="J141" s="64"/>
      <c r="K141" s="64"/>
      <c r="L141" s="83"/>
      <c r="M141" s="83"/>
      <c r="N141" s="83"/>
      <c r="O141" s="84"/>
      <c r="P141" s="83"/>
      <c r="Q141" s="83"/>
      <c r="R141" s="83"/>
      <c r="S141" s="84"/>
      <c r="T141" s="83"/>
      <c r="U141" s="83"/>
      <c r="V141" s="83"/>
      <c r="W141" s="84"/>
      <c r="X141" s="64"/>
      <c r="Y141" s="31"/>
      <c r="Z141" s="9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5"/>
      <c r="AM141" s="85"/>
      <c r="AN141" s="85"/>
      <c r="AO141" s="85"/>
      <c r="AP141" s="85"/>
      <c r="AQ141" s="85"/>
      <c r="AR141" s="85"/>
      <c r="AS141" s="85"/>
      <c r="AT141" s="85"/>
      <c r="AU141" s="85"/>
      <c r="AV141" s="85"/>
      <c r="AW141" s="85"/>
      <c r="AX141" s="85"/>
      <c r="AY141" s="85"/>
      <c r="AZ141" s="85"/>
      <c r="BA141" s="85"/>
      <c r="BB141" s="85"/>
      <c r="BC141" s="85"/>
      <c r="BD141" s="85"/>
      <c r="BE141" s="85"/>
      <c r="BF141" s="85"/>
      <c r="BG141" s="85"/>
      <c r="BH141" s="85"/>
      <c r="BI141" s="85"/>
      <c r="BJ141" s="85"/>
      <c r="BK141" s="85"/>
      <c r="BL141" s="85"/>
      <c r="BM141" s="85"/>
      <c r="BN141" s="85"/>
      <c r="BO141" s="85"/>
      <c r="BP141" s="85"/>
      <c r="BQ141" s="85"/>
      <c r="BR141" s="85"/>
      <c r="BS141" s="85"/>
      <c r="BT141" s="85"/>
      <c r="BU141" s="85"/>
      <c r="BV141" s="85"/>
      <c r="BW141" s="85"/>
      <c r="BX141" s="85"/>
      <c r="BY141" s="85"/>
      <c r="BZ141" s="85"/>
      <c r="CA141" s="85"/>
      <c r="CB141" s="85"/>
      <c r="CC141" s="85"/>
      <c r="CD141" s="85"/>
      <c r="CE141" s="85"/>
      <c r="CF141" s="85"/>
      <c r="CG141" s="85"/>
      <c r="CH141" s="85"/>
      <c r="CI141" s="85"/>
      <c r="CJ141" s="85"/>
      <c r="CK141" s="85"/>
      <c r="CL141" s="85"/>
      <c r="CM141" s="85"/>
      <c r="CN141" s="85"/>
      <c r="CO141" s="85"/>
      <c r="CP141" s="85"/>
      <c r="CQ141" s="85"/>
      <c r="CR141" s="85"/>
      <c r="CS141" s="85"/>
      <c r="CT141" s="85"/>
      <c r="CU141" s="85"/>
      <c r="CV141" s="85"/>
      <c r="CW141" s="85"/>
      <c r="CX141" s="85"/>
      <c r="CY141" s="85"/>
      <c r="CZ141" s="85"/>
      <c r="DA141" s="85"/>
      <c r="DB141" s="85"/>
      <c r="DC141" s="85"/>
      <c r="DD141" s="85"/>
      <c r="DE141" s="85"/>
      <c r="DF141" s="85"/>
      <c r="DG141" s="85"/>
      <c r="DH141" s="85"/>
      <c r="DI141" s="85"/>
      <c r="DJ141" s="85"/>
      <c r="DK141" s="85"/>
      <c r="DL141" s="85"/>
      <c r="DM141" s="85"/>
      <c r="DN141" s="85"/>
    </row>
    <row r="142" spans="1:118" ht="8.25" customHeight="1" x14ac:dyDescent="0.25">
      <c r="C142" s="44"/>
      <c r="D142" s="206"/>
      <c r="E142" s="62"/>
      <c r="F142" s="63"/>
      <c r="G142" s="82"/>
      <c r="H142" s="82"/>
      <c r="I142" s="64"/>
      <c r="J142" s="64"/>
      <c r="K142" s="64"/>
      <c r="L142" s="83"/>
      <c r="M142" s="83"/>
      <c r="N142" s="83"/>
      <c r="O142" s="84"/>
      <c r="P142" s="83"/>
      <c r="Q142" s="83"/>
      <c r="R142" s="83"/>
      <c r="S142" s="84"/>
      <c r="T142" s="83"/>
      <c r="U142" s="83"/>
      <c r="V142" s="83"/>
      <c r="W142" s="84"/>
      <c r="X142" s="64"/>
      <c r="Y142" s="31"/>
      <c r="Z142" s="9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  <c r="AU142" s="85"/>
      <c r="AV142" s="85"/>
      <c r="AW142" s="85"/>
      <c r="AX142" s="85"/>
      <c r="AY142" s="85"/>
      <c r="AZ142" s="85"/>
      <c r="BA142" s="85"/>
      <c r="BB142" s="85"/>
      <c r="BC142" s="85"/>
      <c r="BD142" s="85"/>
      <c r="BE142" s="85"/>
      <c r="BF142" s="85"/>
      <c r="BG142" s="85"/>
      <c r="BH142" s="85"/>
      <c r="BI142" s="85"/>
      <c r="BJ142" s="85"/>
      <c r="BK142" s="85"/>
      <c r="BL142" s="85"/>
      <c r="BM142" s="85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  <c r="DF142" s="85"/>
      <c r="DG142" s="85"/>
      <c r="DH142" s="85"/>
      <c r="DI142" s="85"/>
      <c r="DJ142" s="85"/>
      <c r="DK142" s="85"/>
      <c r="DL142" s="85"/>
      <c r="DM142" s="85"/>
      <c r="DN142" s="85"/>
    </row>
    <row r="143" spans="1:118" ht="8.25" customHeight="1" x14ac:dyDescent="0.25">
      <c r="C143" s="44"/>
      <c r="D143" s="206"/>
      <c r="E143" s="62"/>
      <c r="F143" s="63"/>
      <c r="G143" s="183"/>
      <c r="H143" s="184"/>
      <c r="I143" s="185"/>
      <c r="J143" s="185"/>
      <c r="K143" s="185"/>
      <c r="L143" s="186"/>
      <c r="M143" s="186"/>
      <c r="N143" s="186"/>
      <c r="O143" s="187"/>
      <c r="P143" s="186"/>
      <c r="Q143" s="186"/>
      <c r="R143" s="186"/>
      <c r="S143" s="187"/>
      <c r="T143" s="186"/>
      <c r="U143" s="186"/>
      <c r="V143" s="186"/>
      <c r="W143" s="187"/>
      <c r="X143" s="188"/>
      <c r="Y143" s="86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85"/>
      <c r="AN143" s="85"/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  <c r="BA143" s="85"/>
      <c r="BB143" s="85"/>
      <c r="BC143" s="85"/>
      <c r="BD143" s="85"/>
      <c r="BE143" s="85"/>
      <c r="BF143" s="85"/>
      <c r="BG143" s="85"/>
      <c r="BH143" s="85"/>
      <c r="BI143" s="85"/>
      <c r="BJ143" s="85"/>
      <c r="BK143" s="85"/>
      <c r="BL143" s="85"/>
      <c r="BM143" s="85"/>
      <c r="BN143" s="85"/>
      <c r="BO143" s="85"/>
      <c r="BP143" s="85"/>
      <c r="BQ143" s="85"/>
      <c r="BR143" s="85"/>
      <c r="BS143" s="85"/>
      <c r="BT143" s="85"/>
      <c r="BU143" s="85"/>
      <c r="BV143" s="85"/>
      <c r="BW143" s="85"/>
      <c r="BX143" s="85"/>
      <c r="BY143" s="85"/>
      <c r="BZ143" s="85"/>
      <c r="CA143" s="85"/>
      <c r="CB143" s="85"/>
      <c r="CC143" s="85"/>
      <c r="CD143" s="85"/>
      <c r="CE143" s="85"/>
      <c r="CF143" s="85"/>
      <c r="CG143" s="85"/>
      <c r="CH143" s="85"/>
      <c r="CI143" s="85"/>
      <c r="CJ143" s="85"/>
      <c r="CK143" s="85"/>
      <c r="CL143" s="85"/>
      <c r="CM143" s="85"/>
      <c r="CN143" s="85"/>
      <c r="CO143" s="85"/>
      <c r="CP143" s="85"/>
      <c r="CQ143" s="85"/>
      <c r="CR143" s="85"/>
      <c r="CS143" s="85"/>
      <c r="CT143" s="85"/>
      <c r="CU143" s="85"/>
      <c r="CV143" s="85"/>
      <c r="CW143" s="85"/>
      <c r="CX143" s="85"/>
      <c r="CY143" s="85"/>
      <c r="CZ143" s="85"/>
      <c r="DA143" s="85"/>
      <c r="DB143" s="85"/>
      <c r="DC143" s="85"/>
      <c r="DD143" s="85"/>
      <c r="DE143" s="85"/>
      <c r="DF143" s="85"/>
      <c r="DG143" s="85"/>
      <c r="DH143" s="85"/>
      <c r="DI143" s="85"/>
      <c r="DJ143" s="85"/>
      <c r="DK143" s="85"/>
      <c r="DL143" s="85"/>
      <c r="DM143" s="85"/>
      <c r="DN143" s="85"/>
    </row>
    <row r="144" spans="1:118" s="61" customFormat="1" ht="22.5" customHeight="1" x14ac:dyDescent="0.25">
      <c r="A144" s="222"/>
      <c r="B144" s="60"/>
      <c r="C144" s="44"/>
      <c r="D144" s="206" t="s">
        <v>79</v>
      </c>
      <c r="E144" s="79"/>
      <c r="F144" s="80"/>
      <c r="G144" s="199"/>
      <c r="H144" s="236" t="str">
        <f ca="1">_xll.DBRA(Server&amp;$D$20,$D144,"French")</f>
        <v>RESULTAT d'exploitation</v>
      </c>
      <c r="I144" s="237"/>
      <c r="J144" s="238"/>
      <c r="K144" s="200"/>
      <c r="L144" s="144">
        <f ca="1">SUM(L69,L129,L140)</f>
        <v>-170249.34999999992</v>
      </c>
      <c r="M144" s="144">
        <f ca="1">SUM(M69,M129,M140)</f>
        <v>121823.29000000027</v>
      </c>
      <c r="N144" s="144">
        <f ca="1">SUM(N69,N129,N140)</f>
        <v>-292072.64000000036</v>
      </c>
      <c r="O144" s="161">
        <f ca="1">IF(ISERROR(N144/M144),"-",N144/M144)</f>
        <v>-2.3975106894584748</v>
      </c>
      <c r="P144" s="201"/>
      <c r="Q144" s="145">
        <f ca="1">_xll.DBRW(Server&amp;Cube1,$J$12,$L$13,$J$14,$Q$1,$J$11,$J$15,$D144)</f>
        <v>0</v>
      </c>
      <c r="R144" s="146">
        <f ca="1">L144-Q144</f>
        <v>-170249.34999999992</v>
      </c>
      <c r="S144" s="161" t="str">
        <f t="shared" ref="S144" ca="1" si="264">IF(ISERROR(R144/Q144),"-",R144/Q144)</f>
        <v>-</v>
      </c>
      <c r="T144" s="172"/>
      <c r="U144" s="144">
        <f ca="1">SUM(U69,U129,U140)</f>
        <v>-7225.8099999997066</v>
      </c>
      <c r="V144" s="146">
        <f ca="1">L144-U144</f>
        <v>-163023.54000000021</v>
      </c>
      <c r="W144" s="161">
        <f ca="1">IF(ISERROR(V144/U144),"-",V144/U144)</f>
        <v>22.561282402942624</v>
      </c>
      <c r="X144" s="189"/>
      <c r="Y144" s="87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</row>
    <row r="145" spans="1:118" s="94" customFormat="1" ht="22.5" customHeight="1" collapsed="1" x14ac:dyDescent="0.25">
      <c r="A145" s="88"/>
      <c r="B145" s="89"/>
      <c r="C145" s="44"/>
      <c r="D145" s="209" t="s">
        <v>30</v>
      </c>
      <c r="E145" s="90"/>
      <c r="F145" s="91"/>
      <c r="G145" s="191"/>
      <c r="H145" s="90"/>
      <c r="I145" s="90"/>
      <c r="J145" s="192" t="s">
        <v>98</v>
      </c>
      <c r="K145" s="193"/>
      <c r="L145" s="194">
        <f ca="1">IF(ISERROR(L144/L41),"-",L144/L41)</f>
        <v>-0.10374990581727359</v>
      </c>
      <c r="M145" s="194">
        <f ca="1">IF(ISERROR(M144/M41),"-",M144/M41)</f>
        <v>4.9990196941735635E-2</v>
      </c>
      <c r="N145" s="246">
        <f ca="1">IF(ISERROR((L145-M145)*100),"-",(L145-M145)*100)</f>
        <v>-15.374010275900924</v>
      </c>
      <c r="O145" s="246"/>
      <c r="P145" s="195"/>
      <c r="Q145" s="194" t="str">
        <f ca="1">IF(ISERROR(Q144/Q41),"-",Q144/Q41)</f>
        <v>-</v>
      </c>
      <c r="R145" s="248" t="str">
        <f ca="1">IF(ISERROR((P145-Q145)*100),"-",(P145-Q145)*100)</f>
        <v>-</v>
      </c>
      <c r="S145" s="248"/>
      <c r="T145" s="195"/>
      <c r="U145" s="194">
        <f ca="1">IF(ISERROR(U144/U41),"-",U144/U41)</f>
        <v>-2.9647079654889015E-3</v>
      </c>
      <c r="V145" s="246">
        <f ca="1">IF(ISERROR((L145-U145)*100),"-",(L145-U145)*100)</f>
        <v>-10.078519785178468</v>
      </c>
      <c r="W145" s="246"/>
      <c r="X145" s="190"/>
      <c r="Y145" s="92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  <c r="BI145" s="93"/>
      <c r="BJ145" s="93"/>
      <c r="BK145" s="93"/>
      <c r="BL145" s="93"/>
      <c r="BM145" s="93"/>
      <c r="BN145" s="93"/>
      <c r="BO145" s="93"/>
      <c r="BP145" s="93"/>
      <c r="BQ145" s="93"/>
      <c r="BR145" s="9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93"/>
      <c r="CL145" s="93"/>
      <c r="CM145" s="93"/>
      <c r="CN145" s="93"/>
      <c r="CO145" s="93"/>
      <c r="CP145" s="93"/>
      <c r="CQ145" s="93"/>
      <c r="CR145" s="93"/>
      <c r="CS145" s="93"/>
      <c r="CT145" s="93"/>
      <c r="CU145" s="93"/>
      <c r="CV145" s="93"/>
      <c r="CW145" s="93"/>
      <c r="CX145" s="93"/>
      <c r="CY145" s="93"/>
      <c r="CZ145" s="93"/>
      <c r="DA145" s="93"/>
      <c r="DB145" s="93"/>
      <c r="DC145" s="93"/>
      <c r="DD145" s="93"/>
      <c r="DE145" s="93"/>
      <c r="DF145" s="93"/>
      <c r="DG145" s="93"/>
      <c r="DH145" s="93"/>
      <c r="DI145" s="93"/>
      <c r="DJ145" s="93"/>
      <c r="DK145" s="93"/>
      <c r="DL145" s="93"/>
      <c r="DM145" s="93"/>
      <c r="DN145" s="93"/>
    </row>
    <row r="146" spans="1:118" s="37" customFormat="1" ht="5.25" customHeight="1" x14ac:dyDescent="0.25">
      <c r="A146" s="10"/>
      <c r="B146" s="1"/>
      <c r="C146" s="44"/>
      <c r="D146" s="207"/>
      <c r="E146" s="68"/>
      <c r="F146" s="69"/>
      <c r="G146" s="196"/>
      <c r="H146" s="197"/>
      <c r="I146" s="197"/>
      <c r="J146" s="197"/>
      <c r="K146" s="197"/>
      <c r="L146" s="197"/>
      <c r="M146" s="197"/>
      <c r="N146" s="197"/>
      <c r="O146" s="197"/>
      <c r="P146" s="197"/>
      <c r="Q146" s="197"/>
      <c r="R146" s="197"/>
      <c r="S146" s="197"/>
      <c r="T146" s="197"/>
      <c r="U146" s="197"/>
      <c r="V146" s="197"/>
      <c r="W146" s="197"/>
      <c r="X146" s="198"/>
      <c r="Y146" s="31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</row>
    <row r="147" spans="1:118" s="37" customFormat="1" ht="10.5" customHeight="1" thickBot="1" x14ac:dyDescent="0.3">
      <c r="A147" s="10"/>
      <c r="B147" s="1"/>
      <c r="C147" s="44"/>
      <c r="D147" s="207"/>
      <c r="E147" s="68"/>
      <c r="F147" s="69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31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</row>
    <row r="148" spans="1:118" s="37" customFormat="1" ht="23.25" customHeight="1" collapsed="1" thickTop="1" thickBot="1" x14ac:dyDescent="0.3">
      <c r="A148" s="10"/>
      <c r="B148" s="1"/>
      <c r="C148" s="44"/>
      <c r="D148" s="206" t="s">
        <v>84</v>
      </c>
      <c r="E148" s="68"/>
      <c r="F148" s="69"/>
      <c r="G148" s="239" t="str">
        <f ca="1">_xll.DBRA(Server&amp;$D$20,$D148,"French")</f>
        <v>Produits financiers</v>
      </c>
      <c r="H148" s="239" t="str">
        <f ca="1">_xll.DBRA(Server&amp;$D$20,$D148,"French")</f>
        <v>Produits financiers</v>
      </c>
      <c r="I148" s="239"/>
      <c r="J148" s="239"/>
      <c r="K148" s="154" t="s">
        <v>3</v>
      </c>
      <c r="L148" s="162">
        <f ca="1">_xll.DBRW(Server&amp;Cube1,$J$12,$L$13,$J$14,$L$1,$J$11,$J$15,$D148)</f>
        <v>0</v>
      </c>
      <c r="M148" s="162">
        <f ca="1">_xll.DBRW(Server&amp;Cube1,$J$12,$L$13,$J$14,$M$1,$J$11,$J$15,$D148)</f>
        <v>0</v>
      </c>
      <c r="N148" s="202">
        <f ca="1">L148-M148</f>
        <v>0</v>
      </c>
      <c r="O148" s="164" t="str">
        <f ca="1">IF(ISERROR(N148/M148),"-",N148/M148)</f>
        <v>-</v>
      </c>
      <c r="P148" s="132"/>
      <c r="Q148" s="162">
        <f ca="1">_xll.DBRW(Server&amp;Cube1,$J$12,$L$13,$J$14,$Q$1,$J$11,$J$15,$D148)</f>
        <v>0</v>
      </c>
      <c r="R148" s="163">
        <f ca="1">L148-Q148</f>
        <v>0</v>
      </c>
      <c r="S148" s="164" t="str">
        <f t="shared" ref="S148:S154" ca="1" si="265">IF(ISERROR(R148/Q148),"-",R148/Q148)</f>
        <v>-</v>
      </c>
      <c r="T148" s="132"/>
      <c r="U148" s="162">
        <f ca="1">_xll.DBRW(Server&amp;Cube1,$J$12,$L$13,$J$14,$U$1,$U$2,$J$15,$D148)</f>
        <v>0</v>
      </c>
      <c r="V148" s="163">
        <f t="shared" ref="V148:V154" ca="1" si="266">L148-U148</f>
        <v>0</v>
      </c>
      <c r="W148" s="164" t="str">
        <f t="shared" ref="W148:W154" ca="1" si="267">IF(ISERROR(V148/U148),"-",V148/U148)</f>
        <v>-</v>
      </c>
      <c r="X148" s="64"/>
      <c r="Y148" s="31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</row>
    <row r="149" spans="1:118" ht="24.75" hidden="1" outlineLevel="1" thickTop="1" thickBot="1" x14ac:dyDescent="0.3">
      <c r="B149" s="60"/>
      <c r="C149" s="44"/>
      <c r="D149" s="203" t="s">
        <v>118</v>
      </c>
      <c r="E149" s="62"/>
      <c r="F149" s="63"/>
      <c r="G149" s="41"/>
      <c r="H149" s="232" t="str">
        <f ca="1">_xll.DBRA(Server&amp;$D$20,$D149,"French")</f>
        <v>Produits financiers divers</v>
      </c>
      <c r="I149" s="232"/>
      <c r="J149" s="232"/>
      <c r="K149" s="150"/>
      <c r="L149" s="168">
        <f ca="1">_xll.DBRW(Server&amp;Cube1,$J$12,$L$13,$J$14,$L$1,$J$11,$J$15,$D149)</f>
        <v>0</v>
      </c>
      <c r="M149" s="168">
        <f ca="1">_xll.DBRW(Server&amp;Cube1,$J$12,$L$13,$J$14,$M$1,$J$11,$J$15,$D149)</f>
        <v>0</v>
      </c>
      <c r="N149" s="169">
        <f t="shared" ref="N149:N154" ca="1" si="268">L149-M149</f>
        <v>0</v>
      </c>
      <c r="O149" s="170" t="str">
        <f t="shared" ref="O149:O154" ca="1" si="269">IF(ISERROR(N149/M149),"-",N149/M149)</f>
        <v>-</v>
      </c>
      <c r="P149" s="138"/>
      <c r="Q149" s="168">
        <f ca="1">_xll.DBRW(Server&amp;Cube1,$J$12,$L$13,$J$14,$Q$1,$J$11,$J$15,$D149)</f>
        <v>0</v>
      </c>
      <c r="R149" s="169">
        <f t="shared" ref="R149:R154" ca="1" si="270">L149-Q149</f>
        <v>0</v>
      </c>
      <c r="S149" s="170" t="str">
        <f t="shared" ca="1" si="265"/>
        <v>-</v>
      </c>
      <c r="T149" s="138"/>
      <c r="U149" s="168">
        <f ca="1">_xll.DBRW(Server&amp;Cube1,$J$12,$L$13,$J$14,$U$1,$U$2,$J$15,$D149)</f>
        <v>0</v>
      </c>
      <c r="V149" s="169">
        <f t="shared" ca="1" si="266"/>
        <v>0</v>
      </c>
      <c r="W149" s="170" t="str">
        <f t="shared" ca="1" si="267"/>
        <v>-</v>
      </c>
      <c r="X149" s="65"/>
      <c r="Y149" s="31"/>
      <c r="Z149" s="9"/>
      <c r="AA149" s="66"/>
      <c r="AB149" s="66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</row>
    <row r="150" spans="1:118" ht="24.75" hidden="1" outlineLevel="1" thickTop="1" thickBot="1" x14ac:dyDescent="0.3">
      <c r="B150" s="60"/>
      <c r="C150" s="44"/>
      <c r="D150" s="214" t="s">
        <v>179</v>
      </c>
      <c r="E150" s="62"/>
      <c r="F150" s="63"/>
      <c r="G150" s="41"/>
      <c r="H150" s="232" t="str">
        <f ca="1">_xll.DBRA(Server&amp;$D$20,$D150,"French")</f>
        <v>Gains de change</v>
      </c>
      <c r="I150" s="232"/>
      <c r="J150" s="232"/>
      <c r="K150" s="150"/>
      <c r="L150" s="168">
        <f ca="1">_xll.DBRW(Server&amp;Cube1,$J$12,$L$13,$J$14,$L$1,$J$11,$J$15,$D150)</f>
        <v>0</v>
      </c>
      <c r="M150" s="168">
        <f ca="1">_xll.DBRW(Server&amp;Cube1,$J$12,$L$13,$J$14,$M$1,$J$11,$J$15,$D150)</f>
        <v>0</v>
      </c>
      <c r="N150" s="169">
        <f ca="1">L150-M150</f>
        <v>0</v>
      </c>
      <c r="O150" s="170" t="str">
        <f t="shared" ref="O150" ca="1" si="271">IF(ISERROR(N150/M150),"-",N150/M150)</f>
        <v>-</v>
      </c>
      <c r="P150" s="138"/>
      <c r="Q150" s="168">
        <f ca="1">_xll.DBRW(Server&amp;Cube1,$J$12,$L$13,$J$14,$Q$1,$J$11,$J$15,$D150)</f>
        <v>0</v>
      </c>
      <c r="R150" s="169">
        <f ca="1">L150-Q150</f>
        <v>0</v>
      </c>
      <c r="S150" s="170" t="str">
        <f ca="1">IF(ISERROR(R150/Q150),"-",R150/Q150)</f>
        <v>-</v>
      </c>
      <c r="T150" s="138"/>
      <c r="U150" s="168">
        <f ca="1">_xll.DBRW(Server&amp;Cube1,$J$12,$L$13,$J$14,$U$1,$U$2,$J$15,$D150)</f>
        <v>0</v>
      </c>
      <c r="V150" s="169">
        <f ca="1">L150-U150</f>
        <v>0</v>
      </c>
      <c r="W150" s="170" t="str">
        <f ca="1">IF(ISERROR(V150/U150),"-",V150/U150)</f>
        <v>-</v>
      </c>
      <c r="X150" s="65"/>
      <c r="Y150" s="31"/>
      <c r="Z150" s="9"/>
      <c r="AA150" s="66"/>
      <c r="AB150" s="66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</row>
    <row r="151" spans="1:118" s="37" customFormat="1" ht="23.25" customHeight="1" collapsed="1" thickTop="1" x14ac:dyDescent="0.25">
      <c r="A151" s="10"/>
      <c r="B151" s="1"/>
      <c r="C151" s="44"/>
      <c r="D151" s="206" t="s">
        <v>80</v>
      </c>
      <c r="E151" s="68"/>
      <c r="F151" s="69"/>
      <c r="G151" s="239" t="str">
        <f ca="1">_xll.DBRA(Server&amp;$D$20,$D151,"French")</f>
        <v>Charges financières</v>
      </c>
      <c r="H151" s="239" t="str">
        <f ca="1">_xll.DBRA(Server&amp;$D$20,$D151,"French")</f>
        <v>Charges financières</v>
      </c>
      <c r="I151" s="239"/>
      <c r="J151" s="239"/>
      <c r="K151" s="154" t="s">
        <v>3</v>
      </c>
      <c r="L151" s="165">
        <f ca="1">_xll.DBRW(Server&amp;Cube1,$J$12,$L$13,$J$14,$L$1,$J$11,$J$15,$D151)</f>
        <v>-2656.09</v>
      </c>
      <c r="M151" s="165">
        <f ca="1">_xll.DBRW(Server&amp;Cube1,$J$12,$L$13,$J$14,$M$1,$J$11,$J$15,$D151)</f>
        <v>-4350</v>
      </c>
      <c r="N151" s="166">
        <f ca="1">L151-M151</f>
        <v>1693.9099999999999</v>
      </c>
      <c r="O151" s="167">
        <f t="shared" ca="1" si="269"/>
        <v>-0.38940459770114938</v>
      </c>
      <c r="P151" s="132"/>
      <c r="Q151" s="165">
        <f ca="1">_xll.DBRW(Server&amp;Cube1,$J$12,$L$13,$J$14,$Q$1,$J$11,$J$15,$D151)</f>
        <v>0</v>
      </c>
      <c r="R151" s="166">
        <f t="shared" ca="1" si="270"/>
        <v>-2656.09</v>
      </c>
      <c r="S151" s="167" t="str">
        <f t="shared" ca="1" si="265"/>
        <v>-</v>
      </c>
      <c r="T151" s="132"/>
      <c r="U151" s="165">
        <f ca="1">_xll.DBRW(Server&amp;Cube1,$J$12,$L$13,$J$14,$U$1,$U$2,$J$15,$D151)</f>
        <v>-5233.84</v>
      </c>
      <c r="V151" s="166">
        <f t="shared" ca="1" si="266"/>
        <v>2577.75</v>
      </c>
      <c r="W151" s="167">
        <f t="shared" ca="1" si="267"/>
        <v>-0.49251601118872568</v>
      </c>
      <c r="X151" s="64"/>
      <c r="Y151" s="31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</row>
    <row r="152" spans="1:118" ht="24" hidden="1" outlineLevel="1" thickBot="1" x14ac:dyDescent="0.3">
      <c r="B152" s="60"/>
      <c r="C152" s="44"/>
      <c r="D152" s="203" t="s">
        <v>81</v>
      </c>
      <c r="E152" s="62"/>
      <c r="F152" s="63"/>
      <c r="G152" s="41"/>
      <c r="H152" s="247" t="str">
        <f ca="1">_xll.DBRA(Server&amp;$D$20,$D152,"French")</f>
        <v>Frais de tenue de compte</v>
      </c>
      <c r="I152" s="247"/>
      <c r="J152" s="247"/>
      <c r="K152" s="150"/>
      <c r="L152" s="168">
        <f ca="1">_xll.DBRW(Server&amp;Cube1,$J$12,$L$13,$J$14,$L$1,$J$11,$J$15,$D152)</f>
        <v>-242.34</v>
      </c>
      <c r="M152" s="168">
        <f ca="1">_xll.DBRW(Server&amp;Cube1,$J$12,$L$13,$J$14,$M$1,$J$11,$J$15,$D152)</f>
        <v>-350</v>
      </c>
      <c r="N152" s="169">
        <f ca="1">L152-M152</f>
        <v>107.66</v>
      </c>
      <c r="O152" s="170">
        <f ca="1">IF(ISERROR(N152/M152),"-",N152/M152)</f>
        <v>-0.30759999999999998</v>
      </c>
      <c r="P152" s="138"/>
      <c r="Q152" s="168">
        <f ca="1">_xll.DBRW(Server&amp;Cube1,$J$12,$L$13,$J$14,$Q$1,$J$11,$J$15,$D152)</f>
        <v>0</v>
      </c>
      <c r="R152" s="169">
        <f ca="1">L152-Q152</f>
        <v>-242.34</v>
      </c>
      <c r="S152" s="170" t="str">
        <f ca="1">IF(ISERROR(R152/Q152),"-",R152/Q152)</f>
        <v>-</v>
      </c>
      <c r="T152" s="138"/>
      <c r="U152" s="168">
        <f ca="1">_xll.DBRW(Server&amp;Cube1,$J$12,$L$13,$J$14,$U$1,$U$2,$J$15,$D152)</f>
        <v>-518.72</v>
      </c>
      <c r="V152" s="169">
        <f ca="1">L152-U152</f>
        <v>276.38</v>
      </c>
      <c r="W152" s="170">
        <f ca="1">IF(ISERROR(V152/U152),"-",V152/U152)</f>
        <v>-0.53281153608883403</v>
      </c>
      <c r="X152" s="65"/>
      <c r="Y152" s="31"/>
      <c r="Z152" s="9"/>
      <c r="AA152" s="66"/>
      <c r="AB152" s="66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</row>
    <row r="153" spans="1:118" ht="24" hidden="1" outlineLevel="1" thickTop="1" x14ac:dyDescent="0.25">
      <c r="B153" s="60"/>
      <c r="C153" s="44"/>
      <c r="D153" s="214" t="s">
        <v>183</v>
      </c>
      <c r="E153" s="62"/>
      <c r="F153" s="63"/>
      <c r="G153" s="41"/>
      <c r="H153" s="232" t="str">
        <f ca="1">_xll.DBRA(Server&amp;$D$20,$D153,"French")</f>
        <v>Int. des dettes rattach. à des part.</v>
      </c>
      <c r="I153" s="232"/>
      <c r="J153" s="232"/>
      <c r="K153" s="150"/>
      <c r="L153" s="151">
        <f ca="1">_xll.DBRW(Server&amp;Cube1,$J$12,$L$13,$J$14,$L$1,$J$11,$J$15,$D153)</f>
        <v>-2413.75</v>
      </c>
      <c r="M153" s="151">
        <f ca="1">_xll.DBRW(Server&amp;Cube1,$J$12,$L$13,$J$14,$M$1,$J$11,$J$15,$D153)</f>
        <v>0</v>
      </c>
      <c r="N153" s="152">
        <f t="shared" ref="N153" ca="1" si="272">L153-M153</f>
        <v>-2413.75</v>
      </c>
      <c r="O153" s="153" t="str">
        <f t="shared" ref="O153" ca="1" si="273">IF(ISERROR(N153/M153),"-",N153/M153)</f>
        <v>-</v>
      </c>
      <c r="P153" s="138"/>
      <c r="Q153" s="151">
        <f ca="1">_xll.DBRW(Server&amp;Cube1,$J$12,$L$13,$J$14,$Q$1,$J$11,$J$15,$D153)</f>
        <v>0</v>
      </c>
      <c r="R153" s="152">
        <f t="shared" ref="R153" ca="1" si="274">L153-Q153</f>
        <v>-2413.75</v>
      </c>
      <c r="S153" s="153" t="str">
        <f t="shared" ref="S153" ca="1" si="275">IF(ISERROR(R153/Q153),"-",R153/Q153)</f>
        <v>-</v>
      </c>
      <c r="T153" s="138"/>
      <c r="U153" s="151">
        <f ca="1">_xll.DBRW(Server&amp;Cube1,$J$12,$L$13,$J$14,$U$1,$U$2,$J$15,$D153)</f>
        <v>-4715.12</v>
      </c>
      <c r="V153" s="152">
        <f t="shared" ref="V153" ca="1" si="276">L153-U153</f>
        <v>2301.37</v>
      </c>
      <c r="W153" s="153">
        <f t="shared" ref="W153" ca="1" si="277">IF(ISERROR(V153/U153),"-",V153/U153)</f>
        <v>-0.48808301803559612</v>
      </c>
      <c r="X153" s="65"/>
      <c r="Y153" s="31"/>
      <c r="Z153" s="9"/>
      <c r="AA153" s="66"/>
      <c r="AB153" s="66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</row>
    <row r="154" spans="1:118" ht="23.25" hidden="1" outlineLevel="1" x14ac:dyDescent="0.25">
      <c r="B154" s="60"/>
      <c r="C154" s="44"/>
      <c r="D154" s="203" t="s">
        <v>119</v>
      </c>
      <c r="E154" s="62"/>
      <c r="F154" s="63"/>
      <c r="G154" s="41"/>
      <c r="H154" s="232" t="str">
        <f ca="1">_xll.DBRA(Server&amp;$D$20,$D154,"French")</f>
        <v>Autres charges financières</v>
      </c>
      <c r="I154" s="232"/>
      <c r="J154" s="232"/>
      <c r="K154" s="150"/>
      <c r="L154" s="151">
        <f ca="1">_xll.DBRW(Server&amp;Cube1,$J$12,$L$13,$J$14,$L$1,$J$11,$J$15,$D154)</f>
        <v>0</v>
      </c>
      <c r="M154" s="151">
        <f ca="1">_xll.DBRW(Server&amp;Cube1,$J$12,$L$13,$J$14,$M$1,$J$11,$J$15,$D154)</f>
        <v>-3999.9999999999995</v>
      </c>
      <c r="N154" s="152">
        <f t="shared" ca="1" si="268"/>
        <v>3999.9999999999995</v>
      </c>
      <c r="O154" s="153">
        <f t="shared" ca="1" si="269"/>
        <v>-1</v>
      </c>
      <c r="P154" s="138"/>
      <c r="Q154" s="151">
        <f ca="1">_xll.DBRW(Server&amp;Cube1,$J$12,$L$13,$J$14,$Q$1,$J$11,$J$15,$D154)</f>
        <v>0</v>
      </c>
      <c r="R154" s="152">
        <f t="shared" ca="1" si="270"/>
        <v>0</v>
      </c>
      <c r="S154" s="153" t="str">
        <f t="shared" ca="1" si="265"/>
        <v>-</v>
      </c>
      <c r="T154" s="138"/>
      <c r="U154" s="151">
        <f ca="1">_xll.DBRW(Server&amp;Cube1,$J$12,$L$13,$J$14,$U$1,$U$2,$J$15,$D154)</f>
        <v>0</v>
      </c>
      <c r="V154" s="152">
        <f t="shared" ca="1" si="266"/>
        <v>0</v>
      </c>
      <c r="W154" s="153" t="str">
        <f t="shared" ca="1" si="267"/>
        <v>-</v>
      </c>
      <c r="X154" s="65"/>
      <c r="Y154" s="31"/>
      <c r="Z154" s="9"/>
      <c r="AA154" s="66"/>
      <c r="AB154" s="66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</row>
    <row r="155" spans="1:118" ht="16.5" customHeight="1" collapsed="1" x14ac:dyDescent="0.25">
      <c r="C155" s="44"/>
      <c r="D155" s="207"/>
      <c r="E155" s="68"/>
      <c r="F155" s="69"/>
      <c r="G155" s="70"/>
      <c r="H155" s="71"/>
      <c r="I155" s="72"/>
      <c r="J155" s="72"/>
      <c r="K155" s="73"/>
      <c r="L155" s="74"/>
      <c r="M155" s="74"/>
      <c r="N155" s="75"/>
      <c r="O155" s="76"/>
      <c r="P155" s="77"/>
      <c r="Q155" s="74"/>
      <c r="R155" s="75"/>
      <c r="S155" s="76"/>
      <c r="T155" s="77"/>
      <c r="U155" s="74"/>
      <c r="V155" s="75"/>
      <c r="W155" s="76"/>
      <c r="X155" s="65"/>
      <c r="Y155" s="31"/>
      <c r="Z155" s="78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</row>
    <row r="156" spans="1:118" s="139" customFormat="1" ht="22.5" customHeight="1" x14ac:dyDescent="0.25">
      <c r="B156" s="140"/>
      <c r="C156" s="44"/>
      <c r="D156" s="208" t="s">
        <v>82</v>
      </c>
      <c r="E156" s="141"/>
      <c r="F156" s="142"/>
      <c r="G156" s="236" t="str">
        <f ca="1">_xll.DBRA(Server&amp;$D$20,$D156,"French")</f>
        <v>RESULTAT financier</v>
      </c>
      <c r="H156" s="237"/>
      <c r="I156" s="237"/>
      <c r="J156" s="238"/>
      <c r="K156" s="143"/>
      <c r="L156" s="145">
        <f ca="1">_xll.DBRW(Server&amp;Cube1,$J$12,$L$13,$J$14,$L$1,$J$11,$J$15,$D156)</f>
        <v>-2656.09</v>
      </c>
      <c r="M156" s="145">
        <f ca="1">_xll.DBRW(Server&amp;Cube1,$J$12,$L$13,$J$14,$M$1,$J$11,$J$15,$D156)</f>
        <v>-4350</v>
      </c>
      <c r="N156" s="146">
        <f ca="1">L156-M156</f>
        <v>1693.9099999999999</v>
      </c>
      <c r="O156" s="161">
        <f ca="1">IF(ISERROR(N156/M156),"-",N156/M156)</f>
        <v>-0.38940459770114938</v>
      </c>
      <c r="P156" s="132"/>
      <c r="Q156" s="145">
        <f ca="1">_xll.DBRW(Server&amp;Cube1,$J$12,$L$13,$J$14,$Q$1,$J$11,$J$15,$D156)</f>
        <v>0</v>
      </c>
      <c r="R156" s="146">
        <f ca="1">L156-Q156</f>
        <v>-2656.09</v>
      </c>
      <c r="S156" s="161" t="str">
        <f t="shared" ref="S156" ca="1" si="278">IF(ISERROR(R156/Q156),"-",R156/Q156)</f>
        <v>-</v>
      </c>
      <c r="T156" s="132"/>
      <c r="U156" s="144">
        <f ca="1">_xll.DBRW(Server&amp;Cube1,$J$12,$L$13,$J$14,$U$1,$U$2,$J$15,$D156)</f>
        <v>-5233.84</v>
      </c>
      <c r="V156" s="146">
        <f ca="1">L156-U156</f>
        <v>2577.75</v>
      </c>
      <c r="W156" s="161">
        <f ca="1">IF(ISERROR(V156/U156),"-",V156/U156)</f>
        <v>-0.49251601118872568</v>
      </c>
      <c r="X156" s="155"/>
      <c r="Y156" s="148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  <c r="BI156" s="149"/>
      <c r="BJ156" s="149"/>
      <c r="BK156" s="149"/>
      <c r="BL156" s="149"/>
      <c r="BM156" s="149"/>
      <c r="BN156" s="149"/>
      <c r="BO156" s="149"/>
      <c r="BP156" s="149"/>
      <c r="BQ156" s="149"/>
      <c r="BR156" s="149"/>
      <c r="BS156" s="149"/>
      <c r="BT156" s="149"/>
      <c r="BU156" s="149"/>
      <c r="BV156" s="149"/>
      <c r="BW156" s="149"/>
      <c r="BX156" s="149"/>
      <c r="BY156" s="149"/>
      <c r="BZ156" s="149"/>
      <c r="CA156" s="149"/>
      <c r="CB156" s="149"/>
      <c r="CC156" s="149"/>
      <c r="CD156" s="149"/>
      <c r="CE156" s="149"/>
      <c r="CF156" s="149"/>
      <c r="CG156" s="149"/>
      <c r="CH156" s="149"/>
      <c r="CI156" s="149"/>
      <c r="CJ156" s="149"/>
      <c r="CK156" s="149"/>
      <c r="CL156" s="149"/>
      <c r="CM156" s="149"/>
      <c r="CN156" s="149"/>
      <c r="CO156" s="149"/>
      <c r="CP156" s="149"/>
      <c r="CQ156" s="149"/>
      <c r="CR156" s="149"/>
      <c r="CS156" s="149"/>
      <c r="CT156" s="149"/>
      <c r="CU156" s="149"/>
      <c r="CV156" s="149"/>
      <c r="CW156" s="149"/>
      <c r="CX156" s="149"/>
      <c r="CY156" s="149"/>
      <c r="CZ156" s="149"/>
      <c r="DA156" s="149"/>
      <c r="DB156" s="149"/>
      <c r="DC156" s="149"/>
      <c r="DD156" s="149"/>
      <c r="DE156" s="149"/>
      <c r="DF156" s="149"/>
      <c r="DG156" s="149"/>
      <c r="DH156" s="149"/>
      <c r="DI156" s="149"/>
      <c r="DJ156" s="149"/>
      <c r="DK156" s="149"/>
      <c r="DL156" s="149"/>
      <c r="DM156" s="149"/>
      <c r="DN156" s="149"/>
    </row>
    <row r="157" spans="1:118" s="37" customFormat="1" ht="9.75" customHeight="1" x14ac:dyDescent="0.25">
      <c r="A157" s="10"/>
      <c r="B157" s="1"/>
      <c r="C157" s="44"/>
      <c r="D157" s="207"/>
      <c r="E157" s="68"/>
      <c r="F157" s="69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31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</row>
    <row r="158" spans="1:118" s="37" customFormat="1" ht="9.75" customHeight="1" thickBot="1" x14ac:dyDescent="0.3">
      <c r="A158" s="10"/>
      <c r="B158" s="1"/>
      <c r="C158" s="44"/>
      <c r="D158" s="207"/>
      <c r="E158" s="68"/>
      <c r="F158" s="69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31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</row>
    <row r="159" spans="1:118" ht="24" hidden="1" customHeight="1" outlineLevel="1" thickTop="1" x14ac:dyDescent="0.25">
      <c r="A159" s="221"/>
      <c r="B159" s="60"/>
      <c r="C159" s="44"/>
      <c r="D159" s="206" t="s">
        <v>147</v>
      </c>
      <c r="E159" s="62"/>
      <c r="F159" s="63"/>
      <c r="G159" s="239" t="str">
        <f ca="1">_xll.DBRA(Server&amp;$D$20,$D159,"French")</f>
        <v>Produits exceptionnels</v>
      </c>
      <c r="H159" s="239" t="str">
        <f ca="1">_xll.DBRA(Server&amp;$D$20,$D159,"French")</f>
        <v>Produits exceptionnels</v>
      </c>
      <c r="I159" s="239"/>
      <c r="J159" s="239"/>
      <c r="K159" s="150"/>
      <c r="L159" s="165">
        <f ca="1">SUM(L160:L160)</f>
        <v>0</v>
      </c>
      <c r="M159" s="165">
        <f t="shared" ref="M159:N159" ca="1" si="279">SUM(M160:M160)</f>
        <v>0</v>
      </c>
      <c r="N159" s="165">
        <f t="shared" ca="1" si="279"/>
        <v>0</v>
      </c>
      <c r="O159" s="167" t="str">
        <f ca="1">IF(ISERROR(N159/M159),"-",N159/M159)</f>
        <v>-</v>
      </c>
      <c r="P159" s="132"/>
      <c r="Q159" s="165"/>
      <c r="R159" s="166"/>
      <c r="S159" s="167"/>
      <c r="T159" s="132"/>
      <c r="U159" s="165">
        <f ca="1">SUM(U160:U160)</f>
        <v>0</v>
      </c>
      <c r="V159" s="165">
        <f ca="1">SUM(V160:V160)</f>
        <v>0</v>
      </c>
      <c r="W159" s="167" t="str">
        <f t="shared" ref="W159:W160" ca="1" si="280">IF(ISERROR(V159/U159),"-",V159/U159)</f>
        <v>-</v>
      </c>
      <c r="X159" s="65"/>
      <c r="Y159" s="31"/>
      <c r="Z159" s="9"/>
      <c r="AA159" s="66"/>
      <c r="AB159" s="66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</row>
    <row r="160" spans="1:118" ht="24" hidden="1" outlineLevel="1" thickBot="1" x14ac:dyDescent="0.3">
      <c r="B160" s="60"/>
      <c r="C160" s="44"/>
      <c r="D160" s="206" t="s">
        <v>132</v>
      </c>
      <c r="E160" s="62"/>
      <c r="F160" s="63"/>
      <c r="G160" s="41"/>
      <c r="H160" s="232" t="str">
        <f ca="1">_xll.DBRA(Server&amp;$D$20,$D160,"French")</f>
        <v>Autres produits exceptionnels</v>
      </c>
      <c r="I160" s="232"/>
      <c r="J160" s="232"/>
      <c r="K160" s="150"/>
      <c r="L160" s="151">
        <f ca="1">_xll.DBRW(Server&amp;Cube1,$J$12,$L$13,$J$14,$L$1,$J$11,$J$15,$D160)</f>
        <v>0</v>
      </c>
      <c r="M160" s="151">
        <f ca="1">_xll.DBRW(Server&amp;Cube1,$J$12,$L$13,$J$14,$M$1,$J$11,$J$15,$D160)</f>
        <v>0</v>
      </c>
      <c r="N160" s="152">
        <f t="shared" ref="N160" ca="1" si="281">L160-M160</f>
        <v>0</v>
      </c>
      <c r="O160" s="153" t="str">
        <f t="shared" ref="O160" ca="1" si="282">IF(ISERROR(N160/M160),"-",N160/M160)</f>
        <v>-</v>
      </c>
      <c r="P160" s="138"/>
      <c r="Q160" s="151">
        <f ca="1">_xll.DBRW(Server&amp;Cube1,$J$12,$L$13,$J$14,$Q$1,$J$11,$J$15,$D160)</f>
        <v>0</v>
      </c>
      <c r="R160" s="152">
        <f t="shared" ref="R160" ca="1" si="283">L160-Q160</f>
        <v>0</v>
      </c>
      <c r="S160" s="153" t="str">
        <f t="shared" ref="S160" ca="1" si="284">IF(ISERROR(R160/Q160),"-",R160/Q160)</f>
        <v>-</v>
      </c>
      <c r="T160" s="138"/>
      <c r="U160" s="151">
        <f ca="1">_xll.DBRW(Server&amp;Cube1,$J$12,$L$13,$J$14,$U$1,$U$2,$J$15,$D160)</f>
        <v>0</v>
      </c>
      <c r="V160" s="152">
        <f t="shared" ref="V160" ca="1" si="285">L160-U160</f>
        <v>0</v>
      </c>
      <c r="W160" s="153" t="str">
        <f t="shared" ca="1" si="280"/>
        <v>-</v>
      </c>
      <c r="X160" s="65"/>
      <c r="Y160" s="31"/>
      <c r="Z160" s="9"/>
      <c r="AA160" s="66"/>
      <c r="AB160" s="66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</row>
    <row r="161" spans="1:118" s="37" customFormat="1" ht="23.25" customHeight="1" collapsed="1" thickTop="1" x14ac:dyDescent="0.25">
      <c r="A161" s="222"/>
      <c r="B161" s="1"/>
      <c r="C161" s="44"/>
      <c r="D161" s="206" t="s">
        <v>83</v>
      </c>
      <c r="E161" s="68"/>
      <c r="F161" s="69"/>
      <c r="G161" s="239" t="str">
        <f ca="1">_xll.DBRA(Server&amp;$D$20,$D161,"French")</f>
        <v>Charges exceptionnelles</v>
      </c>
      <c r="H161" s="239" t="str">
        <f ca="1">_xll.DBRA(Server&amp;$D$20,$D161,"French")</f>
        <v>Charges exceptionnelles</v>
      </c>
      <c r="I161" s="239"/>
      <c r="J161" s="239"/>
      <c r="K161" s="154" t="s">
        <v>3</v>
      </c>
      <c r="L161" s="165">
        <f ca="1">SUM(L162:L163)</f>
        <v>0</v>
      </c>
      <c r="M161" s="165">
        <f t="shared" ref="M161:N161" ca="1" si="286">SUM(M162:M163)</f>
        <v>0</v>
      </c>
      <c r="N161" s="165">
        <f t="shared" ca="1" si="286"/>
        <v>0</v>
      </c>
      <c r="O161" s="167" t="str">
        <f ca="1">IF(ISERROR(N161/M161),"-",N161/M161)</f>
        <v>-</v>
      </c>
      <c r="P161" s="132"/>
      <c r="Q161" s="165">
        <f ca="1">_xll.DBRW(Server&amp;Cube1,$J$12,$L$13,$J$14,$Q$1,$J$11,$J$15,$D161)</f>
        <v>0</v>
      </c>
      <c r="R161" s="166">
        <f ca="1">L161-Q161</f>
        <v>0</v>
      </c>
      <c r="S161" s="167" t="str">
        <f ca="1">IF(ISERROR(R161/Q161),"-",R161/Q161)</f>
        <v>-</v>
      </c>
      <c r="T161" s="132"/>
      <c r="U161" s="165">
        <f ca="1">SUM(U162:U163)</f>
        <v>0</v>
      </c>
      <c r="V161" s="165">
        <f ca="1">SUM(V162:V163)</f>
        <v>0</v>
      </c>
      <c r="W161" s="167" t="str">
        <f ca="1">IF(ISERROR(V161/U161),"-",V161/U161)</f>
        <v>-</v>
      </c>
      <c r="X161" s="64"/>
      <c r="Y161" s="31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</row>
    <row r="162" spans="1:118" ht="23.25" hidden="1" outlineLevel="1" x14ac:dyDescent="0.25">
      <c r="B162" s="60"/>
      <c r="C162" s="44"/>
      <c r="D162" s="206" t="s">
        <v>133</v>
      </c>
      <c r="E162" s="62"/>
      <c r="F162" s="63"/>
      <c r="G162" s="41"/>
      <c r="H162" s="232" t="str">
        <f ca="1">_xll.DBRA(Server&amp;$D$20,$D162,"French")</f>
        <v>Pénalités amendes fiscales et pénales</v>
      </c>
      <c r="I162" s="232"/>
      <c r="J162" s="232"/>
      <c r="K162" s="150"/>
      <c r="L162" s="151">
        <f ca="1">_xll.DBRW(Server&amp;Cube1,$J$12,$L$13,$J$14,$L$1,$J$11,$J$15,$D162)</f>
        <v>0</v>
      </c>
      <c r="M162" s="151">
        <f ca="1">_xll.DBRW(Server&amp;Cube1,$J$12,$L$13,$J$14,$M$1,$J$11,$J$15,$D162)</f>
        <v>0</v>
      </c>
      <c r="N162" s="152">
        <f t="shared" ref="N162:N163" ca="1" si="287">L162-M162</f>
        <v>0</v>
      </c>
      <c r="O162" s="153" t="str">
        <f t="shared" ref="O162:O163" ca="1" si="288">IF(ISERROR(N162/M162),"-",N162/M162)</f>
        <v>-</v>
      </c>
      <c r="P162" s="138"/>
      <c r="Q162" s="151">
        <f ca="1">_xll.DBRW(Server&amp;Cube1,$J$12,$L$13,$J$14,$Q$1,$J$11,$J$15,$D162)</f>
        <v>0</v>
      </c>
      <c r="R162" s="152">
        <f t="shared" ref="R162:R163" ca="1" si="289">L162-Q162</f>
        <v>0</v>
      </c>
      <c r="S162" s="153" t="str">
        <f t="shared" ref="S162:S163" ca="1" si="290">IF(ISERROR(R162/Q162),"-",R162/Q162)</f>
        <v>-</v>
      </c>
      <c r="T162" s="138"/>
      <c r="U162" s="151">
        <f ca="1">_xll.DBRW(Server&amp;Cube1,$J$12,$L$13,$J$14,$U$1,$U$2,$J$15,$D162)</f>
        <v>0</v>
      </c>
      <c r="V162" s="152">
        <f t="shared" ref="V162:V163" ca="1" si="291">L162-U162</f>
        <v>0</v>
      </c>
      <c r="W162" s="153" t="str">
        <f t="shared" ref="W162:W163" ca="1" si="292">IF(ISERROR(V162/U162),"-",V162/U162)</f>
        <v>-</v>
      </c>
      <c r="X162" s="65"/>
      <c r="Y162" s="31"/>
      <c r="Z162" s="9"/>
      <c r="AA162" s="66"/>
      <c r="AB162" s="66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</row>
    <row r="163" spans="1:118" ht="23.25" hidden="1" outlineLevel="1" x14ac:dyDescent="0.25">
      <c r="B163" s="60"/>
      <c r="C163" s="44"/>
      <c r="D163" s="206" t="s">
        <v>134</v>
      </c>
      <c r="E163" s="62"/>
      <c r="F163" s="63"/>
      <c r="G163" s="41"/>
      <c r="H163" s="232" t="str">
        <f ca="1">_xll.DBRA(Server&amp;$D$20,$D163,"French")</f>
        <v>Charges exceptionnelles sur exe. ant.</v>
      </c>
      <c r="I163" s="232"/>
      <c r="J163" s="232"/>
      <c r="K163" s="150"/>
      <c r="L163" s="151">
        <f ca="1">_xll.DBRW(Server&amp;Cube1,$J$12,$L$13,$J$14,$L$1,$J$11,$J$15,$D163)</f>
        <v>0</v>
      </c>
      <c r="M163" s="151">
        <f ca="1">_xll.DBRW(Server&amp;Cube1,$J$12,$L$13,$J$14,$M$1,$J$11,$J$15,$D163)</f>
        <v>0</v>
      </c>
      <c r="N163" s="152">
        <f t="shared" ca="1" si="287"/>
        <v>0</v>
      </c>
      <c r="O163" s="153" t="str">
        <f t="shared" ca="1" si="288"/>
        <v>-</v>
      </c>
      <c r="P163" s="138"/>
      <c r="Q163" s="151">
        <f ca="1">_xll.DBRW(Server&amp;Cube1,$J$12,$L$13,$J$14,$Q$1,$J$11,$J$15,$D163)</f>
        <v>0</v>
      </c>
      <c r="R163" s="152">
        <f t="shared" ca="1" si="289"/>
        <v>0</v>
      </c>
      <c r="S163" s="153" t="str">
        <f t="shared" ca="1" si="290"/>
        <v>-</v>
      </c>
      <c r="T163" s="138"/>
      <c r="U163" s="151">
        <f ca="1">_xll.DBRW(Server&amp;Cube1,$J$12,$L$13,$J$14,$U$1,$U$2,$J$15,$D163)</f>
        <v>0</v>
      </c>
      <c r="V163" s="152">
        <f t="shared" ca="1" si="291"/>
        <v>0</v>
      </c>
      <c r="W163" s="153" t="str">
        <f t="shared" ca="1" si="292"/>
        <v>-</v>
      </c>
      <c r="X163" s="65"/>
      <c r="Y163" s="31"/>
      <c r="Z163" s="9"/>
      <c r="AA163" s="66"/>
      <c r="AB163" s="66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</row>
    <row r="164" spans="1:118" ht="9" customHeight="1" collapsed="1" x14ac:dyDescent="0.25">
      <c r="C164" s="44"/>
      <c r="D164" s="207"/>
      <c r="E164" s="68"/>
      <c r="F164" s="69"/>
      <c r="G164" s="70"/>
      <c r="H164" s="71"/>
      <c r="I164" s="72"/>
      <c r="J164" s="72"/>
      <c r="K164" s="73"/>
      <c r="L164" s="74"/>
      <c r="M164" s="74"/>
      <c r="N164" s="75"/>
      <c r="O164" s="76"/>
      <c r="P164" s="77"/>
      <c r="Q164" s="74"/>
      <c r="R164" s="75"/>
      <c r="S164" s="76"/>
      <c r="T164" s="77"/>
      <c r="U164" s="74"/>
      <c r="V164" s="75"/>
      <c r="W164" s="76"/>
      <c r="X164" s="65"/>
      <c r="Y164" s="31"/>
      <c r="Z164" s="78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</row>
    <row r="165" spans="1:118" s="139" customFormat="1" ht="22.5" customHeight="1" x14ac:dyDescent="0.25">
      <c r="B165" s="140"/>
      <c r="C165" s="44"/>
      <c r="D165" s="208" t="s">
        <v>85</v>
      </c>
      <c r="E165" s="141"/>
      <c r="F165" s="142"/>
      <c r="G165" s="236" t="str">
        <f ca="1">_xll.DBRA(Server&amp;$D$20,$D165,"French")</f>
        <v>RESULTAT exceptionnel</v>
      </c>
      <c r="H165" s="237"/>
      <c r="I165" s="237"/>
      <c r="J165" s="238"/>
      <c r="K165" s="143"/>
      <c r="L165" s="145">
        <f ca="1">_xll.DBRW(Server&amp;Cube1,$J$12,$L$13,$J$14,$L$1,$J$11,$J$15,$D165)</f>
        <v>0</v>
      </c>
      <c r="M165" s="145">
        <f ca="1">_xll.DBRW(Server&amp;Cube1,$J$12,$L$13,$J$14,$M$1,$J$11,$J$15,$D165)</f>
        <v>0</v>
      </c>
      <c r="N165" s="146">
        <f ca="1">L165-M165</f>
        <v>0</v>
      </c>
      <c r="O165" s="161" t="str">
        <f ca="1">IF(ISERROR(N165/M165),"-",N165/M165)</f>
        <v>-</v>
      </c>
      <c r="P165" s="132"/>
      <c r="Q165" s="145">
        <f ca="1">_xll.DBRW(Server&amp;Cube1,$J$12,$L$13,$J$14,$Q$1,$J$11,$J$15,$D165)</f>
        <v>0</v>
      </c>
      <c r="R165" s="146">
        <f t="shared" ref="R165" ca="1" si="293">L165-Q165</f>
        <v>0</v>
      </c>
      <c r="S165" s="161" t="str">
        <f t="shared" ref="S165" ca="1" si="294">IF(ISERROR(R165/Q165),"-",R165/Q165)</f>
        <v>-</v>
      </c>
      <c r="T165" s="132"/>
      <c r="U165" s="144">
        <f ca="1">_xll.DBRW(Server&amp;Cube1,$J$12,$L$13,$J$14,$U$1,$U$2,$J$15,$D165)</f>
        <v>0</v>
      </c>
      <c r="V165" s="146">
        <f ca="1">L165-U165</f>
        <v>0</v>
      </c>
      <c r="W165" s="161" t="str">
        <f ca="1">IF(ISERROR(V165/U165),"-",V165/U165)</f>
        <v>-</v>
      </c>
      <c r="X165" s="155"/>
      <c r="Y165" s="148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  <c r="BI165" s="149"/>
      <c r="BJ165" s="149"/>
      <c r="BK165" s="149"/>
      <c r="BL165" s="149"/>
      <c r="BM165" s="149"/>
      <c r="BN165" s="149"/>
      <c r="BO165" s="149"/>
      <c r="BP165" s="149"/>
      <c r="BQ165" s="149"/>
      <c r="BR165" s="149"/>
      <c r="BS165" s="149"/>
      <c r="BT165" s="149"/>
      <c r="BU165" s="149"/>
      <c r="BV165" s="149"/>
      <c r="BW165" s="149"/>
      <c r="BX165" s="149"/>
      <c r="BY165" s="149"/>
      <c r="BZ165" s="149"/>
      <c r="CA165" s="149"/>
      <c r="CB165" s="149"/>
      <c r="CC165" s="149"/>
      <c r="CD165" s="149"/>
      <c r="CE165" s="149"/>
      <c r="CF165" s="149"/>
      <c r="CG165" s="149"/>
      <c r="CH165" s="149"/>
      <c r="CI165" s="149"/>
      <c r="CJ165" s="149"/>
      <c r="CK165" s="149"/>
      <c r="CL165" s="149"/>
      <c r="CM165" s="149"/>
      <c r="CN165" s="149"/>
      <c r="CO165" s="149"/>
      <c r="CP165" s="149"/>
      <c r="CQ165" s="149"/>
      <c r="CR165" s="149"/>
      <c r="CS165" s="149"/>
      <c r="CT165" s="149"/>
      <c r="CU165" s="149"/>
      <c r="CV165" s="149"/>
      <c r="CW165" s="149"/>
      <c r="CX165" s="149"/>
      <c r="CY165" s="149"/>
      <c r="CZ165" s="149"/>
      <c r="DA165" s="149"/>
      <c r="DB165" s="149"/>
      <c r="DC165" s="149"/>
      <c r="DD165" s="149"/>
      <c r="DE165" s="149"/>
      <c r="DF165" s="149"/>
      <c r="DG165" s="149"/>
      <c r="DH165" s="149"/>
      <c r="DI165" s="149"/>
      <c r="DJ165" s="149"/>
      <c r="DK165" s="149"/>
      <c r="DL165" s="149"/>
      <c r="DM165" s="149"/>
      <c r="DN165" s="149"/>
    </row>
    <row r="166" spans="1:118" ht="8.25" customHeight="1" x14ac:dyDescent="0.25">
      <c r="C166" s="44"/>
      <c r="D166" s="206"/>
      <c r="E166" s="62"/>
      <c r="F166" s="63"/>
      <c r="G166" s="82"/>
      <c r="H166" s="82"/>
      <c r="I166" s="64"/>
      <c r="J166" s="64"/>
      <c r="K166" s="64"/>
      <c r="L166" s="83"/>
      <c r="M166" s="83"/>
      <c r="N166" s="83"/>
      <c r="O166" s="84"/>
      <c r="P166" s="83"/>
      <c r="Q166" s="83"/>
      <c r="R166" s="83"/>
      <c r="S166" s="84"/>
      <c r="T166" s="83"/>
      <c r="U166" s="83"/>
      <c r="V166" s="83"/>
      <c r="W166" s="130"/>
      <c r="X166" s="131"/>
      <c r="Y166" s="31"/>
      <c r="Z166" s="9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5"/>
      <c r="AM166" s="85"/>
      <c r="AN166" s="85"/>
      <c r="AO166" s="85"/>
      <c r="AP166" s="85"/>
      <c r="AQ166" s="85"/>
      <c r="AR166" s="85"/>
      <c r="AS166" s="85"/>
      <c r="AT166" s="85"/>
      <c r="AU166" s="85"/>
      <c r="AV166" s="85"/>
      <c r="AW166" s="85"/>
      <c r="AX166" s="85"/>
      <c r="AY166" s="85"/>
      <c r="AZ166" s="85"/>
      <c r="BA166" s="85"/>
      <c r="BB166" s="85"/>
      <c r="BC166" s="85"/>
      <c r="BD166" s="85"/>
      <c r="BE166" s="85"/>
      <c r="BF166" s="85"/>
      <c r="BG166" s="85"/>
      <c r="BH166" s="85"/>
      <c r="BI166" s="85"/>
      <c r="BJ166" s="85"/>
      <c r="BK166" s="85"/>
      <c r="BL166" s="85"/>
      <c r="BM166" s="85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  <c r="DF166" s="85"/>
      <c r="DG166" s="85"/>
      <c r="DH166" s="85"/>
      <c r="DI166" s="85"/>
      <c r="DJ166" s="85"/>
      <c r="DK166" s="85"/>
      <c r="DL166" s="85"/>
      <c r="DM166" s="85"/>
      <c r="DN166" s="85"/>
    </row>
    <row r="167" spans="1:118" ht="8.25" customHeight="1" x14ac:dyDescent="0.25">
      <c r="C167" s="206"/>
      <c r="D167" s="206"/>
      <c r="E167" s="62"/>
      <c r="F167" s="63"/>
      <c r="G167" s="82"/>
      <c r="H167" s="82"/>
      <c r="I167" s="64"/>
      <c r="J167" s="64"/>
      <c r="K167" s="64"/>
      <c r="L167" s="83"/>
      <c r="M167" s="83"/>
      <c r="N167" s="83"/>
      <c r="O167" s="84"/>
      <c r="P167" s="83"/>
      <c r="Q167" s="83"/>
      <c r="R167" s="83"/>
      <c r="S167" s="84"/>
      <c r="T167" s="83"/>
      <c r="U167" s="83"/>
      <c r="V167" s="83"/>
      <c r="W167" s="84"/>
      <c r="X167" s="64"/>
      <c r="Y167" s="31"/>
      <c r="Z167" s="9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5"/>
      <c r="AM167" s="85"/>
      <c r="AN167" s="85"/>
      <c r="AO167" s="85"/>
      <c r="AP167" s="85"/>
      <c r="AQ167" s="85"/>
      <c r="AR167" s="85"/>
      <c r="AS167" s="85"/>
      <c r="AT167" s="85"/>
      <c r="AU167" s="85"/>
      <c r="AV167" s="85"/>
      <c r="AW167" s="85"/>
      <c r="AX167" s="85"/>
      <c r="AY167" s="85"/>
      <c r="AZ167" s="85"/>
      <c r="BA167" s="85"/>
      <c r="BB167" s="85"/>
      <c r="BC167" s="85"/>
      <c r="BD167" s="85"/>
      <c r="BE167" s="85"/>
      <c r="BF167" s="85"/>
      <c r="BG167" s="85"/>
      <c r="BH167" s="85"/>
      <c r="BI167" s="85"/>
      <c r="BJ167" s="85"/>
      <c r="BK167" s="85"/>
      <c r="BL167" s="85"/>
      <c r="BM167" s="85"/>
      <c r="BN167" s="85"/>
      <c r="BO167" s="85"/>
      <c r="BP167" s="85"/>
      <c r="BQ167" s="85"/>
      <c r="BR167" s="85"/>
      <c r="BS167" s="85"/>
      <c r="BT167" s="85"/>
      <c r="BU167" s="85"/>
      <c r="BV167" s="85"/>
      <c r="BW167" s="85"/>
      <c r="BX167" s="85"/>
      <c r="BY167" s="85"/>
      <c r="BZ167" s="85"/>
      <c r="CA167" s="85"/>
      <c r="CB167" s="85"/>
      <c r="CC167" s="85"/>
      <c r="CD167" s="85"/>
      <c r="CE167" s="85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  <c r="DA167" s="85"/>
      <c r="DB167" s="85"/>
      <c r="DC167" s="85"/>
      <c r="DD167" s="85"/>
      <c r="DE167" s="85"/>
      <c r="DF167" s="85"/>
      <c r="DG167" s="85"/>
      <c r="DH167" s="85"/>
      <c r="DI167" s="85"/>
      <c r="DJ167" s="85"/>
      <c r="DK167" s="85"/>
      <c r="DL167" s="85"/>
      <c r="DM167" s="85"/>
      <c r="DN167" s="85"/>
    </row>
    <row r="168" spans="1:118" ht="8.25" customHeight="1" x14ac:dyDescent="0.25">
      <c r="C168" s="207"/>
      <c r="D168" s="206"/>
      <c r="E168" s="62"/>
      <c r="F168" s="63"/>
      <c r="G168" s="183"/>
      <c r="H168" s="184"/>
      <c r="I168" s="185"/>
      <c r="J168" s="185"/>
      <c r="K168" s="185"/>
      <c r="L168" s="186"/>
      <c r="M168" s="186"/>
      <c r="N168" s="186"/>
      <c r="O168" s="187"/>
      <c r="P168" s="186"/>
      <c r="Q168" s="186"/>
      <c r="R168" s="186"/>
      <c r="S168" s="187"/>
      <c r="T168" s="186"/>
      <c r="U168" s="186"/>
      <c r="V168" s="186"/>
      <c r="W168" s="187"/>
      <c r="X168" s="188"/>
      <c r="Y168" s="86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</row>
    <row r="169" spans="1:118" s="61" customFormat="1" ht="22.5" customHeight="1" x14ac:dyDescent="0.25">
      <c r="A169" s="222"/>
      <c r="B169" s="60"/>
      <c r="C169" s="206"/>
      <c r="D169" s="206" t="s">
        <v>86</v>
      </c>
      <c r="E169" s="79"/>
      <c r="F169" s="80"/>
      <c r="G169" s="199"/>
      <c r="H169" s="236" t="str">
        <f ca="1">_xll.DBRA(Server&amp;$D$20,$D169,"French")</f>
        <v>RESULTAT avant Impôts et Taxes</v>
      </c>
      <c r="I169" s="237"/>
      <c r="J169" s="238"/>
      <c r="K169" s="200"/>
      <c r="L169" s="144">
        <f ca="1">SUM(L144,L156,L165)</f>
        <v>-172905.43999999992</v>
      </c>
      <c r="M169" s="144">
        <f ca="1">SUM(M144,M156,M165)</f>
        <v>117473.29000000027</v>
      </c>
      <c r="N169" s="144">
        <f ca="1">SUM(N144,N156,N165)</f>
        <v>-290378.73000000039</v>
      </c>
      <c r="O169" s="161">
        <f ca="1">IF(ISERROR(N169/M169),"-",N169/M169)</f>
        <v>-2.4718702438656459</v>
      </c>
      <c r="P169" s="201"/>
      <c r="Q169" s="145">
        <f ca="1">_xll.DBRW(Server&amp;Cube1,$J$12,$L$13,$J$14,$Q$1,$J$11,$J$15,$D169)</f>
        <v>0</v>
      </c>
      <c r="R169" s="146">
        <f ca="1">L169-Q169</f>
        <v>-172905.43999999992</v>
      </c>
      <c r="S169" s="161" t="str">
        <f t="shared" ref="S169" ca="1" si="295">IF(ISERROR(R169/Q169),"-",R169/Q169)</f>
        <v>-</v>
      </c>
      <c r="T169" s="172"/>
      <c r="U169" s="144">
        <f ca="1">SUM(U144,U156,U165)</f>
        <v>-12459.649999999707</v>
      </c>
      <c r="V169" s="146">
        <f ca="1">L169-U169</f>
        <v>-160445.79000000021</v>
      </c>
      <c r="W169" s="161">
        <f ca="1">IF(ISERROR(V169/U169),"-",V169/U169)</f>
        <v>12.877230901349876</v>
      </c>
      <c r="X169" s="189"/>
      <c r="Y169" s="87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  <c r="BY169" s="66"/>
      <c r="BZ169" s="66"/>
      <c r="CA169" s="66"/>
      <c r="CB169" s="66"/>
      <c r="CC169" s="66"/>
      <c r="CD169" s="66"/>
      <c r="CE169" s="66"/>
      <c r="CF169" s="66"/>
      <c r="CG169" s="66"/>
      <c r="CH169" s="66"/>
      <c r="CI169" s="66"/>
      <c r="CJ169" s="66"/>
      <c r="CK169" s="66"/>
      <c r="CL169" s="66"/>
      <c r="CM169" s="66"/>
      <c r="CN169" s="66"/>
      <c r="CO169" s="66"/>
      <c r="CP169" s="66"/>
      <c r="CQ169" s="66"/>
      <c r="CR169" s="66"/>
      <c r="CS169" s="66"/>
      <c r="CT169" s="66"/>
      <c r="CU169" s="66"/>
      <c r="CV169" s="66"/>
      <c r="CW169" s="66"/>
      <c r="CX169" s="66"/>
      <c r="CY169" s="66"/>
      <c r="CZ169" s="66"/>
      <c r="DA169" s="66"/>
      <c r="DB169" s="66"/>
      <c r="DC169" s="66"/>
      <c r="DD169" s="66"/>
      <c r="DE169" s="66"/>
      <c r="DF169" s="66"/>
      <c r="DG169" s="66"/>
      <c r="DH169" s="66"/>
      <c r="DI169" s="66"/>
      <c r="DJ169" s="66"/>
      <c r="DK169" s="66"/>
      <c r="DL169" s="66"/>
      <c r="DM169" s="66"/>
      <c r="DN169" s="66"/>
    </row>
    <row r="170" spans="1:118" s="94" customFormat="1" ht="22.5" customHeight="1" collapsed="1" x14ac:dyDescent="0.2">
      <c r="A170" s="88"/>
      <c r="B170" s="89"/>
      <c r="C170" s="206"/>
      <c r="D170" s="209" t="s">
        <v>30</v>
      </c>
      <c r="E170" s="90"/>
      <c r="F170" s="91"/>
      <c r="G170" s="191"/>
      <c r="H170" s="90"/>
      <c r="I170" s="90"/>
      <c r="J170" s="192" t="s">
        <v>98</v>
      </c>
      <c r="K170" s="193"/>
      <c r="L170" s="194">
        <f ca="1">IF(ISERROR(L169/L41),"-",L169/L41)</f>
        <v>-0.10536852631328254</v>
      </c>
      <c r="M170" s="194">
        <f ca="1">IF(ISERROR(M169/M41),"-",M169/M41)</f>
        <v>4.8205174088580466E-2</v>
      </c>
      <c r="N170" s="248">
        <f ca="1">IF(ISERROR((L170-M170)*100),"-",(L170-M170)*100)</f>
        <v>-15.357370040186302</v>
      </c>
      <c r="O170" s="248"/>
      <c r="P170" s="195"/>
      <c r="Q170" s="194" t="str">
        <f ca="1">IF(ISERROR(Q169/Q141),"-",Q169/Q141)</f>
        <v>-</v>
      </c>
      <c r="R170" s="248" t="str">
        <f ca="1">IF(ISERROR((P170-Q170)*100),"-",(P170-Q170)*100)</f>
        <v>-</v>
      </c>
      <c r="S170" s="248"/>
      <c r="T170" s="195"/>
      <c r="U170" s="194">
        <f ca="1">IF(ISERROR(U169/U41),"-",U169/U41)</f>
        <v>-5.1121221845307893E-3</v>
      </c>
      <c r="V170" s="249">
        <f ca="1">IF(ISERROR((L170-U170)*100),"-",(L170-U170)*100)</f>
        <v>-10.025640412875175</v>
      </c>
      <c r="W170" s="249"/>
      <c r="X170" s="190"/>
      <c r="Y170" s="92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93"/>
      <c r="BG170" s="93"/>
      <c r="BH170" s="93"/>
      <c r="BI170" s="93"/>
      <c r="BJ170" s="93"/>
      <c r="BK170" s="93"/>
      <c r="BL170" s="93"/>
      <c r="BM170" s="93"/>
      <c r="BN170" s="93"/>
      <c r="BO170" s="93"/>
      <c r="BP170" s="93"/>
      <c r="BQ170" s="93"/>
      <c r="BR170" s="93"/>
      <c r="BS170" s="93"/>
      <c r="BT170" s="93"/>
      <c r="BU170" s="93"/>
      <c r="BV170" s="93"/>
      <c r="BW170" s="93"/>
      <c r="BX170" s="93"/>
      <c r="BY170" s="93"/>
      <c r="BZ170" s="93"/>
      <c r="CA170" s="93"/>
      <c r="CB170" s="93"/>
      <c r="CC170" s="93"/>
      <c r="CD170" s="93"/>
      <c r="CE170" s="93"/>
      <c r="CF170" s="93"/>
      <c r="CG170" s="93"/>
      <c r="CH170" s="93"/>
      <c r="CI170" s="93"/>
      <c r="CJ170" s="93"/>
      <c r="CK170" s="93"/>
      <c r="CL170" s="93"/>
      <c r="CM170" s="93"/>
      <c r="CN170" s="93"/>
      <c r="CO170" s="93"/>
      <c r="CP170" s="93"/>
      <c r="CQ170" s="93"/>
      <c r="CR170" s="93"/>
      <c r="CS170" s="93"/>
      <c r="CT170" s="93"/>
      <c r="CU170" s="93"/>
      <c r="CV170" s="93"/>
      <c r="CW170" s="93"/>
      <c r="CX170" s="93"/>
      <c r="CY170" s="93"/>
      <c r="CZ170" s="93"/>
      <c r="DA170" s="93"/>
      <c r="DB170" s="93"/>
      <c r="DC170" s="93"/>
      <c r="DD170" s="93"/>
      <c r="DE170" s="93"/>
      <c r="DF170" s="93"/>
      <c r="DG170" s="93"/>
      <c r="DH170" s="93"/>
      <c r="DI170" s="93"/>
      <c r="DJ170" s="93"/>
      <c r="DK170" s="93"/>
      <c r="DL170" s="93"/>
      <c r="DM170" s="93"/>
      <c r="DN170" s="93"/>
    </row>
    <row r="171" spans="1:118" s="37" customFormat="1" ht="5.25" customHeight="1" x14ac:dyDescent="0.25">
      <c r="A171" s="10"/>
      <c r="B171" s="1"/>
      <c r="C171" s="206"/>
      <c r="D171" s="207"/>
      <c r="E171" s="68"/>
      <c r="F171" s="69"/>
      <c r="G171" s="196"/>
      <c r="H171" s="197"/>
      <c r="I171" s="197"/>
      <c r="J171" s="197"/>
      <c r="K171" s="197"/>
      <c r="L171" s="197"/>
      <c r="M171" s="197"/>
      <c r="N171" s="197"/>
      <c r="O171" s="197"/>
      <c r="P171" s="197"/>
      <c r="Q171" s="197"/>
      <c r="R171" s="197"/>
      <c r="S171" s="197"/>
      <c r="T171" s="197"/>
      <c r="U171" s="197"/>
      <c r="V171" s="197"/>
      <c r="W171" s="197"/>
      <c r="X171" s="198"/>
      <c r="Y171" s="31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</row>
    <row r="172" spans="1:118" s="37" customFormat="1" ht="15" customHeight="1" thickBot="1" x14ac:dyDescent="0.3">
      <c r="A172" s="10"/>
      <c r="B172" s="1"/>
      <c r="C172" s="44"/>
      <c r="D172" s="207"/>
      <c r="E172" s="68"/>
      <c r="F172" s="69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31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</row>
    <row r="173" spans="1:118" s="37" customFormat="1" ht="23.25" customHeight="1" thickTop="1" x14ac:dyDescent="0.25">
      <c r="A173" s="10"/>
      <c r="B173" s="1"/>
      <c r="C173" s="44"/>
      <c r="D173" s="206" t="s">
        <v>87</v>
      </c>
      <c r="E173" s="68"/>
      <c r="F173" s="69"/>
      <c r="G173" s="239" t="str">
        <f ca="1">_xll.DBRA(Server&amp;$D$20,$D173,"French")</f>
        <v>Impôts et Taxes</v>
      </c>
      <c r="H173" s="239" t="str">
        <f ca="1">_xll.DBRA(Server&amp;$D$20,$D173,"French")</f>
        <v>Impôts et Taxes</v>
      </c>
      <c r="I173" s="239"/>
      <c r="J173" s="239"/>
      <c r="K173" s="154" t="s">
        <v>3</v>
      </c>
      <c r="L173" s="165">
        <f ca="1">_xll.DBRW(Server&amp;Cube1,$J$12,$L$13,$J$14,$L$1,$J$11,$J$15,$D173)</f>
        <v>-7885.61</v>
      </c>
      <c r="M173" s="165">
        <f ca="1">_xll.DBRW(Server&amp;Cube1,$J$12,$L$13,$J$14,$M$1,$J$11,$J$15,$D173)</f>
        <v>-3182.0000000000005</v>
      </c>
      <c r="N173" s="166">
        <f t="shared" ref="N173:N176" ca="1" si="296">L173-M173</f>
        <v>-4703.6099999999988</v>
      </c>
      <c r="O173" s="167">
        <f t="shared" ref="O173:O176" ca="1" si="297">IF(ISERROR(N173/M173),"-",N173/M173)</f>
        <v>1.4781929604022621</v>
      </c>
      <c r="P173" s="132"/>
      <c r="Q173" s="165">
        <f ca="1">_xll.DBRW(Server&amp;Cube1,$J$12,$L$13,$J$14,$Q$1,$J$11,$J$15,$D173)</f>
        <v>0</v>
      </c>
      <c r="R173" s="166">
        <f t="shared" ref="R173:R176" ca="1" si="298">L173-Q173</f>
        <v>-7885.61</v>
      </c>
      <c r="S173" s="167" t="str">
        <f t="shared" ref="S173:S176" ca="1" si="299">IF(ISERROR(R173/Q173),"-",R173/Q173)</f>
        <v>-</v>
      </c>
      <c r="T173" s="132"/>
      <c r="U173" s="165">
        <f ca="1">_xll.DBRW(Server&amp;Cube1,$J$12,$L$13,$J$14,$U$1,$U$2,$J$15,$D173)</f>
        <v>-6248.01</v>
      </c>
      <c r="V173" s="166">
        <f t="shared" ref="V173:V176" ca="1" si="300">L173-U173</f>
        <v>-1637.5999999999995</v>
      </c>
      <c r="W173" s="167">
        <f t="shared" ref="W173:W176" ca="1" si="301">IF(ISERROR(V173/U173),"-",V173/U173)</f>
        <v>0.26209945246566496</v>
      </c>
      <c r="X173" s="64"/>
      <c r="Y173" s="31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</row>
    <row r="174" spans="1:118" ht="20.25" hidden="1" customHeight="1" outlineLevel="1" x14ac:dyDescent="0.25">
      <c r="B174" s="60"/>
      <c r="C174" s="44"/>
      <c r="D174" s="203" t="s">
        <v>88</v>
      </c>
      <c r="E174" s="62"/>
      <c r="F174" s="63"/>
      <c r="G174" s="41"/>
      <c r="H174" s="232" t="str">
        <f ca="1">_xll.DBRA(Server&amp;$D$20,$D174,"French")</f>
        <v>CVAE</v>
      </c>
      <c r="I174" s="232"/>
      <c r="J174" s="232"/>
      <c r="K174" s="150"/>
      <c r="L174" s="151">
        <f ca="1">_xll.DBRW(Server&amp;Cube1,$J$12,$L$13,$J$14,$L$1,$J$11,$J$15,$D174)</f>
        <v>-4874.4799999999996</v>
      </c>
      <c r="M174" s="151">
        <f ca="1">_xll.DBRW(Server&amp;Cube1,$J$12,$L$13,$J$14,$M$1,$J$11,$J$15,$D174)</f>
        <v>0</v>
      </c>
      <c r="N174" s="152">
        <f t="shared" ca="1" si="296"/>
        <v>-4874.4799999999996</v>
      </c>
      <c r="O174" s="153" t="str">
        <f t="shared" ca="1" si="297"/>
        <v>-</v>
      </c>
      <c r="P174" s="138"/>
      <c r="Q174" s="151">
        <f ca="1">_xll.DBRW(Server&amp;Cube1,$J$12,$L$13,$J$14,$Q$1,$J$11,$J$15,$D174)</f>
        <v>0</v>
      </c>
      <c r="R174" s="152">
        <f t="shared" ca="1" si="298"/>
        <v>-4874.4799999999996</v>
      </c>
      <c r="S174" s="153" t="str">
        <f t="shared" ca="1" si="299"/>
        <v>-</v>
      </c>
      <c r="T174" s="138"/>
      <c r="U174" s="151">
        <f ca="1">_xll.DBRW(Server&amp;Cube1,$J$12,$L$13,$J$14,$U$1,$U$2,$J$15,$D174)</f>
        <v>-999.99999999999989</v>
      </c>
      <c r="V174" s="152">
        <f t="shared" ca="1" si="300"/>
        <v>-3874.4799999999996</v>
      </c>
      <c r="W174" s="153">
        <f t="shared" ca="1" si="301"/>
        <v>3.8744800000000001</v>
      </c>
      <c r="X174" s="65"/>
      <c r="Y174" s="31"/>
      <c r="Z174" s="9"/>
      <c r="AA174" s="66"/>
      <c r="AB174" s="66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</row>
    <row r="175" spans="1:118" ht="18" hidden="1" customHeight="1" outlineLevel="1" thickBot="1" x14ac:dyDescent="0.3">
      <c r="B175" s="60"/>
      <c r="C175" s="44"/>
      <c r="D175" s="203" t="s">
        <v>90</v>
      </c>
      <c r="E175" s="62"/>
      <c r="F175" s="63"/>
      <c r="G175" s="41"/>
      <c r="H175" s="247" t="str">
        <f ca="1">_xll.DBRA(Server&amp;$D$20,$D175,"French")</f>
        <v>Taxe sur les véhicules de sociétés</v>
      </c>
      <c r="I175" s="247"/>
      <c r="J175" s="247"/>
      <c r="K175" s="150"/>
      <c r="L175" s="168">
        <f ca="1">_xll.DBRW(Server&amp;Cube1,$J$12,$L$13,$J$14,$L$1,$J$11,$J$15,$D175)</f>
        <v>-3011.13</v>
      </c>
      <c r="M175" s="168">
        <f ca="1">_xll.DBRW(Server&amp;Cube1,$J$12,$L$13,$J$14,$M$1,$J$11,$J$15,$D175)</f>
        <v>-3182.0000000000005</v>
      </c>
      <c r="N175" s="169">
        <f ca="1">L175-M175</f>
        <v>170.87000000000035</v>
      </c>
      <c r="O175" s="170">
        <f ca="1">IF(ISERROR(N175/M175),"-",N175/M175)</f>
        <v>-5.3698931489629266E-2</v>
      </c>
      <c r="P175" s="138"/>
      <c r="Q175" s="168">
        <f ca="1">_xll.DBRW(Server&amp;Cube1,$J$12,$L$13,$J$14,$Q$1,$J$11,$J$15,$D175)</f>
        <v>0</v>
      </c>
      <c r="R175" s="169">
        <f ca="1">L175-Q175</f>
        <v>-3011.13</v>
      </c>
      <c r="S175" s="170" t="str">
        <f ca="1">IF(ISERROR(R175/Q175),"-",R175/Q175)</f>
        <v>-</v>
      </c>
      <c r="T175" s="138"/>
      <c r="U175" s="168">
        <f ca="1">_xll.DBRW(Server&amp;Cube1,$J$12,$L$13,$J$14,$U$1,$U$2,$J$15,$D175)</f>
        <v>-5248.01</v>
      </c>
      <c r="V175" s="169">
        <f ca="1">L175-U175</f>
        <v>2236.88</v>
      </c>
      <c r="W175" s="170">
        <f ca="1">IF(ISERROR(V175/U175),"-",V175/U175)</f>
        <v>-0.42623394391397884</v>
      </c>
      <c r="X175" s="65"/>
      <c r="Y175" s="31"/>
      <c r="Z175" s="9"/>
      <c r="AA175" s="66"/>
      <c r="AB175" s="66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</row>
    <row r="176" spans="1:118" ht="18" hidden="1" customHeight="1" outlineLevel="1" thickTop="1" x14ac:dyDescent="0.25">
      <c r="B176" s="60"/>
      <c r="C176" s="44"/>
      <c r="D176" s="203" t="s">
        <v>89</v>
      </c>
      <c r="E176" s="62"/>
      <c r="F176" s="63"/>
      <c r="G176" s="41"/>
      <c r="H176" s="232" t="str">
        <f ca="1">_xll.DBRA(Server&amp;$D$20,$D176,"French")</f>
        <v>Organic</v>
      </c>
      <c r="I176" s="232"/>
      <c r="J176" s="232"/>
      <c r="K176" s="150"/>
      <c r="L176" s="151">
        <f ca="1">_xll.DBRW(Server&amp;Cube1,$J$12,$L$13,$J$14,$L$1,$J$11,$J$15,$D176)</f>
        <v>0</v>
      </c>
      <c r="M176" s="151">
        <f ca="1">_xll.DBRW(Server&amp;Cube1,$J$12,$L$13,$J$14,$M$1,$J$11,$J$15,$D176)</f>
        <v>0</v>
      </c>
      <c r="N176" s="152">
        <f t="shared" ca="1" si="296"/>
        <v>0</v>
      </c>
      <c r="O176" s="153" t="str">
        <f t="shared" ca="1" si="297"/>
        <v>-</v>
      </c>
      <c r="P176" s="138"/>
      <c r="Q176" s="151">
        <f ca="1">_xll.DBRW(Server&amp;Cube1,$J$12,$L$13,$J$14,$Q$1,$J$11,$J$15,$D176)</f>
        <v>0</v>
      </c>
      <c r="R176" s="152">
        <f t="shared" ca="1" si="298"/>
        <v>0</v>
      </c>
      <c r="S176" s="153" t="str">
        <f t="shared" ca="1" si="299"/>
        <v>-</v>
      </c>
      <c r="T176" s="138"/>
      <c r="U176" s="151">
        <f ca="1">_xll.DBRW(Server&amp;Cube1,$J$12,$L$13,$J$14,$U$1,$U$2,$J$15,$D176)</f>
        <v>0</v>
      </c>
      <c r="V176" s="152">
        <f t="shared" ca="1" si="300"/>
        <v>0</v>
      </c>
      <c r="W176" s="153" t="str">
        <f t="shared" ca="1" si="301"/>
        <v>-</v>
      </c>
      <c r="X176" s="65"/>
      <c r="Y176" s="31"/>
      <c r="Z176" s="9"/>
      <c r="AA176" s="66"/>
      <c r="AB176" s="66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</row>
    <row r="177" spans="1:118" ht="14.25" customHeight="1" collapsed="1" x14ac:dyDescent="0.25">
      <c r="C177" s="44"/>
      <c r="D177" s="206"/>
      <c r="E177" s="62"/>
      <c r="F177" s="63"/>
      <c r="G177" s="82"/>
      <c r="H177" s="82"/>
      <c r="I177" s="64"/>
      <c r="J177" s="64"/>
      <c r="K177" s="64"/>
      <c r="L177" s="83"/>
      <c r="M177" s="83"/>
      <c r="N177" s="83"/>
      <c r="O177" s="84"/>
      <c r="P177" s="83"/>
      <c r="Q177" s="83"/>
      <c r="R177" s="83"/>
      <c r="S177" s="84"/>
      <c r="T177" s="83"/>
      <c r="U177" s="83"/>
      <c r="V177" s="83"/>
      <c r="W177" s="130"/>
      <c r="X177" s="131"/>
      <c r="Y177" s="31"/>
      <c r="Z177" s="9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85"/>
      <c r="AN177" s="85"/>
      <c r="AO177" s="85"/>
      <c r="AP177" s="85"/>
      <c r="AQ177" s="85"/>
      <c r="AR177" s="85"/>
      <c r="AS177" s="85"/>
      <c r="AT177" s="85"/>
      <c r="AU177" s="85"/>
      <c r="AV177" s="85"/>
      <c r="AW177" s="85"/>
      <c r="AX177" s="85"/>
      <c r="AY177" s="85"/>
      <c r="AZ177" s="85"/>
      <c r="BA177" s="85"/>
      <c r="BB177" s="85"/>
      <c r="BC177" s="85"/>
      <c r="BD177" s="85"/>
      <c r="BE177" s="85"/>
      <c r="BF177" s="85"/>
      <c r="BG177" s="85"/>
      <c r="BH177" s="85"/>
      <c r="BI177" s="85"/>
      <c r="BJ177" s="85"/>
      <c r="BK177" s="85"/>
      <c r="BL177" s="85"/>
      <c r="BM177" s="85"/>
      <c r="BN177" s="85"/>
      <c r="BO177" s="85"/>
      <c r="BP177" s="85"/>
      <c r="BQ177" s="85"/>
      <c r="BR177" s="85"/>
      <c r="BS177" s="85"/>
      <c r="BT177" s="85"/>
      <c r="BU177" s="85"/>
      <c r="BV177" s="85"/>
      <c r="BW177" s="85"/>
      <c r="BX177" s="85"/>
      <c r="BY177" s="85"/>
      <c r="BZ177" s="85"/>
      <c r="CA177" s="85"/>
      <c r="CB177" s="85"/>
      <c r="CC177" s="85"/>
      <c r="CD177" s="85"/>
      <c r="CE177" s="85"/>
      <c r="CF177" s="85"/>
      <c r="CG177" s="85"/>
      <c r="CH177" s="85"/>
      <c r="CI177" s="85"/>
      <c r="CJ177" s="85"/>
      <c r="CK177" s="85"/>
      <c r="CL177" s="85"/>
      <c r="CM177" s="85"/>
      <c r="CN177" s="85"/>
      <c r="CO177" s="85"/>
      <c r="CP177" s="85"/>
      <c r="CQ177" s="85"/>
      <c r="CR177" s="85"/>
      <c r="CS177" s="85"/>
      <c r="CT177" s="85"/>
      <c r="CU177" s="85"/>
      <c r="CV177" s="85"/>
      <c r="CW177" s="85"/>
      <c r="CX177" s="85"/>
      <c r="CY177" s="85"/>
      <c r="CZ177" s="85"/>
      <c r="DA177" s="85"/>
      <c r="DB177" s="85"/>
      <c r="DC177" s="85"/>
      <c r="DD177" s="85"/>
      <c r="DE177" s="85"/>
      <c r="DF177" s="85"/>
      <c r="DG177" s="85"/>
      <c r="DH177" s="85"/>
      <c r="DI177" s="85"/>
      <c r="DJ177" s="85"/>
      <c r="DK177" s="85"/>
      <c r="DL177" s="85"/>
      <c r="DM177" s="85"/>
      <c r="DN177" s="85"/>
    </row>
    <row r="178" spans="1:118" ht="8.25" customHeight="1" x14ac:dyDescent="0.25">
      <c r="C178" s="44"/>
      <c r="D178" s="206"/>
      <c r="E178" s="62"/>
      <c r="F178" s="63"/>
      <c r="G178" s="82"/>
      <c r="H178" s="82"/>
      <c r="I178" s="64"/>
      <c r="J178" s="64"/>
      <c r="K178" s="64"/>
      <c r="L178" s="83"/>
      <c r="M178" s="83"/>
      <c r="N178" s="83"/>
      <c r="O178" s="84"/>
      <c r="P178" s="83"/>
      <c r="Q178" s="83"/>
      <c r="R178" s="83"/>
      <c r="S178" s="84"/>
      <c r="T178" s="83"/>
      <c r="U178" s="83"/>
      <c r="V178" s="83"/>
      <c r="W178" s="84"/>
      <c r="X178" s="64"/>
      <c r="Y178" s="31"/>
      <c r="Z178" s="9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  <c r="AL178" s="85"/>
      <c r="AM178" s="85"/>
      <c r="AN178" s="85"/>
      <c r="AO178" s="85"/>
      <c r="AP178" s="85"/>
      <c r="AQ178" s="85"/>
      <c r="AR178" s="85"/>
      <c r="AS178" s="85"/>
      <c r="AT178" s="85"/>
      <c r="AU178" s="85"/>
      <c r="AV178" s="85"/>
      <c r="AW178" s="85"/>
      <c r="AX178" s="85"/>
      <c r="AY178" s="85"/>
      <c r="AZ178" s="85"/>
      <c r="BA178" s="85"/>
      <c r="BB178" s="85"/>
      <c r="BC178" s="85"/>
      <c r="BD178" s="85"/>
      <c r="BE178" s="85"/>
      <c r="BF178" s="85"/>
      <c r="BG178" s="85"/>
      <c r="BH178" s="85"/>
      <c r="BI178" s="85"/>
      <c r="BJ178" s="85"/>
      <c r="BK178" s="85"/>
      <c r="BL178" s="85"/>
      <c r="BM178" s="85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  <c r="DF178" s="85"/>
      <c r="DG178" s="85"/>
      <c r="DH178" s="85"/>
      <c r="DI178" s="85"/>
      <c r="DJ178" s="85"/>
      <c r="DK178" s="85"/>
      <c r="DL178" s="85"/>
      <c r="DM178" s="85"/>
      <c r="DN178" s="85"/>
    </row>
    <row r="179" spans="1:118" ht="8.25" customHeight="1" x14ac:dyDescent="0.25">
      <c r="C179" s="44"/>
      <c r="D179" s="206"/>
      <c r="E179" s="62"/>
      <c r="F179" s="63"/>
      <c r="G179" s="183"/>
      <c r="H179" s="184"/>
      <c r="I179" s="185"/>
      <c r="J179" s="185"/>
      <c r="K179" s="185"/>
      <c r="L179" s="186"/>
      <c r="M179" s="186"/>
      <c r="N179" s="186"/>
      <c r="O179" s="187"/>
      <c r="P179" s="186"/>
      <c r="Q179" s="186"/>
      <c r="R179" s="186"/>
      <c r="S179" s="187"/>
      <c r="T179" s="186"/>
      <c r="U179" s="186"/>
      <c r="V179" s="186"/>
      <c r="W179" s="187"/>
      <c r="X179" s="188"/>
      <c r="Y179" s="86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  <c r="AL179" s="85"/>
      <c r="AM179" s="85"/>
      <c r="AN179" s="85"/>
      <c r="AO179" s="85"/>
      <c r="AP179" s="85"/>
      <c r="AQ179" s="85"/>
      <c r="AR179" s="85"/>
      <c r="AS179" s="85"/>
      <c r="AT179" s="85"/>
      <c r="AU179" s="85"/>
      <c r="AV179" s="85"/>
      <c r="AW179" s="85"/>
      <c r="AX179" s="85"/>
      <c r="AY179" s="85"/>
      <c r="AZ179" s="85"/>
      <c r="BA179" s="85"/>
      <c r="BB179" s="85"/>
      <c r="BC179" s="85"/>
      <c r="BD179" s="85"/>
      <c r="BE179" s="85"/>
      <c r="BF179" s="85"/>
      <c r="BG179" s="85"/>
      <c r="BH179" s="85"/>
      <c r="BI179" s="85"/>
      <c r="BJ179" s="85"/>
      <c r="BK179" s="85"/>
      <c r="BL179" s="85"/>
      <c r="BM179" s="85"/>
      <c r="BN179" s="85"/>
      <c r="BO179" s="85"/>
      <c r="BP179" s="85"/>
      <c r="BQ179" s="85"/>
      <c r="BR179" s="85"/>
      <c r="BS179" s="85"/>
      <c r="BT179" s="85"/>
      <c r="BU179" s="85"/>
      <c r="BV179" s="85"/>
      <c r="BW179" s="85"/>
      <c r="BX179" s="85"/>
      <c r="BY179" s="85"/>
      <c r="BZ179" s="85"/>
      <c r="CA179" s="85"/>
      <c r="CB179" s="85"/>
      <c r="CC179" s="85"/>
      <c r="CD179" s="85"/>
      <c r="CE179" s="85"/>
      <c r="CF179" s="85"/>
      <c r="CG179" s="85"/>
      <c r="CH179" s="85"/>
      <c r="CI179" s="85"/>
      <c r="CJ179" s="85"/>
      <c r="CK179" s="85"/>
      <c r="CL179" s="85"/>
      <c r="CM179" s="85"/>
      <c r="CN179" s="85"/>
      <c r="CO179" s="85"/>
      <c r="CP179" s="85"/>
      <c r="CQ179" s="85"/>
      <c r="CR179" s="85"/>
      <c r="CS179" s="85"/>
      <c r="CT179" s="85"/>
      <c r="CU179" s="85"/>
      <c r="CV179" s="85"/>
      <c r="CW179" s="85"/>
      <c r="CX179" s="85"/>
      <c r="CY179" s="85"/>
      <c r="CZ179" s="85"/>
      <c r="DA179" s="85"/>
      <c r="DB179" s="85"/>
      <c r="DC179" s="85"/>
      <c r="DD179" s="85"/>
      <c r="DE179" s="85"/>
      <c r="DF179" s="85"/>
      <c r="DG179" s="85"/>
      <c r="DH179" s="85"/>
      <c r="DI179" s="85"/>
      <c r="DJ179" s="85"/>
      <c r="DK179" s="85"/>
      <c r="DL179" s="85"/>
      <c r="DM179" s="85"/>
      <c r="DN179" s="85"/>
    </row>
    <row r="180" spans="1:118" s="61" customFormat="1" ht="22.5" customHeight="1" x14ac:dyDescent="0.25">
      <c r="A180" s="222"/>
      <c r="B180" s="60"/>
      <c r="C180" s="44"/>
      <c r="D180" s="206" t="s">
        <v>91</v>
      </c>
      <c r="E180" s="79"/>
      <c r="F180" s="80"/>
      <c r="G180" s="199"/>
      <c r="H180" s="236" t="str">
        <f ca="1">_xll.DBRA(Server&amp;$D$20,$D180,"French")</f>
        <v>RESULTAT NET</v>
      </c>
      <c r="I180" s="237"/>
      <c r="J180" s="238"/>
      <c r="K180" s="200"/>
      <c r="L180" s="144">
        <f ca="1">SUM(L169,L173)</f>
        <v>-180791.0499999999</v>
      </c>
      <c r="M180" s="144">
        <f ca="1">SUM(M169,M173)</f>
        <v>114291.29000000027</v>
      </c>
      <c r="N180" s="144">
        <f ca="1">SUM(N169,N173)</f>
        <v>-295082.34000000037</v>
      </c>
      <c r="O180" s="161">
        <f ca="1">IF(ISERROR(N180/M180),"-",N180/M180)</f>
        <v>-2.5818445132608066</v>
      </c>
      <c r="P180" s="201"/>
      <c r="Q180" s="145">
        <f ca="1">_xll.DBRW(Server&amp;Cube1,$J$12,$L$13,$J$14,$Q$1,$J$11,$J$15,$D180)</f>
        <v>0</v>
      </c>
      <c r="R180" s="146">
        <f ca="1">L180-Q180</f>
        <v>-180791.0499999999</v>
      </c>
      <c r="S180" s="161" t="str">
        <f t="shared" ref="S180" ca="1" si="302">IF(ISERROR(R180/Q180),"-",R180/Q180)</f>
        <v>-</v>
      </c>
      <c r="T180" s="172"/>
      <c r="U180" s="144">
        <f ca="1">SUM(U169,U173)</f>
        <v>-18707.659999999705</v>
      </c>
      <c r="V180" s="146">
        <f ca="1">L180-U180</f>
        <v>-162083.39000000019</v>
      </c>
      <c r="W180" s="161">
        <f ca="1">IF(ISERROR(V180/U180),"-",V180/U180)</f>
        <v>8.6640119608760653</v>
      </c>
      <c r="X180" s="189"/>
      <c r="Y180" s="87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/>
      <c r="CA180" s="66"/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66"/>
      <c r="CR180" s="66"/>
      <c r="CS180" s="66"/>
      <c r="CT180" s="66"/>
      <c r="CU180" s="66"/>
      <c r="CV180" s="66"/>
      <c r="CW180" s="66"/>
      <c r="CX180" s="66"/>
      <c r="CY180" s="66"/>
      <c r="CZ180" s="66"/>
      <c r="DA180" s="66"/>
      <c r="DB180" s="66"/>
      <c r="DC180" s="66"/>
      <c r="DD180" s="66"/>
      <c r="DE180" s="66"/>
      <c r="DF180" s="66"/>
      <c r="DG180" s="66"/>
      <c r="DH180" s="66"/>
      <c r="DI180" s="66"/>
      <c r="DJ180" s="66"/>
      <c r="DK180" s="66"/>
      <c r="DL180" s="66"/>
      <c r="DM180" s="66"/>
      <c r="DN180" s="66"/>
    </row>
    <row r="181" spans="1:118" s="94" customFormat="1" ht="22.5" customHeight="1" collapsed="1" x14ac:dyDescent="0.25">
      <c r="A181" s="88"/>
      <c r="B181" s="89"/>
      <c r="C181" s="44"/>
      <c r="D181" s="209" t="s">
        <v>30</v>
      </c>
      <c r="E181" s="90"/>
      <c r="F181" s="91"/>
      <c r="G181" s="191"/>
      <c r="H181" s="90"/>
      <c r="I181" s="90"/>
      <c r="J181" s="192" t="s">
        <v>98</v>
      </c>
      <c r="K181" s="193"/>
      <c r="L181" s="194">
        <f ca="1">IF(ISERROR(L180/L41),"-",L180/L41)</f>
        <v>-0.11017401482064981</v>
      </c>
      <c r="M181" s="194">
        <f ca="1">IF(ISERROR(M180/M41),"-",M180/M41)</f>
        <v>4.6899440130249485E-2</v>
      </c>
      <c r="N181" s="246">
        <f ca="1">IF(ISERROR((L181-M181)*100),"-",(L181-M181)*100)</f>
        <v>-15.70734549508993</v>
      </c>
      <c r="O181" s="246"/>
      <c r="P181" s="195"/>
      <c r="Q181" s="194" t="str">
        <f ca="1">IF(ISERROR(Q180/Q152),"-",Q180/Q152)</f>
        <v>-</v>
      </c>
      <c r="R181" s="248" t="str">
        <f ca="1">IF(ISERROR((P181-Q181)*100),"-",(P181-Q181)*100)</f>
        <v>-</v>
      </c>
      <c r="S181" s="248"/>
      <c r="T181" s="195"/>
      <c r="U181" s="194">
        <f ca="1">IF(ISERROR(U180/U41),"-",U180/U41)</f>
        <v>-7.6756444769042476E-3</v>
      </c>
      <c r="V181" s="246">
        <f ca="1">IF(ISERROR((L181-U181)*100),"-",(L181-U181)*100)</f>
        <v>-10.249837034374556</v>
      </c>
      <c r="W181" s="246"/>
      <c r="X181" s="190"/>
      <c r="Y181" s="92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  <c r="BI181" s="93"/>
      <c r="BJ181" s="93"/>
      <c r="BK181" s="93"/>
      <c r="BL181" s="93"/>
      <c r="BM181" s="93"/>
      <c r="BN181" s="93"/>
      <c r="BO181" s="93"/>
      <c r="BP181" s="93"/>
      <c r="BQ181" s="93"/>
      <c r="BR181" s="93"/>
      <c r="BS181" s="93"/>
      <c r="BT181" s="93"/>
      <c r="BU181" s="93"/>
      <c r="BV181" s="93"/>
      <c r="BW181" s="93"/>
      <c r="BX181" s="93"/>
      <c r="BY181" s="93"/>
      <c r="BZ181" s="93"/>
      <c r="CA181" s="93"/>
      <c r="CB181" s="93"/>
      <c r="CC181" s="93"/>
      <c r="CD181" s="93"/>
      <c r="CE181" s="93"/>
      <c r="CF181" s="93"/>
      <c r="CG181" s="93"/>
      <c r="CH181" s="93"/>
      <c r="CI181" s="93"/>
      <c r="CJ181" s="93"/>
      <c r="CK181" s="93"/>
      <c r="CL181" s="93"/>
      <c r="CM181" s="93"/>
      <c r="CN181" s="93"/>
      <c r="CO181" s="93"/>
      <c r="CP181" s="93"/>
      <c r="CQ181" s="93"/>
      <c r="CR181" s="93"/>
      <c r="CS181" s="93"/>
      <c r="CT181" s="93"/>
      <c r="CU181" s="93"/>
      <c r="CV181" s="93"/>
      <c r="CW181" s="93"/>
      <c r="CX181" s="93"/>
      <c r="CY181" s="93"/>
      <c r="CZ181" s="93"/>
      <c r="DA181" s="93"/>
      <c r="DB181" s="93"/>
      <c r="DC181" s="93"/>
      <c r="DD181" s="93"/>
      <c r="DE181" s="93"/>
      <c r="DF181" s="93"/>
      <c r="DG181" s="93"/>
      <c r="DH181" s="93"/>
      <c r="DI181" s="93"/>
      <c r="DJ181" s="93"/>
      <c r="DK181" s="93"/>
      <c r="DL181" s="93"/>
      <c r="DM181" s="93"/>
      <c r="DN181" s="93"/>
    </row>
    <row r="182" spans="1:118" s="37" customFormat="1" ht="5.25" customHeight="1" x14ac:dyDescent="0.25">
      <c r="A182" s="10"/>
      <c r="B182" s="1"/>
      <c r="C182" s="44"/>
      <c r="D182" s="207"/>
      <c r="E182" s="68"/>
      <c r="F182" s="69"/>
      <c r="G182" s="196"/>
      <c r="H182" s="197"/>
      <c r="I182" s="197"/>
      <c r="J182" s="197"/>
      <c r="K182" s="197"/>
      <c r="L182" s="197"/>
      <c r="M182" s="197"/>
      <c r="N182" s="197"/>
      <c r="O182" s="197"/>
      <c r="P182" s="197"/>
      <c r="Q182" s="197"/>
      <c r="R182" s="197"/>
      <c r="S182" s="197"/>
      <c r="T182" s="197"/>
      <c r="U182" s="197"/>
      <c r="V182" s="197"/>
      <c r="W182" s="197"/>
      <c r="X182" s="198"/>
      <c r="Y182" s="31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</row>
    <row r="183" spans="1:118" s="37" customFormat="1" ht="15" customHeight="1" x14ac:dyDescent="0.25">
      <c r="A183" s="10"/>
      <c r="B183" s="1"/>
      <c r="C183" s="44"/>
      <c r="D183" s="207"/>
      <c r="E183" s="68"/>
      <c r="F183" s="69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31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</row>
    <row r="184" spans="1:118" s="37" customFormat="1" ht="15" customHeight="1" x14ac:dyDescent="0.25">
      <c r="A184" s="10"/>
      <c r="B184" s="1"/>
      <c r="C184" s="44"/>
      <c r="D184" s="207"/>
      <c r="E184" s="68"/>
      <c r="F184" s="69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31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</row>
    <row r="185" spans="1:118" s="37" customFormat="1" ht="28.5" customHeight="1" x14ac:dyDescent="0.25">
      <c r="A185" s="10"/>
      <c r="B185" s="1"/>
      <c r="C185" s="44"/>
      <c r="D185" s="207"/>
      <c r="E185" s="68"/>
      <c r="F185" s="69"/>
      <c r="G185" s="171" t="s">
        <v>97</v>
      </c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31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</row>
    <row r="186" spans="1:118" ht="23.25" x14ac:dyDescent="0.25">
      <c r="B186" s="60"/>
      <c r="C186" s="44"/>
      <c r="D186" s="203" t="s">
        <v>92</v>
      </c>
      <c r="E186" s="62"/>
      <c r="F186" s="63"/>
      <c r="G186" s="41"/>
      <c r="H186" s="258" t="str">
        <f ca="1">_xll.DBRA(Server&amp;$D$20,$D186,"French")</f>
        <v>Nombre de stagiaires</v>
      </c>
      <c r="I186" s="259"/>
      <c r="J186" s="260"/>
      <c r="K186" s="150"/>
      <c r="L186" s="180">
        <f ca="1">_xll.DBRW(Server&amp;Cube1,$J$12,$L$13,$J$14,$L$1,$J$11,$J$15,$D186)</f>
        <v>0</v>
      </c>
      <c r="M186" s="173">
        <f ca="1">_xll.DBRW(Server&amp;Cube1,$J$12,$J$13,$J$14,$M$1,$J$11,$J$15,$D186)</f>
        <v>5602.7000000000007</v>
      </c>
      <c r="N186" s="174">
        <f t="shared" ref="N186:N190" ca="1" si="303">L186-M186</f>
        <v>-5602.7000000000007</v>
      </c>
      <c r="O186" s="177">
        <f t="shared" ref="O186:O190" ca="1" si="304">IF(ISERROR(N186/M186),"-",N186/M186)</f>
        <v>-1</v>
      </c>
      <c r="P186" s="138"/>
      <c r="Q186" s="180">
        <f ca="1">_xll.DBRW(Server&amp;Cube1,$J$12,$L$13,$J$14,$Q$1,$J$11,$J$15,$D186)</f>
        <v>0</v>
      </c>
      <c r="R186" s="174">
        <f t="shared" ref="R186:R190" ca="1" si="305">L186-Q186</f>
        <v>0</v>
      </c>
      <c r="S186" s="177" t="str">
        <f t="shared" ref="S186:S190" ca="1" si="306">IF(ISERROR(R186/Q186),"-",R186/Q186)</f>
        <v>-</v>
      </c>
      <c r="T186" s="138"/>
      <c r="U186" s="180">
        <f ca="1">_xll.DBRW(Server&amp;Cube1,$J$12,$L$13,$J$14,$U$1,$U$2,$J$15,$D186)</f>
        <v>0</v>
      </c>
      <c r="V186" s="174">
        <f t="shared" ref="V186:V190" ca="1" si="307">L186-U186</f>
        <v>0</v>
      </c>
      <c r="W186" s="177" t="str">
        <f t="shared" ref="W186:W190" ca="1" si="308">IF(ISERROR(V186/U186),"-",V186/U186)</f>
        <v>-</v>
      </c>
      <c r="X186" s="65"/>
      <c r="Y186" s="31"/>
      <c r="Z186" s="9"/>
      <c r="AA186" s="66"/>
      <c r="AB186" s="66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</row>
    <row r="187" spans="1:118" ht="23.25" x14ac:dyDescent="0.25">
      <c r="B187" s="60"/>
      <c r="C187" s="44"/>
      <c r="D187" s="203" t="s">
        <v>93</v>
      </c>
      <c r="E187" s="62"/>
      <c r="F187" s="63"/>
      <c r="G187" s="41"/>
      <c r="H187" s="252" t="str">
        <f ca="1">_xll.DBRA(Server&amp;$D$20,$D187,"French")</f>
        <v>Nombre de sessions</v>
      </c>
      <c r="I187" s="253"/>
      <c r="J187" s="254"/>
      <c r="K187" s="150"/>
      <c r="L187" s="181">
        <f ca="1">_xll.DBRW(Server&amp;Cube1,$J$12,$L$13,$J$14,$L$1,$J$11,$J$15,$D187)</f>
        <v>0</v>
      </c>
      <c r="M187" s="151">
        <f ca="1">_xll.DBRW(Server&amp;Cube1,$J$12,$J$13,$J$14,$M$1,$J$11,$J$15,$D187)</f>
        <v>1136.6999999999998</v>
      </c>
      <c r="N187" s="136">
        <f t="shared" ca="1" si="303"/>
        <v>-1136.6999999999998</v>
      </c>
      <c r="O187" s="178">
        <f t="shared" ca="1" si="304"/>
        <v>-1</v>
      </c>
      <c r="P187" s="138"/>
      <c r="Q187" s="181">
        <f ca="1">_xll.DBRW(Server&amp;Cube1,$J$12,$L$13,$J$14,$Q$1,$J$11,$J$15,$D187)</f>
        <v>0</v>
      </c>
      <c r="R187" s="136">
        <f t="shared" ca="1" si="305"/>
        <v>0</v>
      </c>
      <c r="S187" s="178" t="str">
        <f t="shared" ca="1" si="306"/>
        <v>-</v>
      </c>
      <c r="T187" s="138"/>
      <c r="U187" s="181">
        <f ca="1">_xll.DBRW(Server&amp;Cube1,$J$12,$L$13,$J$14,$U$1,$U$2,$J$15,$D187)</f>
        <v>0</v>
      </c>
      <c r="V187" s="136">
        <f t="shared" ca="1" si="307"/>
        <v>0</v>
      </c>
      <c r="W187" s="178" t="str">
        <f t="shared" ca="1" si="308"/>
        <v>-</v>
      </c>
      <c r="X187" s="65"/>
      <c r="Y187" s="31"/>
      <c r="Z187" s="9"/>
      <c r="AA187" s="66"/>
      <c r="AB187" s="66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</row>
    <row r="188" spans="1:118" ht="23.25" x14ac:dyDescent="0.25">
      <c r="B188" s="60"/>
      <c r="C188" s="44"/>
      <c r="D188" s="203" t="s">
        <v>94</v>
      </c>
      <c r="E188" s="62"/>
      <c r="F188" s="63"/>
      <c r="G188" s="41"/>
      <c r="H188" s="252" t="str">
        <f ca="1">_xll.DBRA(Server&amp;$D$20,$D188,"French")</f>
        <v>Heures de formation</v>
      </c>
      <c r="I188" s="253"/>
      <c r="J188" s="254"/>
      <c r="K188" s="150"/>
      <c r="L188" s="181">
        <f ca="1">_xll.DBRW(Server&amp;Cube1,$J$12,$L$13,$J$14,$L$1,$J$11,$J$15,$D188)</f>
        <v>0</v>
      </c>
      <c r="M188" s="151">
        <f ca="1">_xll.DBRW(Server&amp;Cube1,$J$12,$J$13,$J$14,$M$1,$J$11,$J$15,$D188)</f>
        <v>186632.58</v>
      </c>
      <c r="N188" s="136">
        <f t="shared" ca="1" si="303"/>
        <v>-186632.58</v>
      </c>
      <c r="O188" s="178">
        <f t="shared" ca="1" si="304"/>
        <v>-1</v>
      </c>
      <c r="P188" s="138"/>
      <c r="Q188" s="181">
        <f ca="1">_xll.DBRW(Server&amp;Cube1,$J$12,$L$13,$J$14,$Q$1,$J$11,$J$15,$D188)</f>
        <v>0</v>
      </c>
      <c r="R188" s="136">
        <f t="shared" ca="1" si="305"/>
        <v>0</v>
      </c>
      <c r="S188" s="178" t="str">
        <f t="shared" ca="1" si="306"/>
        <v>-</v>
      </c>
      <c r="T188" s="138"/>
      <c r="U188" s="181">
        <f ca="1">_xll.DBRW(Server&amp;Cube1,$J$12,$L$13,$J$14,$U$1,$U$2,$J$15,$D188)</f>
        <v>0</v>
      </c>
      <c r="V188" s="136">
        <f t="shared" ca="1" si="307"/>
        <v>0</v>
      </c>
      <c r="W188" s="178" t="str">
        <f t="shared" ca="1" si="308"/>
        <v>-</v>
      </c>
      <c r="X188" s="65"/>
      <c r="Y188" s="31"/>
      <c r="Z188" s="9"/>
      <c r="AA188" s="66"/>
      <c r="AB188" s="66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</row>
    <row r="189" spans="1:118" ht="23.25" x14ac:dyDescent="0.25">
      <c r="B189" s="60"/>
      <c r="C189" s="44"/>
      <c r="D189" s="203" t="s">
        <v>95</v>
      </c>
      <c r="E189" s="62"/>
      <c r="F189" s="63"/>
      <c r="G189" s="41"/>
      <c r="H189" s="252" t="str">
        <f ca="1">_xll.DBRA(Server&amp;$D$20,$D189,"French")</f>
        <v>Total journées formateurs  internes</v>
      </c>
      <c r="I189" s="253"/>
      <c r="J189" s="254"/>
      <c r="K189" s="150"/>
      <c r="L189" s="181">
        <f ca="1">_xll.DBRW(Server&amp;Cube1,$J$12,$L$13,$J$14,$L$1,$J$11,$J$15,$D189)</f>
        <v>0</v>
      </c>
      <c r="M189" s="151">
        <f ca="1">_xll.DBRW(Server&amp;Cube1,$J$12,$J$13,$J$14,$M$1,$J$11,$J$15,$D189)</f>
        <v>3509.4700000000003</v>
      </c>
      <c r="N189" s="136">
        <f t="shared" ca="1" si="303"/>
        <v>-3509.4700000000003</v>
      </c>
      <c r="O189" s="178">
        <f t="shared" ca="1" si="304"/>
        <v>-1</v>
      </c>
      <c r="P189" s="138"/>
      <c r="Q189" s="181">
        <f ca="1">_xll.DBRW(Server&amp;Cube1,$J$12,$L$13,$J$14,$Q$1,$J$11,$J$15,$D189)</f>
        <v>0</v>
      </c>
      <c r="R189" s="136">
        <f t="shared" ca="1" si="305"/>
        <v>0</v>
      </c>
      <c r="S189" s="178" t="str">
        <f t="shared" ca="1" si="306"/>
        <v>-</v>
      </c>
      <c r="T189" s="138"/>
      <c r="U189" s="181">
        <f ca="1">_xll.DBRW(Server&amp;Cube1,$J$12,$L$13,$J$14,$U$1,$U$2,$J$15,$D189)</f>
        <v>0</v>
      </c>
      <c r="V189" s="136">
        <f t="shared" ca="1" si="307"/>
        <v>0</v>
      </c>
      <c r="W189" s="178" t="str">
        <f t="shared" ca="1" si="308"/>
        <v>-</v>
      </c>
      <c r="X189" s="65"/>
      <c r="Y189" s="31"/>
      <c r="Z189" s="9"/>
      <c r="AA189" s="66"/>
      <c r="AB189" s="66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</row>
    <row r="190" spans="1:118" ht="23.25" x14ac:dyDescent="0.25">
      <c r="B190" s="60"/>
      <c r="C190" s="44"/>
      <c r="D190" s="203" t="s">
        <v>96</v>
      </c>
      <c r="E190" s="62"/>
      <c r="F190" s="63"/>
      <c r="G190" s="41"/>
      <c r="H190" s="255" t="str">
        <f ca="1">_xll.DBRA(Server&amp;$D$20,$D190,"French")</f>
        <v>Total journées formateurs externes</v>
      </c>
      <c r="I190" s="256"/>
      <c r="J190" s="257"/>
      <c r="K190" s="150"/>
      <c r="L190" s="182">
        <f ca="1">_xll.DBRW(Server&amp;Cube1,$J$12,$L$13,$J$14,$L$1,$J$11,$J$15,$D190)</f>
        <v>0</v>
      </c>
      <c r="M190" s="175">
        <f ca="1">_xll.DBRW(Server&amp;Cube1,$J$12,$J$13,$J$14,$M$1,$J$11,$J$15,$D190)</f>
        <v>933.70999999999992</v>
      </c>
      <c r="N190" s="176">
        <f t="shared" ca="1" si="303"/>
        <v>-933.70999999999992</v>
      </c>
      <c r="O190" s="179">
        <f t="shared" ca="1" si="304"/>
        <v>-1</v>
      </c>
      <c r="P190" s="138"/>
      <c r="Q190" s="182">
        <f ca="1">_xll.DBRW(Server&amp;Cube1,$J$12,$L$13,$J$14,$Q$1,$J$11,$J$15,$D190)</f>
        <v>0</v>
      </c>
      <c r="R190" s="176">
        <f t="shared" ca="1" si="305"/>
        <v>0</v>
      </c>
      <c r="S190" s="179" t="str">
        <f t="shared" ca="1" si="306"/>
        <v>-</v>
      </c>
      <c r="T190" s="138"/>
      <c r="U190" s="182">
        <f ca="1">_xll.DBRW(Server&amp;Cube1,$J$12,$L$13,$J$14,$U$1,$U$2,$J$15,$D190)</f>
        <v>0</v>
      </c>
      <c r="V190" s="176">
        <f t="shared" ca="1" si="307"/>
        <v>0</v>
      </c>
      <c r="W190" s="179" t="str">
        <f t="shared" ca="1" si="308"/>
        <v>-</v>
      </c>
      <c r="X190" s="65"/>
      <c r="Y190" s="31"/>
      <c r="Z190" s="9"/>
      <c r="AA190" s="66"/>
      <c r="AB190" s="66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</row>
    <row r="191" spans="1:118" s="37" customFormat="1" ht="15" customHeight="1" x14ac:dyDescent="0.25">
      <c r="A191" s="10"/>
      <c r="B191" s="1"/>
      <c r="C191" s="44"/>
      <c r="D191" s="207"/>
      <c r="E191" s="68"/>
      <c r="F191" s="69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31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</row>
    <row r="192" spans="1:118" s="37" customFormat="1" ht="9.75" customHeight="1" x14ac:dyDescent="0.25">
      <c r="A192" s="10"/>
      <c r="B192" s="1"/>
      <c r="C192" s="67"/>
      <c r="D192" s="207"/>
      <c r="E192" s="68"/>
      <c r="F192" s="69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31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</row>
    <row r="193" spans="2:118" s="37" customFormat="1" ht="9.75" customHeight="1" x14ac:dyDescent="0.25">
      <c r="B193" s="1"/>
      <c r="C193" s="1"/>
      <c r="D193" s="210"/>
      <c r="E193" s="96"/>
      <c r="F193" s="120"/>
      <c r="G193" s="121"/>
      <c r="H193" s="121"/>
      <c r="I193" s="122"/>
      <c r="J193" s="123"/>
      <c r="K193" s="124"/>
      <c r="L193" s="125"/>
      <c r="M193" s="125"/>
      <c r="N193" s="126"/>
      <c r="O193" s="127"/>
      <c r="P193" s="128"/>
      <c r="Q193" s="125"/>
      <c r="R193" s="126"/>
      <c r="S193" s="127"/>
      <c r="T193" s="128"/>
      <c r="U193" s="125"/>
      <c r="V193" s="126"/>
      <c r="W193" s="127"/>
      <c r="X193" s="129"/>
      <c r="Y193" s="97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</row>
    <row r="194" spans="2:118" ht="18" customHeight="1" x14ac:dyDescent="0.25">
      <c r="D194" s="210"/>
      <c r="E194" s="2"/>
      <c r="F194" s="2"/>
      <c r="G194" s="2"/>
      <c r="H194" s="2"/>
      <c r="I194" s="11"/>
      <c r="J194" s="11"/>
      <c r="K194" s="5"/>
      <c r="L194" s="5"/>
      <c r="M194" s="5"/>
      <c r="N194" s="8"/>
      <c r="O194" s="8"/>
      <c r="P194" s="8"/>
      <c r="Q194" s="5"/>
      <c r="R194" s="8"/>
      <c r="S194" s="8"/>
      <c r="T194" s="8"/>
      <c r="U194" s="5"/>
      <c r="V194" s="8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</row>
    <row r="195" spans="2:118" ht="18" customHeight="1" x14ac:dyDescent="0.25">
      <c r="D195" s="210"/>
      <c r="E195" s="2"/>
      <c r="F195" s="2"/>
      <c r="G195" s="2"/>
      <c r="H195" s="2"/>
      <c r="I195" s="11"/>
      <c r="J195" s="11"/>
      <c r="K195" s="5"/>
      <c r="L195" s="5"/>
      <c r="M195" s="5"/>
      <c r="N195" s="8"/>
      <c r="O195" s="8"/>
      <c r="P195" s="8"/>
      <c r="Q195" s="5"/>
      <c r="R195" s="8"/>
      <c r="S195" s="8"/>
      <c r="T195" s="8"/>
      <c r="U195" s="5"/>
      <c r="V195" s="8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</row>
    <row r="196" spans="2:118" ht="18" customHeight="1" x14ac:dyDescent="0.25">
      <c r="D196" s="210"/>
      <c r="E196" s="2"/>
      <c r="F196" s="2"/>
      <c r="G196" s="2"/>
      <c r="H196" s="2"/>
      <c r="I196" s="11"/>
      <c r="J196" s="11"/>
      <c r="K196" s="5"/>
      <c r="L196" s="5"/>
      <c r="M196" s="5"/>
      <c r="N196" s="8"/>
      <c r="O196" s="8"/>
      <c r="P196" s="8"/>
      <c r="Q196" s="5"/>
      <c r="R196" s="8"/>
      <c r="S196" s="8"/>
      <c r="T196" s="8"/>
      <c r="U196" s="5"/>
      <c r="V196" s="8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</row>
    <row r="197" spans="2:118" ht="18" customHeight="1" x14ac:dyDescent="0.25">
      <c r="D197" s="210"/>
      <c r="E197" s="2"/>
      <c r="F197" s="2"/>
      <c r="G197" s="2"/>
      <c r="H197" s="2"/>
      <c r="I197" s="11"/>
      <c r="J197" s="11"/>
      <c r="K197" s="5"/>
      <c r="L197" s="5"/>
      <c r="M197" s="5"/>
      <c r="N197" s="8"/>
      <c r="O197" s="8"/>
      <c r="P197" s="8"/>
      <c r="Q197" s="5"/>
      <c r="R197" s="8"/>
      <c r="S197" s="8"/>
      <c r="T197" s="8"/>
      <c r="U197" s="5"/>
      <c r="V197" s="8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</row>
    <row r="198" spans="2:118" ht="18" customHeight="1" x14ac:dyDescent="0.25">
      <c r="D198" s="210"/>
      <c r="E198" s="2"/>
      <c r="F198" s="2"/>
      <c r="G198" s="2"/>
      <c r="H198" s="2"/>
      <c r="I198" s="11"/>
      <c r="J198" s="11"/>
      <c r="K198" s="5"/>
      <c r="L198" s="5"/>
      <c r="M198" s="5"/>
      <c r="N198" s="8"/>
      <c r="O198" s="8"/>
      <c r="P198" s="8"/>
      <c r="Q198" s="5"/>
      <c r="R198" s="8"/>
      <c r="S198" s="8"/>
      <c r="T198" s="8"/>
      <c r="U198" s="5"/>
      <c r="V198" s="8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</row>
    <row r="199" spans="2:118" ht="18" customHeight="1" x14ac:dyDescent="0.25">
      <c r="D199" s="210"/>
      <c r="E199" s="2"/>
      <c r="F199" s="2"/>
      <c r="G199" s="2"/>
      <c r="H199" s="2"/>
      <c r="I199" s="11"/>
      <c r="J199" s="11"/>
      <c r="K199" s="5"/>
      <c r="L199" s="5"/>
      <c r="M199" s="5"/>
      <c r="N199" s="8"/>
      <c r="O199" s="8"/>
      <c r="P199" s="8"/>
      <c r="Q199" s="5"/>
      <c r="R199" s="8"/>
      <c r="S199" s="8"/>
      <c r="T199" s="8"/>
      <c r="U199" s="5"/>
      <c r="V199" s="8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</row>
    <row r="200" spans="2:118" ht="18" customHeight="1" x14ac:dyDescent="0.25">
      <c r="D200" s="210"/>
      <c r="E200" s="2"/>
      <c r="F200" s="2"/>
      <c r="G200" s="2"/>
      <c r="H200" s="2"/>
      <c r="I200" s="11"/>
      <c r="J200" s="11"/>
      <c r="K200" s="5"/>
      <c r="L200" s="5"/>
      <c r="M200" s="5"/>
      <c r="N200" s="8"/>
      <c r="O200" s="8"/>
      <c r="P200" s="8"/>
      <c r="Q200" s="5"/>
      <c r="R200" s="8"/>
      <c r="S200" s="8"/>
      <c r="T200" s="8"/>
      <c r="U200" s="5"/>
      <c r="V200" s="8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</row>
    <row r="201" spans="2:118" ht="18" customHeight="1" x14ac:dyDescent="0.25">
      <c r="D201" s="210"/>
      <c r="E201" s="2"/>
      <c r="F201" s="2"/>
      <c r="G201" s="2"/>
      <c r="H201" s="2"/>
      <c r="I201" s="11"/>
      <c r="J201" s="11"/>
      <c r="K201" s="5"/>
      <c r="L201" s="5"/>
      <c r="M201" s="5"/>
      <c r="N201" s="8"/>
      <c r="O201" s="8"/>
      <c r="P201" s="8"/>
      <c r="Q201" s="5"/>
      <c r="R201" s="8"/>
      <c r="S201" s="8"/>
      <c r="T201" s="8"/>
      <c r="U201" s="5"/>
      <c r="V201" s="8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</row>
    <row r="202" spans="2:118" ht="18" customHeight="1" x14ac:dyDescent="0.25">
      <c r="D202" s="210"/>
      <c r="E202" s="2"/>
      <c r="F202" s="2"/>
      <c r="G202" s="2"/>
      <c r="H202" s="2"/>
      <c r="I202" s="11"/>
      <c r="J202" s="11"/>
      <c r="K202" s="5"/>
      <c r="L202" s="5"/>
      <c r="M202" s="5"/>
      <c r="N202" s="8"/>
      <c r="O202" s="8"/>
      <c r="P202" s="8"/>
      <c r="Q202" s="5"/>
      <c r="R202" s="8"/>
      <c r="S202" s="8"/>
      <c r="T202" s="8"/>
      <c r="U202" s="5"/>
      <c r="V202" s="8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</row>
    <row r="203" spans="2:118" ht="18" customHeight="1" x14ac:dyDescent="0.25">
      <c r="D203" s="210"/>
      <c r="E203" s="2"/>
      <c r="F203" s="2"/>
      <c r="G203" s="2"/>
      <c r="H203" s="2"/>
      <c r="I203" s="11"/>
      <c r="J203" s="11"/>
      <c r="K203" s="5"/>
      <c r="L203" s="5"/>
      <c r="M203" s="5"/>
      <c r="N203" s="8"/>
      <c r="O203" s="8"/>
      <c r="P203" s="8"/>
      <c r="Q203" s="5"/>
      <c r="R203" s="8"/>
      <c r="S203" s="8"/>
      <c r="T203" s="8"/>
      <c r="U203" s="5"/>
      <c r="V203" s="8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</row>
    <row r="204" spans="2:118" ht="18" customHeight="1" x14ac:dyDescent="0.25">
      <c r="D204" s="210"/>
      <c r="E204" s="2"/>
      <c r="F204" s="2"/>
      <c r="G204" s="2"/>
      <c r="H204" s="2"/>
      <c r="I204" s="11"/>
      <c r="J204" s="11"/>
      <c r="K204" s="5"/>
      <c r="L204" s="5"/>
      <c r="M204" s="5"/>
      <c r="N204" s="8"/>
      <c r="O204" s="8"/>
      <c r="P204" s="8"/>
      <c r="Q204" s="5"/>
      <c r="R204" s="8"/>
      <c r="S204" s="8"/>
      <c r="T204" s="8"/>
      <c r="U204" s="5"/>
      <c r="V204" s="8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</row>
    <row r="205" spans="2:118" ht="18" customHeight="1" x14ac:dyDescent="0.25">
      <c r="D205" s="210"/>
      <c r="E205" s="2"/>
      <c r="F205" s="2"/>
      <c r="G205" s="2"/>
      <c r="H205" s="2"/>
      <c r="I205" s="11"/>
      <c r="J205" s="11"/>
      <c r="K205" s="5"/>
      <c r="L205" s="5"/>
      <c r="M205" s="5"/>
      <c r="N205" s="8"/>
      <c r="O205" s="8"/>
      <c r="P205" s="8"/>
      <c r="Q205" s="5"/>
      <c r="R205" s="8"/>
      <c r="S205" s="8"/>
      <c r="T205" s="8"/>
      <c r="U205" s="5"/>
      <c r="V205" s="8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</row>
    <row r="206" spans="2:118" ht="18" customHeight="1" x14ac:dyDescent="0.25">
      <c r="D206" s="210"/>
      <c r="E206" s="2"/>
      <c r="F206" s="2"/>
      <c r="G206" s="2"/>
      <c r="H206" s="2"/>
      <c r="I206" s="11"/>
      <c r="J206" s="11"/>
      <c r="K206" s="5"/>
      <c r="L206" s="5"/>
      <c r="M206" s="5"/>
      <c r="N206" s="8"/>
      <c r="O206" s="8"/>
      <c r="P206" s="8"/>
      <c r="Q206" s="5"/>
      <c r="R206" s="8"/>
      <c r="S206" s="8"/>
      <c r="T206" s="8"/>
      <c r="U206" s="5"/>
      <c r="V206" s="8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</row>
    <row r="207" spans="2:118" ht="18" customHeight="1" x14ac:dyDescent="0.25">
      <c r="D207" s="210"/>
      <c r="E207" s="2"/>
      <c r="F207" s="2"/>
      <c r="G207" s="2"/>
      <c r="H207" s="2"/>
      <c r="I207" s="11"/>
      <c r="J207" s="11"/>
      <c r="K207" s="5"/>
      <c r="L207" s="5"/>
      <c r="M207" s="5"/>
      <c r="N207" s="8"/>
      <c r="O207" s="8"/>
      <c r="P207" s="8"/>
      <c r="Q207" s="5"/>
      <c r="R207" s="8"/>
      <c r="S207" s="8"/>
      <c r="T207" s="8"/>
      <c r="U207" s="5"/>
      <c r="V207" s="8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</row>
    <row r="208" spans="2:118" ht="18" customHeight="1" x14ac:dyDescent="0.25">
      <c r="D208" s="210"/>
      <c r="E208" s="2"/>
      <c r="F208" s="2"/>
      <c r="G208" s="2"/>
      <c r="H208" s="2"/>
      <c r="I208" s="11"/>
      <c r="J208" s="11"/>
      <c r="K208" s="5"/>
      <c r="L208" s="5"/>
      <c r="M208" s="5"/>
      <c r="N208" s="8"/>
      <c r="O208" s="8"/>
      <c r="P208" s="8"/>
      <c r="Q208" s="5"/>
      <c r="R208" s="8"/>
      <c r="S208" s="8"/>
      <c r="T208" s="8"/>
      <c r="U208" s="5"/>
      <c r="V208" s="8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</row>
    <row r="209" spans="4:118" ht="18" customHeight="1" x14ac:dyDescent="0.25">
      <c r="D209" s="210"/>
      <c r="E209" s="2"/>
      <c r="F209" s="2"/>
      <c r="G209" s="2"/>
      <c r="H209" s="2"/>
      <c r="I209" s="11"/>
      <c r="J209" s="11"/>
      <c r="K209" s="5"/>
      <c r="L209" s="5"/>
      <c r="M209" s="5"/>
      <c r="N209" s="8"/>
      <c r="O209" s="8"/>
      <c r="P209" s="8"/>
      <c r="Q209" s="5"/>
      <c r="R209" s="8"/>
      <c r="S209" s="8"/>
      <c r="T209" s="8"/>
      <c r="U209" s="5"/>
      <c r="V209" s="8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</row>
    <row r="210" spans="4:118" ht="18" customHeight="1" x14ac:dyDescent="0.25">
      <c r="D210" s="210"/>
      <c r="E210" s="2"/>
      <c r="F210" s="2"/>
      <c r="G210" s="2"/>
      <c r="H210" s="2"/>
      <c r="I210" s="11"/>
      <c r="J210" s="11"/>
      <c r="K210" s="5"/>
      <c r="L210" s="5"/>
      <c r="M210" s="5"/>
      <c r="N210" s="8"/>
      <c r="O210" s="8"/>
      <c r="P210" s="8"/>
      <c r="Q210" s="5"/>
      <c r="R210" s="8"/>
      <c r="S210" s="8"/>
      <c r="T210" s="8"/>
      <c r="U210" s="5"/>
      <c r="V210" s="8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</row>
    <row r="211" spans="4:118" ht="18" customHeight="1" x14ac:dyDescent="0.25">
      <c r="D211" s="210"/>
      <c r="E211" s="2"/>
      <c r="F211" s="2"/>
      <c r="G211" s="2"/>
      <c r="H211" s="2"/>
      <c r="I211" s="11"/>
      <c r="J211" s="11"/>
      <c r="K211" s="5"/>
      <c r="L211" s="5"/>
      <c r="M211" s="5"/>
      <c r="N211" s="8"/>
      <c r="O211" s="8"/>
      <c r="P211" s="8"/>
      <c r="Q211" s="5"/>
      <c r="R211" s="8"/>
      <c r="S211" s="8"/>
      <c r="T211" s="8"/>
      <c r="U211" s="5"/>
      <c r="V211" s="8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</row>
    <row r="212" spans="4:118" ht="18" customHeight="1" x14ac:dyDescent="0.25">
      <c r="D212" s="210"/>
      <c r="E212" s="2"/>
      <c r="F212" s="2"/>
      <c r="G212" s="2"/>
      <c r="H212" s="2"/>
      <c r="I212" s="11"/>
      <c r="J212" s="11"/>
      <c r="K212" s="5"/>
      <c r="L212" s="5"/>
      <c r="M212" s="5"/>
      <c r="N212" s="8"/>
      <c r="O212" s="8"/>
      <c r="P212" s="8"/>
      <c r="Q212" s="5"/>
      <c r="R212" s="8"/>
      <c r="S212" s="8"/>
      <c r="T212" s="8"/>
      <c r="U212" s="5"/>
      <c r="V212" s="8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</row>
    <row r="213" spans="4:118" ht="18" customHeight="1" x14ac:dyDescent="0.25">
      <c r="D213" s="210"/>
      <c r="E213" s="2"/>
      <c r="F213" s="2"/>
      <c r="G213" s="2"/>
      <c r="H213" s="2"/>
      <c r="I213" s="11"/>
      <c r="J213" s="11"/>
      <c r="K213" s="5"/>
      <c r="L213" s="5"/>
      <c r="M213" s="5"/>
      <c r="N213" s="8"/>
      <c r="O213" s="8"/>
      <c r="P213" s="8"/>
      <c r="Q213" s="5"/>
      <c r="R213" s="8"/>
      <c r="S213" s="8"/>
      <c r="T213" s="8"/>
      <c r="U213" s="5"/>
      <c r="V213" s="8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</row>
    <row r="214" spans="4:118" ht="18" customHeight="1" x14ac:dyDescent="0.25">
      <c r="D214" s="210"/>
      <c r="E214" s="2"/>
      <c r="F214" s="2"/>
      <c r="G214" s="2"/>
      <c r="H214" s="2"/>
      <c r="I214" s="11"/>
      <c r="J214" s="11"/>
      <c r="K214" s="5"/>
      <c r="L214" s="5"/>
      <c r="M214" s="5"/>
      <c r="N214" s="8"/>
      <c r="O214" s="8"/>
      <c r="P214" s="8"/>
      <c r="Q214" s="5"/>
      <c r="R214" s="8"/>
      <c r="S214" s="8"/>
      <c r="T214" s="8"/>
      <c r="U214" s="5"/>
      <c r="V214" s="8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</row>
    <row r="215" spans="4:118" ht="18" customHeight="1" x14ac:dyDescent="0.25">
      <c r="D215" s="210"/>
      <c r="E215" s="2"/>
      <c r="F215" s="2"/>
      <c r="G215" s="2"/>
      <c r="H215" s="2"/>
      <c r="I215" s="11"/>
      <c r="J215" s="11"/>
      <c r="K215" s="5"/>
      <c r="L215" s="5"/>
      <c r="M215" s="5"/>
      <c r="N215" s="8"/>
      <c r="O215" s="8"/>
      <c r="P215" s="8"/>
      <c r="Q215" s="5"/>
      <c r="R215" s="8"/>
      <c r="S215" s="8"/>
      <c r="T215" s="8"/>
      <c r="U215" s="5"/>
      <c r="V215" s="8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</row>
    <row r="216" spans="4:118" ht="18" customHeight="1" x14ac:dyDescent="0.25">
      <c r="D216" s="210"/>
      <c r="E216" s="2"/>
      <c r="F216" s="2"/>
      <c r="G216" s="2"/>
      <c r="H216" s="2"/>
      <c r="I216" s="11"/>
      <c r="J216" s="11"/>
      <c r="K216" s="5"/>
      <c r="L216" s="5"/>
      <c r="M216" s="5"/>
      <c r="N216" s="8"/>
      <c r="O216" s="8"/>
      <c r="P216" s="8"/>
      <c r="Q216" s="5"/>
      <c r="R216" s="8"/>
      <c r="S216" s="8"/>
      <c r="T216" s="8"/>
      <c r="U216" s="5"/>
      <c r="V216" s="8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</row>
    <row r="217" spans="4:118" ht="18" customHeight="1" x14ac:dyDescent="0.25">
      <c r="D217" s="210"/>
      <c r="E217" s="2"/>
      <c r="F217" s="2"/>
      <c r="G217" s="2"/>
      <c r="H217" s="2"/>
      <c r="I217" s="11"/>
      <c r="J217" s="11"/>
      <c r="K217" s="5"/>
      <c r="L217" s="5"/>
      <c r="M217" s="5"/>
      <c r="N217" s="8"/>
      <c r="O217" s="8"/>
      <c r="P217" s="8"/>
      <c r="Q217" s="5"/>
      <c r="R217" s="8"/>
      <c r="S217" s="8"/>
      <c r="T217" s="8"/>
      <c r="U217" s="5"/>
      <c r="V217" s="8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</row>
    <row r="218" spans="4:118" ht="18" customHeight="1" x14ac:dyDescent="0.25">
      <c r="D218" s="210"/>
      <c r="E218" s="2"/>
      <c r="F218" s="2"/>
      <c r="G218" s="2"/>
      <c r="H218" s="2"/>
      <c r="I218" s="11"/>
      <c r="J218" s="11"/>
      <c r="K218" s="5"/>
      <c r="L218" s="5"/>
      <c r="M218" s="5"/>
      <c r="N218" s="8"/>
      <c r="O218" s="8"/>
      <c r="P218" s="8"/>
      <c r="Q218" s="5"/>
      <c r="R218" s="8"/>
      <c r="S218" s="8"/>
      <c r="T218" s="8"/>
      <c r="U218" s="5"/>
      <c r="V218" s="8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</row>
    <row r="219" spans="4:118" ht="18" customHeight="1" x14ac:dyDescent="0.25">
      <c r="D219" s="210"/>
      <c r="E219" s="2"/>
      <c r="F219" s="2"/>
      <c r="G219" s="2"/>
      <c r="H219" s="2"/>
      <c r="I219" s="11"/>
      <c r="J219" s="11"/>
      <c r="K219" s="5"/>
      <c r="L219" s="5"/>
      <c r="M219" s="5"/>
      <c r="N219" s="8"/>
      <c r="O219" s="8"/>
      <c r="P219" s="8"/>
      <c r="Q219" s="5"/>
      <c r="R219" s="8"/>
      <c r="S219" s="8"/>
      <c r="T219" s="8"/>
      <c r="U219" s="5"/>
      <c r="V219" s="8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</row>
    <row r="220" spans="4:118" ht="18" customHeight="1" x14ac:dyDescent="0.25">
      <c r="D220" s="210"/>
      <c r="E220" s="2"/>
      <c r="F220" s="2"/>
      <c r="G220" s="2"/>
      <c r="H220" s="2"/>
      <c r="I220" s="11"/>
      <c r="J220" s="11"/>
      <c r="K220" s="5"/>
      <c r="L220" s="5"/>
      <c r="M220" s="5"/>
      <c r="N220" s="8"/>
      <c r="O220" s="8"/>
      <c r="P220" s="8"/>
      <c r="Q220" s="5"/>
      <c r="R220" s="8"/>
      <c r="S220" s="8"/>
      <c r="T220" s="8"/>
      <c r="U220" s="5"/>
      <c r="V220" s="8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</row>
    <row r="221" spans="4:118" ht="18" customHeight="1" x14ac:dyDescent="0.25">
      <c r="D221" s="210"/>
      <c r="E221" s="2"/>
      <c r="F221" s="2"/>
      <c r="G221" s="2"/>
      <c r="H221" s="2"/>
      <c r="I221" s="11"/>
      <c r="J221" s="11"/>
      <c r="K221" s="5"/>
      <c r="L221" s="5"/>
      <c r="M221" s="5"/>
      <c r="N221" s="8"/>
      <c r="O221" s="8"/>
      <c r="P221" s="8"/>
      <c r="Q221" s="5"/>
      <c r="R221" s="8"/>
      <c r="S221" s="8"/>
      <c r="T221" s="8"/>
      <c r="U221" s="5"/>
      <c r="V221" s="8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</row>
    <row r="222" spans="4:118" ht="18" customHeight="1" x14ac:dyDescent="0.25">
      <c r="D222" s="210"/>
      <c r="E222" s="2"/>
      <c r="F222" s="2"/>
      <c r="G222" s="2"/>
      <c r="H222" s="2"/>
      <c r="I222" s="11"/>
      <c r="J222" s="11"/>
      <c r="K222" s="5"/>
      <c r="L222" s="5"/>
      <c r="M222" s="5"/>
      <c r="N222" s="8"/>
      <c r="O222" s="8"/>
      <c r="P222" s="8"/>
      <c r="Q222" s="5"/>
      <c r="R222" s="8"/>
      <c r="S222" s="8"/>
      <c r="T222" s="8"/>
      <c r="U222" s="5"/>
      <c r="V222" s="8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</row>
    <row r="223" spans="4:118" ht="18" customHeight="1" x14ac:dyDescent="0.25">
      <c r="D223" s="210"/>
      <c r="E223" s="2"/>
      <c r="F223" s="2"/>
      <c r="G223" s="2"/>
      <c r="H223" s="2"/>
      <c r="I223" s="11"/>
      <c r="J223" s="11"/>
      <c r="K223" s="5"/>
      <c r="L223" s="5"/>
      <c r="M223" s="5"/>
      <c r="N223" s="8"/>
      <c r="O223" s="8"/>
      <c r="P223" s="8"/>
      <c r="Q223" s="5"/>
      <c r="R223" s="8"/>
      <c r="S223" s="8"/>
      <c r="T223" s="8"/>
      <c r="U223" s="5"/>
      <c r="V223" s="8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</row>
    <row r="224" spans="4:118" ht="18" customHeight="1" x14ac:dyDescent="0.25">
      <c r="D224" s="210"/>
      <c r="E224" s="2"/>
      <c r="F224" s="2"/>
      <c r="G224" s="2"/>
      <c r="H224" s="2"/>
      <c r="I224" s="11"/>
      <c r="J224" s="11"/>
      <c r="K224" s="5"/>
      <c r="L224" s="5"/>
      <c r="M224" s="5"/>
      <c r="N224" s="8"/>
      <c r="O224" s="8"/>
      <c r="P224" s="8"/>
      <c r="Q224" s="5"/>
      <c r="R224" s="8"/>
      <c r="S224" s="8"/>
      <c r="T224" s="8"/>
      <c r="U224" s="5"/>
      <c r="V224" s="8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</row>
    <row r="225" spans="4:118" ht="18" customHeight="1" x14ac:dyDescent="0.25">
      <c r="D225" s="210"/>
      <c r="E225" s="2"/>
      <c r="F225" s="2"/>
      <c r="G225" s="2"/>
      <c r="H225" s="2"/>
      <c r="I225" s="11"/>
      <c r="J225" s="11"/>
      <c r="K225" s="5"/>
      <c r="L225" s="5"/>
      <c r="M225" s="5"/>
      <c r="N225" s="8"/>
      <c r="O225" s="8"/>
      <c r="P225" s="8"/>
      <c r="Q225" s="5"/>
      <c r="R225" s="8"/>
      <c r="S225" s="8"/>
      <c r="T225" s="8"/>
      <c r="U225" s="5"/>
      <c r="V225" s="8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</row>
    <row r="226" spans="4:118" ht="18" customHeight="1" x14ac:dyDescent="0.25">
      <c r="D226" s="210"/>
      <c r="E226" s="2"/>
      <c r="F226" s="2"/>
      <c r="G226" s="2"/>
      <c r="H226" s="2"/>
      <c r="I226" s="11"/>
      <c r="J226" s="11"/>
      <c r="K226" s="5"/>
      <c r="L226" s="5"/>
      <c r="M226" s="5"/>
      <c r="N226" s="8"/>
      <c r="O226" s="8"/>
      <c r="P226" s="8"/>
      <c r="Q226" s="5"/>
      <c r="R226" s="8"/>
      <c r="S226" s="8"/>
      <c r="T226" s="8"/>
      <c r="U226" s="5"/>
      <c r="V226" s="8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</row>
    <row r="227" spans="4:118" ht="18" customHeight="1" x14ac:dyDescent="0.25">
      <c r="D227" s="210"/>
      <c r="E227" s="2"/>
      <c r="F227" s="2"/>
      <c r="G227" s="2"/>
      <c r="H227" s="2"/>
      <c r="I227" s="11"/>
      <c r="J227" s="11"/>
      <c r="K227" s="5"/>
      <c r="L227" s="5"/>
      <c r="M227" s="5"/>
      <c r="N227" s="8"/>
      <c r="O227" s="8"/>
      <c r="P227" s="8"/>
      <c r="Q227" s="5"/>
      <c r="R227" s="8"/>
      <c r="S227" s="8"/>
      <c r="T227" s="8"/>
      <c r="U227" s="5"/>
      <c r="V227" s="8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</row>
    <row r="228" spans="4:118" ht="18" customHeight="1" x14ac:dyDescent="0.25">
      <c r="D228" s="210"/>
      <c r="E228" s="2"/>
      <c r="F228" s="2"/>
      <c r="G228" s="2"/>
      <c r="H228" s="2"/>
      <c r="I228" s="11"/>
      <c r="J228" s="11"/>
      <c r="K228" s="5"/>
      <c r="L228" s="5"/>
      <c r="M228" s="5"/>
      <c r="N228" s="8"/>
      <c r="O228" s="8"/>
      <c r="P228" s="8"/>
      <c r="Q228" s="5"/>
      <c r="R228" s="8"/>
      <c r="S228" s="8"/>
      <c r="T228" s="8"/>
      <c r="U228" s="5"/>
      <c r="V228" s="8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</row>
    <row r="229" spans="4:118" ht="18" customHeight="1" x14ac:dyDescent="0.25">
      <c r="D229" s="210"/>
      <c r="E229" s="2"/>
      <c r="F229" s="2"/>
      <c r="G229" s="2"/>
      <c r="H229" s="2"/>
      <c r="I229" s="11"/>
      <c r="J229" s="11"/>
      <c r="K229" s="5"/>
      <c r="L229" s="5"/>
      <c r="M229" s="5"/>
      <c r="N229" s="8"/>
      <c r="O229" s="8"/>
      <c r="P229" s="8"/>
      <c r="Q229" s="5"/>
      <c r="R229" s="8"/>
      <c r="S229" s="8"/>
      <c r="T229" s="8"/>
      <c r="U229" s="5"/>
      <c r="V229" s="8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</row>
    <row r="230" spans="4:118" ht="18" customHeight="1" x14ac:dyDescent="0.25">
      <c r="D230" s="210"/>
      <c r="E230" s="2"/>
      <c r="F230" s="2"/>
      <c r="G230" s="2"/>
      <c r="H230" s="2"/>
      <c r="I230" s="11"/>
      <c r="J230" s="11"/>
      <c r="K230" s="5"/>
      <c r="L230" s="5"/>
      <c r="M230" s="5"/>
      <c r="N230" s="8"/>
      <c r="O230" s="8"/>
      <c r="P230" s="8"/>
      <c r="Q230" s="5"/>
      <c r="R230" s="8"/>
      <c r="S230" s="8"/>
      <c r="T230" s="8"/>
      <c r="U230" s="5"/>
      <c r="V230" s="8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</row>
    <row r="231" spans="4:118" ht="18" customHeight="1" x14ac:dyDescent="0.25">
      <c r="D231" s="210"/>
      <c r="E231" s="2"/>
      <c r="F231" s="2"/>
      <c r="G231" s="2"/>
      <c r="H231" s="2"/>
      <c r="I231" s="11"/>
      <c r="J231" s="11"/>
      <c r="K231" s="5"/>
      <c r="L231" s="5"/>
      <c r="M231" s="5"/>
      <c r="N231" s="8"/>
      <c r="O231" s="8"/>
      <c r="P231" s="8"/>
      <c r="Q231" s="5"/>
      <c r="R231" s="8"/>
      <c r="S231" s="8"/>
      <c r="T231" s="8"/>
      <c r="U231" s="5"/>
      <c r="V231" s="8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</row>
    <row r="232" spans="4:118" ht="18" customHeight="1" x14ac:dyDescent="0.25">
      <c r="D232" s="210"/>
      <c r="E232" s="2"/>
      <c r="F232" s="2"/>
      <c r="G232" s="2"/>
      <c r="H232" s="2"/>
      <c r="I232" s="11"/>
      <c r="J232" s="11"/>
      <c r="K232" s="5"/>
      <c r="L232" s="5"/>
      <c r="M232" s="5"/>
      <c r="N232" s="8"/>
      <c r="O232" s="8"/>
      <c r="P232" s="8"/>
      <c r="Q232" s="5"/>
      <c r="R232" s="8"/>
      <c r="S232" s="8"/>
      <c r="T232" s="8"/>
      <c r="U232" s="5"/>
      <c r="V232" s="8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</row>
    <row r="233" spans="4:118" ht="18" customHeight="1" x14ac:dyDescent="0.25">
      <c r="D233" s="210"/>
      <c r="E233" s="2"/>
      <c r="F233" s="2"/>
      <c r="G233" s="2"/>
      <c r="H233" s="2"/>
      <c r="I233" s="11"/>
      <c r="J233" s="11"/>
      <c r="K233" s="5"/>
      <c r="L233" s="5"/>
      <c r="M233" s="5"/>
      <c r="N233" s="8"/>
      <c r="O233" s="8"/>
      <c r="P233" s="8"/>
      <c r="Q233" s="5"/>
      <c r="R233" s="8"/>
      <c r="S233" s="8"/>
      <c r="T233" s="8"/>
      <c r="U233" s="5"/>
      <c r="V233" s="8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</row>
    <row r="234" spans="4:118" ht="18" customHeight="1" x14ac:dyDescent="0.25">
      <c r="D234" s="210"/>
      <c r="E234" s="2"/>
      <c r="F234" s="2"/>
      <c r="G234" s="2"/>
      <c r="H234" s="2"/>
      <c r="I234" s="11"/>
      <c r="J234" s="11"/>
      <c r="K234" s="5"/>
      <c r="L234" s="5"/>
      <c r="M234" s="5"/>
      <c r="N234" s="8"/>
      <c r="O234" s="8"/>
      <c r="P234" s="8"/>
      <c r="Q234" s="5"/>
      <c r="R234" s="8"/>
      <c r="S234" s="8"/>
      <c r="T234" s="8"/>
      <c r="U234" s="5"/>
      <c r="V234" s="8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</row>
    <row r="235" spans="4:118" ht="18" customHeight="1" x14ac:dyDescent="0.25">
      <c r="D235" s="210"/>
      <c r="E235" s="2"/>
      <c r="F235" s="2"/>
      <c r="G235" s="2"/>
      <c r="H235" s="2"/>
      <c r="I235" s="11"/>
      <c r="J235" s="11"/>
      <c r="K235" s="5"/>
      <c r="L235" s="5"/>
      <c r="M235" s="5"/>
      <c r="N235" s="8"/>
      <c r="O235" s="8"/>
      <c r="P235" s="8"/>
      <c r="Q235" s="5"/>
      <c r="R235" s="8"/>
      <c r="S235" s="8"/>
      <c r="T235" s="8"/>
      <c r="U235" s="5"/>
      <c r="V235" s="8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</row>
    <row r="236" spans="4:118" ht="18" customHeight="1" x14ac:dyDescent="0.25">
      <c r="D236" s="210"/>
      <c r="E236" s="2"/>
      <c r="F236" s="2"/>
      <c r="G236" s="2"/>
      <c r="H236" s="2"/>
      <c r="I236" s="11"/>
      <c r="J236" s="11"/>
      <c r="K236" s="5"/>
      <c r="L236" s="5"/>
      <c r="M236" s="5"/>
      <c r="N236" s="8"/>
      <c r="O236" s="8"/>
      <c r="P236" s="8"/>
      <c r="Q236" s="5"/>
      <c r="R236" s="8"/>
      <c r="S236" s="8"/>
      <c r="T236" s="8"/>
      <c r="U236" s="5"/>
      <c r="V236" s="8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</row>
    <row r="237" spans="4:118" ht="18" customHeight="1" x14ac:dyDescent="0.25">
      <c r="D237" s="210"/>
      <c r="E237" s="2"/>
      <c r="F237" s="2"/>
      <c r="G237" s="2"/>
      <c r="H237" s="2"/>
      <c r="I237" s="11"/>
      <c r="J237" s="11"/>
      <c r="K237" s="5"/>
      <c r="L237" s="5"/>
      <c r="M237" s="5"/>
      <c r="N237" s="8"/>
      <c r="O237" s="8"/>
      <c r="P237" s="8"/>
      <c r="Q237" s="5"/>
      <c r="R237" s="8"/>
      <c r="S237" s="8"/>
      <c r="T237" s="8"/>
      <c r="U237" s="5"/>
      <c r="V237" s="8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</row>
    <row r="238" spans="4:118" ht="18" customHeight="1" x14ac:dyDescent="0.25">
      <c r="D238" s="210"/>
      <c r="E238" s="2"/>
      <c r="F238" s="2"/>
      <c r="G238" s="2"/>
      <c r="H238" s="2"/>
      <c r="I238" s="11"/>
      <c r="J238" s="11"/>
      <c r="K238" s="5"/>
      <c r="L238" s="5"/>
      <c r="M238" s="5"/>
      <c r="N238" s="8"/>
      <c r="O238" s="8"/>
      <c r="P238" s="8"/>
      <c r="Q238" s="5"/>
      <c r="R238" s="8"/>
      <c r="S238" s="8"/>
      <c r="T238" s="8"/>
      <c r="U238" s="5"/>
      <c r="V238" s="8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</row>
    <row r="239" spans="4:118" ht="18" customHeight="1" x14ac:dyDescent="0.25">
      <c r="D239" s="210"/>
      <c r="E239" s="2"/>
      <c r="F239" s="2"/>
      <c r="G239" s="2"/>
      <c r="H239" s="2"/>
      <c r="I239" s="11"/>
      <c r="J239" s="11"/>
      <c r="K239" s="5"/>
      <c r="L239" s="5"/>
      <c r="M239" s="5"/>
      <c r="N239" s="8"/>
      <c r="O239" s="8"/>
      <c r="P239" s="8"/>
      <c r="Q239" s="5"/>
      <c r="R239" s="8"/>
      <c r="S239" s="8"/>
      <c r="T239" s="8"/>
      <c r="U239" s="5"/>
      <c r="V239" s="8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</row>
    <row r="240" spans="4:118" ht="18" customHeight="1" x14ac:dyDescent="0.25">
      <c r="D240" s="210"/>
      <c r="E240" s="2"/>
      <c r="F240" s="2"/>
      <c r="G240" s="2"/>
      <c r="H240" s="2"/>
      <c r="I240" s="11"/>
      <c r="J240" s="11"/>
      <c r="K240" s="5"/>
      <c r="L240" s="5"/>
      <c r="M240" s="5"/>
      <c r="N240" s="8"/>
      <c r="O240" s="8"/>
      <c r="P240" s="8"/>
      <c r="Q240" s="5"/>
      <c r="R240" s="8"/>
      <c r="S240" s="8"/>
      <c r="T240" s="8"/>
      <c r="U240" s="5"/>
      <c r="V240" s="8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</row>
    <row r="241" spans="4:118" ht="18" customHeight="1" x14ac:dyDescent="0.25">
      <c r="D241" s="210"/>
      <c r="E241" s="2"/>
      <c r="F241" s="2"/>
      <c r="G241" s="2"/>
      <c r="H241" s="2"/>
      <c r="I241" s="11"/>
      <c r="J241" s="11"/>
      <c r="K241" s="5"/>
      <c r="L241" s="5"/>
      <c r="M241" s="5"/>
      <c r="N241" s="8"/>
      <c r="O241" s="8"/>
      <c r="P241" s="8"/>
      <c r="Q241" s="5"/>
      <c r="R241" s="8"/>
      <c r="S241" s="8"/>
      <c r="T241" s="8"/>
      <c r="U241" s="5"/>
      <c r="V241" s="8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</row>
    <row r="242" spans="4:118" ht="18" customHeight="1" x14ac:dyDescent="0.25">
      <c r="D242" s="210"/>
      <c r="E242" s="2"/>
      <c r="F242" s="2"/>
      <c r="G242" s="2"/>
      <c r="H242" s="2"/>
      <c r="I242" s="11"/>
      <c r="J242" s="11"/>
      <c r="K242" s="5"/>
      <c r="L242" s="5"/>
      <c r="M242" s="5"/>
      <c r="N242" s="8"/>
      <c r="O242" s="8"/>
      <c r="P242" s="8"/>
      <c r="Q242" s="5"/>
      <c r="R242" s="8"/>
      <c r="S242" s="8"/>
      <c r="T242" s="8"/>
      <c r="U242" s="5"/>
      <c r="V242" s="8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</row>
    <row r="243" spans="4:118" ht="18" customHeight="1" x14ac:dyDescent="0.25">
      <c r="D243" s="210"/>
      <c r="E243" s="2"/>
      <c r="F243" s="2"/>
      <c r="G243" s="2"/>
      <c r="H243" s="2"/>
      <c r="I243" s="11"/>
      <c r="J243" s="11"/>
      <c r="K243" s="5"/>
      <c r="L243" s="5"/>
      <c r="M243" s="5"/>
      <c r="N243" s="8"/>
      <c r="O243" s="8"/>
      <c r="P243" s="8"/>
      <c r="Q243" s="5"/>
      <c r="R243" s="8"/>
      <c r="S243" s="8"/>
      <c r="T243" s="8"/>
      <c r="U243" s="5"/>
      <c r="V243" s="8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</row>
    <row r="244" spans="4:118" ht="18" customHeight="1" x14ac:dyDescent="0.25">
      <c r="D244" s="210"/>
      <c r="E244" s="2"/>
      <c r="F244" s="2"/>
      <c r="G244" s="2"/>
      <c r="H244" s="2"/>
      <c r="I244" s="11"/>
      <c r="J244" s="11"/>
      <c r="K244" s="5"/>
      <c r="L244" s="5"/>
      <c r="M244" s="5"/>
      <c r="N244" s="8"/>
      <c r="O244" s="8"/>
      <c r="P244" s="8"/>
      <c r="Q244" s="5"/>
      <c r="R244" s="8"/>
      <c r="S244" s="8"/>
      <c r="T244" s="8"/>
      <c r="U244" s="5"/>
      <c r="V244" s="8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</row>
    <row r="245" spans="4:118" ht="18" customHeight="1" x14ac:dyDescent="0.25">
      <c r="D245" s="210"/>
      <c r="E245" s="2"/>
      <c r="F245" s="2"/>
      <c r="G245" s="2"/>
      <c r="H245" s="2"/>
      <c r="I245" s="11"/>
      <c r="J245" s="11"/>
      <c r="K245" s="5"/>
      <c r="L245" s="5"/>
      <c r="M245" s="5"/>
      <c r="N245" s="8"/>
      <c r="O245" s="8"/>
      <c r="P245" s="8"/>
      <c r="Q245" s="5"/>
      <c r="R245" s="8"/>
      <c r="S245" s="8"/>
      <c r="T245" s="8"/>
      <c r="U245" s="5"/>
      <c r="V245" s="8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</row>
    <row r="246" spans="4:118" ht="18" customHeight="1" x14ac:dyDescent="0.25">
      <c r="D246" s="210"/>
      <c r="E246" s="2"/>
      <c r="F246" s="2"/>
      <c r="G246" s="2"/>
      <c r="H246" s="2"/>
      <c r="I246" s="11"/>
      <c r="J246" s="11"/>
      <c r="K246" s="5"/>
      <c r="L246" s="5"/>
      <c r="M246" s="5"/>
      <c r="N246" s="8"/>
      <c r="O246" s="8"/>
      <c r="P246" s="8"/>
      <c r="Q246" s="5"/>
      <c r="R246" s="8"/>
      <c r="S246" s="8"/>
      <c r="T246" s="8"/>
      <c r="U246" s="5"/>
      <c r="V246" s="8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</row>
    <row r="247" spans="4:118" ht="18" customHeight="1" x14ac:dyDescent="0.25">
      <c r="D247" s="210"/>
      <c r="E247" s="2"/>
      <c r="F247" s="2"/>
      <c r="G247" s="2"/>
      <c r="H247" s="2"/>
      <c r="I247" s="11"/>
      <c r="J247" s="11"/>
      <c r="K247" s="5"/>
      <c r="L247" s="5"/>
      <c r="M247" s="5"/>
      <c r="N247" s="8"/>
      <c r="O247" s="8"/>
      <c r="P247" s="8"/>
      <c r="Q247" s="5"/>
      <c r="R247" s="8"/>
      <c r="S247" s="8"/>
      <c r="T247" s="8"/>
      <c r="U247" s="5"/>
      <c r="V247" s="8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</row>
    <row r="248" spans="4:118" ht="18" customHeight="1" x14ac:dyDescent="0.25">
      <c r="D248" s="210"/>
      <c r="E248" s="2"/>
      <c r="F248" s="2"/>
      <c r="G248" s="2"/>
      <c r="H248" s="2"/>
      <c r="I248" s="11"/>
      <c r="J248" s="11"/>
      <c r="K248" s="5"/>
      <c r="L248" s="5"/>
      <c r="M248" s="5"/>
      <c r="N248" s="8"/>
      <c r="O248" s="8"/>
      <c r="P248" s="8"/>
      <c r="Q248" s="5"/>
      <c r="R248" s="8"/>
      <c r="S248" s="8"/>
      <c r="T248" s="8"/>
      <c r="U248" s="5"/>
      <c r="V248" s="8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</row>
    <row r="249" spans="4:118" ht="18" customHeight="1" x14ac:dyDescent="0.25">
      <c r="D249" s="210"/>
      <c r="E249" s="2"/>
      <c r="F249" s="2"/>
      <c r="G249" s="2"/>
      <c r="H249" s="2"/>
      <c r="I249" s="11"/>
      <c r="J249" s="11"/>
      <c r="K249" s="5"/>
      <c r="L249" s="5"/>
      <c r="M249" s="5"/>
      <c r="N249" s="8"/>
      <c r="O249" s="8"/>
      <c r="P249" s="8"/>
      <c r="Q249" s="5"/>
      <c r="R249" s="8"/>
      <c r="S249" s="8"/>
      <c r="T249" s="8"/>
      <c r="U249" s="5"/>
      <c r="V249" s="8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</row>
    <row r="250" spans="4:118" ht="18" customHeight="1" x14ac:dyDescent="0.25">
      <c r="D250" s="210"/>
      <c r="E250" s="2"/>
      <c r="F250" s="2"/>
      <c r="G250" s="2"/>
      <c r="H250" s="2"/>
      <c r="I250" s="11"/>
      <c r="J250" s="11"/>
      <c r="K250" s="5"/>
      <c r="L250" s="5"/>
      <c r="M250" s="5"/>
      <c r="N250" s="8"/>
      <c r="O250" s="8"/>
      <c r="P250" s="8"/>
      <c r="Q250" s="5"/>
      <c r="R250" s="8"/>
      <c r="S250" s="8"/>
      <c r="T250" s="8"/>
      <c r="U250" s="5"/>
      <c r="V250" s="8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</row>
    <row r="251" spans="4:118" ht="18" customHeight="1" x14ac:dyDescent="0.25">
      <c r="D251" s="210"/>
      <c r="E251" s="2"/>
      <c r="F251" s="2"/>
      <c r="G251" s="2"/>
      <c r="H251" s="2"/>
      <c r="I251" s="11"/>
      <c r="J251" s="11"/>
      <c r="K251" s="5"/>
      <c r="L251" s="5"/>
      <c r="M251" s="5"/>
      <c r="N251" s="8"/>
      <c r="O251" s="8"/>
      <c r="P251" s="8"/>
      <c r="Q251" s="5"/>
      <c r="R251" s="8"/>
      <c r="S251" s="8"/>
      <c r="T251" s="8"/>
      <c r="U251" s="5"/>
      <c r="V251" s="8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</row>
    <row r="252" spans="4:118" ht="18" customHeight="1" x14ac:dyDescent="0.25">
      <c r="D252" s="210"/>
      <c r="E252" s="2"/>
      <c r="F252" s="2"/>
      <c r="G252" s="2"/>
      <c r="H252" s="2"/>
      <c r="I252" s="11"/>
      <c r="J252" s="11"/>
      <c r="K252" s="5"/>
      <c r="L252" s="5"/>
      <c r="M252" s="5"/>
      <c r="N252" s="8"/>
      <c r="O252" s="8"/>
      <c r="P252" s="8"/>
      <c r="Q252" s="5"/>
      <c r="R252" s="8"/>
      <c r="S252" s="8"/>
      <c r="T252" s="8"/>
      <c r="U252" s="5"/>
      <c r="V252" s="8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</row>
    <row r="253" spans="4:118" ht="18" customHeight="1" x14ac:dyDescent="0.25">
      <c r="D253" s="210"/>
      <c r="E253" s="2"/>
      <c r="F253" s="2"/>
      <c r="G253" s="2"/>
      <c r="H253" s="2"/>
      <c r="I253" s="11"/>
      <c r="J253" s="11"/>
      <c r="K253" s="5"/>
      <c r="L253" s="5"/>
      <c r="M253" s="5"/>
      <c r="N253" s="8"/>
      <c r="O253" s="8"/>
      <c r="P253" s="8"/>
      <c r="Q253" s="5"/>
      <c r="R253" s="8"/>
      <c r="S253" s="8"/>
      <c r="T253" s="8"/>
      <c r="U253" s="5"/>
      <c r="V253" s="8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</row>
    <row r="254" spans="4:118" ht="18" customHeight="1" x14ac:dyDescent="0.25">
      <c r="D254" s="210"/>
      <c r="E254" s="2"/>
      <c r="F254" s="2"/>
      <c r="G254" s="2"/>
      <c r="H254" s="2"/>
      <c r="I254" s="11"/>
      <c r="J254" s="11"/>
      <c r="K254" s="5"/>
      <c r="L254" s="5"/>
      <c r="M254" s="5"/>
      <c r="N254" s="8"/>
      <c r="O254" s="8"/>
      <c r="P254" s="8"/>
      <c r="Q254" s="5"/>
      <c r="R254" s="8"/>
      <c r="S254" s="8"/>
      <c r="T254" s="8"/>
      <c r="U254" s="5"/>
      <c r="V254" s="8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</row>
    <row r="255" spans="4:118" ht="18" customHeight="1" x14ac:dyDescent="0.25">
      <c r="D255" s="210"/>
      <c r="E255" s="2"/>
      <c r="F255" s="2"/>
      <c r="G255" s="2"/>
      <c r="H255" s="2"/>
      <c r="I255" s="11"/>
      <c r="J255" s="11"/>
      <c r="K255" s="5"/>
      <c r="L255" s="5"/>
      <c r="M255" s="5"/>
      <c r="N255" s="8"/>
      <c r="O255" s="8"/>
      <c r="P255" s="8"/>
      <c r="Q255" s="5"/>
      <c r="R255" s="8"/>
      <c r="S255" s="8"/>
      <c r="T255" s="8"/>
      <c r="U255" s="5"/>
      <c r="V255" s="8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</row>
    <row r="256" spans="4:118" ht="18" customHeight="1" x14ac:dyDescent="0.25">
      <c r="D256" s="210"/>
      <c r="E256" s="2"/>
      <c r="F256" s="2"/>
      <c r="G256" s="2"/>
      <c r="H256" s="2"/>
      <c r="I256" s="11"/>
      <c r="J256" s="11"/>
      <c r="K256" s="5"/>
      <c r="L256" s="5"/>
      <c r="M256" s="5"/>
      <c r="N256" s="8"/>
      <c r="O256" s="8"/>
      <c r="P256" s="8"/>
      <c r="Q256" s="5"/>
      <c r="R256" s="8"/>
      <c r="S256" s="8"/>
      <c r="T256" s="8"/>
      <c r="U256" s="5"/>
      <c r="V256" s="8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</row>
    <row r="257" spans="4:118" ht="18" customHeight="1" x14ac:dyDescent="0.25">
      <c r="D257" s="210"/>
      <c r="E257" s="2"/>
      <c r="F257" s="2"/>
      <c r="G257" s="2"/>
      <c r="H257" s="2"/>
      <c r="I257" s="11"/>
      <c r="J257" s="11"/>
      <c r="K257" s="5"/>
      <c r="L257" s="5"/>
      <c r="M257" s="5"/>
      <c r="N257" s="8"/>
      <c r="O257" s="8"/>
      <c r="P257" s="8"/>
      <c r="Q257" s="5"/>
      <c r="R257" s="8"/>
      <c r="S257" s="8"/>
      <c r="T257" s="8"/>
      <c r="U257" s="5"/>
      <c r="V257" s="8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</row>
    <row r="258" spans="4:118" ht="18" customHeight="1" x14ac:dyDescent="0.25">
      <c r="D258" s="210"/>
      <c r="E258" s="2"/>
      <c r="F258" s="2"/>
      <c r="G258" s="2"/>
      <c r="H258" s="2"/>
      <c r="I258" s="11"/>
      <c r="J258" s="11"/>
      <c r="K258" s="5"/>
      <c r="L258" s="5"/>
      <c r="M258" s="5"/>
      <c r="N258" s="8"/>
      <c r="O258" s="8"/>
      <c r="P258" s="8"/>
      <c r="Q258" s="5"/>
      <c r="R258" s="8"/>
      <c r="S258" s="8"/>
      <c r="T258" s="8"/>
      <c r="U258" s="5"/>
      <c r="V258" s="8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</row>
    <row r="259" spans="4:118" ht="18" customHeight="1" x14ac:dyDescent="0.25">
      <c r="D259" s="210"/>
      <c r="E259" s="2"/>
      <c r="F259" s="2"/>
      <c r="G259" s="2"/>
      <c r="H259" s="2"/>
      <c r="I259" s="11"/>
      <c r="J259" s="11"/>
      <c r="K259" s="5"/>
      <c r="L259" s="5"/>
      <c r="M259" s="5"/>
      <c r="N259" s="8"/>
      <c r="O259" s="8"/>
      <c r="P259" s="8"/>
      <c r="Q259" s="5"/>
      <c r="R259" s="8"/>
      <c r="S259" s="8"/>
      <c r="T259" s="8"/>
      <c r="U259" s="5"/>
      <c r="V259" s="8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</row>
    <row r="260" spans="4:118" ht="18" customHeight="1" x14ac:dyDescent="0.25">
      <c r="D260" s="210"/>
      <c r="E260" s="2"/>
      <c r="F260" s="2"/>
      <c r="G260" s="2"/>
      <c r="H260" s="2"/>
      <c r="I260" s="11"/>
      <c r="J260" s="11"/>
      <c r="K260" s="5"/>
      <c r="L260" s="5"/>
      <c r="M260" s="5"/>
      <c r="N260" s="8"/>
      <c r="O260" s="8"/>
      <c r="P260" s="8"/>
      <c r="Q260" s="5"/>
      <c r="R260" s="8"/>
      <c r="S260" s="8"/>
      <c r="T260" s="8"/>
      <c r="U260" s="5"/>
      <c r="V260" s="8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</row>
    <row r="261" spans="4:118" ht="18" customHeight="1" x14ac:dyDescent="0.25">
      <c r="D261" s="210"/>
      <c r="E261" s="2"/>
      <c r="F261" s="2"/>
      <c r="G261" s="2"/>
      <c r="H261" s="2"/>
      <c r="I261" s="11"/>
      <c r="J261" s="11"/>
      <c r="K261" s="5"/>
      <c r="L261" s="5"/>
      <c r="M261" s="5"/>
      <c r="N261" s="8"/>
      <c r="O261" s="8"/>
      <c r="P261" s="8"/>
      <c r="Q261" s="5"/>
      <c r="R261" s="8"/>
      <c r="S261" s="8"/>
      <c r="T261" s="8"/>
      <c r="U261" s="5"/>
      <c r="V261" s="8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</row>
    <row r="262" spans="4:118" ht="18" customHeight="1" x14ac:dyDescent="0.25">
      <c r="D262" s="210"/>
      <c r="E262" s="2"/>
      <c r="F262" s="2"/>
      <c r="G262" s="2"/>
      <c r="H262" s="2"/>
      <c r="I262" s="11"/>
      <c r="J262" s="11"/>
      <c r="K262" s="5"/>
      <c r="L262" s="5"/>
      <c r="M262" s="5"/>
      <c r="N262" s="8"/>
      <c r="O262" s="8"/>
      <c r="P262" s="8"/>
      <c r="Q262" s="5"/>
      <c r="R262" s="8"/>
      <c r="S262" s="8"/>
      <c r="T262" s="8"/>
      <c r="U262" s="5"/>
      <c r="V262" s="8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</row>
    <row r="263" spans="4:118" ht="18" customHeight="1" x14ac:dyDescent="0.25">
      <c r="D263" s="210"/>
      <c r="E263" s="2"/>
      <c r="F263" s="2"/>
      <c r="G263" s="2"/>
      <c r="H263" s="2"/>
      <c r="I263" s="11"/>
      <c r="J263" s="11"/>
      <c r="K263" s="5"/>
      <c r="L263" s="5"/>
      <c r="M263" s="5"/>
      <c r="N263" s="8"/>
      <c r="O263" s="8"/>
      <c r="P263" s="8"/>
      <c r="Q263" s="5"/>
      <c r="R263" s="8"/>
      <c r="S263" s="8"/>
      <c r="T263" s="8"/>
      <c r="U263" s="5"/>
      <c r="V263" s="8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</row>
    <row r="264" spans="4:118" ht="18" customHeight="1" x14ac:dyDescent="0.25">
      <c r="D264" s="210"/>
      <c r="E264" s="2"/>
      <c r="F264" s="2"/>
      <c r="G264" s="2"/>
      <c r="H264" s="2"/>
      <c r="I264" s="11"/>
      <c r="J264" s="11"/>
      <c r="K264" s="5"/>
      <c r="L264" s="5"/>
      <c r="M264" s="5"/>
      <c r="N264" s="8"/>
      <c r="O264" s="8"/>
      <c r="P264" s="8"/>
      <c r="Q264" s="5"/>
      <c r="R264" s="8"/>
      <c r="S264" s="8"/>
      <c r="T264" s="8"/>
      <c r="U264" s="5"/>
      <c r="V264" s="8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</row>
    <row r="265" spans="4:118" ht="18" customHeight="1" x14ac:dyDescent="0.25">
      <c r="D265" s="210"/>
      <c r="E265" s="2"/>
      <c r="F265" s="2"/>
      <c r="G265" s="2"/>
      <c r="H265" s="2"/>
      <c r="I265" s="11"/>
      <c r="J265" s="11"/>
      <c r="K265" s="5"/>
      <c r="L265" s="5"/>
      <c r="M265" s="5"/>
      <c r="N265" s="8"/>
      <c r="O265" s="8"/>
      <c r="P265" s="8"/>
      <c r="Q265" s="5"/>
      <c r="R265" s="8"/>
      <c r="S265" s="8"/>
      <c r="T265" s="8"/>
      <c r="U265" s="5"/>
      <c r="V265" s="8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</row>
    <row r="266" spans="4:118" ht="18" customHeight="1" x14ac:dyDescent="0.25">
      <c r="D266" s="210"/>
      <c r="E266" s="2"/>
      <c r="F266" s="2"/>
      <c r="G266" s="2"/>
      <c r="H266" s="2"/>
      <c r="I266" s="11"/>
      <c r="J266" s="11"/>
      <c r="K266" s="5"/>
      <c r="L266" s="5"/>
      <c r="M266" s="5"/>
      <c r="N266" s="8"/>
      <c r="O266" s="8"/>
      <c r="P266" s="8"/>
      <c r="Q266" s="5"/>
      <c r="R266" s="8"/>
      <c r="S266" s="8"/>
      <c r="T266" s="8"/>
      <c r="U266" s="5"/>
      <c r="V266" s="8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</row>
    <row r="267" spans="4:118" ht="18" customHeight="1" x14ac:dyDescent="0.25">
      <c r="D267" s="210"/>
      <c r="E267" s="2"/>
      <c r="F267" s="2"/>
      <c r="G267" s="2"/>
      <c r="H267" s="2"/>
      <c r="I267" s="11"/>
      <c r="J267" s="11"/>
      <c r="K267" s="5"/>
      <c r="L267" s="5"/>
      <c r="M267" s="5"/>
      <c r="N267" s="8"/>
      <c r="O267" s="8"/>
      <c r="P267" s="8"/>
      <c r="Q267" s="5"/>
      <c r="R267" s="8"/>
      <c r="S267" s="8"/>
      <c r="T267" s="8"/>
      <c r="U267" s="5"/>
      <c r="V267" s="8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</row>
    <row r="268" spans="4:118" ht="18" customHeight="1" x14ac:dyDescent="0.25">
      <c r="D268" s="210"/>
      <c r="E268" s="2"/>
      <c r="F268" s="2"/>
      <c r="G268" s="2"/>
      <c r="H268" s="2"/>
      <c r="I268" s="11"/>
      <c r="J268" s="11"/>
      <c r="K268" s="5"/>
      <c r="L268" s="5"/>
      <c r="M268" s="5"/>
      <c r="N268" s="8"/>
      <c r="O268" s="8"/>
      <c r="P268" s="8"/>
      <c r="Q268" s="5"/>
      <c r="R268" s="8"/>
      <c r="S268" s="8"/>
      <c r="T268" s="8"/>
      <c r="U268" s="5"/>
      <c r="V268" s="8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</row>
    <row r="269" spans="4:118" ht="18" customHeight="1" x14ac:dyDescent="0.25">
      <c r="D269" s="210"/>
      <c r="E269" s="2"/>
      <c r="F269" s="2"/>
      <c r="G269" s="2"/>
      <c r="H269" s="2"/>
      <c r="I269" s="11"/>
      <c r="J269" s="11"/>
      <c r="K269" s="5"/>
      <c r="L269" s="5"/>
      <c r="M269" s="5"/>
      <c r="N269" s="8"/>
      <c r="O269" s="8"/>
      <c r="P269" s="8"/>
      <c r="Q269" s="5"/>
      <c r="R269" s="8"/>
      <c r="S269" s="8"/>
      <c r="T269" s="8"/>
      <c r="U269" s="5"/>
      <c r="V269" s="8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</row>
    <row r="270" spans="4:118" ht="18" customHeight="1" x14ac:dyDescent="0.25">
      <c r="D270" s="210"/>
      <c r="E270" s="2"/>
      <c r="F270" s="2"/>
      <c r="G270" s="2"/>
      <c r="H270" s="2"/>
      <c r="I270" s="11"/>
      <c r="J270" s="11"/>
      <c r="K270" s="5"/>
      <c r="L270" s="5"/>
      <c r="M270" s="5"/>
      <c r="N270" s="8"/>
      <c r="O270" s="8"/>
      <c r="P270" s="8"/>
      <c r="Q270" s="5"/>
      <c r="R270" s="8"/>
      <c r="S270" s="8"/>
      <c r="T270" s="8"/>
      <c r="U270" s="5"/>
      <c r="V270" s="8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</row>
    <row r="271" spans="4:118" ht="18" customHeight="1" x14ac:dyDescent="0.25">
      <c r="D271" s="210"/>
      <c r="E271" s="2"/>
      <c r="F271" s="2"/>
      <c r="G271" s="2"/>
      <c r="H271" s="2"/>
      <c r="I271" s="11"/>
      <c r="J271" s="11"/>
      <c r="K271" s="5"/>
      <c r="L271" s="5"/>
      <c r="M271" s="5"/>
      <c r="N271" s="8"/>
      <c r="O271" s="8"/>
      <c r="P271" s="8"/>
      <c r="Q271" s="5"/>
      <c r="R271" s="8"/>
      <c r="S271" s="8"/>
      <c r="T271" s="8"/>
      <c r="U271" s="5"/>
      <c r="V271" s="8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</row>
    <row r="272" spans="4:118" ht="18" customHeight="1" x14ac:dyDescent="0.25">
      <c r="D272" s="210"/>
      <c r="E272" s="2"/>
      <c r="F272" s="2"/>
      <c r="G272" s="2"/>
      <c r="H272" s="2"/>
      <c r="I272" s="11"/>
      <c r="J272" s="11"/>
      <c r="K272" s="5"/>
      <c r="L272" s="5"/>
      <c r="M272" s="5"/>
      <c r="N272" s="8"/>
      <c r="O272" s="8"/>
      <c r="P272" s="8"/>
      <c r="Q272" s="5"/>
      <c r="R272" s="8"/>
      <c r="S272" s="8"/>
      <c r="T272" s="8"/>
      <c r="U272" s="5"/>
      <c r="V272" s="8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</row>
    <row r="273" spans="4:118" ht="18" customHeight="1" x14ac:dyDescent="0.25">
      <c r="D273" s="210"/>
      <c r="E273" s="2"/>
      <c r="F273" s="2"/>
      <c r="G273" s="2"/>
      <c r="H273" s="2"/>
      <c r="I273" s="11"/>
      <c r="J273" s="11"/>
      <c r="K273" s="5"/>
      <c r="L273" s="5"/>
      <c r="M273" s="5"/>
      <c r="N273" s="8"/>
      <c r="O273" s="8"/>
      <c r="P273" s="8"/>
      <c r="Q273" s="5"/>
      <c r="R273" s="8"/>
      <c r="S273" s="8"/>
      <c r="T273" s="8"/>
      <c r="U273" s="5"/>
      <c r="V273" s="8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</row>
    <row r="274" spans="4:118" ht="18" customHeight="1" x14ac:dyDescent="0.25">
      <c r="D274" s="210"/>
      <c r="E274" s="2"/>
      <c r="F274" s="2"/>
      <c r="G274" s="2"/>
      <c r="H274" s="2"/>
      <c r="I274" s="11"/>
      <c r="J274" s="11"/>
      <c r="K274" s="5"/>
      <c r="L274" s="5"/>
      <c r="M274" s="5"/>
      <c r="N274" s="8"/>
      <c r="O274" s="8"/>
      <c r="P274" s="8"/>
      <c r="Q274" s="5"/>
      <c r="R274" s="8"/>
      <c r="S274" s="8"/>
      <c r="T274" s="8"/>
      <c r="U274" s="5"/>
      <c r="V274" s="8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</row>
    <row r="275" spans="4:118" ht="18" customHeight="1" x14ac:dyDescent="0.25">
      <c r="D275" s="210"/>
      <c r="E275" s="2"/>
      <c r="F275" s="2"/>
      <c r="G275" s="2"/>
      <c r="H275" s="2"/>
      <c r="I275" s="11"/>
      <c r="J275" s="11"/>
      <c r="K275" s="5"/>
      <c r="L275" s="5"/>
      <c r="M275" s="5"/>
      <c r="N275" s="8"/>
      <c r="O275" s="8"/>
      <c r="P275" s="8"/>
      <c r="Q275" s="5"/>
      <c r="R275" s="8"/>
      <c r="S275" s="8"/>
      <c r="T275" s="8"/>
      <c r="U275" s="5"/>
      <c r="V275" s="8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</row>
    <row r="276" spans="4:118" ht="18" customHeight="1" x14ac:dyDescent="0.25">
      <c r="D276" s="210"/>
      <c r="E276" s="2"/>
      <c r="F276" s="2"/>
      <c r="G276" s="2"/>
      <c r="H276" s="2"/>
      <c r="I276" s="11"/>
      <c r="J276" s="11"/>
      <c r="K276" s="5"/>
      <c r="L276" s="5"/>
      <c r="M276" s="5"/>
      <c r="N276" s="8"/>
      <c r="O276" s="8"/>
      <c r="P276" s="8"/>
      <c r="Q276" s="5"/>
      <c r="R276" s="8"/>
      <c r="S276" s="8"/>
      <c r="T276" s="8"/>
      <c r="U276" s="5"/>
      <c r="V276" s="8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</row>
    <row r="277" spans="4:118" ht="18" customHeight="1" x14ac:dyDescent="0.25">
      <c r="D277" s="210"/>
      <c r="E277" s="2"/>
      <c r="F277" s="2"/>
      <c r="G277" s="2"/>
      <c r="H277" s="2"/>
      <c r="I277" s="11"/>
      <c r="J277" s="11"/>
      <c r="K277" s="5"/>
      <c r="L277" s="5"/>
      <c r="M277" s="5"/>
      <c r="N277" s="8"/>
      <c r="O277" s="8"/>
      <c r="P277" s="8"/>
      <c r="Q277" s="5"/>
      <c r="R277" s="8"/>
      <c r="S277" s="8"/>
      <c r="T277" s="8"/>
      <c r="U277" s="5"/>
      <c r="V277" s="8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</row>
    <row r="278" spans="4:118" ht="18" customHeight="1" x14ac:dyDescent="0.25">
      <c r="D278" s="210"/>
      <c r="E278" s="2"/>
      <c r="F278" s="2"/>
      <c r="G278" s="2"/>
      <c r="H278" s="2"/>
      <c r="I278" s="11"/>
      <c r="J278" s="11"/>
      <c r="K278" s="5"/>
      <c r="L278" s="5"/>
      <c r="M278" s="5"/>
      <c r="N278" s="8"/>
      <c r="O278" s="8"/>
      <c r="P278" s="8"/>
      <c r="Q278" s="5"/>
      <c r="R278" s="8"/>
      <c r="S278" s="8"/>
      <c r="T278" s="8"/>
      <c r="U278" s="5"/>
      <c r="V278" s="8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</row>
    <row r="279" spans="4:118" ht="18" customHeight="1" x14ac:dyDescent="0.25">
      <c r="D279" s="210"/>
      <c r="E279" s="2"/>
      <c r="F279" s="2"/>
      <c r="G279" s="2"/>
      <c r="H279" s="2"/>
      <c r="I279" s="11"/>
      <c r="J279" s="11"/>
      <c r="K279" s="5"/>
      <c r="L279" s="5"/>
      <c r="M279" s="5"/>
      <c r="N279" s="8"/>
      <c r="O279" s="8"/>
      <c r="P279" s="8"/>
      <c r="Q279" s="5"/>
      <c r="R279" s="8"/>
      <c r="S279" s="8"/>
      <c r="T279" s="8"/>
      <c r="U279" s="5"/>
      <c r="V279" s="8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</row>
    <row r="280" spans="4:118" ht="18" customHeight="1" x14ac:dyDescent="0.25">
      <c r="D280" s="210"/>
      <c r="E280" s="2"/>
      <c r="F280" s="2"/>
      <c r="G280" s="2"/>
      <c r="H280" s="2"/>
      <c r="I280" s="11"/>
      <c r="J280" s="11"/>
      <c r="K280" s="5"/>
      <c r="L280" s="5"/>
      <c r="M280" s="5"/>
      <c r="N280" s="8"/>
      <c r="O280" s="8"/>
      <c r="P280" s="8"/>
      <c r="Q280" s="5"/>
      <c r="R280" s="8"/>
      <c r="S280" s="8"/>
      <c r="T280" s="8"/>
      <c r="U280" s="5"/>
      <c r="V280" s="8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</row>
    <row r="281" spans="4:118" ht="18" customHeight="1" x14ac:dyDescent="0.25">
      <c r="D281" s="210"/>
      <c r="E281" s="2"/>
      <c r="F281" s="2"/>
      <c r="G281" s="2"/>
      <c r="H281" s="2"/>
      <c r="I281" s="11"/>
      <c r="J281" s="11"/>
      <c r="K281" s="5"/>
      <c r="L281" s="5"/>
      <c r="M281" s="5"/>
      <c r="N281" s="8"/>
      <c r="O281" s="8"/>
      <c r="P281" s="8"/>
      <c r="Q281" s="5"/>
      <c r="R281" s="8"/>
      <c r="S281" s="8"/>
      <c r="T281" s="8"/>
      <c r="U281" s="5"/>
      <c r="V281" s="8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</row>
    <row r="282" spans="4:118" ht="18" customHeight="1" x14ac:dyDescent="0.25">
      <c r="D282" s="210"/>
      <c r="E282" s="2"/>
      <c r="F282" s="2"/>
      <c r="G282" s="2"/>
      <c r="H282" s="2"/>
      <c r="I282" s="11"/>
      <c r="J282" s="11"/>
      <c r="K282" s="5"/>
      <c r="L282" s="5"/>
      <c r="M282" s="5"/>
      <c r="N282" s="8"/>
      <c r="O282" s="8"/>
      <c r="P282" s="8"/>
      <c r="Q282" s="5"/>
      <c r="R282" s="8"/>
      <c r="S282" s="8"/>
      <c r="T282" s="8"/>
      <c r="U282" s="5"/>
      <c r="V282" s="8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</row>
    <row r="283" spans="4:118" ht="18" customHeight="1" x14ac:dyDescent="0.25">
      <c r="D283" s="210"/>
      <c r="E283" s="2"/>
      <c r="F283" s="2"/>
      <c r="G283" s="2"/>
      <c r="H283" s="2"/>
      <c r="I283" s="11"/>
      <c r="J283" s="11"/>
      <c r="K283" s="5"/>
      <c r="L283" s="5"/>
      <c r="M283" s="5"/>
      <c r="N283" s="8"/>
      <c r="O283" s="8"/>
      <c r="P283" s="8"/>
      <c r="Q283" s="5"/>
      <c r="R283" s="8"/>
      <c r="S283" s="8"/>
      <c r="T283" s="8"/>
      <c r="U283" s="5"/>
      <c r="V283" s="8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</row>
    <row r="284" spans="4:118" ht="18" customHeight="1" x14ac:dyDescent="0.25">
      <c r="D284" s="210"/>
      <c r="E284" s="2"/>
      <c r="F284" s="2"/>
      <c r="G284" s="2"/>
      <c r="H284" s="2"/>
      <c r="I284" s="11"/>
      <c r="J284" s="11"/>
      <c r="K284" s="5"/>
      <c r="L284" s="5"/>
      <c r="M284" s="5"/>
      <c r="N284" s="8"/>
      <c r="O284" s="8"/>
      <c r="P284" s="8"/>
      <c r="Q284" s="5"/>
      <c r="R284" s="8"/>
      <c r="S284" s="8"/>
      <c r="T284" s="8"/>
      <c r="U284" s="5"/>
      <c r="V284" s="8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</row>
    <row r="285" spans="4:118" ht="18" customHeight="1" x14ac:dyDescent="0.25">
      <c r="D285" s="210"/>
      <c r="E285" s="2"/>
      <c r="F285" s="2"/>
      <c r="G285" s="2"/>
      <c r="H285" s="2"/>
      <c r="I285" s="11"/>
      <c r="J285" s="11"/>
      <c r="K285" s="5"/>
      <c r="L285" s="5"/>
      <c r="M285" s="5"/>
      <c r="N285" s="8"/>
      <c r="O285" s="8"/>
      <c r="P285" s="8"/>
      <c r="Q285" s="5"/>
      <c r="R285" s="8"/>
      <c r="S285" s="8"/>
      <c r="T285" s="8"/>
      <c r="U285" s="5"/>
      <c r="V285" s="8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</row>
    <row r="286" spans="4:118" ht="18" customHeight="1" x14ac:dyDescent="0.25">
      <c r="D286" s="210"/>
      <c r="E286" s="2"/>
      <c r="F286" s="2"/>
      <c r="G286" s="2"/>
      <c r="H286" s="2"/>
      <c r="I286" s="11"/>
      <c r="J286" s="11"/>
      <c r="K286" s="5"/>
      <c r="L286" s="5"/>
      <c r="M286" s="5"/>
      <c r="N286" s="8"/>
      <c r="O286" s="8"/>
      <c r="P286" s="8"/>
      <c r="Q286" s="5"/>
      <c r="R286" s="8"/>
      <c r="S286" s="8"/>
      <c r="T286" s="8"/>
      <c r="U286" s="5"/>
      <c r="V286" s="8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</row>
    <row r="287" spans="4:118" ht="18" customHeight="1" x14ac:dyDescent="0.25">
      <c r="D287" s="210"/>
      <c r="E287" s="2"/>
      <c r="F287" s="2"/>
      <c r="G287" s="2"/>
      <c r="H287" s="2"/>
      <c r="I287" s="11"/>
      <c r="J287" s="11"/>
      <c r="K287" s="5"/>
      <c r="L287" s="5"/>
      <c r="M287" s="5"/>
      <c r="N287" s="8"/>
      <c r="O287" s="8"/>
      <c r="P287" s="8"/>
      <c r="Q287" s="5"/>
      <c r="R287" s="8"/>
      <c r="S287" s="8"/>
      <c r="T287" s="8"/>
      <c r="U287" s="5"/>
      <c r="V287" s="8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</row>
    <row r="288" spans="4:118" ht="18" customHeight="1" x14ac:dyDescent="0.25">
      <c r="D288" s="210"/>
      <c r="E288" s="2"/>
      <c r="F288" s="2"/>
      <c r="G288" s="2"/>
      <c r="H288" s="2"/>
      <c r="I288" s="11"/>
      <c r="J288" s="11"/>
      <c r="K288" s="5"/>
      <c r="L288" s="5"/>
      <c r="M288" s="5"/>
      <c r="N288" s="8"/>
      <c r="O288" s="8"/>
      <c r="P288" s="8"/>
      <c r="Q288" s="5"/>
      <c r="R288" s="8"/>
      <c r="S288" s="8"/>
      <c r="T288" s="8"/>
      <c r="U288" s="5"/>
      <c r="V288" s="8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</row>
    <row r="289" spans="1:118" ht="18" customHeight="1" x14ac:dyDescent="0.25">
      <c r="A289" s="5"/>
      <c r="B289" s="2"/>
      <c r="C289" s="2"/>
      <c r="D289" s="203"/>
      <c r="E289" s="2"/>
      <c r="F289" s="2"/>
      <c r="G289" s="2"/>
      <c r="H289" s="2"/>
      <c r="I289" s="11"/>
      <c r="J289" s="11"/>
      <c r="K289" s="5"/>
      <c r="L289" s="5"/>
      <c r="M289" s="5"/>
      <c r="N289" s="8"/>
      <c r="O289" s="8"/>
      <c r="P289" s="8"/>
      <c r="Q289" s="5"/>
      <c r="R289" s="8"/>
      <c r="S289" s="8"/>
      <c r="T289" s="8"/>
      <c r="U289" s="5"/>
      <c r="V289" s="8"/>
      <c r="W289" s="9"/>
      <c r="X289" s="9"/>
      <c r="Y289" s="9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</row>
    <row r="290" spans="1:118" ht="18" customHeight="1" x14ac:dyDescent="0.25">
      <c r="A290" s="5"/>
      <c r="B290" s="2"/>
      <c r="C290" s="2"/>
      <c r="D290" s="203"/>
      <c r="E290" s="2"/>
      <c r="F290" s="2"/>
      <c r="G290" s="2"/>
      <c r="H290" s="2"/>
      <c r="I290" s="11"/>
      <c r="J290" s="11"/>
      <c r="K290" s="5"/>
      <c r="L290" s="5"/>
      <c r="M290" s="5"/>
      <c r="N290" s="8"/>
      <c r="O290" s="8"/>
      <c r="P290" s="8"/>
      <c r="Q290" s="5"/>
      <c r="R290" s="8"/>
      <c r="S290" s="8"/>
      <c r="T290" s="8"/>
      <c r="U290" s="5"/>
      <c r="V290" s="8"/>
      <c r="W290" s="9"/>
      <c r="X290" s="9"/>
      <c r="Y290" s="9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</row>
    <row r="291" spans="1:118" ht="18" customHeight="1" x14ac:dyDescent="0.25">
      <c r="A291" s="5"/>
      <c r="B291" s="2"/>
      <c r="C291" s="2"/>
      <c r="D291" s="203"/>
      <c r="E291" s="2"/>
      <c r="F291" s="2"/>
      <c r="G291" s="2"/>
      <c r="H291" s="2"/>
      <c r="I291" s="11"/>
      <c r="J291" s="11"/>
      <c r="K291" s="5"/>
      <c r="L291" s="5"/>
      <c r="M291" s="5"/>
      <c r="N291" s="8"/>
      <c r="O291" s="8"/>
      <c r="P291" s="8"/>
      <c r="Q291" s="5"/>
      <c r="R291" s="8"/>
      <c r="S291" s="8"/>
      <c r="T291" s="8"/>
      <c r="U291" s="5"/>
      <c r="V291" s="8"/>
      <c r="W291" s="9"/>
      <c r="X291" s="9"/>
      <c r="Y291" s="9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</row>
    <row r="292" spans="1:118" ht="18" customHeight="1" x14ac:dyDescent="0.25">
      <c r="A292" s="5"/>
      <c r="B292" s="2"/>
      <c r="C292" s="2"/>
      <c r="D292" s="203"/>
      <c r="E292" s="2"/>
      <c r="F292" s="2"/>
      <c r="G292" s="2"/>
      <c r="H292" s="2"/>
      <c r="I292" s="11"/>
      <c r="J292" s="11"/>
      <c r="K292" s="5"/>
      <c r="L292" s="5"/>
      <c r="M292" s="5"/>
      <c r="N292" s="8"/>
      <c r="O292" s="8"/>
      <c r="P292" s="8"/>
      <c r="Q292" s="5"/>
      <c r="R292" s="8"/>
      <c r="S292" s="8"/>
      <c r="T292" s="8"/>
      <c r="U292" s="5"/>
      <c r="V292" s="8"/>
      <c r="W292" s="9"/>
      <c r="X292" s="9"/>
      <c r="Y292" s="9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</row>
    <row r="293" spans="1:118" ht="18" customHeight="1" x14ac:dyDescent="0.25">
      <c r="A293" s="5"/>
      <c r="B293" s="2"/>
      <c r="C293" s="2"/>
      <c r="D293" s="203"/>
      <c r="E293" s="2"/>
      <c r="F293" s="2"/>
      <c r="G293" s="2"/>
      <c r="H293" s="2"/>
      <c r="I293" s="11"/>
      <c r="J293" s="11"/>
      <c r="K293" s="5"/>
      <c r="L293" s="5"/>
      <c r="M293" s="5"/>
      <c r="N293" s="8"/>
      <c r="O293" s="8"/>
      <c r="P293" s="8"/>
      <c r="Q293" s="5"/>
      <c r="R293" s="8"/>
      <c r="S293" s="8"/>
      <c r="T293" s="8"/>
      <c r="U293" s="5"/>
      <c r="V293" s="8"/>
      <c r="W293" s="9"/>
      <c r="X293" s="9"/>
      <c r="Y293" s="9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</row>
    <row r="294" spans="1:118" ht="18" customHeight="1" x14ac:dyDescent="0.25">
      <c r="A294" s="5"/>
      <c r="B294" s="2"/>
      <c r="C294" s="2"/>
      <c r="D294" s="203"/>
      <c r="E294" s="2"/>
      <c r="F294" s="2"/>
      <c r="G294" s="2"/>
      <c r="H294" s="2"/>
      <c r="I294" s="11"/>
      <c r="J294" s="11"/>
      <c r="K294" s="5"/>
      <c r="L294" s="5"/>
      <c r="M294" s="5"/>
      <c r="N294" s="8"/>
      <c r="O294" s="8"/>
      <c r="P294" s="8"/>
      <c r="Q294" s="5"/>
      <c r="R294" s="8"/>
      <c r="S294" s="8"/>
      <c r="T294" s="8"/>
      <c r="U294" s="5"/>
      <c r="V294" s="8"/>
      <c r="W294" s="9"/>
      <c r="X294" s="9"/>
      <c r="Y294" s="9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</row>
    <row r="295" spans="1:118" ht="18" customHeight="1" x14ac:dyDescent="0.25">
      <c r="A295" s="5"/>
      <c r="B295" s="2"/>
      <c r="C295" s="2"/>
      <c r="D295" s="203"/>
      <c r="E295" s="2"/>
      <c r="F295" s="2"/>
      <c r="G295" s="2"/>
      <c r="H295" s="2"/>
      <c r="I295" s="11"/>
      <c r="J295" s="11"/>
      <c r="K295" s="5"/>
      <c r="L295" s="5"/>
      <c r="M295" s="5"/>
      <c r="N295" s="8"/>
      <c r="O295" s="8"/>
      <c r="P295" s="8"/>
      <c r="Q295" s="5"/>
      <c r="R295" s="8"/>
      <c r="S295" s="8"/>
      <c r="T295" s="8"/>
      <c r="U295" s="5"/>
      <c r="V295" s="8"/>
      <c r="W295" s="9"/>
      <c r="X295" s="9"/>
      <c r="Y295" s="9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</row>
    <row r="296" spans="1:118" ht="18" customHeight="1" x14ac:dyDescent="0.25">
      <c r="A296" s="5"/>
      <c r="B296" s="2"/>
      <c r="C296" s="2"/>
      <c r="D296" s="203"/>
      <c r="E296" s="2"/>
      <c r="F296" s="2"/>
      <c r="G296" s="2"/>
      <c r="H296" s="2"/>
      <c r="I296" s="11"/>
      <c r="J296" s="11"/>
      <c r="K296" s="5"/>
      <c r="L296" s="5"/>
      <c r="M296" s="5"/>
      <c r="N296" s="8"/>
      <c r="O296" s="8"/>
      <c r="P296" s="8"/>
      <c r="Q296" s="5"/>
      <c r="R296" s="8"/>
      <c r="S296" s="8"/>
      <c r="T296" s="8"/>
      <c r="U296" s="5"/>
      <c r="V296" s="8"/>
      <c r="W296" s="9"/>
      <c r="X296" s="9"/>
      <c r="Y296" s="9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</row>
    <row r="297" spans="1:118" ht="18" customHeight="1" x14ac:dyDescent="0.25">
      <c r="A297" s="5"/>
      <c r="B297" s="2"/>
      <c r="C297" s="2"/>
      <c r="D297" s="203"/>
      <c r="E297" s="2"/>
      <c r="F297" s="2"/>
      <c r="G297" s="2"/>
      <c r="H297" s="2"/>
      <c r="I297" s="11"/>
      <c r="J297" s="11"/>
      <c r="K297" s="5"/>
      <c r="L297" s="5"/>
      <c r="M297" s="5"/>
      <c r="N297" s="8"/>
      <c r="O297" s="8"/>
      <c r="P297" s="8"/>
      <c r="Q297" s="5"/>
      <c r="R297" s="8"/>
      <c r="S297" s="8"/>
      <c r="T297" s="8"/>
      <c r="U297" s="5"/>
      <c r="V297" s="8"/>
      <c r="W297" s="9"/>
      <c r="X297" s="9"/>
      <c r="Y297" s="9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</row>
    <row r="298" spans="1:118" ht="18" customHeight="1" x14ac:dyDescent="0.25">
      <c r="A298" s="5"/>
      <c r="B298" s="2"/>
      <c r="C298" s="2"/>
      <c r="D298" s="203"/>
      <c r="E298" s="2"/>
      <c r="F298" s="2"/>
      <c r="G298" s="2"/>
      <c r="H298" s="2"/>
      <c r="I298" s="11"/>
      <c r="J298" s="11"/>
      <c r="K298" s="5"/>
      <c r="L298" s="5"/>
      <c r="M298" s="5"/>
      <c r="N298" s="8"/>
      <c r="O298" s="8"/>
      <c r="P298" s="8"/>
      <c r="Q298" s="5"/>
      <c r="R298" s="8"/>
      <c r="S298" s="8"/>
      <c r="T298" s="8"/>
      <c r="U298" s="5"/>
      <c r="V298" s="8"/>
      <c r="W298" s="9"/>
      <c r="X298" s="9"/>
      <c r="Y298" s="9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</row>
    <row r="299" spans="1:118" ht="18" customHeight="1" x14ac:dyDescent="0.25">
      <c r="A299" s="5"/>
      <c r="B299" s="2"/>
      <c r="C299" s="2"/>
      <c r="D299" s="203"/>
      <c r="E299" s="2"/>
      <c r="F299" s="2"/>
      <c r="G299" s="2"/>
      <c r="H299" s="2"/>
      <c r="I299" s="11"/>
      <c r="J299" s="11"/>
      <c r="K299" s="5"/>
      <c r="L299" s="5"/>
      <c r="M299" s="5"/>
      <c r="N299" s="8"/>
      <c r="O299" s="8"/>
      <c r="P299" s="8"/>
      <c r="Q299" s="5"/>
      <c r="R299" s="8"/>
      <c r="S299" s="8"/>
      <c r="T299" s="8"/>
      <c r="U299" s="5"/>
      <c r="V299" s="8"/>
      <c r="W299" s="9"/>
      <c r="X299" s="9"/>
      <c r="Y299" s="9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</row>
    <row r="300" spans="1:118" ht="18" customHeight="1" x14ac:dyDescent="0.25">
      <c r="A300" s="5"/>
      <c r="B300" s="2"/>
      <c r="C300" s="2"/>
      <c r="D300" s="203"/>
      <c r="E300" s="2"/>
      <c r="F300" s="2"/>
      <c r="G300" s="2"/>
      <c r="H300" s="2"/>
      <c r="I300" s="11"/>
      <c r="J300" s="11"/>
      <c r="K300" s="5"/>
      <c r="L300" s="5"/>
      <c r="M300" s="5"/>
      <c r="N300" s="8"/>
      <c r="O300" s="8"/>
      <c r="P300" s="8"/>
      <c r="Q300" s="5"/>
      <c r="R300" s="8"/>
      <c r="S300" s="8"/>
      <c r="T300" s="8"/>
      <c r="U300" s="5"/>
      <c r="V300" s="8"/>
      <c r="W300" s="9"/>
      <c r="X300" s="9"/>
      <c r="Y300" s="9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</row>
    <row r="301" spans="1:118" ht="18" customHeight="1" x14ac:dyDescent="0.25">
      <c r="A301" s="5"/>
      <c r="B301" s="2"/>
      <c r="C301" s="2"/>
      <c r="D301" s="203"/>
      <c r="E301" s="2"/>
      <c r="F301" s="2"/>
      <c r="G301" s="2"/>
      <c r="H301" s="2"/>
      <c r="I301" s="11"/>
      <c r="J301" s="11"/>
      <c r="K301" s="5"/>
      <c r="L301" s="5"/>
      <c r="M301" s="5"/>
      <c r="N301" s="8"/>
      <c r="O301" s="8"/>
      <c r="P301" s="8"/>
      <c r="Q301" s="5"/>
      <c r="R301" s="8"/>
      <c r="S301" s="8"/>
      <c r="T301" s="8"/>
      <c r="U301" s="5"/>
      <c r="V301" s="8"/>
      <c r="W301" s="9"/>
      <c r="X301" s="9"/>
      <c r="Y301" s="9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  <c r="CE301" s="9"/>
      <c r="CF301" s="9"/>
      <c r="CG301" s="9"/>
      <c r="CH301" s="9"/>
      <c r="CI301" s="9"/>
      <c r="CJ301" s="9"/>
      <c r="CK301" s="9"/>
      <c r="CL301" s="9"/>
      <c r="CM301" s="9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</row>
    <row r="302" spans="1:118" ht="18" customHeight="1" x14ac:dyDescent="0.25">
      <c r="A302" s="5"/>
      <c r="B302" s="2"/>
      <c r="C302" s="2"/>
      <c r="D302" s="203"/>
      <c r="E302" s="2"/>
      <c r="F302" s="2"/>
      <c r="G302" s="2"/>
      <c r="H302" s="2"/>
      <c r="I302" s="11"/>
      <c r="J302" s="11"/>
      <c r="K302" s="5"/>
      <c r="L302" s="5"/>
      <c r="M302" s="5"/>
      <c r="N302" s="8"/>
      <c r="O302" s="8"/>
      <c r="P302" s="8"/>
      <c r="Q302" s="5"/>
      <c r="R302" s="8"/>
      <c r="S302" s="8"/>
      <c r="T302" s="8"/>
      <c r="U302" s="5"/>
      <c r="V302" s="8"/>
      <c r="W302" s="9"/>
      <c r="X302" s="9"/>
      <c r="Y302" s="9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  <c r="CE302" s="9"/>
      <c r="CF302" s="9"/>
      <c r="CG302" s="9"/>
      <c r="CH302" s="9"/>
      <c r="CI302" s="9"/>
      <c r="CJ302" s="9"/>
      <c r="CK302" s="9"/>
      <c r="CL302" s="9"/>
      <c r="CM302" s="9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</row>
    <row r="303" spans="1:118" ht="18" customHeight="1" x14ac:dyDescent="0.25">
      <c r="A303" s="5"/>
      <c r="B303" s="2"/>
      <c r="C303" s="2"/>
      <c r="D303" s="203"/>
      <c r="E303" s="2"/>
      <c r="F303" s="2"/>
      <c r="G303" s="2"/>
      <c r="H303" s="2"/>
      <c r="I303" s="11"/>
      <c r="J303" s="11"/>
      <c r="K303" s="5"/>
      <c r="L303" s="5"/>
      <c r="M303" s="5"/>
      <c r="N303" s="8"/>
      <c r="O303" s="8"/>
      <c r="P303" s="8"/>
      <c r="Q303" s="5"/>
      <c r="R303" s="8"/>
      <c r="S303" s="8"/>
      <c r="T303" s="8"/>
      <c r="U303" s="5"/>
      <c r="V303" s="8"/>
      <c r="W303" s="9"/>
      <c r="X303" s="9"/>
      <c r="Y303" s="9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  <c r="CE303" s="9"/>
      <c r="CF303" s="9"/>
      <c r="CG303" s="9"/>
      <c r="CH303" s="9"/>
      <c r="CI303" s="9"/>
      <c r="CJ303" s="9"/>
      <c r="CK303" s="9"/>
      <c r="CL303" s="9"/>
      <c r="CM303" s="9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</row>
    <row r="304" spans="1:118" ht="18" customHeight="1" x14ac:dyDescent="0.25">
      <c r="A304" s="5"/>
      <c r="B304" s="2"/>
      <c r="C304" s="2"/>
      <c r="D304" s="203"/>
      <c r="E304" s="2"/>
      <c r="F304" s="2"/>
      <c r="G304" s="2"/>
      <c r="H304" s="2"/>
      <c r="I304" s="11"/>
      <c r="J304" s="11"/>
      <c r="K304" s="5"/>
      <c r="L304" s="5"/>
      <c r="M304" s="5"/>
      <c r="N304" s="8"/>
      <c r="O304" s="8"/>
      <c r="P304" s="8"/>
      <c r="Q304" s="5"/>
      <c r="R304" s="8"/>
      <c r="S304" s="8"/>
      <c r="T304" s="8"/>
      <c r="U304" s="5"/>
      <c r="V304" s="8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</row>
    <row r="305" spans="1:118" ht="18" customHeight="1" x14ac:dyDescent="0.25">
      <c r="A305" s="5"/>
      <c r="B305" s="2"/>
      <c r="C305" s="2"/>
      <c r="D305" s="203"/>
      <c r="E305" s="2"/>
      <c r="F305" s="2"/>
      <c r="G305" s="2"/>
      <c r="H305" s="2"/>
      <c r="I305" s="11"/>
      <c r="J305" s="11"/>
      <c r="K305" s="5"/>
      <c r="L305" s="5"/>
      <c r="M305" s="5"/>
      <c r="N305" s="8"/>
      <c r="O305" s="8"/>
      <c r="P305" s="8"/>
      <c r="Q305" s="5"/>
      <c r="R305" s="8"/>
      <c r="S305" s="8"/>
      <c r="T305" s="8"/>
      <c r="U305" s="5"/>
      <c r="V305" s="8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</row>
    <row r="306" spans="1:118" ht="18" customHeight="1" x14ac:dyDescent="0.25">
      <c r="A306" s="5"/>
      <c r="B306" s="2"/>
      <c r="C306" s="2"/>
      <c r="D306" s="203"/>
      <c r="E306" s="2"/>
      <c r="F306" s="2"/>
      <c r="G306" s="2"/>
      <c r="H306" s="2"/>
      <c r="I306" s="11"/>
      <c r="J306" s="11"/>
      <c r="K306" s="5"/>
      <c r="L306" s="5"/>
      <c r="M306" s="5"/>
      <c r="N306" s="8"/>
      <c r="O306" s="8"/>
      <c r="P306" s="8"/>
      <c r="Q306" s="5"/>
      <c r="R306" s="8"/>
      <c r="S306" s="8"/>
      <c r="T306" s="8"/>
      <c r="U306" s="5"/>
      <c r="V306" s="8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</row>
    <row r="307" spans="1:118" ht="18" customHeight="1" x14ac:dyDescent="0.25">
      <c r="A307" s="5"/>
      <c r="B307" s="2"/>
      <c r="C307" s="2"/>
      <c r="D307" s="203"/>
      <c r="E307" s="2"/>
      <c r="F307" s="2"/>
      <c r="G307" s="2"/>
      <c r="H307" s="2"/>
      <c r="I307" s="11"/>
      <c r="J307" s="11"/>
      <c r="K307" s="5"/>
      <c r="L307" s="5"/>
      <c r="M307" s="5"/>
      <c r="N307" s="8"/>
      <c r="O307" s="8"/>
      <c r="P307" s="8"/>
      <c r="Q307" s="5"/>
      <c r="R307" s="8"/>
      <c r="S307" s="8"/>
      <c r="T307" s="8"/>
      <c r="U307" s="5"/>
      <c r="V307" s="8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</row>
    <row r="308" spans="1:118" ht="18" customHeight="1" x14ac:dyDescent="0.25">
      <c r="A308" s="5"/>
      <c r="B308" s="2"/>
      <c r="C308" s="2"/>
      <c r="D308" s="203"/>
      <c r="E308" s="2"/>
      <c r="F308" s="2"/>
      <c r="G308" s="2"/>
      <c r="H308" s="2"/>
      <c r="I308" s="11"/>
      <c r="J308" s="11"/>
      <c r="K308" s="5"/>
      <c r="L308" s="5"/>
      <c r="M308" s="5"/>
      <c r="N308" s="8"/>
      <c r="O308" s="8"/>
      <c r="P308" s="8"/>
      <c r="Q308" s="5"/>
      <c r="R308" s="8"/>
      <c r="S308" s="8"/>
      <c r="T308" s="8"/>
      <c r="U308" s="5"/>
      <c r="V308" s="8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</row>
    <row r="309" spans="1:118" ht="18" customHeight="1" x14ac:dyDescent="0.25">
      <c r="A309" s="5"/>
      <c r="B309" s="2"/>
      <c r="C309" s="2"/>
      <c r="D309" s="203"/>
      <c r="E309" s="2"/>
      <c r="F309" s="2"/>
      <c r="G309" s="2"/>
      <c r="H309" s="2"/>
      <c r="I309" s="11"/>
      <c r="J309" s="11"/>
      <c r="K309" s="5"/>
      <c r="L309" s="5"/>
      <c r="M309" s="5"/>
      <c r="N309" s="8"/>
      <c r="O309" s="8"/>
      <c r="P309" s="8"/>
      <c r="Q309" s="5"/>
      <c r="R309" s="8"/>
      <c r="S309" s="8"/>
      <c r="T309" s="8"/>
      <c r="U309" s="5"/>
      <c r="V309" s="8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</row>
    <row r="310" spans="1:118" ht="18" customHeight="1" x14ac:dyDescent="0.25">
      <c r="A310" s="5"/>
      <c r="B310" s="2"/>
      <c r="C310" s="2"/>
      <c r="D310" s="203"/>
      <c r="E310" s="2"/>
      <c r="F310" s="2"/>
      <c r="G310" s="2"/>
      <c r="H310" s="2"/>
      <c r="I310" s="11"/>
      <c r="J310" s="11"/>
      <c r="K310" s="5"/>
      <c r="L310" s="5"/>
      <c r="M310" s="5"/>
      <c r="N310" s="8"/>
      <c r="O310" s="8"/>
      <c r="P310" s="8"/>
      <c r="Q310" s="5"/>
      <c r="R310" s="8"/>
      <c r="S310" s="8"/>
      <c r="T310" s="8"/>
      <c r="U310" s="5"/>
      <c r="V310" s="8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</row>
    <row r="311" spans="1:118" ht="18" customHeight="1" x14ac:dyDescent="0.25">
      <c r="A311" s="5"/>
      <c r="B311" s="2"/>
      <c r="C311" s="2"/>
      <c r="D311" s="203"/>
      <c r="E311" s="2"/>
      <c r="F311" s="2"/>
      <c r="G311" s="2"/>
      <c r="H311" s="2"/>
      <c r="I311" s="11"/>
      <c r="J311" s="11"/>
      <c r="K311" s="5"/>
      <c r="L311" s="5"/>
      <c r="M311" s="5"/>
      <c r="N311" s="8"/>
      <c r="O311" s="8"/>
      <c r="P311" s="8"/>
      <c r="Q311" s="5"/>
      <c r="R311" s="8"/>
      <c r="S311" s="8"/>
      <c r="T311" s="8"/>
      <c r="U311" s="5"/>
      <c r="V311" s="8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</row>
    <row r="312" spans="1:118" ht="18" customHeight="1" x14ac:dyDescent="0.25">
      <c r="A312" s="5"/>
      <c r="B312" s="2"/>
      <c r="C312" s="2"/>
      <c r="D312" s="203"/>
      <c r="E312" s="2"/>
      <c r="F312" s="2"/>
      <c r="G312" s="2"/>
      <c r="H312" s="2"/>
      <c r="I312" s="11"/>
      <c r="J312" s="11"/>
      <c r="K312" s="5"/>
      <c r="L312" s="5"/>
      <c r="M312" s="5"/>
      <c r="N312" s="8"/>
      <c r="O312" s="8"/>
      <c r="P312" s="8"/>
      <c r="Q312" s="5"/>
      <c r="R312" s="8"/>
      <c r="S312" s="8"/>
      <c r="T312" s="8"/>
      <c r="U312" s="5"/>
      <c r="V312" s="8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</row>
    <row r="313" spans="1:118" ht="18" customHeight="1" x14ac:dyDescent="0.25">
      <c r="A313" s="5"/>
      <c r="B313" s="2"/>
      <c r="C313" s="2"/>
      <c r="D313" s="203"/>
      <c r="E313" s="2"/>
      <c r="F313" s="2"/>
      <c r="G313" s="2"/>
      <c r="H313" s="2"/>
      <c r="I313" s="11"/>
      <c r="J313" s="11"/>
      <c r="K313" s="5"/>
      <c r="L313" s="5"/>
      <c r="M313" s="5"/>
      <c r="N313" s="8"/>
      <c r="O313" s="8"/>
      <c r="P313" s="8"/>
      <c r="Q313" s="5"/>
      <c r="R313" s="8"/>
      <c r="S313" s="8"/>
      <c r="T313" s="8"/>
      <c r="U313" s="5"/>
      <c r="V313" s="8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</row>
    <row r="314" spans="1:118" ht="18" customHeight="1" x14ac:dyDescent="0.25">
      <c r="A314" s="5"/>
      <c r="B314" s="2"/>
      <c r="C314" s="2"/>
      <c r="D314" s="203"/>
      <c r="E314" s="2"/>
      <c r="F314" s="2"/>
      <c r="G314" s="2"/>
      <c r="H314" s="2"/>
      <c r="I314" s="11"/>
      <c r="J314" s="11"/>
      <c r="K314" s="5"/>
      <c r="L314" s="5"/>
      <c r="M314" s="5"/>
      <c r="N314" s="8"/>
      <c r="O314" s="8"/>
      <c r="P314" s="8"/>
      <c r="Q314" s="5"/>
      <c r="R314" s="8"/>
      <c r="S314" s="8"/>
      <c r="T314" s="8"/>
      <c r="U314" s="5"/>
      <c r="V314" s="8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</row>
    <row r="315" spans="1:118" ht="18" customHeight="1" x14ac:dyDescent="0.25">
      <c r="A315" s="5"/>
      <c r="B315" s="2"/>
      <c r="C315" s="2"/>
      <c r="D315" s="203"/>
      <c r="E315" s="2"/>
      <c r="F315" s="2"/>
      <c r="G315" s="2"/>
      <c r="H315" s="2"/>
      <c r="I315" s="11"/>
      <c r="J315" s="11"/>
      <c r="K315" s="5"/>
      <c r="L315" s="5"/>
      <c r="M315" s="5"/>
      <c r="N315" s="8"/>
      <c r="O315" s="8"/>
      <c r="P315" s="8"/>
      <c r="Q315" s="5"/>
      <c r="R315" s="8"/>
      <c r="S315" s="8"/>
      <c r="T315" s="8"/>
      <c r="U315" s="5"/>
      <c r="V315" s="8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</row>
    <row r="316" spans="1:118" ht="18" customHeight="1" x14ac:dyDescent="0.25">
      <c r="A316" s="5"/>
      <c r="B316" s="2"/>
      <c r="C316" s="2"/>
      <c r="D316" s="203"/>
      <c r="E316" s="2"/>
      <c r="F316" s="2"/>
      <c r="G316" s="2"/>
      <c r="H316" s="2"/>
      <c r="I316" s="11"/>
      <c r="J316" s="11"/>
      <c r="K316" s="5"/>
      <c r="L316" s="5"/>
      <c r="M316" s="5"/>
      <c r="N316" s="8"/>
      <c r="O316" s="8"/>
      <c r="P316" s="8"/>
      <c r="Q316" s="5"/>
      <c r="R316" s="8"/>
      <c r="S316" s="8"/>
      <c r="T316" s="8"/>
      <c r="U316" s="5"/>
      <c r="V316" s="8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</row>
    <row r="317" spans="1:118" ht="18" customHeight="1" x14ac:dyDescent="0.25">
      <c r="A317" s="5"/>
      <c r="B317" s="2"/>
      <c r="C317" s="2"/>
      <c r="D317" s="203"/>
      <c r="E317" s="2"/>
      <c r="F317" s="2"/>
      <c r="G317" s="2"/>
      <c r="H317" s="2"/>
      <c r="I317" s="11"/>
      <c r="J317" s="11"/>
      <c r="K317" s="5"/>
      <c r="L317" s="5"/>
      <c r="M317" s="5"/>
      <c r="N317" s="8"/>
      <c r="O317" s="8"/>
      <c r="P317" s="8"/>
      <c r="Q317" s="5"/>
      <c r="R317" s="8"/>
      <c r="S317" s="8"/>
      <c r="T317" s="8"/>
      <c r="U317" s="5"/>
      <c r="V317" s="8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</row>
    <row r="318" spans="1:118" ht="18" customHeight="1" x14ac:dyDescent="0.25">
      <c r="A318" s="5"/>
      <c r="B318" s="2"/>
      <c r="C318" s="2"/>
      <c r="D318" s="203"/>
      <c r="E318" s="2"/>
      <c r="F318" s="2"/>
      <c r="G318" s="2"/>
      <c r="H318" s="2"/>
      <c r="I318" s="11"/>
      <c r="J318" s="11"/>
      <c r="K318" s="5"/>
      <c r="L318" s="5"/>
      <c r="M318" s="5"/>
      <c r="N318" s="8"/>
      <c r="O318" s="8"/>
      <c r="P318" s="8"/>
      <c r="Q318" s="5"/>
      <c r="R318" s="8"/>
      <c r="S318" s="8"/>
      <c r="T318" s="8"/>
      <c r="U318" s="5"/>
      <c r="V318" s="8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</row>
    <row r="319" spans="1:118" ht="18" customHeight="1" x14ac:dyDescent="0.25">
      <c r="A319" s="5"/>
      <c r="B319" s="2"/>
      <c r="C319" s="2"/>
      <c r="D319" s="203"/>
      <c r="E319" s="2"/>
      <c r="F319" s="2"/>
      <c r="G319" s="2"/>
      <c r="H319" s="2"/>
      <c r="I319" s="11"/>
      <c r="J319" s="11"/>
      <c r="K319" s="5"/>
      <c r="L319" s="5"/>
      <c r="M319" s="5"/>
      <c r="N319" s="8"/>
      <c r="O319" s="8"/>
      <c r="P319" s="8"/>
      <c r="Q319" s="5"/>
      <c r="R319" s="8"/>
      <c r="S319" s="8"/>
      <c r="T319" s="8"/>
      <c r="U319" s="5"/>
      <c r="V319" s="8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</row>
    <row r="320" spans="1:118" ht="18" customHeight="1" x14ac:dyDescent="0.25">
      <c r="A320" s="5"/>
      <c r="B320" s="2"/>
      <c r="C320" s="2"/>
      <c r="D320" s="203"/>
      <c r="E320" s="2"/>
      <c r="F320" s="2"/>
      <c r="G320" s="2"/>
      <c r="H320" s="2"/>
      <c r="I320" s="11"/>
      <c r="J320" s="11"/>
      <c r="K320" s="5"/>
      <c r="L320" s="5"/>
      <c r="M320" s="5"/>
      <c r="N320" s="8"/>
      <c r="O320" s="8"/>
      <c r="P320" s="8"/>
      <c r="Q320" s="5"/>
      <c r="R320" s="8"/>
      <c r="S320" s="8"/>
      <c r="T320" s="8"/>
      <c r="U320" s="5"/>
      <c r="V320" s="8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</row>
    <row r="321" spans="1:118" ht="18" customHeight="1" x14ac:dyDescent="0.25">
      <c r="A321" s="5"/>
      <c r="B321" s="2"/>
      <c r="C321" s="2"/>
      <c r="D321" s="203"/>
      <c r="E321" s="2"/>
      <c r="F321" s="2"/>
      <c r="G321" s="2"/>
      <c r="H321" s="2"/>
      <c r="I321" s="11"/>
      <c r="J321" s="11"/>
      <c r="K321" s="5"/>
      <c r="L321" s="5"/>
      <c r="M321" s="5"/>
      <c r="N321" s="8"/>
      <c r="O321" s="8"/>
      <c r="P321" s="8"/>
      <c r="Q321" s="5"/>
      <c r="R321" s="8"/>
      <c r="S321" s="8"/>
      <c r="T321" s="8"/>
      <c r="U321" s="5"/>
      <c r="V321" s="8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</row>
    <row r="322" spans="1:118" ht="18" customHeight="1" x14ac:dyDescent="0.25">
      <c r="A322" s="5"/>
      <c r="B322" s="2"/>
      <c r="C322" s="2"/>
      <c r="D322" s="203"/>
      <c r="E322" s="2"/>
      <c r="F322" s="2"/>
      <c r="G322" s="2"/>
      <c r="H322" s="2"/>
      <c r="I322" s="11"/>
      <c r="J322" s="11"/>
      <c r="K322" s="5"/>
      <c r="L322" s="5"/>
      <c r="M322" s="5"/>
      <c r="N322" s="8"/>
      <c r="O322" s="8"/>
      <c r="P322" s="8"/>
      <c r="Q322" s="5"/>
      <c r="R322" s="8"/>
      <c r="S322" s="8"/>
      <c r="T322" s="8"/>
      <c r="U322" s="5"/>
      <c r="V322" s="8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</row>
    <row r="323" spans="1:118" ht="18" customHeight="1" x14ac:dyDescent="0.25">
      <c r="A323" s="5"/>
      <c r="B323" s="2"/>
      <c r="C323" s="2"/>
      <c r="D323" s="203"/>
      <c r="E323" s="2"/>
      <c r="F323" s="2"/>
      <c r="G323" s="2"/>
      <c r="H323" s="2"/>
      <c r="I323" s="11"/>
      <c r="J323" s="11"/>
      <c r="K323" s="5"/>
      <c r="L323" s="5"/>
      <c r="M323" s="5"/>
      <c r="N323" s="8"/>
      <c r="O323" s="8"/>
      <c r="P323" s="8"/>
      <c r="Q323" s="5"/>
      <c r="R323" s="8"/>
      <c r="S323" s="8"/>
      <c r="T323" s="8"/>
      <c r="U323" s="5"/>
      <c r="V323" s="8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</row>
    <row r="324" spans="1:118" ht="18" customHeight="1" x14ac:dyDescent="0.25">
      <c r="A324" s="5"/>
      <c r="B324" s="2"/>
      <c r="C324" s="2"/>
      <c r="D324" s="203"/>
      <c r="E324" s="2"/>
      <c r="F324" s="2"/>
      <c r="G324" s="2"/>
      <c r="H324" s="2"/>
      <c r="I324" s="11"/>
      <c r="J324" s="11"/>
      <c r="K324" s="5"/>
      <c r="L324" s="5"/>
      <c r="M324" s="5"/>
      <c r="N324" s="8"/>
      <c r="O324" s="8"/>
      <c r="P324" s="8"/>
      <c r="Q324" s="5"/>
      <c r="R324" s="8"/>
      <c r="S324" s="8"/>
      <c r="T324" s="8"/>
      <c r="U324" s="5"/>
      <c r="V324" s="8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  <c r="CE324" s="9"/>
      <c r="CF324" s="9"/>
      <c r="CG324" s="9"/>
      <c r="CH324" s="9"/>
      <c r="CI324" s="9"/>
      <c r="CJ324" s="9"/>
      <c r="CK324" s="9"/>
      <c r="CL324" s="9"/>
      <c r="CM324" s="9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</row>
    <row r="325" spans="1:118" ht="18" customHeight="1" x14ac:dyDescent="0.25">
      <c r="A325" s="5"/>
      <c r="B325" s="2"/>
      <c r="C325" s="2"/>
      <c r="D325" s="203"/>
      <c r="E325" s="2"/>
      <c r="F325" s="2"/>
      <c r="G325" s="2"/>
      <c r="H325" s="2"/>
      <c r="I325" s="11"/>
      <c r="J325" s="11"/>
      <c r="K325" s="5"/>
      <c r="L325" s="5"/>
      <c r="M325" s="5"/>
      <c r="N325" s="8"/>
      <c r="O325" s="8"/>
      <c r="P325" s="8"/>
      <c r="Q325" s="5"/>
      <c r="R325" s="8"/>
      <c r="S325" s="8"/>
      <c r="T325" s="8"/>
      <c r="U325" s="5"/>
      <c r="V325" s="8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  <c r="CE325" s="9"/>
      <c r="CF325" s="9"/>
      <c r="CG325" s="9"/>
      <c r="CH325" s="9"/>
      <c r="CI325" s="9"/>
      <c r="CJ325" s="9"/>
      <c r="CK325" s="9"/>
      <c r="CL325" s="9"/>
      <c r="CM325" s="9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</row>
    <row r="326" spans="1:118" ht="18" customHeight="1" x14ac:dyDescent="0.25">
      <c r="A326" s="5"/>
      <c r="B326" s="2"/>
      <c r="C326" s="2"/>
      <c r="D326" s="203"/>
      <c r="E326" s="2"/>
      <c r="F326" s="2"/>
      <c r="G326" s="2"/>
      <c r="H326" s="2"/>
      <c r="I326" s="11"/>
      <c r="J326" s="11"/>
      <c r="K326" s="5"/>
      <c r="L326" s="5"/>
      <c r="M326" s="5"/>
      <c r="N326" s="8"/>
      <c r="O326" s="8"/>
      <c r="P326" s="8"/>
      <c r="Q326" s="5"/>
      <c r="R326" s="8"/>
      <c r="S326" s="8"/>
      <c r="T326" s="8"/>
      <c r="U326" s="5"/>
      <c r="V326" s="8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  <c r="CE326" s="9"/>
      <c r="CF326" s="9"/>
      <c r="CG326" s="9"/>
      <c r="CH326" s="9"/>
      <c r="CI326" s="9"/>
      <c r="CJ326" s="9"/>
      <c r="CK326" s="9"/>
      <c r="CL326" s="9"/>
      <c r="CM326" s="9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</row>
    <row r="327" spans="1:118" ht="18" customHeight="1" x14ac:dyDescent="0.25">
      <c r="A327" s="5"/>
      <c r="B327" s="2"/>
      <c r="C327" s="2"/>
      <c r="D327" s="203"/>
      <c r="E327" s="2"/>
      <c r="F327" s="2"/>
      <c r="G327" s="2"/>
      <c r="H327" s="2"/>
      <c r="I327" s="11"/>
      <c r="J327" s="11"/>
      <c r="K327" s="5"/>
      <c r="L327" s="5"/>
      <c r="M327" s="5"/>
      <c r="N327" s="8"/>
      <c r="O327" s="8"/>
      <c r="P327" s="8"/>
      <c r="Q327" s="5"/>
      <c r="R327" s="8"/>
      <c r="S327" s="8"/>
      <c r="T327" s="8"/>
      <c r="U327" s="5"/>
      <c r="V327" s="8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  <c r="CE327" s="9"/>
      <c r="CF327" s="9"/>
      <c r="CG327" s="9"/>
      <c r="CH327" s="9"/>
      <c r="CI327" s="9"/>
      <c r="CJ327" s="9"/>
      <c r="CK327" s="9"/>
      <c r="CL327" s="9"/>
      <c r="CM327" s="9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</row>
    <row r="328" spans="1:118" ht="18" customHeight="1" x14ac:dyDescent="0.25">
      <c r="A328" s="5"/>
      <c r="B328" s="2"/>
      <c r="C328" s="2"/>
      <c r="D328" s="203"/>
      <c r="E328" s="2"/>
      <c r="F328" s="2"/>
      <c r="G328" s="2"/>
      <c r="H328" s="2"/>
      <c r="I328" s="11"/>
      <c r="J328" s="11"/>
      <c r="K328" s="5"/>
      <c r="L328" s="5"/>
      <c r="M328" s="5"/>
      <c r="N328" s="8"/>
      <c r="O328" s="8"/>
      <c r="P328" s="8"/>
      <c r="Q328" s="5"/>
      <c r="R328" s="8"/>
      <c r="S328" s="8"/>
      <c r="T328" s="8"/>
      <c r="U328" s="5"/>
      <c r="V328" s="8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  <c r="CE328" s="9"/>
      <c r="CF328" s="9"/>
      <c r="CG328" s="9"/>
      <c r="CH328" s="9"/>
      <c r="CI328" s="9"/>
      <c r="CJ328" s="9"/>
      <c r="CK328" s="9"/>
      <c r="CL328" s="9"/>
      <c r="CM328" s="9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</row>
    <row r="329" spans="1:118" ht="18" customHeight="1" x14ac:dyDescent="0.25">
      <c r="A329" s="5"/>
      <c r="B329" s="2"/>
      <c r="C329" s="2"/>
      <c r="D329" s="203"/>
      <c r="E329" s="2"/>
      <c r="F329" s="2"/>
      <c r="G329" s="2"/>
      <c r="H329" s="2"/>
      <c r="I329" s="11"/>
      <c r="J329" s="11"/>
      <c r="K329" s="5"/>
      <c r="L329" s="5"/>
      <c r="M329" s="5"/>
      <c r="N329" s="8"/>
      <c r="O329" s="8"/>
      <c r="P329" s="8"/>
      <c r="Q329" s="5"/>
      <c r="R329" s="8"/>
      <c r="S329" s="8"/>
      <c r="T329" s="8"/>
      <c r="U329" s="5"/>
      <c r="V329" s="8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  <c r="CE329" s="9"/>
      <c r="CF329" s="9"/>
      <c r="CG329" s="9"/>
      <c r="CH329" s="9"/>
      <c r="CI329" s="9"/>
      <c r="CJ329" s="9"/>
      <c r="CK329" s="9"/>
      <c r="CL329" s="9"/>
      <c r="CM329" s="9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</row>
    <row r="330" spans="1:118" ht="18" customHeight="1" x14ac:dyDescent="0.25">
      <c r="A330" s="5"/>
      <c r="B330" s="2"/>
      <c r="C330" s="2"/>
      <c r="D330" s="203"/>
      <c r="E330" s="2"/>
      <c r="F330" s="2"/>
      <c r="G330" s="2"/>
      <c r="H330" s="2"/>
      <c r="I330" s="11"/>
      <c r="J330" s="11"/>
      <c r="K330" s="5"/>
      <c r="L330" s="5"/>
      <c r="M330" s="5"/>
      <c r="N330" s="8"/>
      <c r="O330" s="8"/>
      <c r="P330" s="8"/>
      <c r="Q330" s="5"/>
      <c r="R330" s="8"/>
      <c r="S330" s="8"/>
      <c r="T330" s="8"/>
      <c r="U330" s="5"/>
      <c r="V330" s="8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  <c r="CE330" s="9"/>
      <c r="CF330" s="9"/>
      <c r="CG330" s="9"/>
      <c r="CH330" s="9"/>
      <c r="CI330" s="9"/>
      <c r="CJ330" s="9"/>
      <c r="CK330" s="9"/>
      <c r="CL330" s="9"/>
      <c r="CM330" s="9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</row>
    <row r="331" spans="1:118" ht="18" customHeight="1" x14ac:dyDescent="0.25">
      <c r="A331" s="5"/>
      <c r="B331" s="2"/>
      <c r="C331" s="2"/>
      <c r="D331" s="203"/>
      <c r="E331" s="2"/>
      <c r="F331" s="2"/>
      <c r="G331" s="2"/>
      <c r="H331" s="2"/>
      <c r="I331" s="11"/>
      <c r="J331" s="11"/>
      <c r="K331" s="5"/>
      <c r="L331" s="5"/>
      <c r="M331" s="5"/>
      <c r="N331" s="8"/>
      <c r="O331" s="8"/>
      <c r="P331" s="8"/>
      <c r="Q331" s="5"/>
      <c r="R331" s="8"/>
      <c r="S331" s="8"/>
      <c r="T331" s="8"/>
      <c r="U331" s="5"/>
      <c r="V331" s="8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  <c r="CE331" s="9"/>
      <c r="CF331" s="9"/>
      <c r="CG331" s="9"/>
      <c r="CH331" s="9"/>
      <c r="CI331" s="9"/>
      <c r="CJ331" s="9"/>
      <c r="CK331" s="9"/>
      <c r="CL331" s="9"/>
      <c r="CM331" s="9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</row>
    <row r="332" spans="1:118" ht="18" customHeight="1" x14ac:dyDescent="0.25">
      <c r="A332" s="5"/>
      <c r="B332" s="2"/>
      <c r="C332" s="2"/>
      <c r="D332" s="203"/>
      <c r="E332" s="2"/>
      <c r="F332" s="2"/>
      <c r="G332" s="2"/>
      <c r="H332" s="2"/>
      <c r="I332" s="11"/>
      <c r="J332" s="11"/>
      <c r="K332" s="5"/>
      <c r="L332" s="5"/>
      <c r="M332" s="5"/>
      <c r="N332" s="8"/>
      <c r="O332" s="8"/>
      <c r="P332" s="8"/>
      <c r="Q332" s="5"/>
      <c r="R332" s="8"/>
      <c r="S332" s="8"/>
      <c r="T332" s="8"/>
      <c r="U332" s="5"/>
      <c r="V332" s="8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  <c r="CE332" s="9"/>
      <c r="CF332" s="9"/>
      <c r="CG332" s="9"/>
      <c r="CH332" s="9"/>
      <c r="CI332" s="9"/>
      <c r="CJ332" s="9"/>
      <c r="CK332" s="9"/>
      <c r="CL332" s="9"/>
      <c r="CM332" s="9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</row>
    <row r="333" spans="1:118" ht="18" customHeight="1" x14ac:dyDescent="0.25">
      <c r="A333" s="5"/>
      <c r="B333" s="2"/>
      <c r="C333" s="2"/>
      <c r="D333" s="203"/>
      <c r="E333" s="2"/>
      <c r="F333" s="2"/>
      <c r="G333" s="2"/>
      <c r="H333" s="2"/>
      <c r="I333" s="11"/>
      <c r="J333" s="11"/>
      <c r="K333" s="5"/>
      <c r="L333" s="5"/>
      <c r="M333" s="5"/>
      <c r="N333" s="8"/>
      <c r="O333" s="8"/>
      <c r="P333" s="8"/>
      <c r="Q333" s="5"/>
      <c r="R333" s="8"/>
      <c r="S333" s="8"/>
      <c r="T333" s="8"/>
      <c r="U333" s="5"/>
      <c r="V333" s="8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  <c r="CE333" s="9"/>
      <c r="CF333" s="9"/>
      <c r="CG333" s="9"/>
      <c r="CH333" s="9"/>
      <c r="CI333" s="9"/>
      <c r="CJ333" s="9"/>
      <c r="CK333" s="9"/>
      <c r="CL333" s="9"/>
      <c r="CM333" s="9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</row>
    <row r="334" spans="1:118" ht="18" customHeight="1" x14ac:dyDescent="0.25">
      <c r="A334" s="5"/>
      <c r="B334" s="2"/>
      <c r="C334" s="2"/>
      <c r="D334" s="203"/>
      <c r="E334" s="2"/>
      <c r="F334" s="2"/>
      <c r="G334" s="2"/>
      <c r="H334" s="2"/>
      <c r="I334" s="11"/>
      <c r="J334" s="11"/>
      <c r="K334" s="5"/>
      <c r="L334" s="5"/>
      <c r="M334" s="5"/>
      <c r="N334" s="8"/>
      <c r="O334" s="8"/>
      <c r="P334" s="8"/>
      <c r="Q334" s="5"/>
      <c r="R334" s="8"/>
      <c r="S334" s="8"/>
      <c r="T334" s="8"/>
      <c r="U334" s="5"/>
      <c r="V334" s="8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  <c r="CE334" s="9"/>
      <c r="CF334" s="9"/>
      <c r="CG334" s="9"/>
      <c r="CH334" s="9"/>
      <c r="CI334" s="9"/>
      <c r="CJ334" s="9"/>
      <c r="CK334" s="9"/>
      <c r="CL334" s="9"/>
      <c r="CM334" s="9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</row>
    <row r="335" spans="1:118" ht="18" customHeight="1" x14ac:dyDescent="0.25">
      <c r="A335" s="5"/>
      <c r="B335" s="2"/>
      <c r="C335" s="2"/>
      <c r="D335" s="203"/>
      <c r="E335" s="2"/>
      <c r="F335" s="2"/>
      <c r="G335" s="2"/>
      <c r="H335" s="2"/>
      <c r="I335" s="11"/>
      <c r="J335" s="11"/>
      <c r="K335" s="5"/>
      <c r="L335" s="5"/>
      <c r="M335" s="5"/>
      <c r="N335" s="8"/>
      <c r="O335" s="8"/>
      <c r="P335" s="8"/>
      <c r="Q335" s="5"/>
      <c r="R335" s="8"/>
      <c r="S335" s="8"/>
      <c r="T335" s="8"/>
      <c r="U335" s="5"/>
      <c r="V335" s="8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  <c r="CE335" s="9"/>
      <c r="CF335" s="9"/>
      <c r="CG335" s="9"/>
      <c r="CH335" s="9"/>
      <c r="CI335" s="9"/>
      <c r="CJ335" s="9"/>
      <c r="CK335" s="9"/>
      <c r="CL335" s="9"/>
      <c r="CM335" s="9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</row>
    <row r="336" spans="1:118" ht="18" customHeight="1" x14ac:dyDescent="0.25">
      <c r="A336" s="5"/>
      <c r="B336" s="2"/>
      <c r="C336" s="2"/>
      <c r="D336" s="203"/>
      <c r="E336" s="2"/>
      <c r="F336" s="2"/>
      <c r="G336" s="2"/>
      <c r="H336" s="2"/>
      <c r="I336" s="11"/>
      <c r="J336" s="11"/>
      <c r="K336" s="5"/>
      <c r="L336" s="5"/>
      <c r="M336" s="5"/>
      <c r="N336" s="8"/>
      <c r="O336" s="8"/>
      <c r="P336" s="8"/>
      <c r="Q336" s="5"/>
      <c r="R336" s="8"/>
      <c r="S336" s="8"/>
      <c r="T336" s="8"/>
      <c r="U336" s="5"/>
      <c r="V336" s="8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  <c r="CE336" s="9"/>
      <c r="CF336" s="9"/>
      <c r="CG336" s="9"/>
      <c r="CH336" s="9"/>
      <c r="CI336" s="9"/>
      <c r="CJ336" s="9"/>
      <c r="CK336" s="9"/>
      <c r="CL336" s="9"/>
      <c r="CM336" s="9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</row>
    <row r="337" spans="1:118" ht="18" customHeight="1" x14ac:dyDescent="0.25">
      <c r="A337" s="5"/>
      <c r="B337" s="2"/>
      <c r="C337" s="2"/>
      <c r="D337" s="203"/>
      <c r="E337" s="2"/>
      <c r="F337" s="2"/>
      <c r="G337" s="2"/>
      <c r="H337" s="2"/>
      <c r="I337" s="11"/>
      <c r="J337" s="11"/>
      <c r="K337" s="5"/>
      <c r="L337" s="5"/>
      <c r="M337" s="5"/>
      <c r="N337" s="8"/>
      <c r="O337" s="8"/>
      <c r="P337" s="8"/>
      <c r="Q337" s="5"/>
      <c r="R337" s="8"/>
      <c r="S337" s="8"/>
      <c r="T337" s="8"/>
      <c r="U337" s="5"/>
      <c r="V337" s="8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9"/>
      <c r="CF337" s="9"/>
      <c r="CG337" s="9"/>
      <c r="CH337" s="9"/>
      <c r="CI337" s="9"/>
      <c r="CJ337" s="9"/>
      <c r="CK337" s="9"/>
      <c r="CL337" s="9"/>
      <c r="CM337" s="9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</row>
    <row r="338" spans="1:118" ht="18" customHeight="1" x14ac:dyDescent="0.25">
      <c r="A338" s="5"/>
      <c r="B338" s="2"/>
      <c r="C338" s="2"/>
      <c r="D338" s="203"/>
      <c r="E338" s="2"/>
      <c r="F338" s="2"/>
      <c r="G338" s="2"/>
      <c r="H338" s="2"/>
      <c r="I338" s="11"/>
      <c r="J338" s="11"/>
      <c r="K338" s="5"/>
      <c r="L338" s="5"/>
      <c r="M338" s="5"/>
      <c r="N338" s="8"/>
      <c r="O338" s="8"/>
      <c r="P338" s="8"/>
      <c r="Q338" s="5"/>
      <c r="R338" s="8"/>
      <c r="S338" s="8"/>
      <c r="T338" s="8"/>
      <c r="U338" s="5"/>
      <c r="V338" s="8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  <c r="CE338" s="9"/>
      <c r="CF338" s="9"/>
      <c r="CG338" s="9"/>
      <c r="CH338" s="9"/>
      <c r="CI338" s="9"/>
      <c r="CJ338" s="9"/>
      <c r="CK338" s="9"/>
      <c r="CL338" s="9"/>
      <c r="CM338" s="9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</row>
    <row r="339" spans="1:118" ht="18" customHeight="1" x14ac:dyDescent="0.25">
      <c r="A339" s="5"/>
      <c r="B339" s="2"/>
      <c r="C339" s="2"/>
      <c r="D339" s="203"/>
      <c r="E339" s="2"/>
      <c r="F339" s="2"/>
      <c r="G339" s="2"/>
      <c r="H339" s="2"/>
      <c r="I339" s="11"/>
      <c r="J339" s="11"/>
      <c r="K339" s="5"/>
      <c r="L339" s="5"/>
      <c r="M339" s="5"/>
      <c r="N339" s="8"/>
      <c r="O339" s="8"/>
      <c r="P339" s="8"/>
      <c r="Q339" s="5"/>
      <c r="R339" s="8"/>
      <c r="S339" s="8"/>
      <c r="T339" s="8"/>
      <c r="U339" s="5"/>
      <c r="V339" s="8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  <c r="CE339" s="9"/>
      <c r="CF339" s="9"/>
      <c r="CG339" s="9"/>
      <c r="CH339" s="9"/>
      <c r="CI339" s="9"/>
      <c r="CJ339" s="9"/>
      <c r="CK339" s="9"/>
      <c r="CL339" s="9"/>
      <c r="CM339" s="9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</row>
    <row r="340" spans="1:118" ht="18" customHeight="1" x14ac:dyDescent="0.25">
      <c r="A340" s="5"/>
      <c r="B340" s="2"/>
      <c r="C340" s="2"/>
      <c r="D340" s="203"/>
      <c r="E340" s="2"/>
      <c r="F340" s="2"/>
      <c r="G340" s="2"/>
      <c r="H340" s="2"/>
      <c r="I340" s="11"/>
      <c r="J340" s="11"/>
      <c r="K340" s="5"/>
      <c r="L340" s="5"/>
      <c r="M340" s="5"/>
      <c r="N340" s="8"/>
      <c r="O340" s="8"/>
      <c r="P340" s="8"/>
      <c r="Q340" s="5"/>
      <c r="R340" s="8"/>
      <c r="S340" s="8"/>
      <c r="T340" s="8"/>
      <c r="U340" s="5"/>
      <c r="V340" s="8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  <c r="CE340" s="9"/>
      <c r="CF340" s="9"/>
      <c r="CG340" s="9"/>
      <c r="CH340" s="9"/>
      <c r="CI340" s="9"/>
      <c r="CJ340" s="9"/>
      <c r="CK340" s="9"/>
      <c r="CL340" s="9"/>
      <c r="CM340" s="9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</row>
    <row r="341" spans="1:118" ht="18" customHeight="1" x14ac:dyDescent="0.25">
      <c r="A341" s="5"/>
      <c r="B341" s="2"/>
      <c r="C341" s="2"/>
      <c r="D341" s="203"/>
      <c r="E341" s="2"/>
      <c r="F341" s="2"/>
      <c r="G341" s="2"/>
      <c r="H341" s="2"/>
      <c r="I341" s="11"/>
      <c r="J341" s="11"/>
      <c r="K341" s="5"/>
      <c r="L341" s="5"/>
      <c r="M341" s="5"/>
      <c r="N341" s="8"/>
      <c r="O341" s="8"/>
      <c r="P341" s="8"/>
      <c r="Q341" s="5"/>
      <c r="R341" s="8"/>
      <c r="S341" s="8"/>
      <c r="T341" s="8"/>
      <c r="U341" s="5"/>
      <c r="V341" s="8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  <c r="CE341" s="9"/>
      <c r="CF341" s="9"/>
      <c r="CG341" s="9"/>
      <c r="CH341" s="9"/>
      <c r="CI341" s="9"/>
      <c r="CJ341" s="9"/>
      <c r="CK341" s="9"/>
      <c r="CL341" s="9"/>
      <c r="CM341" s="9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</row>
    <row r="342" spans="1:118" ht="18" customHeight="1" x14ac:dyDescent="0.25">
      <c r="A342" s="5"/>
      <c r="B342" s="2"/>
      <c r="C342" s="2"/>
      <c r="D342" s="203"/>
      <c r="E342" s="2"/>
      <c r="F342" s="2"/>
      <c r="G342" s="2"/>
      <c r="H342" s="2"/>
      <c r="I342" s="11"/>
      <c r="J342" s="11"/>
      <c r="K342" s="5"/>
      <c r="L342" s="5"/>
      <c r="M342" s="5"/>
      <c r="N342" s="8"/>
      <c r="O342" s="8"/>
      <c r="P342" s="8"/>
      <c r="Q342" s="5"/>
      <c r="R342" s="8"/>
      <c r="S342" s="8"/>
      <c r="T342" s="8"/>
      <c r="U342" s="5"/>
      <c r="V342" s="8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9"/>
      <c r="CE342" s="9"/>
      <c r="CF342" s="9"/>
      <c r="CG342" s="9"/>
      <c r="CH342" s="9"/>
      <c r="CI342" s="9"/>
      <c r="CJ342" s="9"/>
      <c r="CK342" s="9"/>
      <c r="CL342" s="9"/>
      <c r="CM342" s="9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</row>
    <row r="343" spans="1:118" ht="18" customHeight="1" x14ac:dyDescent="0.25">
      <c r="A343" s="5"/>
      <c r="B343" s="2"/>
      <c r="C343" s="2"/>
      <c r="D343" s="203"/>
      <c r="E343" s="2"/>
      <c r="F343" s="2"/>
      <c r="G343" s="2"/>
      <c r="H343" s="2"/>
      <c r="I343" s="11"/>
      <c r="J343" s="11"/>
      <c r="K343" s="5"/>
      <c r="L343" s="5"/>
      <c r="M343" s="5"/>
      <c r="N343" s="8"/>
      <c r="O343" s="8"/>
      <c r="P343" s="8"/>
      <c r="Q343" s="5"/>
      <c r="R343" s="8"/>
      <c r="S343" s="8"/>
      <c r="T343" s="8"/>
      <c r="U343" s="5"/>
      <c r="V343" s="8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9"/>
      <c r="CE343" s="9"/>
      <c r="CF343" s="9"/>
      <c r="CG343" s="9"/>
      <c r="CH343" s="9"/>
      <c r="CI343" s="9"/>
      <c r="CJ343" s="9"/>
      <c r="CK343" s="9"/>
      <c r="CL343" s="9"/>
      <c r="CM343" s="9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</row>
    <row r="344" spans="1:118" ht="18" customHeight="1" x14ac:dyDescent="0.25">
      <c r="A344" s="5"/>
      <c r="B344" s="2"/>
      <c r="C344" s="2"/>
      <c r="D344" s="203"/>
      <c r="E344" s="2"/>
      <c r="F344" s="2"/>
      <c r="G344" s="2"/>
      <c r="H344" s="2"/>
      <c r="I344" s="11"/>
      <c r="J344" s="11"/>
      <c r="K344" s="5"/>
      <c r="L344" s="5"/>
      <c r="M344" s="5"/>
      <c r="N344" s="8"/>
      <c r="O344" s="8"/>
      <c r="P344" s="8"/>
      <c r="Q344" s="5"/>
      <c r="R344" s="8"/>
      <c r="S344" s="8"/>
      <c r="T344" s="8"/>
      <c r="U344" s="5"/>
      <c r="V344" s="8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9"/>
      <c r="CE344" s="9"/>
      <c r="CF344" s="9"/>
      <c r="CG344" s="9"/>
      <c r="CH344" s="9"/>
      <c r="CI344" s="9"/>
      <c r="CJ344" s="9"/>
      <c r="CK344" s="9"/>
      <c r="CL344" s="9"/>
      <c r="CM344" s="9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</row>
    <row r="345" spans="1:118" ht="18" customHeight="1" x14ac:dyDescent="0.25">
      <c r="A345" s="5"/>
      <c r="B345" s="2"/>
      <c r="C345" s="2"/>
      <c r="D345" s="203"/>
      <c r="E345" s="2"/>
      <c r="F345" s="2"/>
      <c r="G345" s="2"/>
      <c r="H345" s="2"/>
      <c r="I345" s="11"/>
      <c r="J345" s="11"/>
      <c r="K345" s="5"/>
      <c r="L345" s="5"/>
      <c r="M345" s="5"/>
      <c r="N345" s="8"/>
      <c r="O345" s="8"/>
      <c r="P345" s="8"/>
      <c r="Q345" s="5"/>
      <c r="R345" s="8"/>
      <c r="S345" s="8"/>
      <c r="T345" s="8"/>
      <c r="U345" s="5"/>
      <c r="V345" s="8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9"/>
      <c r="CE345" s="9"/>
      <c r="CF345" s="9"/>
      <c r="CG345" s="9"/>
      <c r="CH345" s="9"/>
      <c r="CI345" s="9"/>
      <c r="CJ345" s="9"/>
      <c r="CK345" s="9"/>
      <c r="CL345" s="9"/>
      <c r="CM345" s="9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</row>
    <row r="346" spans="1:118" ht="18" customHeight="1" x14ac:dyDescent="0.25">
      <c r="A346" s="5"/>
      <c r="B346" s="2"/>
      <c r="C346" s="2"/>
      <c r="D346" s="203"/>
      <c r="E346" s="2"/>
      <c r="F346" s="2"/>
      <c r="G346" s="2"/>
      <c r="H346" s="2"/>
      <c r="I346" s="11"/>
      <c r="J346" s="11"/>
      <c r="K346" s="5"/>
      <c r="L346" s="5"/>
      <c r="M346" s="5"/>
      <c r="N346" s="8"/>
      <c r="O346" s="8"/>
      <c r="P346" s="8"/>
      <c r="Q346" s="5"/>
      <c r="R346" s="8"/>
      <c r="S346" s="8"/>
      <c r="T346" s="8"/>
      <c r="U346" s="5"/>
      <c r="V346" s="8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9"/>
      <c r="CE346" s="9"/>
      <c r="CF346" s="9"/>
      <c r="CG346" s="9"/>
      <c r="CH346" s="9"/>
      <c r="CI346" s="9"/>
      <c r="CJ346" s="9"/>
      <c r="CK346" s="9"/>
      <c r="CL346" s="9"/>
      <c r="CM346" s="9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</row>
    <row r="347" spans="1:118" ht="18" customHeight="1" x14ac:dyDescent="0.25">
      <c r="A347" s="5"/>
      <c r="B347" s="2"/>
      <c r="C347" s="2"/>
      <c r="D347" s="203"/>
      <c r="E347" s="2"/>
      <c r="F347" s="2"/>
      <c r="G347" s="2"/>
      <c r="H347" s="2"/>
      <c r="I347" s="11"/>
      <c r="J347" s="11"/>
      <c r="K347" s="5"/>
      <c r="L347" s="5"/>
      <c r="M347" s="5"/>
      <c r="N347" s="8"/>
      <c r="O347" s="8"/>
      <c r="P347" s="8"/>
      <c r="Q347" s="5"/>
      <c r="R347" s="8"/>
      <c r="S347" s="8"/>
      <c r="T347" s="8"/>
      <c r="U347" s="5"/>
      <c r="V347" s="8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9"/>
      <c r="CE347" s="9"/>
      <c r="CF347" s="9"/>
      <c r="CG347" s="9"/>
      <c r="CH347" s="9"/>
      <c r="CI347" s="9"/>
      <c r="CJ347" s="9"/>
      <c r="CK347" s="9"/>
      <c r="CL347" s="9"/>
      <c r="CM347" s="9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</row>
    <row r="348" spans="1:118" ht="18" customHeight="1" x14ac:dyDescent="0.25">
      <c r="A348" s="5"/>
      <c r="B348" s="2"/>
      <c r="C348" s="2"/>
      <c r="D348" s="203"/>
      <c r="E348" s="2"/>
      <c r="F348" s="2"/>
      <c r="G348" s="2"/>
      <c r="H348" s="2"/>
      <c r="I348" s="11"/>
      <c r="J348" s="11"/>
      <c r="K348" s="5"/>
      <c r="L348" s="5"/>
      <c r="M348" s="5"/>
      <c r="N348" s="8"/>
      <c r="O348" s="8"/>
      <c r="P348" s="8"/>
      <c r="Q348" s="5"/>
      <c r="R348" s="8"/>
      <c r="S348" s="8"/>
      <c r="T348" s="8"/>
      <c r="U348" s="5"/>
      <c r="V348" s="8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9"/>
      <c r="CE348" s="9"/>
      <c r="CF348" s="9"/>
      <c r="CG348" s="9"/>
      <c r="CH348" s="9"/>
      <c r="CI348" s="9"/>
      <c r="CJ348" s="9"/>
      <c r="CK348" s="9"/>
      <c r="CL348" s="9"/>
      <c r="CM348" s="9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</row>
    <row r="349" spans="1:118" ht="18" customHeight="1" x14ac:dyDescent="0.25">
      <c r="A349" s="5"/>
      <c r="B349" s="2"/>
      <c r="C349" s="2"/>
      <c r="D349" s="203"/>
      <c r="E349" s="2"/>
      <c r="F349" s="2"/>
      <c r="G349" s="2"/>
      <c r="H349" s="2"/>
      <c r="I349" s="11"/>
      <c r="J349" s="11"/>
      <c r="K349" s="5"/>
      <c r="L349" s="5"/>
      <c r="M349" s="5"/>
      <c r="N349" s="8"/>
      <c r="O349" s="8"/>
      <c r="P349" s="8"/>
      <c r="Q349" s="5"/>
      <c r="R349" s="8"/>
      <c r="S349" s="8"/>
      <c r="T349" s="8"/>
      <c r="U349" s="5"/>
      <c r="V349" s="8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9"/>
      <c r="CE349" s="9"/>
      <c r="CF349" s="9"/>
      <c r="CG349" s="9"/>
      <c r="CH349" s="9"/>
      <c r="CI349" s="9"/>
      <c r="CJ349" s="9"/>
      <c r="CK349" s="9"/>
      <c r="CL349" s="9"/>
      <c r="CM349" s="9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</row>
    <row r="350" spans="1:118" ht="18" customHeight="1" x14ac:dyDescent="0.25">
      <c r="A350" s="5"/>
      <c r="B350" s="2"/>
      <c r="C350" s="2"/>
      <c r="D350" s="203"/>
      <c r="E350" s="2"/>
      <c r="F350" s="2"/>
      <c r="G350" s="2"/>
      <c r="H350" s="2"/>
      <c r="I350" s="11"/>
      <c r="J350" s="11"/>
      <c r="K350" s="5"/>
      <c r="L350" s="5"/>
      <c r="M350" s="5"/>
      <c r="N350" s="8"/>
      <c r="O350" s="8"/>
      <c r="P350" s="8"/>
      <c r="Q350" s="5"/>
      <c r="R350" s="8"/>
      <c r="S350" s="8"/>
      <c r="T350" s="8"/>
      <c r="U350" s="5"/>
      <c r="V350" s="8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9"/>
      <c r="CE350" s="9"/>
      <c r="CF350" s="9"/>
      <c r="CG350" s="9"/>
      <c r="CH350" s="9"/>
      <c r="CI350" s="9"/>
      <c r="CJ350" s="9"/>
      <c r="CK350" s="9"/>
      <c r="CL350" s="9"/>
      <c r="CM350" s="9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</row>
    <row r="351" spans="1:118" ht="18" customHeight="1" x14ac:dyDescent="0.25">
      <c r="A351" s="5"/>
      <c r="B351" s="2"/>
      <c r="C351" s="2"/>
      <c r="D351" s="203"/>
      <c r="E351" s="2"/>
      <c r="F351" s="2"/>
      <c r="G351" s="2"/>
      <c r="H351" s="2"/>
      <c r="I351" s="11"/>
      <c r="J351" s="11"/>
      <c r="K351" s="5"/>
      <c r="L351" s="5"/>
      <c r="M351" s="5"/>
      <c r="N351" s="8"/>
      <c r="O351" s="8"/>
      <c r="P351" s="8"/>
      <c r="Q351" s="5"/>
      <c r="R351" s="8"/>
      <c r="S351" s="8"/>
      <c r="T351" s="8"/>
      <c r="U351" s="5"/>
      <c r="V351" s="8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9"/>
      <c r="CE351" s="9"/>
      <c r="CF351" s="9"/>
      <c r="CG351" s="9"/>
      <c r="CH351" s="9"/>
      <c r="CI351" s="9"/>
      <c r="CJ351" s="9"/>
      <c r="CK351" s="9"/>
      <c r="CL351" s="9"/>
      <c r="CM351" s="9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</row>
    <row r="352" spans="1:118" ht="18" customHeight="1" x14ac:dyDescent="0.25">
      <c r="A352" s="5"/>
      <c r="B352" s="2"/>
      <c r="C352" s="2"/>
      <c r="D352" s="203"/>
      <c r="E352" s="2"/>
      <c r="F352" s="2"/>
      <c r="G352" s="2"/>
      <c r="H352" s="2"/>
      <c r="I352" s="11"/>
      <c r="J352" s="11"/>
      <c r="K352" s="5"/>
      <c r="L352" s="5"/>
      <c r="M352" s="5"/>
      <c r="N352" s="8"/>
      <c r="O352" s="8"/>
      <c r="P352" s="8"/>
      <c r="Q352" s="5"/>
      <c r="R352" s="8"/>
      <c r="S352" s="8"/>
      <c r="T352" s="8"/>
      <c r="U352" s="5"/>
      <c r="V352" s="8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9"/>
      <c r="CE352" s="9"/>
      <c r="CF352" s="9"/>
      <c r="CG352" s="9"/>
      <c r="CH352" s="9"/>
      <c r="CI352" s="9"/>
      <c r="CJ352" s="9"/>
      <c r="CK352" s="9"/>
      <c r="CL352" s="9"/>
      <c r="CM352" s="9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</row>
    <row r="353" spans="1:118" ht="18" customHeight="1" x14ac:dyDescent="0.25">
      <c r="A353" s="5"/>
      <c r="B353" s="2"/>
      <c r="C353" s="2"/>
      <c r="D353" s="203"/>
      <c r="E353" s="2"/>
      <c r="F353" s="2"/>
      <c r="G353" s="2"/>
      <c r="H353" s="2"/>
      <c r="I353" s="11"/>
      <c r="J353" s="11"/>
      <c r="K353" s="5"/>
      <c r="L353" s="5"/>
      <c r="M353" s="5"/>
      <c r="N353" s="8"/>
      <c r="O353" s="8"/>
      <c r="P353" s="8"/>
      <c r="Q353" s="5"/>
      <c r="R353" s="8"/>
      <c r="S353" s="8"/>
      <c r="T353" s="8"/>
      <c r="U353" s="5"/>
      <c r="V353" s="8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9"/>
      <c r="CE353" s="9"/>
      <c r="CF353" s="9"/>
      <c r="CG353" s="9"/>
      <c r="CH353" s="9"/>
      <c r="CI353" s="9"/>
      <c r="CJ353" s="9"/>
      <c r="CK353" s="9"/>
      <c r="CL353" s="9"/>
      <c r="CM353" s="9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</row>
    <row r="354" spans="1:118" ht="18" customHeight="1" x14ac:dyDescent="0.25">
      <c r="A354" s="5"/>
      <c r="B354" s="2"/>
      <c r="C354" s="2"/>
      <c r="D354" s="203"/>
      <c r="E354" s="2"/>
      <c r="F354" s="2"/>
      <c r="G354" s="2"/>
      <c r="H354" s="2"/>
      <c r="I354" s="11"/>
      <c r="J354" s="11"/>
      <c r="K354" s="5"/>
      <c r="L354" s="5"/>
      <c r="M354" s="5"/>
      <c r="N354" s="8"/>
      <c r="O354" s="8"/>
      <c r="P354" s="8"/>
      <c r="Q354" s="5"/>
      <c r="R354" s="8"/>
      <c r="S354" s="8"/>
      <c r="T354" s="8"/>
      <c r="U354" s="5"/>
      <c r="V354" s="8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9"/>
      <c r="CE354" s="9"/>
      <c r="CF354" s="9"/>
      <c r="CG354" s="9"/>
      <c r="CH354" s="9"/>
      <c r="CI354" s="9"/>
      <c r="CJ354" s="9"/>
      <c r="CK354" s="9"/>
      <c r="CL354" s="9"/>
      <c r="CM354" s="9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</row>
    <row r="355" spans="1:118" ht="18" customHeight="1" x14ac:dyDescent="0.25">
      <c r="A355" s="5"/>
      <c r="B355" s="2"/>
      <c r="C355" s="2"/>
      <c r="D355" s="203"/>
      <c r="E355" s="2"/>
      <c r="F355" s="2"/>
      <c r="G355" s="2"/>
      <c r="H355" s="2"/>
      <c r="I355" s="11"/>
      <c r="J355" s="11"/>
      <c r="K355" s="5"/>
      <c r="L355" s="5"/>
      <c r="M355" s="5"/>
      <c r="N355" s="8"/>
      <c r="O355" s="8"/>
      <c r="P355" s="8"/>
      <c r="Q355" s="5"/>
      <c r="R355" s="8"/>
      <c r="S355" s="8"/>
      <c r="T355" s="8"/>
      <c r="U355" s="5"/>
      <c r="V355" s="8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9"/>
      <c r="CE355" s="9"/>
      <c r="CF355" s="9"/>
      <c r="CG355" s="9"/>
      <c r="CH355" s="9"/>
      <c r="CI355" s="9"/>
      <c r="CJ355" s="9"/>
      <c r="CK355" s="9"/>
      <c r="CL355" s="9"/>
      <c r="CM355" s="9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</row>
    <row r="356" spans="1:118" ht="18" customHeight="1" x14ac:dyDescent="0.25">
      <c r="A356" s="5"/>
      <c r="B356" s="2"/>
      <c r="C356" s="2"/>
      <c r="D356" s="203"/>
      <c r="E356" s="2"/>
      <c r="F356" s="2"/>
      <c r="G356" s="2"/>
      <c r="H356" s="2"/>
      <c r="I356" s="11"/>
      <c r="J356" s="11"/>
      <c r="K356" s="5"/>
      <c r="L356" s="5"/>
      <c r="M356" s="5"/>
      <c r="N356" s="8"/>
      <c r="O356" s="8"/>
      <c r="P356" s="8"/>
      <c r="Q356" s="5"/>
      <c r="R356" s="8"/>
      <c r="S356" s="8"/>
      <c r="T356" s="8"/>
      <c r="U356" s="5"/>
      <c r="V356" s="8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9"/>
      <c r="CE356" s="9"/>
      <c r="CF356" s="9"/>
      <c r="CG356" s="9"/>
      <c r="CH356" s="9"/>
      <c r="CI356" s="9"/>
      <c r="CJ356" s="9"/>
      <c r="CK356" s="9"/>
      <c r="CL356" s="9"/>
      <c r="CM356" s="9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</row>
    <row r="357" spans="1:118" ht="18" customHeight="1" x14ac:dyDescent="0.25">
      <c r="A357" s="5"/>
      <c r="B357" s="2"/>
      <c r="C357" s="2"/>
      <c r="D357" s="203"/>
      <c r="E357" s="2"/>
      <c r="F357" s="2"/>
      <c r="G357" s="2"/>
      <c r="H357" s="2"/>
      <c r="I357" s="11"/>
      <c r="J357" s="11"/>
      <c r="K357" s="5"/>
      <c r="L357" s="5"/>
      <c r="M357" s="5"/>
      <c r="N357" s="8"/>
      <c r="O357" s="8"/>
      <c r="P357" s="8"/>
      <c r="Q357" s="5"/>
      <c r="R357" s="8"/>
      <c r="S357" s="8"/>
      <c r="T357" s="8"/>
      <c r="U357" s="5"/>
      <c r="V357" s="8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9"/>
      <c r="CE357" s="9"/>
      <c r="CF357" s="9"/>
      <c r="CG357" s="9"/>
      <c r="CH357" s="9"/>
      <c r="CI357" s="9"/>
      <c r="CJ357" s="9"/>
      <c r="CK357" s="9"/>
      <c r="CL357" s="9"/>
      <c r="CM357" s="9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</row>
    <row r="358" spans="1:118" ht="18" customHeight="1" x14ac:dyDescent="0.25">
      <c r="A358" s="5"/>
      <c r="B358" s="2"/>
      <c r="C358" s="2"/>
      <c r="D358" s="203"/>
      <c r="E358" s="2"/>
      <c r="F358" s="2"/>
      <c r="G358" s="2"/>
      <c r="H358" s="2"/>
      <c r="I358" s="11"/>
      <c r="J358" s="11"/>
      <c r="K358" s="5"/>
      <c r="L358" s="5"/>
      <c r="M358" s="5"/>
      <c r="N358" s="8"/>
      <c r="O358" s="8"/>
      <c r="P358" s="8"/>
      <c r="Q358" s="5"/>
      <c r="R358" s="8"/>
      <c r="S358" s="8"/>
      <c r="T358" s="8"/>
      <c r="U358" s="5"/>
      <c r="V358" s="8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9"/>
      <c r="CE358" s="9"/>
      <c r="CF358" s="9"/>
      <c r="CG358" s="9"/>
      <c r="CH358" s="9"/>
      <c r="CI358" s="9"/>
      <c r="CJ358" s="9"/>
      <c r="CK358" s="9"/>
      <c r="CL358" s="9"/>
      <c r="CM358" s="9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</row>
    <row r="359" spans="1:118" ht="18" customHeight="1" x14ac:dyDescent="0.25">
      <c r="A359" s="5"/>
      <c r="B359" s="2"/>
      <c r="C359" s="2"/>
      <c r="D359" s="203"/>
      <c r="E359" s="2"/>
      <c r="F359" s="2"/>
      <c r="G359" s="2"/>
      <c r="H359" s="2"/>
      <c r="I359" s="11"/>
      <c r="J359" s="11"/>
      <c r="K359" s="5"/>
      <c r="L359" s="5"/>
      <c r="M359" s="5"/>
      <c r="N359" s="8"/>
      <c r="O359" s="8"/>
      <c r="P359" s="8"/>
      <c r="Q359" s="5"/>
      <c r="R359" s="8"/>
      <c r="S359" s="8"/>
      <c r="T359" s="8"/>
      <c r="U359" s="5"/>
      <c r="V359" s="8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9"/>
      <c r="CE359" s="9"/>
      <c r="CF359" s="9"/>
      <c r="CG359" s="9"/>
      <c r="CH359" s="9"/>
      <c r="CI359" s="9"/>
      <c r="CJ359" s="9"/>
      <c r="CK359" s="9"/>
      <c r="CL359" s="9"/>
      <c r="CM359" s="9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</row>
    <row r="360" spans="1:118" ht="18" customHeight="1" x14ac:dyDescent="0.25">
      <c r="A360" s="5"/>
      <c r="B360" s="2"/>
      <c r="C360" s="2"/>
      <c r="D360" s="203"/>
      <c r="E360" s="2"/>
      <c r="F360" s="2"/>
      <c r="G360" s="2"/>
      <c r="H360" s="2"/>
      <c r="I360" s="11"/>
      <c r="J360" s="11"/>
      <c r="K360" s="5"/>
      <c r="L360" s="5"/>
      <c r="M360" s="5"/>
      <c r="N360" s="8"/>
      <c r="O360" s="8"/>
      <c r="P360" s="8"/>
      <c r="Q360" s="5"/>
      <c r="R360" s="8"/>
      <c r="S360" s="8"/>
      <c r="T360" s="8"/>
      <c r="U360" s="5"/>
      <c r="V360" s="8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9"/>
      <c r="CE360" s="9"/>
      <c r="CF360" s="9"/>
      <c r="CG360" s="9"/>
      <c r="CH360" s="9"/>
      <c r="CI360" s="9"/>
      <c r="CJ360" s="9"/>
      <c r="CK360" s="9"/>
      <c r="CL360" s="9"/>
      <c r="CM360" s="9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</row>
    <row r="361" spans="1:118" ht="18" customHeight="1" x14ac:dyDescent="0.25">
      <c r="A361" s="5"/>
      <c r="B361" s="2"/>
      <c r="C361" s="2"/>
      <c r="D361" s="203"/>
      <c r="E361" s="2"/>
      <c r="F361" s="2"/>
      <c r="G361" s="2"/>
      <c r="H361" s="2"/>
      <c r="I361" s="11"/>
      <c r="J361" s="11"/>
      <c r="K361" s="5"/>
      <c r="L361" s="5"/>
      <c r="M361" s="5"/>
      <c r="N361" s="8"/>
      <c r="O361" s="8"/>
      <c r="P361" s="8"/>
      <c r="Q361" s="5"/>
      <c r="R361" s="8"/>
      <c r="S361" s="8"/>
      <c r="T361" s="8"/>
      <c r="U361" s="5"/>
      <c r="V361" s="8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9"/>
      <c r="CE361" s="9"/>
      <c r="CF361" s="9"/>
      <c r="CG361" s="9"/>
      <c r="CH361" s="9"/>
      <c r="CI361" s="9"/>
      <c r="CJ361" s="9"/>
      <c r="CK361" s="9"/>
      <c r="CL361" s="9"/>
      <c r="CM361" s="9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</row>
    <row r="362" spans="1:118" ht="18" customHeight="1" x14ac:dyDescent="0.25">
      <c r="A362" s="5"/>
      <c r="B362" s="2"/>
      <c r="C362" s="2"/>
      <c r="D362" s="203"/>
      <c r="E362" s="2"/>
      <c r="F362" s="2"/>
      <c r="G362" s="2"/>
      <c r="H362" s="2"/>
      <c r="I362" s="11"/>
      <c r="J362" s="11"/>
      <c r="K362" s="5"/>
      <c r="L362" s="5"/>
      <c r="M362" s="5"/>
      <c r="N362" s="8"/>
      <c r="O362" s="8"/>
      <c r="P362" s="8"/>
      <c r="Q362" s="5"/>
      <c r="R362" s="8"/>
      <c r="S362" s="8"/>
      <c r="T362" s="8"/>
      <c r="U362" s="5"/>
      <c r="V362" s="8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9"/>
      <c r="CE362" s="9"/>
      <c r="CF362" s="9"/>
      <c r="CG362" s="9"/>
      <c r="CH362" s="9"/>
      <c r="CI362" s="9"/>
      <c r="CJ362" s="9"/>
      <c r="CK362" s="9"/>
      <c r="CL362" s="9"/>
      <c r="CM362" s="9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</row>
    <row r="363" spans="1:118" ht="18" customHeight="1" x14ac:dyDescent="0.25">
      <c r="A363" s="5"/>
      <c r="B363" s="2"/>
      <c r="C363" s="2"/>
      <c r="D363" s="203"/>
      <c r="E363" s="2"/>
      <c r="F363" s="2"/>
      <c r="G363" s="2"/>
      <c r="H363" s="2"/>
      <c r="I363" s="11"/>
      <c r="J363" s="11"/>
      <c r="K363" s="5"/>
      <c r="L363" s="5"/>
      <c r="M363" s="5"/>
      <c r="N363" s="8"/>
      <c r="O363" s="8"/>
      <c r="P363" s="8"/>
      <c r="Q363" s="5"/>
      <c r="R363" s="8"/>
      <c r="S363" s="8"/>
      <c r="T363" s="8"/>
      <c r="U363" s="5"/>
      <c r="V363" s="8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9"/>
      <c r="CE363" s="9"/>
      <c r="CF363" s="9"/>
      <c r="CG363" s="9"/>
      <c r="CH363" s="9"/>
      <c r="CI363" s="9"/>
      <c r="CJ363" s="9"/>
      <c r="CK363" s="9"/>
      <c r="CL363" s="9"/>
      <c r="CM363" s="9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</row>
    <row r="364" spans="1:118" ht="18" customHeight="1" x14ac:dyDescent="0.25">
      <c r="A364" s="5"/>
      <c r="B364" s="2"/>
      <c r="C364" s="2"/>
      <c r="D364" s="203"/>
      <c r="E364" s="2"/>
      <c r="F364" s="2"/>
      <c r="G364" s="2"/>
      <c r="H364" s="2"/>
      <c r="I364" s="11"/>
      <c r="J364" s="11"/>
      <c r="K364" s="5"/>
      <c r="L364" s="5"/>
      <c r="M364" s="5"/>
      <c r="N364" s="8"/>
      <c r="O364" s="8"/>
      <c r="P364" s="8"/>
      <c r="Q364" s="5"/>
      <c r="R364" s="8"/>
      <c r="S364" s="8"/>
      <c r="T364" s="8"/>
      <c r="U364" s="5"/>
      <c r="V364" s="8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9"/>
      <c r="CE364" s="9"/>
      <c r="CF364" s="9"/>
      <c r="CG364" s="9"/>
      <c r="CH364" s="9"/>
      <c r="CI364" s="9"/>
      <c r="CJ364" s="9"/>
      <c r="CK364" s="9"/>
      <c r="CL364" s="9"/>
      <c r="CM364" s="9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</row>
    <row r="365" spans="1:118" ht="18" customHeight="1" x14ac:dyDescent="0.25">
      <c r="A365" s="5"/>
      <c r="B365" s="2"/>
      <c r="C365" s="2"/>
      <c r="D365" s="203"/>
      <c r="E365" s="2"/>
      <c r="F365" s="2"/>
      <c r="G365" s="2"/>
      <c r="H365" s="2"/>
      <c r="I365" s="11"/>
      <c r="J365" s="11"/>
      <c r="K365" s="5"/>
      <c r="L365" s="5"/>
      <c r="M365" s="5"/>
      <c r="N365" s="8"/>
      <c r="O365" s="8"/>
      <c r="P365" s="8"/>
      <c r="Q365" s="5"/>
      <c r="R365" s="8"/>
      <c r="S365" s="8"/>
      <c r="T365" s="8"/>
      <c r="U365" s="5"/>
      <c r="V365" s="8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9"/>
      <c r="CE365" s="9"/>
      <c r="CF365" s="9"/>
      <c r="CG365" s="9"/>
      <c r="CH365" s="9"/>
      <c r="CI365" s="9"/>
      <c r="CJ365" s="9"/>
      <c r="CK365" s="9"/>
      <c r="CL365" s="9"/>
      <c r="CM365" s="9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</row>
    <row r="366" spans="1:118" ht="18" customHeight="1" x14ac:dyDescent="0.25">
      <c r="A366" s="5"/>
      <c r="B366" s="2"/>
      <c r="C366" s="2"/>
      <c r="D366" s="203"/>
      <c r="E366" s="2"/>
      <c r="F366" s="2"/>
      <c r="G366" s="2"/>
      <c r="H366" s="2"/>
      <c r="I366" s="11"/>
      <c r="J366" s="11"/>
      <c r="K366" s="5"/>
      <c r="L366" s="5"/>
      <c r="M366" s="5"/>
      <c r="N366" s="8"/>
      <c r="O366" s="8"/>
      <c r="P366" s="8"/>
      <c r="Q366" s="5"/>
      <c r="R366" s="8"/>
      <c r="S366" s="8"/>
      <c r="T366" s="8"/>
      <c r="U366" s="5"/>
      <c r="V366" s="8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9"/>
      <c r="CE366" s="9"/>
      <c r="CF366" s="9"/>
      <c r="CG366" s="9"/>
      <c r="CH366" s="9"/>
      <c r="CI366" s="9"/>
      <c r="CJ366" s="9"/>
      <c r="CK366" s="9"/>
      <c r="CL366" s="9"/>
      <c r="CM366" s="9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</row>
    <row r="367" spans="1:118" ht="18" customHeight="1" x14ac:dyDescent="0.25">
      <c r="A367" s="5"/>
      <c r="B367" s="2"/>
      <c r="C367" s="2"/>
      <c r="D367" s="203"/>
      <c r="E367" s="2"/>
      <c r="F367" s="2"/>
      <c r="G367" s="2"/>
      <c r="H367" s="2"/>
      <c r="I367" s="11"/>
      <c r="J367" s="11"/>
      <c r="K367" s="5"/>
      <c r="L367" s="5"/>
      <c r="M367" s="5"/>
      <c r="N367" s="8"/>
      <c r="O367" s="8"/>
      <c r="P367" s="8"/>
      <c r="Q367" s="5"/>
      <c r="R367" s="8"/>
      <c r="S367" s="8"/>
      <c r="T367" s="8"/>
      <c r="U367" s="5"/>
      <c r="V367" s="8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  <c r="CE367" s="9"/>
      <c r="CF367" s="9"/>
      <c r="CG367" s="9"/>
      <c r="CH367" s="9"/>
      <c r="CI367" s="9"/>
      <c r="CJ367" s="9"/>
      <c r="CK367" s="9"/>
      <c r="CL367" s="9"/>
      <c r="CM367" s="9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</row>
    <row r="368" spans="1:118" ht="18" customHeight="1" x14ac:dyDescent="0.25">
      <c r="A368" s="5"/>
      <c r="B368" s="2"/>
      <c r="C368" s="2"/>
      <c r="D368" s="203"/>
      <c r="E368" s="2"/>
      <c r="F368" s="2"/>
      <c r="G368" s="2"/>
      <c r="H368" s="2"/>
      <c r="I368" s="11"/>
      <c r="J368" s="11"/>
      <c r="K368" s="5"/>
      <c r="L368" s="5"/>
      <c r="M368" s="5"/>
      <c r="N368" s="8"/>
      <c r="O368" s="8"/>
      <c r="P368" s="8"/>
      <c r="Q368" s="5"/>
      <c r="R368" s="8"/>
      <c r="S368" s="8"/>
      <c r="T368" s="8"/>
      <c r="U368" s="5"/>
      <c r="V368" s="8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9"/>
      <c r="CE368" s="9"/>
      <c r="CF368" s="9"/>
      <c r="CG368" s="9"/>
      <c r="CH368" s="9"/>
      <c r="CI368" s="9"/>
      <c r="CJ368" s="9"/>
      <c r="CK368" s="9"/>
      <c r="CL368" s="9"/>
      <c r="CM368" s="9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</row>
    <row r="369" spans="1:118" ht="18" customHeight="1" x14ac:dyDescent="0.25">
      <c r="A369" s="5"/>
      <c r="B369" s="2"/>
      <c r="C369" s="2"/>
      <c r="D369" s="203"/>
      <c r="E369" s="2"/>
      <c r="F369" s="2"/>
      <c r="G369" s="2"/>
      <c r="H369" s="2"/>
      <c r="I369" s="11"/>
      <c r="J369" s="11"/>
      <c r="K369" s="5"/>
      <c r="L369" s="5"/>
      <c r="M369" s="5"/>
      <c r="N369" s="8"/>
      <c r="O369" s="8"/>
      <c r="P369" s="8"/>
      <c r="Q369" s="5"/>
      <c r="R369" s="8"/>
      <c r="S369" s="8"/>
      <c r="T369" s="8"/>
      <c r="U369" s="5"/>
      <c r="V369" s="8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9"/>
      <c r="CE369" s="9"/>
      <c r="CF369" s="9"/>
      <c r="CG369" s="9"/>
      <c r="CH369" s="9"/>
      <c r="CI369" s="9"/>
      <c r="CJ369" s="9"/>
      <c r="CK369" s="9"/>
      <c r="CL369" s="9"/>
      <c r="CM369" s="9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</row>
    <row r="370" spans="1:118" ht="18" customHeight="1" x14ac:dyDescent="0.25">
      <c r="A370" s="5"/>
      <c r="B370" s="2"/>
      <c r="C370" s="2"/>
      <c r="D370" s="203"/>
      <c r="E370" s="2"/>
      <c r="F370" s="2"/>
      <c r="G370" s="2"/>
      <c r="H370" s="2"/>
      <c r="I370" s="11"/>
      <c r="J370" s="11"/>
      <c r="K370" s="5"/>
      <c r="L370" s="5"/>
      <c r="M370" s="5"/>
      <c r="N370" s="8"/>
      <c r="O370" s="8"/>
      <c r="P370" s="8"/>
      <c r="Q370" s="5"/>
      <c r="R370" s="8"/>
      <c r="S370" s="8"/>
      <c r="T370" s="8"/>
      <c r="U370" s="5"/>
      <c r="V370" s="8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9"/>
      <c r="CE370" s="9"/>
      <c r="CF370" s="9"/>
      <c r="CG370" s="9"/>
      <c r="CH370" s="9"/>
      <c r="CI370" s="9"/>
      <c r="CJ370" s="9"/>
      <c r="CK370" s="9"/>
      <c r="CL370" s="9"/>
      <c r="CM370" s="9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</row>
    <row r="371" spans="1:118" ht="18" customHeight="1" x14ac:dyDescent="0.25">
      <c r="A371" s="5"/>
      <c r="B371" s="2"/>
      <c r="C371" s="2"/>
      <c r="D371" s="203"/>
      <c r="E371" s="2"/>
      <c r="F371" s="2"/>
      <c r="G371" s="2"/>
      <c r="H371" s="2"/>
      <c r="I371" s="11"/>
      <c r="J371" s="11"/>
      <c r="K371" s="5"/>
      <c r="L371" s="5"/>
      <c r="M371" s="5"/>
      <c r="N371" s="8"/>
      <c r="O371" s="8"/>
      <c r="P371" s="8"/>
      <c r="Q371" s="5"/>
      <c r="R371" s="8"/>
      <c r="S371" s="8"/>
      <c r="T371" s="8"/>
      <c r="U371" s="5"/>
      <c r="V371" s="8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/>
      <c r="BB371" s="9"/>
      <c r="BC371" s="9"/>
      <c r="BD371" s="9"/>
      <c r="BE371" s="9"/>
      <c r="BF371" s="9"/>
      <c r="BG371" s="9"/>
      <c r="BH371" s="9"/>
      <c r="BI371" s="9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9"/>
      <c r="CE371" s="9"/>
      <c r="CF371" s="9"/>
      <c r="CG371" s="9"/>
      <c r="CH371" s="9"/>
      <c r="CI371" s="9"/>
      <c r="CJ371" s="9"/>
      <c r="CK371" s="9"/>
      <c r="CL371" s="9"/>
      <c r="CM371" s="9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</row>
    <row r="372" spans="1:118" ht="18" customHeight="1" x14ac:dyDescent="0.25">
      <c r="A372" s="5"/>
      <c r="B372" s="2"/>
      <c r="C372" s="2"/>
      <c r="D372" s="203"/>
      <c r="E372" s="2"/>
      <c r="F372" s="2"/>
      <c r="G372" s="2"/>
      <c r="H372" s="2"/>
      <c r="I372" s="11"/>
      <c r="J372" s="11"/>
      <c r="K372" s="5"/>
      <c r="L372" s="5"/>
      <c r="M372" s="5"/>
      <c r="N372" s="8"/>
      <c r="O372" s="8"/>
      <c r="P372" s="8"/>
      <c r="Q372" s="5"/>
      <c r="R372" s="8"/>
      <c r="S372" s="8"/>
      <c r="T372" s="8"/>
      <c r="U372" s="5"/>
      <c r="V372" s="8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/>
      <c r="BB372" s="9"/>
      <c r="BC372" s="9"/>
      <c r="BD372" s="9"/>
      <c r="BE372" s="9"/>
      <c r="BF372" s="9"/>
      <c r="BG372" s="9"/>
      <c r="BH372" s="9"/>
      <c r="BI372" s="9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9"/>
      <c r="CE372" s="9"/>
      <c r="CF372" s="9"/>
      <c r="CG372" s="9"/>
      <c r="CH372" s="9"/>
      <c r="CI372" s="9"/>
      <c r="CJ372" s="9"/>
      <c r="CK372" s="9"/>
      <c r="CL372" s="9"/>
      <c r="CM372" s="9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</row>
    <row r="373" spans="1:118" ht="18" customHeight="1" x14ac:dyDescent="0.25">
      <c r="A373" s="5"/>
      <c r="B373" s="2"/>
      <c r="C373" s="2"/>
      <c r="D373" s="203"/>
      <c r="E373" s="2"/>
      <c r="F373" s="2"/>
      <c r="G373" s="2"/>
      <c r="H373" s="2"/>
      <c r="I373" s="11"/>
      <c r="J373" s="11"/>
      <c r="K373" s="5"/>
      <c r="L373" s="5"/>
      <c r="M373" s="5"/>
      <c r="N373" s="8"/>
      <c r="O373" s="8"/>
      <c r="P373" s="8"/>
      <c r="Q373" s="5"/>
      <c r="R373" s="8"/>
      <c r="S373" s="8"/>
      <c r="T373" s="8"/>
      <c r="U373" s="5"/>
      <c r="V373" s="8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/>
      <c r="BB373" s="9"/>
      <c r="BC373" s="9"/>
      <c r="BD373" s="9"/>
      <c r="BE373" s="9"/>
      <c r="BF373" s="9"/>
      <c r="BG373" s="9"/>
      <c r="BH373" s="9"/>
      <c r="BI373" s="9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9"/>
      <c r="CE373" s="9"/>
      <c r="CF373" s="9"/>
      <c r="CG373" s="9"/>
      <c r="CH373" s="9"/>
      <c r="CI373" s="9"/>
      <c r="CJ373" s="9"/>
      <c r="CK373" s="9"/>
      <c r="CL373" s="9"/>
      <c r="CM373" s="9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</row>
    <row r="374" spans="1:118" ht="18" customHeight="1" x14ac:dyDescent="0.25">
      <c r="A374" s="5"/>
      <c r="B374" s="2"/>
      <c r="C374" s="2"/>
      <c r="D374" s="203"/>
      <c r="E374" s="2"/>
      <c r="F374" s="2"/>
      <c r="G374" s="2"/>
      <c r="H374" s="2"/>
      <c r="I374" s="11"/>
      <c r="J374" s="11"/>
      <c r="K374" s="5"/>
      <c r="L374" s="5"/>
      <c r="M374" s="5"/>
      <c r="N374" s="8"/>
      <c r="O374" s="8"/>
      <c r="P374" s="8"/>
      <c r="Q374" s="5"/>
      <c r="R374" s="8"/>
      <c r="S374" s="8"/>
      <c r="T374" s="8"/>
      <c r="U374" s="5"/>
      <c r="V374" s="8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  <c r="BF374" s="9"/>
      <c r="BG374" s="9"/>
      <c r="BH374" s="9"/>
      <c r="BI374" s="9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9"/>
      <c r="CE374" s="9"/>
      <c r="CF374" s="9"/>
      <c r="CG374" s="9"/>
      <c r="CH374" s="9"/>
      <c r="CI374" s="9"/>
      <c r="CJ374" s="9"/>
      <c r="CK374" s="9"/>
      <c r="CL374" s="9"/>
      <c r="CM374" s="9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</row>
    <row r="375" spans="1:118" ht="18" customHeight="1" x14ac:dyDescent="0.25">
      <c r="A375" s="5"/>
      <c r="B375" s="2"/>
      <c r="C375" s="2"/>
      <c r="D375" s="203"/>
      <c r="E375" s="2"/>
      <c r="F375" s="2"/>
      <c r="G375" s="2"/>
      <c r="H375" s="2"/>
      <c r="I375" s="11"/>
      <c r="J375" s="11"/>
      <c r="K375" s="5"/>
      <c r="L375" s="5"/>
      <c r="M375" s="5"/>
      <c r="N375" s="8"/>
      <c r="O375" s="8"/>
      <c r="P375" s="8"/>
      <c r="Q375" s="5"/>
      <c r="R375" s="8"/>
      <c r="S375" s="8"/>
      <c r="T375" s="8"/>
      <c r="U375" s="5"/>
      <c r="V375" s="8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/>
      <c r="BB375" s="9"/>
      <c r="BC375" s="9"/>
      <c r="BD375" s="9"/>
      <c r="BE375" s="9"/>
      <c r="BF375" s="9"/>
      <c r="BG375" s="9"/>
      <c r="BH375" s="9"/>
      <c r="BI375" s="9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9"/>
      <c r="CE375" s="9"/>
      <c r="CF375" s="9"/>
      <c r="CG375" s="9"/>
      <c r="CH375" s="9"/>
      <c r="CI375" s="9"/>
      <c r="CJ375" s="9"/>
      <c r="CK375" s="9"/>
      <c r="CL375" s="9"/>
      <c r="CM375" s="9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</row>
    <row r="376" spans="1:118" ht="18" customHeight="1" x14ac:dyDescent="0.25">
      <c r="A376" s="5"/>
      <c r="B376" s="2"/>
      <c r="C376" s="2"/>
      <c r="D376" s="203"/>
      <c r="E376" s="2"/>
      <c r="F376" s="2"/>
      <c r="G376" s="2"/>
      <c r="H376" s="2"/>
      <c r="I376" s="11"/>
      <c r="J376" s="11"/>
      <c r="K376" s="5"/>
      <c r="L376" s="5"/>
      <c r="M376" s="5"/>
      <c r="N376" s="8"/>
      <c r="O376" s="8"/>
      <c r="P376" s="8"/>
      <c r="Q376" s="5"/>
      <c r="R376" s="8"/>
      <c r="S376" s="8"/>
      <c r="T376" s="8"/>
      <c r="U376" s="5"/>
      <c r="V376" s="8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  <c r="CE376" s="9"/>
      <c r="CF376" s="9"/>
      <c r="CG376" s="9"/>
      <c r="CH376" s="9"/>
      <c r="CI376" s="9"/>
      <c r="CJ376" s="9"/>
      <c r="CK376" s="9"/>
      <c r="CL376" s="9"/>
      <c r="CM376" s="9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</row>
    <row r="377" spans="1:118" ht="18" customHeight="1" x14ac:dyDescent="0.25">
      <c r="A377" s="5"/>
      <c r="B377" s="2"/>
      <c r="C377" s="2"/>
      <c r="D377" s="203"/>
      <c r="E377" s="2"/>
      <c r="F377" s="2"/>
      <c r="G377" s="2"/>
      <c r="H377" s="2"/>
      <c r="I377" s="11"/>
      <c r="J377" s="11"/>
      <c r="K377" s="5"/>
      <c r="L377" s="5"/>
      <c r="M377" s="5"/>
      <c r="N377" s="8"/>
      <c r="O377" s="8"/>
      <c r="P377" s="8"/>
      <c r="Q377" s="5"/>
      <c r="R377" s="8"/>
      <c r="S377" s="8"/>
      <c r="T377" s="8"/>
      <c r="U377" s="5"/>
      <c r="V377" s="8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  <c r="CE377" s="9"/>
      <c r="CF377" s="9"/>
      <c r="CG377" s="9"/>
      <c r="CH377" s="9"/>
      <c r="CI377" s="9"/>
      <c r="CJ377" s="9"/>
      <c r="CK377" s="9"/>
      <c r="CL377" s="9"/>
      <c r="CM377" s="9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</row>
  </sheetData>
  <sheetProtection formatColumns="0" formatRows="0"/>
  <mergeCells count="144">
    <mergeCell ref="H56:J56"/>
    <mergeCell ref="N145:O145"/>
    <mergeCell ref="H125:J125"/>
    <mergeCell ref="H99:J99"/>
    <mergeCell ref="H97:J97"/>
    <mergeCell ref="G88:J88"/>
    <mergeCell ref="H160:J160"/>
    <mergeCell ref="G161:J161"/>
    <mergeCell ref="G131:J131"/>
    <mergeCell ref="G134:J134"/>
    <mergeCell ref="G135:J135"/>
    <mergeCell ref="G136:J136"/>
    <mergeCell ref="H92:J92"/>
    <mergeCell ref="G129:J129"/>
    <mergeCell ref="H100:J100"/>
    <mergeCell ref="H111:J111"/>
    <mergeCell ref="H116:J116"/>
    <mergeCell ref="G140:J140"/>
    <mergeCell ref="H103:J103"/>
    <mergeCell ref="H105:J105"/>
    <mergeCell ref="H112:J112"/>
    <mergeCell ref="H121:J121"/>
    <mergeCell ref="H94:J94"/>
    <mergeCell ref="H95:J95"/>
    <mergeCell ref="N70:O70"/>
    <mergeCell ref="G159:J159"/>
    <mergeCell ref="H101:J101"/>
    <mergeCell ref="H102:J102"/>
    <mergeCell ref="H107:J107"/>
    <mergeCell ref="H115:J115"/>
    <mergeCell ref="H127:J127"/>
    <mergeCell ref="H189:J189"/>
    <mergeCell ref="H190:J190"/>
    <mergeCell ref="H186:J186"/>
    <mergeCell ref="H187:J187"/>
    <mergeCell ref="H163:J163"/>
    <mergeCell ref="G151:J151"/>
    <mergeCell ref="H154:J154"/>
    <mergeCell ref="H123:J123"/>
    <mergeCell ref="H110:J110"/>
    <mergeCell ref="H188:J188"/>
    <mergeCell ref="G138:J138"/>
    <mergeCell ref="G137:J137"/>
    <mergeCell ref="G132:J132"/>
    <mergeCell ref="H150:J150"/>
    <mergeCell ref="G133:J133"/>
    <mergeCell ref="H119:J119"/>
    <mergeCell ref="H104:J104"/>
    <mergeCell ref="H113:J113"/>
    <mergeCell ref="H114:J114"/>
    <mergeCell ref="R20:S20"/>
    <mergeCell ref="R70:S70"/>
    <mergeCell ref="R145:S145"/>
    <mergeCell ref="R170:S170"/>
    <mergeCell ref="R181:S181"/>
    <mergeCell ref="G173:J173"/>
    <mergeCell ref="H174:J174"/>
    <mergeCell ref="H175:J175"/>
    <mergeCell ref="H176:J176"/>
    <mergeCell ref="H180:J180"/>
    <mergeCell ref="N181:O181"/>
    <mergeCell ref="G148:J148"/>
    <mergeCell ref="H149:J149"/>
    <mergeCell ref="G32:J32"/>
    <mergeCell ref="H89:J89"/>
    <mergeCell ref="G24:I24"/>
    <mergeCell ref="G29:I29"/>
    <mergeCell ref="H50:J50"/>
    <mergeCell ref="H59:J59"/>
    <mergeCell ref="H69:J69"/>
    <mergeCell ref="H61:J61"/>
    <mergeCell ref="H98:J98"/>
    <mergeCell ref="H83:J83"/>
    <mergeCell ref="H62:J62"/>
    <mergeCell ref="V181:W181"/>
    <mergeCell ref="N170:O170"/>
    <mergeCell ref="V170:W170"/>
    <mergeCell ref="H152:J152"/>
    <mergeCell ref="G156:J156"/>
    <mergeCell ref="G81:J81"/>
    <mergeCell ref="H124:J124"/>
    <mergeCell ref="H122:J122"/>
    <mergeCell ref="H84:J84"/>
    <mergeCell ref="H108:J108"/>
    <mergeCell ref="H106:J106"/>
    <mergeCell ref="H109:J109"/>
    <mergeCell ref="H120:J120"/>
    <mergeCell ref="G93:J93"/>
    <mergeCell ref="H144:J144"/>
    <mergeCell ref="H117:J117"/>
    <mergeCell ref="H118:J118"/>
    <mergeCell ref="H87:J87"/>
    <mergeCell ref="H169:J169"/>
    <mergeCell ref="G165:J165"/>
    <mergeCell ref="V145:W145"/>
    <mergeCell ref="H162:J162"/>
    <mergeCell ref="H36:J36"/>
    <mergeCell ref="G28:I28"/>
    <mergeCell ref="H46:J46"/>
    <mergeCell ref="V70:W70"/>
    <mergeCell ref="G48:J48"/>
    <mergeCell ref="H96:J96"/>
    <mergeCell ref="G53:J53"/>
    <mergeCell ref="H49:J49"/>
    <mergeCell ref="H76:J76"/>
    <mergeCell ref="H51:J51"/>
    <mergeCell ref="H63:J63"/>
    <mergeCell ref="G74:J74"/>
    <mergeCell ref="G78:J78"/>
    <mergeCell ref="H80:J80"/>
    <mergeCell ref="H82:J82"/>
    <mergeCell ref="H75:J75"/>
    <mergeCell ref="H60:J60"/>
    <mergeCell ref="H52:J52"/>
    <mergeCell ref="H79:J79"/>
    <mergeCell ref="H58:J58"/>
    <mergeCell ref="G65:J65"/>
    <mergeCell ref="H77:J77"/>
    <mergeCell ref="H57:J57"/>
    <mergeCell ref="H54:J54"/>
    <mergeCell ref="H126:J126"/>
    <mergeCell ref="H153:J153"/>
    <mergeCell ref="H55:J55"/>
    <mergeCell ref="H35:J35"/>
    <mergeCell ref="G7:X7"/>
    <mergeCell ref="G8:X8"/>
    <mergeCell ref="G41:J41"/>
    <mergeCell ref="G47:J47"/>
    <mergeCell ref="L17:W18"/>
    <mergeCell ref="N20:O20"/>
    <mergeCell ref="V20:W20"/>
    <mergeCell ref="H38:J38"/>
    <mergeCell ref="H39:J39"/>
    <mergeCell ref="G23:J23"/>
    <mergeCell ref="G33:J33"/>
    <mergeCell ref="G43:J43"/>
    <mergeCell ref="G31:J31"/>
    <mergeCell ref="H34:J34"/>
    <mergeCell ref="G37:J37"/>
    <mergeCell ref="H45:J45"/>
    <mergeCell ref="G27:I27"/>
    <mergeCell ref="G25:I25"/>
    <mergeCell ref="G26:I26"/>
    <mergeCell ref="H44:J44"/>
  </mergeCells>
  <conditionalFormatting sqref="O40">
    <cfRule type="expression" dxfId="585" priority="2893">
      <formula>O40="ì"</formula>
    </cfRule>
    <cfRule type="expression" dxfId="584" priority="2894">
      <formula>O40="î"</formula>
    </cfRule>
    <cfRule type="expression" dxfId="583" priority="2895">
      <formula>O40="è"</formula>
    </cfRule>
  </conditionalFormatting>
  <conditionalFormatting sqref="W40">
    <cfRule type="expression" dxfId="582" priority="2896">
      <formula>W40="ì"</formula>
    </cfRule>
    <cfRule type="expression" dxfId="581" priority="2897">
      <formula>W40="î"</formula>
    </cfRule>
    <cfRule type="expression" dxfId="580" priority="2898">
      <formula>W40="è"</formula>
    </cfRule>
  </conditionalFormatting>
  <conditionalFormatting sqref="O41">
    <cfRule type="expression" dxfId="579" priority="2146">
      <formula>O41&gt;0</formula>
    </cfRule>
    <cfRule type="expression" dxfId="578" priority="2149">
      <formula>O41&lt;0</formula>
    </cfRule>
  </conditionalFormatting>
  <conditionalFormatting sqref="N70 V70 O38:O39 S38:S39 W38:W39">
    <cfRule type="expression" dxfId="577" priority="2119">
      <formula>N38&lt;0</formula>
    </cfRule>
    <cfRule type="expression" dxfId="576" priority="2120">
      <formula>N38&gt;0</formula>
    </cfRule>
  </conditionalFormatting>
  <conditionalFormatting sqref="O65">
    <cfRule type="expression" dxfId="575" priority="1680">
      <formula>O65&lt;0</formula>
    </cfRule>
    <cfRule type="expression" dxfId="574" priority="1681">
      <formula>O65&gt;0</formula>
    </cfRule>
  </conditionalFormatting>
  <conditionalFormatting sqref="O69">
    <cfRule type="expression" dxfId="573" priority="1251">
      <formula>O69&gt;0</formula>
    </cfRule>
    <cfRule type="expression" dxfId="572" priority="1252">
      <formula>O69&lt;0</formula>
    </cfRule>
  </conditionalFormatting>
  <conditionalFormatting sqref="O34 O36">
    <cfRule type="expression" dxfId="571" priority="1183">
      <formula>O34&lt;0</formula>
    </cfRule>
    <cfRule type="expression" dxfId="570" priority="1184">
      <formula>O34&gt;0</formula>
    </cfRule>
  </conditionalFormatting>
  <conditionalFormatting sqref="O23">
    <cfRule type="expression" dxfId="569" priority="1181">
      <formula>O23&gt;0</formula>
    </cfRule>
    <cfRule type="expression" dxfId="568" priority="1182">
      <formula>O23&lt;0</formula>
    </cfRule>
  </conditionalFormatting>
  <conditionalFormatting sqref="O44 S160 O160 W160 O63 O57 S63 S57 W63 W57 W97:W100 S97:S100 O97:O100 W113:W114 O113:O114 S113:S114 W116 O116:O118 S116:S118 S108:S111 O108:O111 W109:W111">
    <cfRule type="expression" dxfId="567" priority="1169">
      <formula>O44&gt;0</formula>
    </cfRule>
    <cfRule type="expression" dxfId="566" priority="1170">
      <formula>O44&lt;0</formula>
    </cfRule>
  </conditionalFormatting>
  <conditionalFormatting sqref="O43">
    <cfRule type="expression" dxfId="565" priority="1167">
      <formula>O43&lt;0</formula>
    </cfRule>
    <cfRule type="expression" dxfId="564" priority="1168">
      <formula>O43&gt;0</formula>
    </cfRule>
  </conditionalFormatting>
  <conditionalFormatting sqref="O45:O46">
    <cfRule type="expression" dxfId="563" priority="1163">
      <formula>O45&gt;0</formula>
    </cfRule>
    <cfRule type="expression" dxfId="562" priority="1164">
      <formula>O45&lt;0</formula>
    </cfRule>
  </conditionalFormatting>
  <conditionalFormatting sqref="O59:O60">
    <cfRule type="expression" dxfId="561" priority="1153">
      <formula>O59&gt;0</formula>
    </cfRule>
    <cfRule type="expression" dxfId="560" priority="1154">
      <formula>O59&lt;0</formula>
    </cfRule>
  </conditionalFormatting>
  <conditionalFormatting sqref="O64">
    <cfRule type="expression" dxfId="559" priority="1135">
      <formula>O64="ì"</formula>
    </cfRule>
    <cfRule type="expression" dxfId="558" priority="1136">
      <formula>O64="î"</formula>
    </cfRule>
    <cfRule type="expression" dxfId="557" priority="1137">
      <formula>O64="è"</formula>
    </cfRule>
  </conditionalFormatting>
  <conditionalFormatting sqref="W64">
    <cfRule type="expression" dxfId="556" priority="1138">
      <formula>W64="ì"</formula>
    </cfRule>
    <cfRule type="expression" dxfId="555" priority="1139">
      <formula>W64="î"</formula>
    </cfRule>
    <cfRule type="expression" dxfId="554" priority="1140">
      <formula>W64="è"</formula>
    </cfRule>
  </conditionalFormatting>
  <conditionalFormatting sqref="O129">
    <cfRule type="expression" dxfId="553" priority="1093">
      <formula>O129&lt;0</formula>
    </cfRule>
    <cfRule type="expression" dxfId="552" priority="1094">
      <formula>O129&gt;0</formula>
    </cfRule>
  </conditionalFormatting>
  <conditionalFormatting sqref="O128">
    <cfRule type="expression" dxfId="551" priority="1085">
      <formula>O128="ì"</formula>
    </cfRule>
    <cfRule type="expression" dxfId="550" priority="1086">
      <formula>O128="î"</formula>
    </cfRule>
    <cfRule type="expression" dxfId="549" priority="1087">
      <formula>O128="è"</formula>
    </cfRule>
  </conditionalFormatting>
  <conditionalFormatting sqref="W128">
    <cfRule type="expression" dxfId="548" priority="1088">
      <formula>W128="ì"</formula>
    </cfRule>
    <cfRule type="expression" dxfId="547" priority="1089">
      <formula>W128="î"</formula>
    </cfRule>
    <cfRule type="expression" dxfId="546" priority="1090">
      <formula>W128="è"</formula>
    </cfRule>
  </conditionalFormatting>
  <conditionalFormatting sqref="O154">
    <cfRule type="expression" dxfId="545" priority="1077">
      <formula>O154&gt;0</formula>
    </cfRule>
    <cfRule type="expression" dxfId="544" priority="1078">
      <formula>O154&lt;0</formula>
    </cfRule>
  </conditionalFormatting>
  <conditionalFormatting sqref="O151">
    <cfRule type="expression" dxfId="543" priority="1075">
      <formula>O151&lt;0</formula>
    </cfRule>
    <cfRule type="expression" dxfId="542" priority="1076">
      <formula>O151&gt;0</formula>
    </cfRule>
  </conditionalFormatting>
  <conditionalFormatting sqref="O152">
    <cfRule type="expression" dxfId="541" priority="1071">
      <formula>O152&gt;0</formula>
    </cfRule>
    <cfRule type="expression" dxfId="540" priority="1072">
      <formula>O152&lt;0</formula>
    </cfRule>
  </conditionalFormatting>
  <conditionalFormatting sqref="O156">
    <cfRule type="expression" dxfId="539" priority="1069">
      <formula>O156&gt;0</formula>
    </cfRule>
    <cfRule type="expression" dxfId="538" priority="1070">
      <formula>O156&lt;0</formula>
    </cfRule>
  </conditionalFormatting>
  <conditionalFormatting sqref="O155">
    <cfRule type="expression" dxfId="537" priority="1061">
      <formula>O155="ì"</formula>
    </cfRule>
    <cfRule type="expression" dxfId="536" priority="1062">
      <formula>O155="î"</formula>
    </cfRule>
    <cfRule type="expression" dxfId="535" priority="1063">
      <formula>O155="è"</formula>
    </cfRule>
  </conditionalFormatting>
  <conditionalFormatting sqref="O149:O150">
    <cfRule type="expression" dxfId="534" priority="1049">
      <formula>O149&lt;0</formula>
    </cfRule>
    <cfRule type="expression" dxfId="533" priority="1050">
      <formula>O149&gt;0</formula>
    </cfRule>
  </conditionalFormatting>
  <conditionalFormatting sqref="O165">
    <cfRule type="expression" dxfId="532" priority="1047">
      <formula>O165&gt;0</formula>
    </cfRule>
    <cfRule type="expression" dxfId="531" priority="1048">
      <formula>O165&lt;0</formula>
    </cfRule>
  </conditionalFormatting>
  <conditionalFormatting sqref="O164">
    <cfRule type="expression" dxfId="530" priority="1039">
      <formula>O164="ì"</formula>
    </cfRule>
    <cfRule type="expression" dxfId="529" priority="1040">
      <formula>O164="î"</formula>
    </cfRule>
    <cfRule type="expression" dxfId="528" priority="1041">
      <formula>O164="è"</formula>
    </cfRule>
  </conditionalFormatting>
  <conditionalFormatting sqref="O174 O176">
    <cfRule type="expression" dxfId="527" priority="1031">
      <formula>O174&lt;0</formula>
    </cfRule>
    <cfRule type="expression" dxfId="526" priority="1032">
      <formula>O174&gt;0</formula>
    </cfRule>
  </conditionalFormatting>
  <conditionalFormatting sqref="O175">
    <cfRule type="expression" dxfId="525" priority="1025">
      <formula>O175&lt;0</formula>
    </cfRule>
    <cfRule type="expression" dxfId="524" priority="1026">
      <formula>O175&gt;0</formula>
    </cfRule>
  </conditionalFormatting>
  <conditionalFormatting sqref="S40">
    <cfRule type="expression" dxfId="523" priority="1010">
      <formula>S40="ì"</formula>
    </cfRule>
    <cfRule type="expression" dxfId="522" priority="1011">
      <formula>S40="î"</formula>
    </cfRule>
    <cfRule type="expression" dxfId="521" priority="1012">
      <formula>S40="è"</formula>
    </cfRule>
  </conditionalFormatting>
  <conditionalFormatting sqref="R70">
    <cfRule type="expression" dxfId="520" priority="1006">
      <formula>R70&lt;0</formula>
    </cfRule>
    <cfRule type="expression" dxfId="519" priority="1007">
      <formula>R70&gt;0</formula>
    </cfRule>
  </conditionalFormatting>
  <conditionalFormatting sqref="S64">
    <cfRule type="expression" dxfId="518" priority="975">
      <formula>S64="ì"</formula>
    </cfRule>
    <cfRule type="expression" dxfId="517" priority="976">
      <formula>S64="î"</formula>
    </cfRule>
    <cfRule type="expression" dxfId="516" priority="977">
      <formula>S64="è"</formula>
    </cfRule>
  </conditionalFormatting>
  <conditionalFormatting sqref="S128">
    <cfRule type="expression" dxfId="515" priority="942">
      <formula>S128="ì"</formula>
    </cfRule>
    <cfRule type="expression" dxfId="514" priority="943">
      <formula>S128="î"</formula>
    </cfRule>
    <cfRule type="expression" dxfId="513" priority="944">
      <formula>S128="è"</formula>
    </cfRule>
  </conditionalFormatting>
  <conditionalFormatting sqref="S155">
    <cfRule type="expression" dxfId="512" priority="927">
      <formula>S155="ì"</formula>
    </cfRule>
    <cfRule type="expression" dxfId="511" priority="928">
      <formula>S155="î"</formula>
    </cfRule>
    <cfRule type="expression" dxfId="510" priority="929">
      <formula>S155="è"</formula>
    </cfRule>
  </conditionalFormatting>
  <conditionalFormatting sqref="S164">
    <cfRule type="expression" dxfId="509" priority="916">
      <formula>S164="ì"</formula>
    </cfRule>
    <cfRule type="expression" dxfId="508" priority="917">
      <formula>S164="î"</formula>
    </cfRule>
    <cfRule type="expression" dxfId="507" priority="918">
      <formula>S164="è"</formula>
    </cfRule>
  </conditionalFormatting>
  <conditionalFormatting sqref="S186:S190">
    <cfRule type="expression" dxfId="506" priority="900">
      <formula>S186&lt;0</formula>
    </cfRule>
    <cfRule type="expression" dxfId="505" priority="901">
      <formula>S186&gt;0</formula>
    </cfRule>
  </conditionalFormatting>
  <conditionalFormatting sqref="N170 V170">
    <cfRule type="expression" dxfId="504" priority="880">
      <formula>N170&lt;0</formula>
    </cfRule>
    <cfRule type="expression" dxfId="503" priority="881">
      <formula>N170&gt;0</formula>
    </cfRule>
  </conditionalFormatting>
  <conditionalFormatting sqref="O169">
    <cfRule type="expression" dxfId="502" priority="878">
      <formula>O169&gt;0</formula>
    </cfRule>
    <cfRule type="expression" dxfId="501" priority="879">
      <formula>O169&lt;0</formula>
    </cfRule>
  </conditionalFormatting>
  <conditionalFormatting sqref="R170">
    <cfRule type="expression" dxfId="500" priority="876">
      <formula>R170&lt;0</formula>
    </cfRule>
    <cfRule type="expression" dxfId="499" priority="877">
      <formula>R170&gt;0</formula>
    </cfRule>
  </conditionalFormatting>
  <conditionalFormatting sqref="N181 V181">
    <cfRule type="expression" dxfId="498" priority="870">
      <formula>N181&lt;0</formula>
    </cfRule>
    <cfRule type="expression" dxfId="497" priority="871">
      <formula>N181&gt;0</formula>
    </cfRule>
  </conditionalFormatting>
  <conditionalFormatting sqref="O180">
    <cfRule type="expression" dxfId="496" priority="868">
      <formula>O180&gt;0</formula>
    </cfRule>
    <cfRule type="expression" dxfId="495" priority="869">
      <formula>O180&lt;0</formula>
    </cfRule>
  </conditionalFormatting>
  <conditionalFormatting sqref="R181">
    <cfRule type="expression" dxfId="494" priority="866">
      <formula>R181&lt;0</formula>
    </cfRule>
    <cfRule type="expression" dxfId="493" priority="867">
      <formula>R181&gt;0</formula>
    </cfRule>
  </conditionalFormatting>
  <conditionalFormatting sqref="N145 V145">
    <cfRule type="expression" dxfId="492" priority="860">
      <formula>N145&lt;0</formula>
    </cfRule>
    <cfRule type="expression" dxfId="491" priority="861">
      <formula>N145&gt;0</formula>
    </cfRule>
  </conditionalFormatting>
  <conditionalFormatting sqref="O144">
    <cfRule type="expression" dxfId="490" priority="858">
      <formula>O144&gt;0</formula>
    </cfRule>
    <cfRule type="expression" dxfId="489" priority="859">
      <formula>O144&lt;0</formula>
    </cfRule>
  </conditionalFormatting>
  <conditionalFormatting sqref="R145">
    <cfRule type="expression" dxfId="488" priority="856">
      <formula>R145&lt;0</formula>
    </cfRule>
    <cfRule type="expression" dxfId="487" priority="857">
      <formula>R145&gt;0</formula>
    </cfRule>
  </conditionalFormatting>
  <conditionalFormatting sqref="O33">
    <cfRule type="expression" dxfId="486" priority="850">
      <formula>O33&gt;0</formula>
    </cfRule>
    <cfRule type="expression" dxfId="485" priority="851">
      <formula>O33&lt;0</formula>
    </cfRule>
  </conditionalFormatting>
  <conditionalFormatting sqref="O37">
    <cfRule type="expression" dxfId="484" priority="848">
      <formula>O37&gt;0</formula>
    </cfRule>
    <cfRule type="expression" dxfId="483" priority="849">
      <formula>O37&lt;0</formula>
    </cfRule>
  </conditionalFormatting>
  <conditionalFormatting sqref="O47">
    <cfRule type="expression" dxfId="482" priority="846">
      <formula>O47&lt;0</formula>
    </cfRule>
    <cfRule type="expression" dxfId="481" priority="847">
      <formula>O47&gt;0</formula>
    </cfRule>
  </conditionalFormatting>
  <conditionalFormatting sqref="O48">
    <cfRule type="expression" dxfId="480" priority="844">
      <formula>O48&lt;0</formula>
    </cfRule>
    <cfRule type="expression" dxfId="479" priority="845">
      <formula>O48&gt;0</formula>
    </cfRule>
  </conditionalFormatting>
  <conditionalFormatting sqref="O53">
    <cfRule type="expression" dxfId="478" priority="842">
      <formula>O53&lt;0</formula>
    </cfRule>
    <cfRule type="expression" dxfId="477" priority="843">
      <formula>O53&gt;0</formula>
    </cfRule>
  </conditionalFormatting>
  <conditionalFormatting sqref="O74">
    <cfRule type="expression" dxfId="476" priority="840">
      <formula>O74&lt;0</formula>
    </cfRule>
    <cfRule type="expression" dxfId="475" priority="841">
      <formula>O74&gt;0</formula>
    </cfRule>
  </conditionalFormatting>
  <conditionalFormatting sqref="O78">
    <cfRule type="expression" dxfId="474" priority="838">
      <formula>O78&lt;0</formula>
    </cfRule>
    <cfRule type="expression" dxfId="473" priority="839">
      <formula>O78&gt;0</formula>
    </cfRule>
  </conditionalFormatting>
  <conditionalFormatting sqref="O81">
    <cfRule type="expression" dxfId="472" priority="836">
      <formula>O81&lt;0</formula>
    </cfRule>
    <cfRule type="expression" dxfId="471" priority="837">
      <formula>O81&gt;0</formula>
    </cfRule>
  </conditionalFormatting>
  <conditionalFormatting sqref="O88">
    <cfRule type="expression" dxfId="470" priority="834">
      <formula>O88&lt;0</formula>
    </cfRule>
    <cfRule type="expression" dxfId="469" priority="835">
      <formula>O88&gt;0</formula>
    </cfRule>
  </conditionalFormatting>
  <conditionalFormatting sqref="O93">
    <cfRule type="expression" dxfId="468" priority="832">
      <formula>O93&lt;0</formula>
    </cfRule>
    <cfRule type="expression" dxfId="467" priority="833">
      <formula>O93&gt;0</formula>
    </cfRule>
  </conditionalFormatting>
  <conditionalFormatting sqref="O49:O50">
    <cfRule type="expression" dxfId="466" priority="830">
      <formula>O49&gt;0</formula>
    </cfRule>
    <cfRule type="expression" dxfId="465" priority="831">
      <formula>O49&lt;0</formula>
    </cfRule>
  </conditionalFormatting>
  <conditionalFormatting sqref="O75:O76">
    <cfRule type="expression" dxfId="464" priority="824">
      <formula>O75&gt;0</formula>
    </cfRule>
    <cfRule type="expression" dxfId="463" priority="825">
      <formula>O75&lt;0</formula>
    </cfRule>
  </conditionalFormatting>
  <conditionalFormatting sqref="O79:O80">
    <cfRule type="expression" dxfId="462" priority="822">
      <formula>O79&gt;0</formula>
    </cfRule>
    <cfRule type="expression" dxfId="461" priority="823">
      <formula>O79&lt;0</formula>
    </cfRule>
  </conditionalFormatting>
  <conditionalFormatting sqref="O82 O87">
    <cfRule type="expression" dxfId="460" priority="820">
      <formula>O82&gt;0</formula>
    </cfRule>
    <cfRule type="expression" dxfId="459" priority="821">
      <formula>O82&lt;0</formula>
    </cfRule>
  </conditionalFormatting>
  <conditionalFormatting sqref="O89 O92">
    <cfRule type="expression" dxfId="458" priority="818">
      <formula>O89&gt;0</formula>
    </cfRule>
    <cfRule type="expression" dxfId="457" priority="819">
      <formula>O89&lt;0</formula>
    </cfRule>
  </conditionalFormatting>
  <conditionalFormatting sqref="O125">
    <cfRule type="expression" dxfId="456" priority="816">
      <formula>O125&gt;0</formula>
    </cfRule>
    <cfRule type="expression" dxfId="455" priority="817">
      <formula>O125&lt;0</formula>
    </cfRule>
  </conditionalFormatting>
  <conditionalFormatting sqref="W155">
    <cfRule type="expression" dxfId="454" priority="731">
      <formula>W155="ì"</formula>
    </cfRule>
    <cfRule type="expression" dxfId="453" priority="732">
      <formula>W155="î"</formula>
    </cfRule>
    <cfRule type="expression" dxfId="452" priority="733">
      <formula>W155="è"</formula>
    </cfRule>
  </conditionalFormatting>
  <conditionalFormatting sqref="W164">
    <cfRule type="expression" dxfId="451" priority="720">
      <formula>W164="ì"</formula>
    </cfRule>
    <cfRule type="expression" dxfId="450" priority="721">
      <formula>W164="î"</formula>
    </cfRule>
    <cfRule type="expression" dxfId="449" priority="722">
      <formula>W164="è"</formula>
    </cfRule>
  </conditionalFormatting>
  <conditionalFormatting sqref="S34 S36">
    <cfRule type="expression" dxfId="448" priority="678">
      <formula>S34&lt;0</formula>
    </cfRule>
    <cfRule type="expression" dxfId="447" priority="679">
      <formula>S34&gt;0</formula>
    </cfRule>
  </conditionalFormatting>
  <conditionalFormatting sqref="S23">
    <cfRule type="expression" dxfId="446" priority="676">
      <formula>S23&gt;0</formula>
    </cfRule>
    <cfRule type="expression" dxfId="445" priority="677">
      <formula>S23&lt;0</formula>
    </cfRule>
  </conditionalFormatting>
  <conditionalFormatting sqref="S33">
    <cfRule type="expression" dxfId="444" priority="674">
      <formula>S33&gt;0</formula>
    </cfRule>
    <cfRule type="expression" dxfId="443" priority="675">
      <formula>S33&lt;0</formula>
    </cfRule>
  </conditionalFormatting>
  <conditionalFormatting sqref="S37">
    <cfRule type="expression" dxfId="442" priority="672">
      <formula>S37&gt;0</formula>
    </cfRule>
    <cfRule type="expression" dxfId="441" priority="673">
      <formula>S37&lt;0</formula>
    </cfRule>
  </conditionalFormatting>
  <conditionalFormatting sqref="S41">
    <cfRule type="expression" dxfId="440" priority="670">
      <formula>S41&gt;0</formula>
    </cfRule>
    <cfRule type="expression" dxfId="439" priority="671">
      <formula>S41&lt;0</formula>
    </cfRule>
  </conditionalFormatting>
  <conditionalFormatting sqref="S44">
    <cfRule type="expression" dxfId="438" priority="668">
      <formula>S44&gt;0</formula>
    </cfRule>
    <cfRule type="expression" dxfId="437" priority="669">
      <formula>S44&lt;0</formula>
    </cfRule>
  </conditionalFormatting>
  <conditionalFormatting sqref="S43">
    <cfRule type="expression" dxfId="436" priority="666">
      <formula>S43&lt;0</formula>
    </cfRule>
    <cfRule type="expression" dxfId="435" priority="667">
      <formula>S43&gt;0</formula>
    </cfRule>
  </conditionalFormatting>
  <conditionalFormatting sqref="S45">
    <cfRule type="expression" dxfId="434" priority="664">
      <formula>S45&gt;0</formula>
    </cfRule>
    <cfRule type="expression" dxfId="433" priority="665">
      <formula>S45&lt;0</formula>
    </cfRule>
  </conditionalFormatting>
  <conditionalFormatting sqref="S59:S60">
    <cfRule type="expression" dxfId="432" priority="662">
      <formula>S59&gt;0</formula>
    </cfRule>
    <cfRule type="expression" dxfId="431" priority="663">
      <formula>S59&lt;0</formula>
    </cfRule>
  </conditionalFormatting>
  <conditionalFormatting sqref="S47">
    <cfRule type="expression" dxfId="430" priority="660">
      <formula>S47&lt;0</formula>
    </cfRule>
    <cfRule type="expression" dxfId="429" priority="661">
      <formula>S47&gt;0</formula>
    </cfRule>
  </conditionalFormatting>
  <conditionalFormatting sqref="S48">
    <cfRule type="expression" dxfId="428" priority="658">
      <formula>S48&lt;0</formula>
    </cfRule>
    <cfRule type="expression" dxfId="427" priority="659">
      <formula>S48&gt;0</formula>
    </cfRule>
  </conditionalFormatting>
  <conditionalFormatting sqref="S53">
    <cfRule type="expression" dxfId="426" priority="656">
      <formula>S53&lt;0</formula>
    </cfRule>
    <cfRule type="expression" dxfId="425" priority="657">
      <formula>S53&gt;0</formula>
    </cfRule>
  </conditionalFormatting>
  <conditionalFormatting sqref="S49:S50">
    <cfRule type="expression" dxfId="424" priority="654">
      <formula>S49&gt;0</formula>
    </cfRule>
    <cfRule type="expression" dxfId="423" priority="655">
      <formula>S49&lt;0</formula>
    </cfRule>
  </conditionalFormatting>
  <conditionalFormatting sqref="S65">
    <cfRule type="expression" dxfId="422" priority="646">
      <formula>S65&lt;0</formula>
    </cfRule>
    <cfRule type="expression" dxfId="421" priority="647">
      <formula>S65&gt;0</formula>
    </cfRule>
  </conditionalFormatting>
  <conditionalFormatting sqref="S69">
    <cfRule type="expression" dxfId="420" priority="644">
      <formula>S69&gt;0</formula>
    </cfRule>
    <cfRule type="expression" dxfId="419" priority="645">
      <formula>S69&lt;0</formula>
    </cfRule>
  </conditionalFormatting>
  <conditionalFormatting sqref="S74">
    <cfRule type="expression" dxfId="418" priority="642">
      <formula>S74&lt;0</formula>
    </cfRule>
    <cfRule type="expression" dxfId="417" priority="643">
      <formula>S74&gt;0</formula>
    </cfRule>
  </conditionalFormatting>
  <conditionalFormatting sqref="S78">
    <cfRule type="expression" dxfId="416" priority="640">
      <formula>S78&lt;0</formula>
    </cfRule>
    <cfRule type="expression" dxfId="415" priority="641">
      <formula>S78&gt;0</formula>
    </cfRule>
  </conditionalFormatting>
  <conditionalFormatting sqref="S81">
    <cfRule type="expression" dxfId="414" priority="638">
      <formula>S81&lt;0</formula>
    </cfRule>
    <cfRule type="expression" dxfId="413" priority="639">
      <formula>S81&gt;0</formula>
    </cfRule>
  </conditionalFormatting>
  <conditionalFormatting sqref="S88">
    <cfRule type="expression" dxfId="412" priority="636">
      <formula>S88&lt;0</formula>
    </cfRule>
    <cfRule type="expression" dxfId="411" priority="637">
      <formula>S88&gt;0</formula>
    </cfRule>
  </conditionalFormatting>
  <conditionalFormatting sqref="S93">
    <cfRule type="expression" dxfId="410" priority="634">
      <formula>S93&lt;0</formula>
    </cfRule>
    <cfRule type="expression" dxfId="409" priority="635">
      <formula>S93&gt;0</formula>
    </cfRule>
  </conditionalFormatting>
  <conditionalFormatting sqref="S75:S76">
    <cfRule type="expression" dxfId="408" priority="632">
      <formula>S75&gt;0</formula>
    </cfRule>
    <cfRule type="expression" dxfId="407" priority="633">
      <formula>S75&lt;0</formula>
    </cfRule>
  </conditionalFormatting>
  <conditionalFormatting sqref="S79:S80">
    <cfRule type="expression" dxfId="406" priority="630">
      <formula>S79&gt;0</formula>
    </cfRule>
    <cfRule type="expression" dxfId="405" priority="631">
      <formula>S79&lt;0</formula>
    </cfRule>
  </conditionalFormatting>
  <conditionalFormatting sqref="S82 S87">
    <cfRule type="expression" dxfId="404" priority="628">
      <formula>S82&gt;0</formula>
    </cfRule>
    <cfRule type="expression" dxfId="403" priority="629">
      <formula>S82&lt;0</formula>
    </cfRule>
  </conditionalFormatting>
  <conditionalFormatting sqref="S89 S92">
    <cfRule type="expression" dxfId="402" priority="626">
      <formula>S89&gt;0</formula>
    </cfRule>
    <cfRule type="expression" dxfId="401" priority="627">
      <formula>S89&lt;0</formula>
    </cfRule>
  </conditionalFormatting>
  <conditionalFormatting sqref="S125">
    <cfRule type="expression" dxfId="400" priority="624">
      <formula>S125&gt;0</formula>
    </cfRule>
    <cfRule type="expression" dxfId="399" priority="625">
      <formula>S125&lt;0</formula>
    </cfRule>
  </conditionalFormatting>
  <conditionalFormatting sqref="S129">
    <cfRule type="expression" dxfId="398" priority="622">
      <formula>S129&lt;0</formula>
    </cfRule>
    <cfRule type="expression" dxfId="397" priority="623">
      <formula>S129&gt;0</formula>
    </cfRule>
  </conditionalFormatting>
  <conditionalFormatting sqref="S144">
    <cfRule type="expression" dxfId="396" priority="620">
      <formula>S144&gt;0</formula>
    </cfRule>
    <cfRule type="expression" dxfId="395" priority="621">
      <formula>S144&lt;0</formula>
    </cfRule>
  </conditionalFormatting>
  <conditionalFormatting sqref="S154">
    <cfRule type="expression" dxfId="394" priority="618">
      <formula>S154&gt;0</formula>
    </cfRule>
    <cfRule type="expression" dxfId="393" priority="619">
      <formula>S154&lt;0</formula>
    </cfRule>
  </conditionalFormatting>
  <conditionalFormatting sqref="S151">
    <cfRule type="expression" dxfId="392" priority="616">
      <formula>S151&lt;0</formula>
    </cfRule>
    <cfRule type="expression" dxfId="391" priority="617">
      <formula>S151&gt;0</formula>
    </cfRule>
  </conditionalFormatting>
  <conditionalFormatting sqref="S152">
    <cfRule type="expression" dxfId="390" priority="614">
      <formula>S152&gt;0</formula>
    </cfRule>
    <cfRule type="expression" dxfId="389" priority="615">
      <formula>S152&lt;0</formula>
    </cfRule>
  </conditionalFormatting>
  <conditionalFormatting sqref="S149:S150">
    <cfRule type="expression" dxfId="388" priority="610">
      <formula>S149&lt;0</formula>
    </cfRule>
    <cfRule type="expression" dxfId="387" priority="611">
      <formula>S149&gt;0</formula>
    </cfRule>
  </conditionalFormatting>
  <conditionalFormatting sqref="S156">
    <cfRule type="expression" dxfId="386" priority="608">
      <formula>S156&gt;0</formula>
    </cfRule>
    <cfRule type="expression" dxfId="385" priority="609">
      <formula>S156&lt;0</formula>
    </cfRule>
  </conditionalFormatting>
  <conditionalFormatting sqref="S165">
    <cfRule type="expression" dxfId="384" priority="604">
      <formula>S165&gt;0</formula>
    </cfRule>
    <cfRule type="expression" dxfId="383" priority="605">
      <formula>S165&lt;0</formula>
    </cfRule>
  </conditionalFormatting>
  <conditionalFormatting sqref="S169">
    <cfRule type="expression" dxfId="382" priority="602">
      <formula>S169&gt;0</formula>
    </cfRule>
    <cfRule type="expression" dxfId="381" priority="603">
      <formula>S169&lt;0</formula>
    </cfRule>
  </conditionalFormatting>
  <conditionalFormatting sqref="S174 S176">
    <cfRule type="expression" dxfId="380" priority="600">
      <formula>S174&lt;0</formula>
    </cfRule>
    <cfRule type="expression" dxfId="379" priority="601">
      <formula>S174&gt;0</formula>
    </cfRule>
  </conditionalFormatting>
  <conditionalFormatting sqref="S173">
    <cfRule type="expression" dxfId="378" priority="598">
      <formula>S173&gt;0</formula>
    </cfRule>
    <cfRule type="expression" dxfId="377" priority="599">
      <formula>S173&lt;0</formula>
    </cfRule>
  </conditionalFormatting>
  <conditionalFormatting sqref="S175">
    <cfRule type="expression" dxfId="376" priority="596">
      <formula>S175&lt;0</formula>
    </cfRule>
    <cfRule type="expression" dxfId="375" priority="597">
      <formula>S175&gt;0</formula>
    </cfRule>
  </conditionalFormatting>
  <conditionalFormatting sqref="S180">
    <cfRule type="expression" dxfId="374" priority="594">
      <formula>S180&gt;0</formula>
    </cfRule>
    <cfRule type="expression" dxfId="373" priority="595">
      <formula>S180&lt;0</formula>
    </cfRule>
  </conditionalFormatting>
  <conditionalFormatting sqref="W34 W36">
    <cfRule type="expression" dxfId="372" priority="590">
      <formula>W34&lt;0</formula>
    </cfRule>
    <cfRule type="expression" dxfId="371" priority="591">
      <formula>W34&gt;0</formula>
    </cfRule>
  </conditionalFormatting>
  <conditionalFormatting sqref="W23">
    <cfRule type="expression" dxfId="370" priority="588">
      <formula>W23&gt;0</formula>
    </cfRule>
    <cfRule type="expression" dxfId="369" priority="589">
      <formula>W23&lt;0</formula>
    </cfRule>
  </conditionalFormatting>
  <conditionalFormatting sqref="W33">
    <cfRule type="expression" dxfId="368" priority="586">
      <formula>W33&gt;0</formula>
    </cfRule>
    <cfRule type="expression" dxfId="367" priority="587">
      <formula>W33&lt;0</formula>
    </cfRule>
  </conditionalFormatting>
  <conditionalFormatting sqref="W37">
    <cfRule type="expression" dxfId="366" priority="584">
      <formula>W37&gt;0</formula>
    </cfRule>
    <cfRule type="expression" dxfId="365" priority="585">
      <formula>W37&lt;0</formula>
    </cfRule>
  </conditionalFormatting>
  <conditionalFormatting sqref="W41">
    <cfRule type="expression" dxfId="364" priority="582">
      <formula>W41&gt;0</formula>
    </cfRule>
    <cfRule type="expression" dxfId="363" priority="583">
      <formula>W41&lt;0</formula>
    </cfRule>
  </conditionalFormatting>
  <conditionalFormatting sqref="W44">
    <cfRule type="expression" dxfId="362" priority="580">
      <formula>W44&gt;0</formula>
    </cfRule>
    <cfRule type="expression" dxfId="361" priority="581">
      <formula>W44&lt;0</formula>
    </cfRule>
  </conditionalFormatting>
  <conditionalFormatting sqref="W43">
    <cfRule type="expression" dxfId="360" priority="578">
      <formula>W43&lt;0</formula>
    </cfRule>
    <cfRule type="expression" dxfId="359" priority="579">
      <formula>W43&gt;0</formula>
    </cfRule>
  </conditionalFormatting>
  <conditionalFormatting sqref="W45:W46">
    <cfRule type="expression" dxfId="358" priority="576">
      <formula>W45&gt;0</formula>
    </cfRule>
    <cfRule type="expression" dxfId="357" priority="577">
      <formula>W45&lt;0</formula>
    </cfRule>
  </conditionalFormatting>
  <conditionalFormatting sqref="W59:W60">
    <cfRule type="expression" dxfId="356" priority="574">
      <formula>W59&gt;0</formula>
    </cfRule>
    <cfRule type="expression" dxfId="355" priority="575">
      <formula>W59&lt;0</formula>
    </cfRule>
  </conditionalFormatting>
  <conditionalFormatting sqref="W47">
    <cfRule type="expression" dxfId="354" priority="572">
      <formula>W47&lt;0</formula>
    </cfRule>
    <cfRule type="expression" dxfId="353" priority="573">
      <formula>W47&gt;0</formula>
    </cfRule>
  </conditionalFormatting>
  <conditionalFormatting sqref="W48">
    <cfRule type="expression" dxfId="352" priority="570">
      <formula>W48&lt;0</formula>
    </cfRule>
    <cfRule type="expression" dxfId="351" priority="571">
      <formula>W48&gt;0</formula>
    </cfRule>
  </conditionalFormatting>
  <conditionalFormatting sqref="W53">
    <cfRule type="expression" dxfId="350" priority="568">
      <formula>W53&lt;0</formula>
    </cfRule>
    <cfRule type="expression" dxfId="349" priority="569">
      <formula>W53&gt;0</formula>
    </cfRule>
  </conditionalFormatting>
  <conditionalFormatting sqref="W49:W50">
    <cfRule type="expression" dxfId="348" priority="566">
      <formula>W49&gt;0</formula>
    </cfRule>
    <cfRule type="expression" dxfId="347" priority="567">
      <formula>W49&lt;0</formula>
    </cfRule>
  </conditionalFormatting>
  <conditionalFormatting sqref="W65">
    <cfRule type="expression" dxfId="346" priority="558">
      <formula>W65&lt;0</formula>
    </cfRule>
    <cfRule type="expression" dxfId="345" priority="559">
      <formula>W65&gt;0</formula>
    </cfRule>
  </conditionalFormatting>
  <conditionalFormatting sqref="W69">
    <cfRule type="expression" dxfId="344" priority="556">
      <formula>W69&gt;0</formula>
    </cfRule>
    <cfRule type="expression" dxfId="343" priority="557">
      <formula>W69&lt;0</formula>
    </cfRule>
  </conditionalFormatting>
  <conditionalFormatting sqref="W74">
    <cfRule type="expression" dxfId="342" priority="554">
      <formula>W74&lt;0</formula>
    </cfRule>
    <cfRule type="expression" dxfId="341" priority="555">
      <formula>W74&gt;0</formula>
    </cfRule>
  </conditionalFormatting>
  <conditionalFormatting sqref="W78">
    <cfRule type="expression" dxfId="340" priority="552">
      <formula>W78&lt;0</formula>
    </cfRule>
    <cfRule type="expression" dxfId="339" priority="553">
      <formula>W78&gt;0</formula>
    </cfRule>
  </conditionalFormatting>
  <conditionalFormatting sqref="W81">
    <cfRule type="expression" dxfId="338" priority="550">
      <formula>W81&lt;0</formula>
    </cfRule>
    <cfRule type="expression" dxfId="337" priority="551">
      <formula>W81&gt;0</formula>
    </cfRule>
  </conditionalFormatting>
  <conditionalFormatting sqref="W88">
    <cfRule type="expression" dxfId="336" priority="548">
      <formula>W88&lt;0</formula>
    </cfRule>
    <cfRule type="expression" dxfId="335" priority="549">
      <formula>W88&gt;0</formula>
    </cfRule>
  </conditionalFormatting>
  <conditionalFormatting sqref="W93">
    <cfRule type="expression" dxfId="334" priority="546">
      <formula>W93&lt;0</formula>
    </cfRule>
    <cfRule type="expression" dxfId="333" priority="547">
      <formula>W93&gt;0</formula>
    </cfRule>
  </conditionalFormatting>
  <conditionalFormatting sqref="W75:W76">
    <cfRule type="expression" dxfId="332" priority="544">
      <formula>W75&gt;0</formula>
    </cfRule>
    <cfRule type="expression" dxfId="331" priority="545">
      <formula>W75&lt;0</formula>
    </cfRule>
  </conditionalFormatting>
  <conditionalFormatting sqref="W79:W80">
    <cfRule type="expression" dxfId="330" priority="542">
      <formula>W79&gt;0</formula>
    </cfRule>
    <cfRule type="expression" dxfId="329" priority="543">
      <formula>W79&lt;0</formula>
    </cfRule>
  </conditionalFormatting>
  <conditionalFormatting sqref="W82 W87">
    <cfRule type="expression" dxfId="328" priority="540">
      <formula>W82&gt;0</formula>
    </cfRule>
    <cfRule type="expression" dxfId="327" priority="541">
      <formula>W82&lt;0</formula>
    </cfRule>
  </conditionalFormatting>
  <conditionalFormatting sqref="W89 W92">
    <cfRule type="expression" dxfId="326" priority="538">
      <formula>W89&gt;0</formula>
    </cfRule>
    <cfRule type="expression" dxfId="325" priority="539">
      <formula>W89&lt;0</formula>
    </cfRule>
  </conditionalFormatting>
  <conditionalFormatting sqref="W125">
    <cfRule type="expression" dxfId="324" priority="536">
      <formula>W125&gt;0</formula>
    </cfRule>
    <cfRule type="expression" dxfId="323" priority="537">
      <formula>W125&lt;0</formula>
    </cfRule>
  </conditionalFormatting>
  <conditionalFormatting sqref="W129">
    <cfRule type="expression" dxfId="322" priority="534">
      <formula>W129&lt;0</formula>
    </cfRule>
    <cfRule type="expression" dxfId="321" priority="535">
      <formula>W129&gt;0</formula>
    </cfRule>
  </conditionalFormatting>
  <conditionalFormatting sqref="W144">
    <cfRule type="expression" dxfId="320" priority="532">
      <formula>W144&gt;0</formula>
    </cfRule>
    <cfRule type="expression" dxfId="319" priority="533">
      <formula>W144&lt;0</formula>
    </cfRule>
  </conditionalFormatting>
  <conditionalFormatting sqref="W154">
    <cfRule type="expression" dxfId="318" priority="530">
      <formula>W154&gt;0</formula>
    </cfRule>
    <cfRule type="expression" dxfId="317" priority="531">
      <formula>W154&lt;0</formula>
    </cfRule>
  </conditionalFormatting>
  <conditionalFormatting sqref="W151">
    <cfRule type="expression" dxfId="316" priority="528">
      <formula>W151&lt;0</formula>
    </cfRule>
    <cfRule type="expression" dxfId="315" priority="529">
      <formula>W151&gt;0</formula>
    </cfRule>
  </conditionalFormatting>
  <conditionalFormatting sqref="W152">
    <cfRule type="expression" dxfId="314" priority="526">
      <formula>W152&gt;0</formula>
    </cfRule>
    <cfRule type="expression" dxfId="313" priority="527">
      <formula>W152&lt;0</formula>
    </cfRule>
  </conditionalFormatting>
  <conditionalFormatting sqref="W149:W150">
    <cfRule type="expression" dxfId="312" priority="522">
      <formula>W149&lt;0</formula>
    </cfRule>
    <cfRule type="expression" dxfId="311" priority="523">
      <formula>W149&gt;0</formula>
    </cfRule>
  </conditionalFormatting>
  <conditionalFormatting sqref="W156">
    <cfRule type="expression" dxfId="310" priority="520">
      <formula>W156&gt;0</formula>
    </cfRule>
    <cfRule type="expression" dxfId="309" priority="521">
      <formula>W156&lt;0</formula>
    </cfRule>
  </conditionalFormatting>
  <conditionalFormatting sqref="W165">
    <cfRule type="expression" dxfId="308" priority="516">
      <formula>W165&gt;0</formula>
    </cfRule>
    <cfRule type="expression" dxfId="307" priority="517">
      <formula>W165&lt;0</formula>
    </cfRule>
  </conditionalFormatting>
  <conditionalFormatting sqref="W169">
    <cfRule type="expression" dxfId="306" priority="514">
      <formula>W169&gt;0</formula>
    </cfRule>
    <cfRule type="expression" dxfId="305" priority="515">
      <formula>W169&lt;0</formula>
    </cfRule>
  </conditionalFormatting>
  <conditionalFormatting sqref="W174 W176">
    <cfRule type="expression" dxfId="304" priority="512">
      <formula>W174&lt;0</formula>
    </cfRule>
    <cfRule type="expression" dxfId="303" priority="513">
      <formula>W174&gt;0</formula>
    </cfRule>
  </conditionalFormatting>
  <conditionalFormatting sqref="W173">
    <cfRule type="expression" dxfId="302" priority="510">
      <formula>W173&gt;0</formula>
    </cfRule>
    <cfRule type="expression" dxfId="301" priority="511">
      <formula>W173&lt;0</formula>
    </cfRule>
  </conditionalFormatting>
  <conditionalFormatting sqref="W175">
    <cfRule type="expression" dxfId="300" priority="508">
      <formula>W175&lt;0</formula>
    </cfRule>
    <cfRule type="expression" dxfId="299" priority="509">
      <formula>W175&gt;0</formula>
    </cfRule>
  </conditionalFormatting>
  <conditionalFormatting sqref="W180">
    <cfRule type="expression" dxfId="298" priority="506">
      <formula>W180&gt;0</formula>
    </cfRule>
    <cfRule type="expression" dxfId="297" priority="507">
      <formula>W180&lt;0</formula>
    </cfRule>
  </conditionalFormatting>
  <conditionalFormatting sqref="O58">
    <cfRule type="expression" dxfId="296" priority="504">
      <formula>O58&gt;0</formula>
    </cfRule>
    <cfRule type="expression" dxfId="295" priority="505">
      <formula>O58&lt;0</formula>
    </cfRule>
  </conditionalFormatting>
  <conditionalFormatting sqref="S58">
    <cfRule type="expression" dxfId="294" priority="502">
      <formula>S58&gt;0</formula>
    </cfRule>
    <cfRule type="expression" dxfId="293" priority="503">
      <formula>S58&lt;0</formula>
    </cfRule>
  </conditionalFormatting>
  <conditionalFormatting sqref="W58">
    <cfRule type="expression" dxfId="292" priority="500">
      <formula>W58&gt;0</formula>
    </cfRule>
    <cfRule type="expression" dxfId="291" priority="501">
      <formula>W58&lt;0</formula>
    </cfRule>
  </conditionalFormatting>
  <conditionalFormatting sqref="O31:O32">
    <cfRule type="expression" dxfId="290" priority="498">
      <formula>O31&gt;0</formula>
    </cfRule>
    <cfRule type="expression" dxfId="289" priority="499">
      <formula>O31&lt;0</formula>
    </cfRule>
  </conditionalFormatting>
  <conditionalFormatting sqref="S31">
    <cfRule type="expression" dxfId="288" priority="496">
      <formula>S31&gt;0</formula>
    </cfRule>
    <cfRule type="expression" dxfId="287" priority="497">
      <formula>S31&lt;0</formula>
    </cfRule>
  </conditionalFormatting>
  <conditionalFormatting sqref="W31:W32">
    <cfRule type="expression" dxfId="286" priority="494">
      <formula>W31&gt;0</formula>
    </cfRule>
    <cfRule type="expression" dxfId="285" priority="495">
      <formula>W31&lt;0</formula>
    </cfRule>
  </conditionalFormatting>
  <conditionalFormatting sqref="O90">
    <cfRule type="expression" dxfId="284" priority="492">
      <formula>O90&gt;0</formula>
    </cfRule>
    <cfRule type="expression" dxfId="283" priority="493">
      <formula>O90&lt;0</formula>
    </cfRule>
  </conditionalFormatting>
  <conditionalFormatting sqref="S90">
    <cfRule type="expression" dxfId="282" priority="490">
      <formula>S90&gt;0</formula>
    </cfRule>
    <cfRule type="expression" dxfId="281" priority="491">
      <formula>S90&lt;0</formula>
    </cfRule>
  </conditionalFormatting>
  <conditionalFormatting sqref="W90">
    <cfRule type="expression" dxfId="280" priority="488">
      <formula>W90&gt;0</formula>
    </cfRule>
    <cfRule type="expression" dxfId="279" priority="489">
      <formula>W90&lt;0</formula>
    </cfRule>
  </conditionalFormatting>
  <conditionalFormatting sqref="O148">
    <cfRule type="expression" dxfId="278" priority="472">
      <formula>O148&gt;0</formula>
    </cfRule>
    <cfRule type="expression" dxfId="277" priority="473">
      <formula>O148&lt;0</formula>
    </cfRule>
  </conditionalFormatting>
  <conditionalFormatting sqref="W148">
    <cfRule type="expression" dxfId="276" priority="470">
      <formula>W148&gt;0</formula>
    </cfRule>
    <cfRule type="expression" dxfId="275" priority="471">
      <formula>W148&lt;0</formula>
    </cfRule>
  </conditionalFormatting>
  <conditionalFormatting sqref="S148">
    <cfRule type="expression" dxfId="274" priority="468">
      <formula>S148&gt;0</formula>
    </cfRule>
    <cfRule type="expression" dxfId="273" priority="469">
      <formula>S148&lt;0</formula>
    </cfRule>
  </conditionalFormatting>
  <conditionalFormatting sqref="O51">
    <cfRule type="expression" dxfId="272" priority="460">
      <formula>O51&gt;0</formula>
    </cfRule>
    <cfRule type="expression" dxfId="271" priority="461">
      <formula>O51&lt;0</formula>
    </cfRule>
  </conditionalFormatting>
  <conditionalFormatting sqref="S51">
    <cfRule type="expression" dxfId="270" priority="458">
      <formula>S51&gt;0</formula>
    </cfRule>
    <cfRule type="expression" dxfId="269" priority="459">
      <formula>S51&lt;0</formula>
    </cfRule>
  </conditionalFormatting>
  <conditionalFormatting sqref="W51">
    <cfRule type="expression" dxfId="268" priority="456">
      <formula>W51&gt;0</formula>
    </cfRule>
    <cfRule type="expression" dxfId="267" priority="457">
      <formula>W51&lt;0</formula>
    </cfRule>
  </conditionalFormatting>
  <conditionalFormatting sqref="O84">
    <cfRule type="expression" dxfId="266" priority="454">
      <formula>O84&gt;0</formula>
    </cfRule>
    <cfRule type="expression" dxfId="265" priority="455">
      <formula>O84&lt;0</formula>
    </cfRule>
  </conditionalFormatting>
  <conditionalFormatting sqref="S84">
    <cfRule type="expression" dxfId="264" priority="452">
      <formula>S84&gt;0</formula>
    </cfRule>
    <cfRule type="expression" dxfId="263" priority="453">
      <formula>S84&lt;0</formula>
    </cfRule>
  </conditionalFormatting>
  <conditionalFormatting sqref="W84">
    <cfRule type="expression" dxfId="262" priority="450">
      <formula>W84&gt;0</formula>
    </cfRule>
    <cfRule type="expression" dxfId="261" priority="451">
      <formula>W84&lt;0</formula>
    </cfRule>
  </conditionalFormatting>
  <conditionalFormatting sqref="O106">
    <cfRule type="expression" dxfId="260" priority="436">
      <formula>O106&gt;0</formula>
    </cfRule>
    <cfRule type="expression" dxfId="259" priority="437">
      <formula>O106&lt;0</formula>
    </cfRule>
  </conditionalFormatting>
  <conditionalFormatting sqref="S106">
    <cfRule type="expression" dxfId="258" priority="434">
      <formula>S106&gt;0</formula>
    </cfRule>
    <cfRule type="expression" dxfId="257" priority="435">
      <formula>S106&lt;0</formula>
    </cfRule>
  </conditionalFormatting>
  <conditionalFormatting sqref="W106">
    <cfRule type="expression" dxfId="256" priority="432">
      <formula>W106&gt;0</formula>
    </cfRule>
    <cfRule type="expression" dxfId="255" priority="433">
      <formula>W106&lt;0</formula>
    </cfRule>
  </conditionalFormatting>
  <conditionalFormatting sqref="O120">
    <cfRule type="expression" dxfId="254" priority="424">
      <formula>O120&gt;0</formula>
    </cfRule>
    <cfRule type="expression" dxfId="253" priority="425">
      <formula>O120&lt;0</formula>
    </cfRule>
  </conditionalFormatting>
  <conditionalFormatting sqref="S120">
    <cfRule type="expression" dxfId="252" priority="422">
      <formula>S120&gt;0</formula>
    </cfRule>
    <cfRule type="expression" dxfId="251" priority="423">
      <formula>S120&lt;0</formula>
    </cfRule>
  </conditionalFormatting>
  <conditionalFormatting sqref="W120">
    <cfRule type="expression" dxfId="250" priority="420">
      <formula>W120&gt;0</formula>
    </cfRule>
    <cfRule type="expression" dxfId="249" priority="421">
      <formula>W120&lt;0</formula>
    </cfRule>
  </conditionalFormatting>
  <conditionalFormatting sqref="O124">
    <cfRule type="expression" dxfId="248" priority="418">
      <formula>O124&gt;0</formula>
    </cfRule>
    <cfRule type="expression" dxfId="247" priority="419">
      <formula>O124&lt;0</formula>
    </cfRule>
  </conditionalFormatting>
  <conditionalFormatting sqref="S124">
    <cfRule type="expression" dxfId="246" priority="416">
      <formula>S124&gt;0</formula>
    </cfRule>
    <cfRule type="expression" dxfId="245" priority="417">
      <formula>S124&lt;0</formula>
    </cfRule>
  </conditionalFormatting>
  <conditionalFormatting sqref="W124">
    <cfRule type="expression" dxfId="244" priority="414">
      <formula>W124&gt;0</formula>
    </cfRule>
    <cfRule type="expression" dxfId="243" priority="415">
      <formula>W124&lt;0</formula>
    </cfRule>
  </conditionalFormatting>
  <conditionalFormatting sqref="O122:O123">
    <cfRule type="expression" dxfId="242" priority="412">
      <formula>O122&gt;0</formula>
    </cfRule>
    <cfRule type="expression" dxfId="241" priority="413">
      <formula>O122&lt;0</formula>
    </cfRule>
  </conditionalFormatting>
  <conditionalFormatting sqref="S122:S123">
    <cfRule type="expression" dxfId="240" priority="410">
      <formula>S122&gt;0</formula>
    </cfRule>
    <cfRule type="expression" dxfId="239" priority="411">
      <formula>S122&lt;0</formula>
    </cfRule>
  </conditionalFormatting>
  <conditionalFormatting sqref="W122:W123">
    <cfRule type="expression" dxfId="238" priority="408">
      <formula>W122&gt;0</formula>
    </cfRule>
    <cfRule type="expression" dxfId="237" priority="409">
      <formula>W122&lt;0</formula>
    </cfRule>
  </conditionalFormatting>
  <conditionalFormatting sqref="O140">
    <cfRule type="expression" dxfId="236" priority="404">
      <formula>O140&lt;0</formula>
    </cfRule>
    <cfRule type="expression" dxfId="235" priority="405">
      <formula>O140&gt;0</formula>
    </cfRule>
  </conditionalFormatting>
  <conditionalFormatting sqref="O139">
    <cfRule type="expression" dxfId="234" priority="398">
      <formula>O139="ì"</formula>
    </cfRule>
    <cfRule type="expression" dxfId="233" priority="399">
      <formula>O139="î"</formula>
    </cfRule>
    <cfRule type="expression" dxfId="232" priority="400">
      <formula>O139="è"</formula>
    </cfRule>
  </conditionalFormatting>
  <conditionalFormatting sqref="W139">
    <cfRule type="expression" dxfId="231" priority="401">
      <formula>W139="ì"</formula>
    </cfRule>
    <cfRule type="expression" dxfId="230" priority="402">
      <formula>W139="î"</formula>
    </cfRule>
    <cfRule type="expression" dxfId="229" priority="403">
      <formula>W139="è"</formula>
    </cfRule>
  </conditionalFormatting>
  <conditionalFormatting sqref="S139">
    <cfRule type="expression" dxfId="228" priority="395">
      <formula>S139="ì"</formula>
    </cfRule>
    <cfRule type="expression" dxfId="227" priority="396">
      <formula>S139="î"</formula>
    </cfRule>
    <cfRule type="expression" dxfId="226" priority="397">
      <formula>S139="è"</formula>
    </cfRule>
  </conditionalFormatting>
  <conditionalFormatting sqref="O131:O133">
    <cfRule type="expression" dxfId="225" priority="393">
      <formula>O131&lt;0</formula>
    </cfRule>
    <cfRule type="expression" dxfId="224" priority="394">
      <formula>O131&gt;0</formula>
    </cfRule>
  </conditionalFormatting>
  <conditionalFormatting sqref="O134">
    <cfRule type="expression" dxfId="223" priority="391">
      <formula>O134&lt;0</formula>
    </cfRule>
    <cfRule type="expression" dxfId="222" priority="392">
      <formula>O134&gt;0</formula>
    </cfRule>
  </conditionalFormatting>
  <conditionalFormatting sqref="O135">
    <cfRule type="expression" dxfId="221" priority="389">
      <formula>O135&lt;0</formula>
    </cfRule>
    <cfRule type="expression" dxfId="220" priority="390">
      <formula>O135&gt;0</formula>
    </cfRule>
  </conditionalFormatting>
  <conditionalFormatting sqref="O136">
    <cfRule type="expression" dxfId="219" priority="387">
      <formula>O136&lt;0</formula>
    </cfRule>
    <cfRule type="expression" dxfId="218" priority="388">
      <formula>O136&gt;0</formula>
    </cfRule>
  </conditionalFormatting>
  <conditionalFormatting sqref="S131:S133">
    <cfRule type="expression" dxfId="217" priority="373">
      <formula>S131&lt;0</formula>
    </cfRule>
    <cfRule type="expression" dxfId="216" priority="374">
      <formula>S131&gt;0</formula>
    </cfRule>
  </conditionalFormatting>
  <conditionalFormatting sqref="S134">
    <cfRule type="expression" dxfId="215" priority="371">
      <formula>S134&lt;0</formula>
    </cfRule>
    <cfRule type="expression" dxfId="214" priority="372">
      <formula>S134&gt;0</formula>
    </cfRule>
  </conditionalFormatting>
  <conditionalFormatting sqref="S135">
    <cfRule type="expression" dxfId="213" priority="369">
      <formula>S135&lt;0</formula>
    </cfRule>
    <cfRule type="expression" dxfId="212" priority="370">
      <formula>S135&gt;0</formula>
    </cfRule>
  </conditionalFormatting>
  <conditionalFormatting sqref="S136">
    <cfRule type="expression" dxfId="211" priority="367">
      <formula>S136&lt;0</formula>
    </cfRule>
    <cfRule type="expression" dxfId="210" priority="368">
      <formula>S136&gt;0</formula>
    </cfRule>
  </conditionalFormatting>
  <conditionalFormatting sqref="S140">
    <cfRule type="expression" dxfId="209" priority="353">
      <formula>S140&lt;0</formula>
    </cfRule>
    <cfRule type="expression" dxfId="208" priority="354">
      <formula>S140&gt;0</formula>
    </cfRule>
  </conditionalFormatting>
  <conditionalFormatting sqref="W131:W133">
    <cfRule type="expression" dxfId="207" priority="351">
      <formula>W131&lt;0</formula>
    </cfRule>
    <cfRule type="expression" dxfId="206" priority="352">
      <formula>W131&gt;0</formula>
    </cfRule>
  </conditionalFormatting>
  <conditionalFormatting sqref="W134">
    <cfRule type="expression" dxfId="205" priority="349">
      <formula>W134&lt;0</formula>
    </cfRule>
    <cfRule type="expression" dxfId="204" priority="350">
      <formula>W134&gt;0</formula>
    </cfRule>
  </conditionalFormatting>
  <conditionalFormatting sqref="W135">
    <cfRule type="expression" dxfId="203" priority="347">
      <formula>W135&lt;0</formula>
    </cfRule>
    <cfRule type="expression" dxfId="202" priority="348">
      <formula>W135&gt;0</formula>
    </cfRule>
  </conditionalFormatting>
  <conditionalFormatting sqref="W136">
    <cfRule type="expression" dxfId="201" priority="345">
      <formula>W136&lt;0</formula>
    </cfRule>
    <cfRule type="expression" dxfId="200" priority="346">
      <formula>W136&gt;0</formula>
    </cfRule>
  </conditionalFormatting>
  <conditionalFormatting sqref="W140">
    <cfRule type="expression" dxfId="199" priority="331">
      <formula>W140&lt;0</formula>
    </cfRule>
    <cfRule type="expression" dxfId="198" priority="332">
      <formula>W140&gt;0</formula>
    </cfRule>
  </conditionalFormatting>
  <conditionalFormatting sqref="O162">
    <cfRule type="expression" dxfId="195" priority="245">
      <formula>O162&gt;0</formula>
    </cfRule>
    <cfRule type="expression" dxfId="194" priority="246">
      <formula>O162&lt;0</formula>
    </cfRule>
  </conditionalFormatting>
  <conditionalFormatting sqref="S162">
    <cfRule type="expression" dxfId="193" priority="243">
      <formula>S162&gt;0</formula>
    </cfRule>
    <cfRule type="expression" dxfId="192" priority="244">
      <formula>S162&lt;0</formula>
    </cfRule>
  </conditionalFormatting>
  <conditionalFormatting sqref="W162">
    <cfRule type="expression" dxfId="191" priority="241">
      <formula>W162&gt;0</formula>
    </cfRule>
    <cfRule type="expression" dxfId="190" priority="242">
      <formula>W162&lt;0</formula>
    </cfRule>
  </conditionalFormatting>
  <conditionalFormatting sqref="O163">
    <cfRule type="expression" dxfId="189" priority="239">
      <formula>O163&gt;0</formula>
    </cfRule>
    <cfRule type="expression" dxfId="188" priority="240">
      <formula>O163&lt;0</formula>
    </cfRule>
  </conditionalFormatting>
  <conditionalFormatting sqref="S163">
    <cfRule type="expression" dxfId="187" priority="237">
      <formula>S163&gt;0</formula>
    </cfRule>
    <cfRule type="expression" dxfId="186" priority="238">
      <formula>S163&lt;0</formula>
    </cfRule>
  </conditionalFormatting>
  <conditionalFormatting sqref="W163">
    <cfRule type="expression" dxfId="185" priority="235">
      <formula>W163&gt;0</formula>
    </cfRule>
    <cfRule type="expression" dxfId="184" priority="236">
      <formula>W163&lt;0</formula>
    </cfRule>
  </conditionalFormatting>
  <conditionalFormatting sqref="O161">
    <cfRule type="expression" dxfId="183" priority="227">
      <formula>O161&lt;0</formula>
    </cfRule>
    <cfRule type="expression" dxfId="182" priority="228">
      <formula>O161&gt;0</formula>
    </cfRule>
  </conditionalFormatting>
  <conditionalFormatting sqref="S161">
    <cfRule type="expression" dxfId="181" priority="225">
      <formula>S161&lt;0</formula>
    </cfRule>
    <cfRule type="expression" dxfId="180" priority="226">
      <formula>S161&gt;0</formula>
    </cfRule>
  </conditionalFormatting>
  <conditionalFormatting sqref="W161">
    <cfRule type="expression" dxfId="179" priority="223">
      <formula>W161&lt;0</formula>
    </cfRule>
    <cfRule type="expression" dxfId="178" priority="224">
      <formula>W161&gt;0</formula>
    </cfRule>
  </conditionalFormatting>
  <conditionalFormatting sqref="O24:O26">
    <cfRule type="expression" dxfId="177" priority="221">
      <formula>O24&lt;0</formula>
    </cfRule>
    <cfRule type="expression" dxfId="176" priority="222">
      <formula>O24&gt;0</formula>
    </cfRule>
  </conditionalFormatting>
  <conditionalFormatting sqref="S24:S26">
    <cfRule type="expression" dxfId="175" priority="219">
      <formula>S24&lt;0</formula>
    </cfRule>
    <cfRule type="expression" dxfId="174" priority="220">
      <formula>S24&gt;0</formula>
    </cfRule>
  </conditionalFormatting>
  <conditionalFormatting sqref="W24:W26">
    <cfRule type="expression" dxfId="173" priority="217">
      <formula>W24&lt;0</formula>
    </cfRule>
    <cfRule type="expression" dxfId="172" priority="218">
      <formula>W24&gt;0</formula>
    </cfRule>
  </conditionalFormatting>
  <conditionalFormatting sqref="O28:O29">
    <cfRule type="expression" dxfId="171" priority="215">
      <formula>O28&lt;0</formula>
    </cfRule>
    <cfRule type="expression" dxfId="170" priority="216">
      <formula>O28&gt;0</formula>
    </cfRule>
  </conditionalFormatting>
  <conditionalFormatting sqref="S28:S29">
    <cfRule type="expression" dxfId="169" priority="213">
      <formula>S28&lt;0</formula>
    </cfRule>
    <cfRule type="expression" dxfId="168" priority="214">
      <formula>S28&gt;0</formula>
    </cfRule>
  </conditionalFormatting>
  <conditionalFormatting sqref="W28:W29">
    <cfRule type="expression" dxfId="167" priority="211">
      <formula>W28&lt;0</formula>
    </cfRule>
    <cfRule type="expression" dxfId="166" priority="212">
      <formula>W28&gt;0</formula>
    </cfRule>
  </conditionalFormatting>
  <conditionalFormatting sqref="O52">
    <cfRule type="expression" dxfId="165" priority="209">
      <formula>O52&gt;0</formula>
    </cfRule>
    <cfRule type="expression" dxfId="164" priority="210">
      <formula>O52&lt;0</formula>
    </cfRule>
  </conditionalFormatting>
  <conditionalFormatting sqref="S52">
    <cfRule type="expression" dxfId="163" priority="207">
      <formula>S52&gt;0</formula>
    </cfRule>
    <cfRule type="expression" dxfId="162" priority="208">
      <formula>S52&lt;0</formula>
    </cfRule>
  </conditionalFormatting>
  <conditionalFormatting sqref="W52">
    <cfRule type="expression" dxfId="161" priority="205">
      <formula>W52&gt;0</formula>
    </cfRule>
    <cfRule type="expression" dxfId="160" priority="206">
      <formula>W52&lt;0</formula>
    </cfRule>
  </conditionalFormatting>
  <conditionalFormatting sqref="O103 S103 W103">
    <cfRule type="expression" dxfId="159" priority="203">
      <formula>O103&gt;0</formula>
    </cfRule>
    <cfRule type="expression" dxfId="158" priority="204">
      <formula>O103&lt;0</formula>
    </cfRule>
  </conditionalFormatting>
  <conditionalFormatting sqref="O85">
    <cfRule type="expression" dxfId="157" priority="189">
      <formula>O85&gt;0</formula>
    </cfRule>
    <cfRule type="expression" dxfId="156" priority="190">
      <formula>O85&lt;0</formula>
    </cfRule>
  </conditionalFormatting>
  <conditionalFormatting sqref="S85">
    <cfRule type="expression" dxfId="155" priority="187">
      <formula>S85&gt;0</formula>
    </cfRule>
    <cfRule type="expression" dxfId="154" priority="188">
      <formula>S85&lt;0</formula>
    </cfRule>
  </conditionalFormatting>
  <conditionalFormatting sqref="W85">
    <cfRule type="expression" dxfId="153" priority="185">
      <formula>W85&gt;0</formula>
    </cfRule>
    <cfRule type="expression" dxfId="152" priority="186">
      <formula>W85&lt;0</formula>
    </cfRule>
  </conditionalFormatting>
  <conditionalFormatting sqref="O86">
    <cfRule type="expression" dxfId="151" priority="183">
      <formula>O86&gt;0</formula>
    </cfRule>
    <cfRule type="expression" dxfId="150" priority="184">
      <formula>O86&lt;0</formula>
    </cfRule>
  </conditionalFormatting>
  <conditionalFormatting sqref="S86">
    <cfRule type="expression" dxfId="149" priority="181">
      <formula>S86&gt;0</formula>
    </cfRule>
    <cfRule type="expression" dxfId="148" priority="182">
      <formula>S86&lt;0</formula>
    </cfRule>
  </conditionalFormatting>
  <conditionalFormatting sqref="W86">
    <cfRule type="expression" dxfId="147" priority="179">
      <formula>W86&gt;0</formula>
    </cfRule>
    <cfRule type="expression" dxfId="146" priority="180">
      <formula>W86&lt;0</formula>
    </cfRule>
  </conditionalFormatting>
  <conditionalFormatting sqref="O115">
    <cfRule type="expression" dxfId="145" priority="171">
      <formula>O115&gt;0</formula>
    </cfRule>
    <cfRule type="expression" dxfId="144" priority="172">
      <formula>O115&lt;0</formula>
    </cfRule>
  </conditionalFormatting>
  <conditionalFormatting sqref="S115">
    <cfRule type="expression" dxfId="143" priority="169">
      <formula>S115&gt;0</formula>
    </cfRule>
    <cfRule type="expression" dxfId="142" priority="170">
      <formula>S115&lt;0</formula>
    </cfRule>
  </conditionalFormatting>
  <conditionalFormatting sqref="W115">
    <cfRule type="expression" dxfId="141" priority="167">
      <formula>W115&gt;0</formula>
    </cfRule>
    <cfRule type="expression" dxfId="140" priority="168">
      <formula>W115&lt;0</formula>
    </cfRule>
  </conditionalFormatting>
  <conditionalFormatting sqref="O127">
    <cfRule type="expression" dxfId="139" priority="165">
      <formula>O127&gt;0</formula>
    </cfRule>
    <cfRule type="expression" dxfId="138" priority="166">
      <formula>O127&lt;0</formula>
    </cfRule>
  </conditionalFormatting>
  <conditionalFormatting sqref="S127">
    <cfRule type="expression" dxfId="137" priority="163">
      <formula>S127&gt;0</formula>
    </cfRule>
    <cfRule type="expression" dxfId="136" priority="164">
      <formula>S127&lt;0</formula>
    </cfRule>
  </conditionalFormatting>
  <conditionalFormatting sqref="W127">
    <cfRule type="expression" dxfId="135" priority="161">
      <formula>W127&gt;0</formula>
    </cfRule>
    <cfRule type="expression" dxfId="134" priority="162">
      <formula>W127&lt;0</formula>
    </cfRule>
  </conditionalFormatting>
  <conditionalFormatting sqref="O105">
    <cfRule type="expression" dxfId="133" priority="159">
      <formula>O105&gt;0</formula>
    </cfRule>
    <cfRule type="expression" dxfId="132" priority="160">
      <formula>O105&lt;0</formula>
    </cfRule>
  </conditionalFormatting>
  <conditionalFormatting sqref="S105">
    <cfRule type="expression" dxfId="131" priority="157">
      <formula>S105&gt;0</formula>
    </cfRule>
    <cfRule type="expression" dxfId="130" priority="158">
      <formula>S105&lt;0</formula>
    </cfRule>
  </conditionalFormatting>
  <conditionalFormatting sqref="W105">
    <cfRule type="expression" dxfId="129" priority="155">
      <formula>W105&gt;0</formula>
    </cfRule>
    <cfRule type="expression" dxfId="128" priority="156">
      <formula>W105&lt;0</formula>
    </cfRule>
  </conditionalFormatting>
  <conditionalFormatting sqref="O61">
    <cfRule type="expression" dxfId="127" priority="153">
      <formula>O61&gt;0</formula>
    </cfRule>
    <cfRule type="expression" dxfId="126" priority="154">
      <formula>O61&lt;0</formula>
    </cfRule>
  </conditionalFormatting>
  <conditionalFormatting sqref="S61">
    <cfRule type="expression" dxfId="125" priority="151">
      <formula>S61&gt;0</formula>
    </cfRule>
    <cfRule type="expression" dxfId="124" priority="152">
      <formula>S61&lt;0</formula>
    </cfRule>
  </conditionalFormatting>
  <conditionalFormatting sqref="W61">
    <cfRule type="expression" dxfId="123" priority="149">
      <formula>W61&gt;0</formula>
    </cfRule>
    <cfRule type="expression" dxfId="122" priority="150">
      <formula>W61&lt;0</formula>
    </cfRule>
  </conditionalFormatting>
  <conditionalFormatting sqref="W108">
    <cfRule type="expression" dxfId="121" priority="143">
      <formula>W108&gt;0</formula>
    </cfRule>
    <cfRule type="expression" dxfId="120" priority="144">
      <formula>W108&lt;0</formula>
    </cfRule>
  </conditionalFormatting>
  <conditionalFormatting sqref="O91">
    <cfRule type="expression" dxfId="119" priority="141">
      <formula>O91&gt;0</formula>
    </cfRule>
    <cfRule type="expression" dxfId="118" priority="142">
      <formula>O91&lt;0</formula>
    </cfRule>
  </conditionalFormatting>
  <conditionalFormatting sqref="S91">
    <cfRule type="expression" dxfId="117" priority="139">
      <formula>S91&gt;0</formula>
    </cfRule>
    <cfRule type="expression" dxfId="116" priority="140">
      <formula>S91&lt;0</formula>
    </cfRule>
  </conditionalFormatting>
  <conditionalFormatting sqref="W91">
    <cfRule type="expression" dxfId="115" priority="137">
      <formula>W91&gt;0</formula>
    </cfRule>
    <cfRule type="expression" dxfId="114" priority="138">
      <formula>W91&lt;0</formula>
    </cfRule>
  </conditionalFormatting>
  <conditionalFormatting sqref="O159">
    <cfRule type="expression" dxfId="113" priority="127">
      <formula>O159&lt;0</formula>
    </cfRule>
    <cfRule type="expression" dxfId="112" priority="128">
      <formula>O159&gt;0</formula>
    </cfRule>
  </conditionalFormatting>
  <conditionalFormatting sqref="S159">
    <cfRule type="expression" dxfId="111" priority="133">
      <formula>S159&lt;0</formula>
    </cfRule>
    <cfRule type="expression" dxfId="110" priority="134">
      <formula>S159&gt;0</formula>
    </cfRule>
  </conditionalFormatting>
  <conditionalFormatting sqref="W159">
    <cfRule type="expression" dxfId="109" priority="123">
      <formula>W159&lt;0</formula>
    </cfRule>
    <cfRule type="expression" dxfId="108" priority="124">
      <formula>W159&gt;0</formula>
    </cfRule>
  </conditionalFormatting>
  <conditionalFormatting sqref="O96">
    <cfRule type="expression" dxfId="107" priority="115">
      <formula>O96&gt;0</formula>
    </cfRule>
    <cfRule type="expression" dxfId="106" priority="116">
      <formula>O96&lt;0</formula>
    </cfRule>
  </conditionalFormatting>
  <conditionalFormatting sqref="S96">
    <cfRule type="expression" dxfId="105" priority="113">
      <formula>S96&gt;0</formula>
    </cfRule>
    <cfRule type="expression" dxfId="104" priority="114">
      <formula>S96&lt;0</formula>
    </cfRule>
  </conditionalFormatting>
  <conditionalFormatting sqref="W96">
    <cfRule type="expression" dxfId="103" priority="111">
      <formula>W96&gt;0</formula>
    </cfRule>
    <cfRule type="expression" dxfId="102" priority="112">
      <formula>W96&lt;0</formula>
    </cfRule>
  </conditionalFormatting>
  <conditionalFormatting sqref="O27">
    <cfRule type="expression" dxfId="101" priority="109">
      <formula>O27&lt;0</formula>
    </cfRule>
    <cfRule type="expression" dxfId="100" priority="110">
      <formula>O27&gt;0</formula>
    </cfRule>
  </conditionalFormatting>
  <conditionalFormatting sqref="S27">
    <cfRule type="expression" dxfId="99" priority="107">
      <formula>S27&lt;0</formula>
    </cfRule>
    <cfRule type="expression" dxfId="98" priority="108">
      <formula>S27&gt;0</formula>
    </cfRule>
  </conditionalFormatting>
  <conditionalFormatting sqref="W27">
    <cfRule type="expression" dxfId="97" priority="105">
      <formula>W27&lt;0</formula>
    </cfRule>
    <cfRule type="expression" dxfId="96" priority="106">
      <formula>W27&gt;0</formula>
    </cfRule>
  </conditionalFormatting>
  <conditionalFormatting sqref="O138">
    <cfRule type="expression" dxfId="95" priority="103">
      <formula>O138&lt;0</formula>
    </cfRule>
    <cfRule type="expression" dxfId="94" priority="104">
      <formula>O138&gt;0</formula>
    </cfRule>
  </conditionalFormatting>
  <conditionalFormatting sqref="S138">
    <cfRule type="expression" dxfId="93" priority="101">
      <formula>S138&lt;0</formula>
    </cfRule>
    <cfRule type="expression" dxfId="92" priority="102">
      <formula>S138&gt;0</formula>
    </cfRule>
  </conditionalFormatting>
  <conditionalFormatting sqref="W138">
    <cfRule type="expression" dxfId="91" priority="99">
      <formula>W138&lt;0</formula>
    </cfRule>
    <cfRule type="expression" dxfId="90" priority="100">
      <formula>W138&gt;0</formula>
    </cfRule>
  </conditionalFormatting>
  <conditionalFormatting sqref="O137">
    <cfRule type="expression" dxfId="89" priority="97">
      <formula>O137&lt;0</formula>
    </cfRule>
    <cfRule type="expression" dxfId="88" priority="98">
      <formula>O137&gt;0</formula>
    </cfRule>
  </conditionalFormatting>
  <conditionalFormatting sqref="S137">
    <cfRule type="expression" dxfId="87" priority="95">
      <formula>S137&lt;0</formula>
    </cfRule>
    <cfRule type="expression" dxfId="86" priority="96">
      <formula>S137&gt;0</formula>
    </cfRule>
  </conditionalFormatting>
  <conditionalFormatting sqref="W137">
    <cfRule type="expression" dxfId="85" priority="93">
      <formula>W137&lt;0</formula>
    </cfRule>
    <cfRule type="expression" dxfId="84" priority="94">
      <formula>W137&gt;0</formula>
    </cfRule>
  </conditionalFormatting>
  <conditionalFormatting sqref="O77">
    <cfRule type="expression" dxfId="83" priority="91">
      <formula>O77&gt;0</formula>
    </cfRule>
    <cfRule type="expression" dxfId="82" priority="92">
      <formula>O77&lt;0</formula>
    </cfRule>
  </conditionalFormatting>
  <conditionalFormatting sqref="S77">
    <cfRule type="expression" dxfId="81" priority="89">
      <formula>S77&gt;0</formula>
    </cfRule>
    <cfRule type="expression" dxfId="80" priority="90">
      <formula>S77&lt;0</formula>
    </cfRule>
  </conditionalFormatting>
  <conditionalFormatting sqref="W77">
    <cfRule type="expression" dxfId="79" priority="87">
      <formula>W77&gt;0</formula>
    </cfRule>
    <cfRule type="expression" dxfId="78" priority="88">
      <formula>W77&lt;0</formula>
    </cfRule>
  </conditionalFormatting>
  <conditionalFormatting sqref="O112 S112 W112">
    <cfRule type="expression" dxfId="77" priority="85">
      <formula>O112&gt;0</formula>
    </cfRule>
    <cfRule type="expression" dxfId="76" priority="86">
      <formula>O112&lt;0</formula>
    </cfRule>
  </conditionalFormatting>
  <conditionalFormatting sqref="O121">
    <cfRule type="expression" dxfId="75" priority="81">
      <formula>O121&gt;0</formula>
    </cfRule>
    <cfRule type="expression" dxfId="74" priority="82">
      <formula>O121&lt;0</formula>
    </cfRule>
  </conditionalFormatting>
  <conditionalFormatting sqref="S121">
    <cfRule type="expression" dxfId="73" priority="79">
      <formula>S121&gt;0</formula>
    </cfRule>
    <cfRule type="expression" dxfId="72" priority="80">
      <formula>S121&lt;0</formula>
    </cfRule>
  </conditionalFormatting>
  <conditionalFormatting sqref="O54:O55">
    <cfRule type="expression" dxfId="71" priority="77">
      <formula>O54&gt;0</formula>
    </cfRule>
    <cfRule type="expression" dxfId="70" priority="78">
      <formula>O54&lt;0</formula>
    </cfRule>
  </conditionalFormatting>
  <conditionalFormatting sqref="S54:S55">
    <cfRule type="expression" dxfId="69" priority="75">
      <formula>S54&gt;0</formula>
    </cfRule>
    <cfRule type="expression" dxfId="68" priority="76">
      <formula>S54&lt;0</formula>
    </cfRule>
  </conditionalFormatting>
  <conditionalFormatting sqref="W54:W55">
    <cfRule type="expression" dxfId="67" priority="73">
      <formula>W54&gt;0</formula>
    </cfRule>
    <cfRule type="expression" dxfId="66" priority="74">
      <formula>W54&lt;0</formula>
    </cfRule>
  </conditionalFormatting>
  <conditionalFormatting sqref="O35">
    <cfRule type="expression" dxfId="65" priority="71">
      <formula>O35&lt;0</formula>
    </cfRule>
    <cfRule type="expression" dxfId="64" priority="72">
      <formula>O35&gt;0</formula>
    </cfRule>
  </conditionalFormatting>
  <conditionalFormatting sqref="S35">
    <cfRule type="expression" dxfId="63" priority="69">
      <formula>S35&lt;0</formula>
    </cfRule>
    <cfRule type="expression" dxfId="62" priority="70">
      <formula>S35&gt;0</formula>
    </cfRule>
  </conditionalFormatting>
  <conditionalFormatting sqref="W35">
    <cfRule type="expression" dxfId="61" priority="67">
      <formula>W35&lt;0</formula>
    </cfRule>
    <cfRule type="expression" dxfId="60" priority="68">
      <formula>W35&gt;0</formula>
    </cfRule>
  </conditionalFormatting>
  <conditionalFormatting sqref="O83">
    <cfRule type="expression" dxfId="59" priority="65">
      <formula>O83&gt;0</formula>
    </cfRule>
    <cfRule type="expression" dxfId="58" priority="66">
      <formula>O83&lt;0</formula>
    </cfRule>
  </conditionalFormatting>
  <conditionalFormatting sqref="S83">
    <cfRule type="expression" dxfId="57" priority="63">
      <formula>S83&gt;0</formula>
    </cfRule>
    <cfRule type="expression" dxfId="56" priority="64">
      <formula>S83&lt;0</formula>
    </cfRule>
  </conditionalFormatting>
  <conditionalFormatting sqref="W83">
    <cfRule type="expression" dxfId="55" priority="61">
      <formula>W83&gt;0</formula>
    </cfRule>
    <cfRule type="expression" dxfId="54" priority="62">
      <formula>W83&lt;0</formula>
    </cfRule>
  </conditionalFormatting>
  <conditionalFormatting sqref="O94 S94 W94">
    <cfRule type="expression" dxfId="53" priority="59">
      <formula>O94&gt;0</formula>
    </cfRule>
    <cfRule type="expression" dxfId="52" priority="60">
      <formula>O94&lt;0</formula>
    </cfRule>
  </conditionalFormatting>
  <conditionalFormatting sqref="O95">
    <cfRule type="expression" dxfId="51" priority="57">
      <formula>O95&gt;0</formula>
    </cfRule>
    <cfRule type="expression" dxfId="50" priority="58">
      <formula>O95&lt;0</formula>
    </cfRule>
  </conditionalFormatting>
  <conditionalFormatting sqref="S95">
    <cfRule type="expression" dxfId="49" priority="55">
      <formula>S95&gt;0</formula>
    </cfRule>
    <cfRule type="expression" dxfId="48" priority="56">
      <formula>S95&lt;0</formula>
    </cfRule>
  </conditionalFormatting>
  <conditionalFormatting sqref="W95">
    <cfRule type="expression" dxfId="47" priority="53">
      <formula>W95&gt;0</formula>
    </cfRule>
    <cfRule type="expression" dxfId="46" priority="54">
      <formula>W95&lt;0</formula>
    </cfRule>
  </conditionalFormatting>
  <conditionalFormatting sqref="O101 S101 W101">
    <cfRule type="expression" dxfId="45" priority="51">
      <formula>O101&gt;0</formula>
    </cfRule>
    <cfRule type="expression" dxfId="44" priority="52">
      <formula>O101&lt;0</formula>
    </cfRule>
  </conditionalFormatting>
  <conditionalFormatting sqref="O102 S102 W102">
    <cfRule type="expression" dxfId="43" priority="49">
      <formula>O102&gt;0</formula>
    </cfRule>
    <cfRule type="expression" dxfId="42" priority="50">
      <formula>O102&lt;0</formula>
    </cfRule>
  </conditionalFormatting>
  <conditionalFormatting sqref="O107">
    <cfRule type="expression" dxfId="41" priority="47">
      <formula>O107&gt;0</formula>
    </cfRule>
    <cfRule type="expression" dxfId="40" priority="48">
      <formula>O107&lt;0</formula>
    </cfRule>
  </conditionalFormatting>
  <conditionalFormatting sqref="S107">
    <cfRule type="expression" dxfId="39" priority="45">
      <formula>S107&gt;0</formula>
    </cfRule>
    <cfRule type="expression" dxfId="38" priority="46">
      <formula>S107&lt;0</formula>
    </cfRule>
  </conditionalFormatting>
  <conditionalFormatting sqref="W107">
    <cfRule type="expression" dxfId="37" priority="43">
      <formula>W107&gt;0</formula>
    </cfRule>
    <cfRule type="expression" dxfId="36" priority="44">
      <formula>W107&lt;0</formula>
    </cfRule>
  </conditionalFormatting>
  <conditionalFormatting sqref="O62">
    <cfRule type="expression" dxfId="35" priority="41">
      <formula>O62&gt;0</formula>
    </cfRule>
    <cfRule type="expression" dxfId="34" priority="42">
      <formula>O62&lt;0</formula>
    </cfRule>
  </conditionalFormatting>
  <conditionalFormatting sqref="S62">
    <cfRule type="expression" dxfId="33" priority="39">
      <formula>S62&gt;0</formula>
    </cfRule>
    <cfRule type="expression" dxfId="32" priority="40">
      <formula>S62&lt;0</formula>
    </cfRule>
  </conditionalFormatting>
  <conditionalFormatting sqref="W62">
    <cfRule type="expression" dxfId="31" priority="37">
      <formula>W62&gt;0</formula>
    </cfRule>
    <cfRule type="expression" dxfId="30" priority="38">
      <formula>W62&lt;0</formula>
    </cfRule>
  </conditionalFormatting>
  <conditionalFormatting sqref="O56">
    <cfRule type="expression" dxfId="29" priority="35">
      <formula>O56&gt;0</formula>
    </cfRule>
    <cfRule type="expression" dxfId="28" priority="36">
      <formula>O56&lt;0</formula>
    </cfRule>
  </conditionalFormatting>
  <conditionalFormatting sqref="S56">
    <cfRule type="expression" dxfId="27" priority="33">
      <formula>S56&gt;0</formula>
    </cfRule>
    <cfRule type="expression" dxfId="26" priority="34">
      <formula>S56&lt;0</formula>
    </cfRule>
  </conditionalFormatting>
  <conditionalFormatting sqref="W56">
    <cfRule type="expression" dxfId="25" priority="31">
      <formula>W56&gt;0</formula>
    </cfRule>
    <cfRule type="expression" dxfId="24" priority="32">
      <formula>W56&lt;0</formula>
    </cfRule>
  </conditionalFormatting>
  <conditionalFormatting sqref="O119 S119">
    <cfRule type="expression" dxfId="23" priority="29">
      <formula>O119&gt;0</formula>
    </cfRule>
    <cfRule type="expression" dxfId="22" priority="30">
      <formula>O119&lt;0</formula>
    </cfRule>
  </conditionalFormatting>
  <conditionalFormatting sqref="W117:W119">
    <cfRule type="expression" dxfId="21" priority="27">
      <formula>W117&gt;0</formula>
    </cfRule>
    <cfRule type="expression" dxfId="20" priority="28">
      <formula>W117&lt;0</formula>
    </cfRule>
  </conditionalFormatting>
  <conditionalFormatting sqref="W121">
    <cfRule type="expression" dxfId="19" priority="25">
      <formula>W121&gt;0</formula>
    </cfRule>
    <cfRule type="expression" dxfId="18" priority="26">
      <formula>W121&lt;0</formula>
    </cfRule>
  </conditionalFormatting>
  <conditionalFormatting sqref="O126">
    <cfRule type="expression" dxfId="17" priority="17">
      <formula>O126&gt;0</formula>
    </cfRule>
    <cfRule type="expression" dxfId="16" priority="18">
      <formula>O126&lt;0</formula>
    </cfRule>
  </conditionalFormatting>
  <conditionalFormatting sqref="S126">
    <cfRule type="expression" dxfId="15" priority="15">
      <formula>S126&gt;0</formula>
    </cfRule>
    <cfRule type="expression" dxfId="14" priority="16">
      <formula>S126&lt;0</formula>
    </cfRule>
  </conditionalFormatting>
  <conditionalFormatting sqref="W126">
    <cfRule type="expression" dxfId="13" priority="13">
      <formula>W126&gt;0</formula>
    </cfRule>
    <cfRule type="expression" dxfId="12" priority="14">
      <formula>W126&lt;0</formula>
    </cfRule>
  </conditionalFormatting>
  <conditionalFormatting sqref="O153">
    <cfRule type="expression" dxfId="11" priority="11">
      <formula>O153&gt;0</formula>
    </cfRule>
    <cfRule type="expression" dxfId="10" priority="12">
      <formula>O153&lt;0</formula>
    </cfRule>
  </conditionalFormatting>
  <conditionalFormatting sqref="S153">
    <cfRule type="expression" dxfId="9" priority="9">
      <formula>S153&gt;0</formula>
    </cfRule>
    <cfRule type="expression" dxfId="8" priority="10">
      <formula>S153&lt;0</formula>
    </cfRule>
  </conditionalFormatting>
  <conditionalFormatting sqref="W153">
    <cfRule type="expression" dxfId="7" priority="7">
      <formula>W153&gt;0</formula>
    </cfRule>
    <cfRule type="expression" dxfId="6" priority="8">
      <formula>W153&lt;0</formula>
    </cfRule>
  </conditionalFormatting>
  <conditionalFormatting sqref="O104 S104 W104">
    <cfRule type="expression" dxfId="5" priority="5">
      <formula>O104&gt;0</formula>
    </cfRule>
    <cfRule type="expression" dxfId="4" priority="6">
      <formula>O104&lt;0</formula>
    </cfRule>
  </conditionalFormatting>
  <conditionalFormatting sqref="S32">
    <cfRule type="expression" dxfId="3" priority="3">
      <formula>S32&gt;0</formula>
    </cfRule>
    <cfRule type="expression" dxfId="2" priority="4">
      <formula>S32&lt;0</formula>
    </cfRule>
  </conditionalFormatting>
  <conditionalFormatting sqref="S46">
    <cfRule type="expression" dxfId="1" priority="1">
      <formula>S46&gt;0</formula>
    </cfRule>
    <cfRule type="expression" dxfId="0" priority="2">
      <formula>S46&lt;0</formula>
    </cfRule>
  </conditionalFormatting>
  <printOptions horizontalCentered="1" headings="1"/>
  <pageMargins left="0.11811023622047245" right="0.11811023622047245" top="0.15748031496062992" bottom="0.15748031496062992" header="0" footer="0"/>
  <pageSetup paperSize="8" scale="60" orientation="portrait" r:id="rId1"/>
  <headerFooter>
    <oddFooter>&amp;C&amp;9&amp;K01+021GIE Transdev Formation
&amp;D&amp;T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Context</vt:lpstr>
      <vt:lpstr>P&amp;L détaillé</vt:lpstr>
      <vt:lpstr>ActualBudget</vt:lpstr>
      <vt:lpstr>ActualForecast</vt:lpstr>
      <vt:lpstr>ActualMonth</vt:lpstr>
      <vt:lpstr>ActualYear</vt:lpstr>
      <vt:lpstr>Auto_Fit</vt:lpstr>
      <vt:lpstr>Cube1</vt:lpstr>
      <vt:lpstr>Cube2</vt:lpstr>
      <vt:lpstr>Cube3</vt:lpstr>
      <vt:lpstr>DEFAULt_PERIOD</vt:lpstr>
      <vt:lpstr>Languages</vt:lpstr>
      <vt:lpstr>Locallanguage</vt:lpstr>
      <vt:lpstr>'P&amp;L détaillé'!Print_Area</vt:lpstr>
      <vt:lpstr>Server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adm-a.pradeilles</dc:creator>
  <cp:lastModifiedBy>SAINT JOHN de CREVECOEUR, Rozenn</cp:lastModifiedBy>
  <cp:lastPrinted>2017-02-01T16:08:27Z</cp:lastPrinted>
  <dcterms:created xsi:type="dcterms:W3CDTF">2013-10-22T08:17:57Z</dcterms:created>
  <dcterms:modified xsi:type="dcterms:W3CDTF">2020-07-07T07:19:08Z</dcterms:modified>
</cp:coreProperties>
</file>