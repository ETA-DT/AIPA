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7710" yWindow="15" windowWidth="12465" windowHeight="10050" firstSheet="1" activeTab="1"/>
  </bookViews>
  <sheets>
    <sheet name="Context" sheetId="1" state="hidden" r:id="rId1"/>
    <sheet name="Staff &amp; Interim costs" sheetId="2" r:id="rId2"/>
    <sheet name="{PL}PickLst" sheetId="6" state="hidden" r:id="rId3"/>
  </sheets>
  <definedNames>
    <definedName name="ACE" localSheetId="0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CE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CE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ctualBudget">Context!$B$15</definedName>
    <definedName name="ActualForecast">Context!$B$16</definedName>
    <definedName name="ActualMonth">Context!$B$14</definedName>
    <definedName name="ActualYear">Context!$B$13</definedName>
    <definedName name="ake" localSheetId="0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ke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ke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rf" localSheetId="0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rf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rf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s" localSheetId="0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s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s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utoFit">'Staff &amp; Interim costs'!$I$19:$V$60</definedName>
    <definedName name="AutoRefresh_PL" localSheetId="1">'Staff &amp; Interim costs'!$F$1</definedName>
    <definedName name="AutoRefresh_PL_aggregated">'Staff &amp; Interim costs'!$G$3</definedName>
    <definedName name="Budget" localSheetId="0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Budget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Budget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" localSheetId="0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.reg" localSheetId="0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.reg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.reg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ube1">Context!$B$11</definedName>
    <definedName name="Cube2">Context!$B$12</definedName>
    <definedName name="Cumul" localSheetId="0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umul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umul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DBS" localSheetId="0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DBS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DBS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e" localSheetId="0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e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e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FEUILLE3" localSheetId="0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FEUILLE3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FEUILLE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Flag_Send_Comment">Context!$B$8</definedName>
    <definedName name="Flag_Send_Data">Context!$B$7</definedName>
    <definedName name="GG" localSheetId="0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GG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GG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Host_Serveur">_xll.DBRW("tango_core_model:z_Admin_Param","SERVER_NAME","STR_VAR1")</definedName>
    <definedName name="janvier" localSheetId="0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janvier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janvier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k" localSheetId="0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k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k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Language">Context!$B$18:$B$19</definedName>
    <definedName name="LocalLanguage">Context!$B$17</definedName>
    <definedName name="MARS" localSheetId="0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MARS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MARS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rint_Area" localSheetId="1">'Staff &amp; Interim costs'!$F$18:$V$90</definedName>
    <definedName name="Print_Titles" localSheetId="1">'Staff &amp; Interim costs'!$7:$9</definedName>
    <definedName name="PriorYear">'Staff &amp; Interim costs'!$I$2</definedName>
    <definedName name="Projets" localSheetId="0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rojets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rojets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ts" localSheetId="0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ts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ts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" localSheetId="0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c" localSheetId="0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c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c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f" localSheetId="0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f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f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Server">Context!$B$4</definedName>
    <definedName name="ter" localSheetId="0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r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r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" localSheetId="0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2" localSheetId="0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2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3" localSheetId="0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3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4" localSheetId="0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4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otal" localSheetId="0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otal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otal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riste" localSheetId="0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riste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riste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t" localSheetId="0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t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t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wrn.TER." localSheetId="0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wrn.TER.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wrn.TER.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xServer">Context!$B$5</definedName>
  </definedNames>
  <calcPr calcId="145621" calcMode="manual" calcOnSave="0" concurrentCalc="0"/>
</workbook>
</file>

<file path=xl/calcChain.xml><?xml version="1.0" encoding="utf-8"?>
<calcChain xmlns="http://schemas.openxmlformats.org/spreadsheetml/2006/main">
  <c r="B6" i="1" l="1"/>
  <c r="B5" i="1"/>
  <c r="B17" i="1"/>
  <c r="G17" i="2"/>
  <c r="G13" i="2"/>
  <c r="G14" i="2"/>
  <c r="G15" i="2"/>
  <c r="G16" i="2"/>
  <c r="G11" i="2"/>
  <c r="G12" i="2"/>
  <c r="B14" i="1"/>
  <c r="I18" i="2"/>
  <c r="K18" i="2"/>
  <c r="B16" i="1"/>
  <c r="K19" i="2"/>
  <c r="K1" i="2"/>
  <c r="K35" i="2"/>
  <c r="I19" i="2"/>
  <c r="I1" i="2"/>
  <c r="I35" i="2"/>
  <c r="Q35" i="2"/>
  <c r="R35" i="2"/>
  <c r="I2" i="2"/>
  <c r="L18" i="2"/>
  <c r="L84" i="2"/>
  <c r="L86" i="2"/>
  <c r="L88" i="2"/>
  <c r="L90" i="2"/>
  <c r="I84" i="2"/>
  <c r="T84" i="2"/>
  <c r="I86" i="2"/>
  <c r="T86" i="2"/>
  <c r="I88" i="2"/>
  <c r="T88" i="2"/>
  <c r="T90" i="2"/>
  <c r="U90" i="2"/>
  <c r="V90" i="2"/>
  <c r="U88" i="2"/>
  <c r="V88" i="2"/>
  <c r="U86" i="2"/>
  <c r="V86" i="2"/>
  <c r="U84" i="2"/>
  <c r="V84" i="2"/>
  <c r="L21" i="2"/>
  <c r="L32" i="2"/>
  <c r="L37" i="2"/>
  <c r="L82" i="2"/>
  <c r="I21" i="2"/>
  <c r="T21" i="2"/>
  <c r="I32" i="2"/>
  <c r="T32" i="2"/>
  <c r="I37" i="2"/>
  <c r="T37" i="2"/>
  <c r="T82" i="2"/>
  <c r="U82" i="2"/>
  <c r="V82" i="2"/>
  <c r="L80" i="2"/>
  <c r="I80" i="2"/>
  <c r="T80" i="2"/>
  <c r="U80" i="2"/>
  <c r="L77" i="2"/>
  <c r="L78" i="2"/>
  <c r="L79" i="2"/>
  <c r="I77" i="2"/>
  <c r="I78" i="2"/>
  <c r="I79" i="2"/>
  <c r="T79" i="2"/>
  <c r="U79" i="2"/>
  <c r="V79" i="2"/>
  <c r="T78" i="2"/>
  <c r="U78" i="2"/>
  <c r="V78" i="2"/>
  <c r="T77" i="2"/>
  <c r="U77" i="2"/>
  <c r="V77" i="2"/>
  <c r="L74" i="2"/>
  <c r="L75" i="2"/>
  <c r="L76" i="2"/>
  <c r="I74" i="2"/>
  <c r="I75" i="2"/>
  <c r="I76" i="2"/>
  <c r="T76" i="2"/>
  <c r="U76" i="2"/>
  <c r="V76" i="2"/>
  <c r="T75" i="2"/>
  <c r="U75" i="2"/>
  <c r="V75" i="2"/>
  <c r="T74" i="2"/>
  <c r="U74" i="2"/>
  <c r="V74" i="2"/>
  <c r="L71" i="2"/>
  <c r="L72" i="2"/>
  <c r="L73" i="2"/>
  <c r="I71" i="2"/>
  <c r="I72" i="2"/>
  <c r="I73" i="2"/>
  <c r="T73" i="2"/>
  <c r="U73" i="2"/>
  <c r="V73" i="2"/>
  <c r="T72" i="2"/>
  <c r="U72" i="2"/>
  <c r="V72" i="2"/>
  <c r="T71" i="2"/>
  <c r="U71" i="2"/>
  <c r="V71" i="2"/>
  <c r="L68" i="2"/>
  <c r="L69" i="2"/>
  <c r="L70" i="2"/>
  <c r="I68" i="2"/>
  <c r="I69" i="2"/>
  <c r="I70" i="2"/>
  <c r="T70" i="2"/>
  <c r="U70" i="2"/>
  <c r="V70" i="2"/>
  <c r="T69" i="2"/>
  <c r="U69" i="2"/>
  <c r="V69" i="2"/>
  <c r="T68" i="2"/>
  <c r="U68" i="2"/>
  <c r="V68" i="2"/>
  <c r="L65" i="2"/>
  <c r="L66" i="2"/>
  <c r="L67" i="2"/>
  <c r="I65" i="2"/>
  <c r="I66" i="2"/>
  <c r="I67" i="2"/>
  <c r="T67" i="2"/>
  <c r="U67" i="2"/>
  <c r="V67" i="2"/>
  <c r="T66" i="2"/>
  <c r="U66" i="2"/>
  <c r="V66" i="2"/>
  <c r="T65" i="2"/>
  <c r="U65" i="2"/>
  <c r="V65" i="2"/>
  <c r="L62" i="2"/>
  <c r="L63" i="2"/>
  <c r="L64" i="2"/>
  <c r="I62" i="2"/>
  <c r="I63" i="2"/>
  <c r="I64" i="2"/>
  <c r="T64" i="2"/>
  <c r="U64" i="2"/>
  <c r="V64" i="2"/>
  <c r="T63" i="2"/>
  <c r="U63" i="2"/>
  <c r="V63" i="2"/>
  <c r="T62" i="2"/>
  <c r="U62" i="2"/>
  <c r="V62" i="2"/>
  <c r="L59" i="2"/>
  <c r="L60" i="2"/>
  <c r="L61" i="2"/>
  <c r="I59" i="2"/>
  <c r="I60" i="2"/>
  <c r="I61" i="2"/>
  <c r="T61" i="2"/>
  <c r="U61" i="2"/>
  <c r="V61" i="2"/>
  <c r="T60" i="2"/>
  <c r="U60" i="2"/>
  <c r="V60" i="2"/>
  <c r="T59" i="2"/>
  <c r="U59" i="2"/>
  <c r="V59" i="2"/>
  <c r="L56" i="2"/>
  <c r="L57" i="2"/>
  <c r="L58" i="2"/>
  <c r="I56" i="2"/>
  <c r="I57" i="2"/>
  <c r="I58" i="2"/>
  <c r="T58" i="2"/>
  <c r="U58" i="2"/>
  <c r="V58" i="2"/>
  <c r="T57" i="2"/>
  <c r="U57" i="2"/>
  <c r="V57" i="2"/>
  <c r="T56" i="2"/>
  <c r="U56" i="2"/>
  <c r="V56" i="2"/>
  <c r="L53" i="2"/>
  <c r="L54" i="2"/>
  <c r="L55" i="2"/>
  <c r="I53" i="2"/>
  <c r="I54" i="2"/>
  <c r="I55" i="2"/>
  <c r="T55" i="2"/>
  <c r="U55" i="2"/>
  <c r="V55" i="2"/>
  <c r="T54" i="2"/>
  <c r="U54" i="2"/>
  <c r="V54" i="2"/>
  <c r="T53" i="2"/>
  <c r="U53" i="2"/>
  <c r="V53" i="2"/>
  <c r="L50" i="2"/>
  <c r="L51" i="2"/>
  <c r="L52" i="2"/>
  <c r="I50" i="2"/>
  <c r="I51" i="2"/>
  <c r="I52" i="2"/>
  <c r="T52" i="2"/>
  <c r="U52" i="2"/>
  <c r="V52" i="2"/>
  <c r="T51" i="2"/>
  <c r="U51" i="2"/>
  <c r="V51" i="2"/>
  <c r="T50" i="2"/>
  <c r="U50" i="2"/>
  <c r="V50" i="2"/>
  <c r="L47" i="2"/>
  <c r="L48" i="2"/>
  <c r="L49" i="2"/>
  <c r="I47" i="2"/>
  <c r="I48" i="2"/>
  <c r="I49" i="2"/>
  <c r="T49" i="2"/>
  <c r="U49" i="2"/>
  <c r="V49" i="2"/>
  <c r="T48" i="2"/>
  <c r="U48" i="2"/>
  <c r="V48" i="2"/>
  <c r="T47" i="2"/>
  <c r="U47" i="2"/>
  <c r="V47" i="2"/>
  <c r="L44" i="2"/>
  <c r="L45" i="2"/>
  <c r="L46" i="2"/>
  <c r="I44" i="2"/>
  <c r="I45" i="2"/>
  <c r="I46" i="2"/>
  <c r="T46" i="2"/>
  <c r="U46" i="2"/>
  <c r="V46" i="2"/>
  <c r="T45" i="2"/>
  <c r="U45" i="2"/>
  <c r="V45" i="2"/>
  <c r="T44" i="2"/>
  <c r="U44" i="2"/>
  <c r="V44" i="2"/>
  <c r="L41" i="2"/>
  <c r="L42" i="2"/>
  <c r="L43" i="2"/>
  <c r="I41" i="2"/>
  <c r="I42" i="2"/>
  <c r="I43" i="2"/>
  <c r="T43" i="2"/>
  <c r="U43" i="2"/>
  <c r="V43" i="2"/>
  <c r="T42" i="2"/>
  <c r="U42" i="2"/>
  <c r="V42" i="2"/>
  <c r="T41" i="2"/>
  <c r="U41" i="2"/>
  <c r="V41" i="2"/>
  <c r="L38" i="2"/>
  <c r="L39" i="2"/>
  <c r="L40" i="2"/>
  <c r="I38" i="2"/>
  <c r="I39" i="2"/>
  <c r="I40" i="2"/>
  <c r="T40" i="2"/>
  <c r="U40" i="2"/>
  <c r="V40" i="2"/>
  <c r="T39" i="2"/>
  <c r="U39" i="2"/>
  <c r="V39" i="2"/>
  <c r="T38" i="2"/>
  <c r="U38" i="2"/>
  <c r="V38" i="2"/>
  <c r="U37" i="2"/>
  <c r="V37" i="2"/>
  <c r="L35" i="2"/>
  <c r="T35" i="2"/>
  <c r="U35" i="2"/>
  <c r="L34" i="2"/>
  <c r="I34" i="2"/>
  <c r="T34" i="2"/>
  <c r="U34" i="2"/>
  <c r="V34" i="2"/>
  <c r="L33" i="2"/>
  <c r="I33" i="2"/>
  <c r="T33" i="2"/>
  <c r="U33" i="2"/>
  <c r="V33" i="2"/>
  <c r="U32" i="2"/>
  <c r="V32" i="2"/>
  <c r="L30" i="2"/>
  <c r="I30" i="2"/>
  <c r="T30" i="2"/>
  <c r="U30" i="2"/>
  <c r="L29" i="2"/>
  <c r="I29" i="2"/>
  <c r="T29" i="2"/>
  <c r="U29" i="2"/>
  <c r="V29" i="2"/>
  <c r="L28" i="2"/>
  <c r="I28" i="2"/>
  <c r="T28" i="2"/>
  <c r="U28" i="2"/>
  <c r="V28" i="2"/>
  <c r="L27" i="2"/>
  <c r="I27" i="2"/>
  <c r="T27" i="2"/>
  <c r="U27" i="2"/>
  <c r="V27" i="2"/>
  <c r="L26" i="2"/>
  <c r="I26" i="2"/>
  <c r="T26" i="2"/>
  <c r="U26" i="2"/>
  <c r="V26" i="2"/>
  <c r="L25" i="2"/>
  <c r="I25" i="2"/>
  <c r="T25" i="2"/>
  <c r="U25" i="2"/>
  <c r="V25" i="2"/>
  <c r="L24" i="2"/>
  <c r="I24" i="2"/>
  <c r="T24" i="2"/>
  <c r="U24" i="2"/>
  <c r="V24" i="2"/>
  <c r="L23" i="2"/>
  <c r="I23" i="2"/>
  <c r="T23" i="2"/>
  <c r="U23" i="2"/>
  <c r="V23" i="2"/>
  <c r="L22" i="2"/>
  <c r="I22" i="2"/>
  <c r="T22" i="2"/>
  <c r="U22" i="2"/>
  <c r="V22" i="2"/>
  <c r="K84" i="2"/>
  <c r="K86" i="2"/>
  <c r="K88" i="2"/>
  <c r="K90" i="2"/>
  <c r="Q84" i="2"/>
  <c r="Q86" i="2"/>
  <c r="Q88" i="2"/>
  <c r="Q90" i="2"/>
  <c r="R90" i="2"/>
  <c r="S90" i="2"/>
  <c r="R88" i="2"/>
  <c r="S88" i="2"/>
  <c r="R86" i="2"/>
  <c r="S86" i="2"/>
  <c r="R84" i="2"/>
  <c r="S84" i="2"/>
  <c r="K21" i="2"/>
  <c r="K32" i="2"/>
  <c r="K37" i="2"/>
  <c r="K82" i="2"/>
  <c r="Q21" i="2"/>
  <c r="Q32" i="2"/>
  <c r="Q37" i="2"/>
  <c r="Q82" i="2"/>
  <c r="R82" i="2"/>
  <c r="S82" i="2"/>
  <c r="K80" i="2"/>
  <c r="Q80" i="2"/>
  <c r="R80" i="2"/>
  <c r="K77" i="2"/>
  <c r="K78" i="2"/>
  <c r="K79" i="2"/>
  <c r="Q79" i="2"/>
  <c r="R79" i="2"/>
  <c r="S79" i="2"/>
  <c r="Q78" i="2"/>
  <c r="R78" i="2"/>
  <c r="S78" i="2"/>
  <c r="Q77" i="2"/>
  <c r="R77" i="2"/>
  <c r="S77" i="2"/>
  <c r="K74" i="2"/>
  <c r="K75" i="2"/>
  <c r="K76" i="2"/>
  <c r="Q76" i="2"/>
  <c r="R76" i="2"/>
  <c r="S76" i="2"/>
  <c r="Q75" i="2"/>
  <c r="R75" i="2"/>
  <c r="S75" i="2"/>
  <c r="Q74" i="2"/>
  <c r="R74" i="2"/>
  <c r="S74" i="2"/>
  <c r="K71" i="2"/>
  <c r="K72" i="2"/>
  <c r="K73" i="2"/>
  <c r="Q73" i="2"/>
  <c r="R73" i="2"/>
  <c r="S73" i="2"/>
  <c r="Q72" i="2"/>
  <c r="R72" i="2"/>
  <c r="S72" i="2"/>
  <c r="Q71" i="2"/>
  <c r="R71" i="2"/>
  <c r="S71" i="2"/>
  <c r="K68" i="2"/>
  <c r="K69" i="2"/>
  <c r="K70" i="2"/>
  <c r="Q70" i="2"/>
  <c r="R70" i="2"/>
  <c r="S70" i="2"/>
  <c r="Q69" i="2"/>
  <c r="R69" i="2"/>
  <c r="S69" i="2"/>
  <c r="Q68" i="2"/>
  <c r="R68" i="2"/>
  <c r="S68" i="2"/>
  <c r="K65" i="2"/>
  <c r="K66" i="2"/>
  <c r="K67" i="2"/>
  <c r="Q67" i="2"/>
  <c r="R67" i="2"/>
  <c r="S67" i="2"/>
  <c r="Q66" i="2"/>
  <c r="R66" i="2"/>
  <c r="S66" i="2"/>
  <c r="Q65" i="2"/>
  <c r="R65" i="2"/>
  <c r="S65" i="2"/>
  <c r="K62" i="2"/>
  <c r="K63" i="2"/>
  <c r="K64" i="2"/>
  <c r="Q64" i="2"/>
  <c r="R64" i="2"/>
  <c r="S64" i="2"/>
  <c r="Q63" i="2"/>
  <c r="R63" i="2"/>
  <c r="S63" i="2"/>
  <c r="Q62" i="2"/>
  <c r="R62" i="2"/>
  <c r="S62" i="2"/>
  <c r="K59" i="2"/>
  <c r="K60" i="2"/>
  <c r="K61" i="2"/>
  <c r="Q61" i="2"/>
  <c r="R61" i="2"/>
  <c r="S61" i="2"/>
  <c r="Q60" i="2"/>
  <c r="R60" i="2"/>
  <c r="S60" i="2"/>
  <c r="Q59" i="2"/>
  <c r="R59" i="2"/>
  <c r="S59" i="2"/>
  <c r="K56" i="2"/>
  <c r="K57" i="2"/>
  <c r="K58" i="2"/>
  <c r="Q58" i="2"/>
  <c r="R58" i="2"/>
  <c r="S58" i="2"/>
  <c r="Q57" i="2"/>
  <c r="R57" i="2"/>
  <c r="S57" i="2"/>
  <c r="Q56" i="2"/>
  <c r="R56" i="2"/>
  <c r="S56" i="2"/>
  <c r="K53" i="2"/>
  <c r="K54" i="2"/>
  <c r="K55" i="2"/>
  <c r="Q55" i="2"/>
  <c r="R55" i="2"/>
  <c r="S55" i="2"/>
  <c r="Q54" i="2"/>
  <c r="R54" i="2"/>
  <c r="S54" i="2"/>
  <c r="Q53" i="2"/>
  <c r="R53" i="2"/>
  <c r="S53" i="2"/>
  <c r="K50" i="2"/>
  <c r="K51" i="2"/>
  <c r="K52" i="2"/>
  <c r="Q52" i="2"/>
  <c r="R52" i="2"/>
  <c r="S52" i="2"/>
  <c r="Q51" i="2"/>
  <c r="R51" i="2"/>
  <c r="S51" i="2"/>
  <c r="Q50" i="2"/>
  <c r="R50" i="2"/>
  <c r="S50" i="2"/>
  <c r="K47" i="2"/>
  <c r="K48" i="2"/>
  <c r="K49" i="2"/>
  <c r="Q49" i="2"/>
  <c r="R49" i="2"/>
  <c r="S49" i="2"/>
  <c r="Q48" i="2"/>
  <c r="R48" i="2"/>
  <c r="S48" i="2"/>
  <c r="Q47" i="2"/>
  <c r="R47" i="2"/>
  <c r="S47" i="2"/>
  <c r="K44" i="2"/>
  <c r="K45" i="2"/>
  <c r="K46" i="2"/>
  <c r="Q46" i="2"/>
  <c r="R46" i="2"/>
  <c r="S46" i="2"/>
  <c r="Q45" i="2"/>
  <c r="R45" i="2"/>
  <c r="S45" i="2"/>
  <c r="Q44" i="2"/>
  <c r="R44" i="2"/>
  <c r="S44" i="2"/>
  <c r="K41" i="2"/>
  <c r="K42" i="2"/>
  <c r="K43" i="2"/>
  <c r="Q43" i="2"/>
  <c r="R43" i="2"/>
  <c r="S43" i="2"/>
  <c r="Q42" i="2"/>
  <c r="R42" i="2"/>
  <c r="S42" i="2"/>
  <c r="Q41" i="2"/>
  <c r="R41" i="2"/>
  <c r="S41" i="2"/>
  <c r="K38" i="2"/>
  <c r="K39" i="2"/>
  <c r="K40" i="2"/>
  <c r="Q40" i="2"/>
  <c r="R40" i="2"/>
  <c r="S40" i="2"/>
  <c r="Q39" i="2"/>
  <c r="R39" i="2"/>
  <c r="S39" i="2"/>
  <c r="Q38" i="2"/>
  <c r="R38" i="2"/>
  <c r="S38" i="2"/>
  <c r="R37" i="2"/>
  <c r="S37" i="2"/>
  <c r="K34" i="2"/>
  <c r="Q34" i="2"/>
  <c r="R34" i="2"/>
  <c r="S34" i="2"/>
  <c r="K33" i="2"/>
  <c r="Q33" i="2"/>
  <c r="R33" i="2"/>
  <c r="S33" i="2"/>
  <c r="R32" i="2"/>
  <c r="S32" i="2"/>
  <c r="K30" i="2"/>
  <c r="Q30" i="2"/>
  <c r="R30" i="2"/>
  <c r="K29" i="2"/>
  <c r="Q29" i="2"/>
  <c r="R29" i="2"/>
  <c r="S29" i="2"/>
  <c r="K28" i="2"/>
  <c r="Q28" i="2"/>
  <c r="R28" i="2"/>
  <c r="S28" i="2"/>
  <c r="K27" i="2"/>
  <c r="Q27" i="2"/>
  <c r="R27" i="2"/>
  <c r="S27" i="2"/>
  <c r="K26" i="2"/>
  <c r="Q26" i="2"/>
  <c r="R26" i="2"/>
  <c r="S26" i="2"/>
  <c r="K25" i="2"/>
  <c r="Q25" i="2"/>
  <c r="R25" i="2"/>
  <c r="S25" i="2"/>
  <c r="K24" i="2"/>
  <c r="Q24" i="2"/>
  <c r="R24" i="2"/>
  <c r="S24" i="2"/>
  <c r="K23" i="2"/>
  <c r="Q23" i="2"/>
  <c r="R23" i="2"/>
  <c r="S23" i="2"/>
  <c r="K22" i="2"/>
  <c r="Q22" i="2"/>
  <c r="R22" i="2"/>
  <c r="S22" i="2"/>
  <c r="U21" i="2"/>
  <c r="V21" i="2"/>
  <c r="R21" i="2"/>
  <c r="S21" i="2"/>
  <c r="J18" i="2"/>
  <c r="B15" i="1"/>
  <c r="J19" i="2"/>
  <c r="J1" i="2"/>
  <c r="J84" i="2"/>
  <c r="J86" i="2"/>
  <c r="J88" i="2"/>
  <c r="J90" i="2"/>
  <c r="N84" i="2"/>
  <c r="N86" i="2"/>
  <c r="N88" i="2"/>
  <c r="N90" i="2"/>
  <c r="O90" i="2"/>
  <c r="P90" i="2"/>
  <c r="O88" i="2"/>
  <c r="P88" i="2"/>
  <c r="O86" i="2"/>
  <c r="P86" i="2"/>
  <c r="O84" i="2"/>
  <c r="P84" i="2"/>
  <c r="J21" i="2"/>
  <c r="J32" i="2"/>
  <c r="J37" i="2"/>
  <c r="J82" i="2"/>
  <c r="N21" i="2"/>
  <c r="N32" i="2"/>
  <c r="N37" i="2"/>
  <c r="N82" i="2"/>
  <c r="O82" i="2"/>
  <c r="P82" i="2"/>
  <c r="J80" i="2"/>
  <c r="N80" i="2"/>
  <c r="O80" i="2"/>
  <c r="J77" i="2"/>
  <c r="J78" i="2"/>
  <c r="J79" i="2"/>
  <c r="N79" i="2"/>
  <c r="O79" i="2"/>
  <c r="P79" i="2"/>
  <c r="N78" i="2"/>
  <c r="O78" i="2"/>
  <c r="P78" i="2"/>
  <c r="N77" i="2"/>
  <c r="O77" i="2"/>
  <c r="P77" i="2"/>
  <c r="J74" i="2"/>
  <c r="J75" i="2"/>
  <c r="J76" i="2"/>
  <c r="N76" i="2"/>
  <c r="O76" i="2"/>
  <c r="P76" i="2"/>
  <c r="N75" i="2"/>
  <c r="O75" i="2"/>
  <c r="P75" i="2"/>
  <c r="N74" i="2"/>
  <c r="O74" i="2"/>
  <c r="P74" i="2"/>
  <c r="J71" i="2"/>
  <c r="J72" i="2"/>
  <c r="J73" i="2"/>
  <c r="N73" i="2"/>
  <c r="O73" i="2"/>
  <c r="P73" i="2"/>
  <c r="N72" i="2"/>
  <c r="O72" i="2"/>
  <c r="P72" i="2"/>
  <c r="N71" i="2"/>
  <c r="O71" i="2"/>
  <c r="P71" i="2"/>
  <c r="J68" i="2"/>
  <c r="J69" i="2"/>
  <c r="J70" i="2"/>
  <c r="N70" i="2"/>
  <c r="O70" i="2"/>
  <c r="P70" i="2"/>
  <c r="N69" i="2"/>
  <c r="O69" i="2"/>
  <c r="P69" i="2"/>
  <c r="N68" i="2"/>
  <c r="O68" i="2"/>
  <c r="P68" i="2"/>
  <c r="J65" i="2"/>
  <c r="J66" i="2"/>
  <c r="J67" i="2"/>
  <c r="N67" i="2"/>
  <c r="O67" i="2"/>
  <c r="P67" i="2"/>
  <c r="N66" i="2"/>
  <c r="O66" i="2"/>
  <c r="P66" i="2"/>
  <c r="N65" i="2"/>
  <c r="O65" i="2"/>
  <c r="P65" i="2"/>
  <c r="J62" i="2"/>
  <c r="J63" i="2"/>
  <c r="J64" i="2"/>
  <c r="N64" i="2"/>
  <c r="O64" i="2"/>
  <c r="P64" i="2"/>
  <c r="N63" i="2"/>
  <c r="O63" i="2"/>
  <c r="P63" i="2"/>
  <c r="N62" i="2"/>
  <c r="O62" i="2"/>
  <c r="P62" i="2"/>
  <c r="J59" i="2"/>
  <c r="J60" i="2"/>
  <c r="J61" i="2"/>
  <c r="N61" i="2"/>
  <c r="O61" i="2"/>
  <c r="P61" i="2"/>
  <c r="N60" i="2"/>
  <c r="O60" i="2"/>
  <c r="P60" i="2"/>
  <c r="N59" i="2"/>
  <c r="O59" i="2"/>
  <c r="P59" i="2"/>
  <c r="J56" i="2"/>
  <c r="J57" i="2"/>
  <c r="J58" i="2"/>
  <c r="N58" i="2"/>
  <c r="O58" i="2"/>
  <c r="P58" i="2"/>
  <c r="N57" i="2"/>
  <c r="O57" i="2"/>
  <c r="P57" i="2"/>
  <c r="N56" i="2"/>
  <c r="O56" i="2"/>
  <c r="P56" i="2"/>
  <c r="J53" i="2"/>
  <c r="J54" i="2"/>
  <c r="J55" i="2"/>
  <c r="N55" i="2"/>
  <c r="O55" i="2"/>
  <c r="P55" i="2"/>
  <c r="N54" i="2"/>
  <c r="O54" i="2"/>
  <c r="P54" i="2"/>
  <c r="N53" i="2"/>
  <c r="O53" i="2"/>
  <c r="P53" i="2"/>
  <c r="J50" i="2"/>
  <c r="J51" i="2"/>
  <c r="J52" i="2"/>
  <c r="N52" i="2"/>
  <c r="O52" i="2"/>
  <c r="P52" i="2"/>
  <c r="N51" i="2"/>
  <c r="O51" i="2"/>
  <c r="P51" i="2"/>
  <c r="N50" i="2"/>
  <c r="O50" i="2"/>
  <c r="P50" i="2"/>
  <c r="J47" i="2"/>
  <c r="J48" i="2"/>
  <c r="J49" i="2"/>
  <c r="N49" i="2"/>
  <c r="O49" i="2"/>
  <c r="P49" i="2"/>
  <c r="N48" i="2"/>
  <c r="O48" i="2"/>
  <c r="P48" i="2"/>
  <c r="N47" i="2"/>
  <c r="O47" i="2"/>
  <c r="P47" i="2"/>
  <c r="J44" i="2"/>
  <c r="J45" i="2"/>
  <c r="J46" i="2"/>
  <c r="N46" i="2"/>
  <c r="O46" i="2"/>
  <c r="P46" i="2"/>
  <c r="N45" i="2"/>
  <c r="O45" i="2"/>
  <c r="P45" i="2"/>
  <c r="N44" i="2"/>
  <c r="O44" i="2"/>
  <c r="P44" i="2"/>
  <c r="J41" i="2"/>
  <c r="J42" i="2"/>
  <c r="J43" i="2"/>
  <c r="N43" i="2"/>
  <c r="O43" i="2"/>
  <c r="P43" i="2"/>
  <c r="N42" i="2"/>
  <c r="O42" i="2"/>
  <c r="P42" i="2"/>
  <c r="N41" i="2"/>
  <c r="O41" i="2"/>
  <c r="P41" i="2"/>
  <c r="J38" i="2"/>
  <c r="J39" i="2"/>
  <c r="J40" i="2"/>
  <c r="N40" i="2"/>
  <c r="O40" i="2"/>
  <c r="P40" i="2"/>
  <c r="N39" i="2"/>
  <c r="O39" i="2"/>
  <c r="P39" i="2"/>
  <c r="N38" i="2"/>
  <c r="O38" i="2"/>
  <c r="P38" i="2"/>
  <c r="O37" i="2"/>
  <c r="P37" i="2"/>
  <c r="J35" i="2"/>
  <c r="N35" i="2"/>
  <c r="O35" i="2"/>
  <c r="J34" i="2"/>
  <c r="N34" i="2"/>
  <c r="O34" i="2"/>
  <c r="P34" i="2"/>
  <c r="J33" i="2"/>
  <c r="N33" i="2"/>
  <c r="O33" i="2"/>
  <c r="P33" i="2"/>
  <c r="O32" i="2"/>
  <c r="P32" i="2"/>
  <c r="J30" i="2"/>
  <c r="N30" i="2"/>
  <c r="O30" i="2"/>
  <c r="J29" i="2"/>
  <c r="N29" i="2"/>
  <c r="O29" i="2"/>
  <c r="P29" i="2"/>
  <c r="J28" i="2"/>
  <c r="N28" i="2"/>
  <c r="O28" i="2"/>
  <c r="P28" i="2"/>
  <c r="J27" i="2"/>
  <c r="N27" i="2"/>
  <c r="O27" i="2"/>
  <c r="P27" i="2"/>
  <c r="J26" i="2"/>
  <c r="N26" i="2"/>
  <c r="O26" i="2"/>
  <c r="P26" i="2"/>
  <c r="J25" i="2"/>
  <c r="N25" i="2"/>
  <c r="O25" i="2"/>
  <c r="P25" i="2"/>
  <c r="J24" i="2"/>
  <c r="N24" i="2"/>
  <c r="O24" i="2"/>
  <c r="P24" i="2"/>
  <c r="J23" i="2"/>
  <c r="N23" i="2"/>
  <c r="O23" i="2"/>
  <c r="P23" i="2"/>
  <c r="J22" i="2"/>
  <c r="N22" i="2"/>
  <c r="O22" i="2"/>
  <c r="P22" i="2"/>
  <c r="O21" i="2"/>
  <c r="P21" i="2"/>
  <c r="F24" i="2"/>
  <c r="C24" i="2"/>
  <c r="F29" i="2"/>
  <c r="F28" i="2"/>
  <c r="F27" i="2"/>
  <c r="F26" i="2"/>
  <c r="F25" i="2"/>
  <c r="C80" i="2"/>
  <c r="F80" i="2"/>
  <c r="B79" i="2"/>
  <c r="B76" i="2"/>
  <c r="B73" i="2"/>
  <c r="B70" i="2"/>
  <c r="B67" i="2"/>
  <c r="B64" i="2"/>
  <c r="B61" i="2"/>
  <c r="B58" i="2"/>
  <c r="B55" i="2"/>
  <c r="B52" i="2"/>
  <c r="B49" i="2"/>
  <c r="B46" i="2"/>
  <c r="B43" i="2"/>
  <c r="B40" i="2"/>
  <c r="F44" i="2"/>
  <c r="F46" i="2"/>
  <c r="F78" i="2"/>
  <c r="F79" i="2"/>
  <c r="F75" i="2"/>
  <c r="F76" i="2"/>
  <c r="F72" i="2"/>
  <c r="F73" i="2"/>
  <c r="F69" i="2"/>
  <c r="F70" i="2"/>
  <c r="F66" i="2"/>
  <c r="F67" i="2"/>
  <c r="F63" i="2"/>
  <c r="F64" i="2"/>
  <c r="F60" i="2"/>
  <c r="F61" i="2"/>
  <c r="F57" i="2"/>
  <c r="F58" i="2"/>
  <c r="F54" i="2"/>
  <c r="F55" i="2"/>
  <c r="F51" i="2"/>
  <c r="F52" i="2"/>
  <c r="F48" i="2"/>
  <c r="F49" i="2"/>
  <c r="F42" i="2"/>
  <c r="F43" i="2"/>
  <c r="F39" i="2"/>
  <c r="F40" i="2"/>
  <c r="F38" i="2"/>
  <c r="F41" i="2"/>
  <c r="F45" i="2"/>
  <c r="F47" i="2"/>
  <c r="F50" i="2"/>
  <c r="F53" i="2"/>
  <c r="F56" i="2"/>
  <c r="F59" i="2"/>
  <c r="F62" i="2"/>
  <c r="F65" i="2"/>
  <c r="F68" i="2"/>
  <c r="F71" i="2"/>
  <c r="F74" i="2"/>
  <c r="F77" i="2"/>
  <c r="C59" i="2"/>
  <c r="C57" i="2"/>
  <c r="C56" i="2"/>
  <c r="C54" i="2"/>
  <c r="C53" i="2"/>
  <c r="C51" i="2"/>
  <c r="C50" i="2"/>
  <c r="C48" i="2"/>
  <c r="C47" i="2"/>
  <c r="C45" i="2"/>
  <c r="C44" i="2"/>
  <c r="C42" i="2"/>
  <c r="C41" i="2"/>
  <c r="C39" i="2"/>
  <c r="C38" i="2"/>
  <c r="F34" i="2"/>
  <c r="C34" i="2"/>
  <c r="F30" i="2"/>
  <c r="C30" i="2"/>
  <c r="F33" i="2"/>
  <c r="F23" i="2"/>
  <c r="F22" i="2"/>
  <c r="I90" i="2"/>
  <c r="F90" i="2"/>
  <c r="I82" i="2"/>
  <c r="F82" i="2"/>
  <c r="C82" i="2"/>
  <c r="F35" i="2"/>
  <c r="F88" i="2"/>
  <c r="F86" i="2"/>
  <c r="F84" i="2"/>
  <c r="F37" i="2"/>
  <c r="F32" i="2"/>
  <c r="C90" i="2"/>
  <c r="C89" i="2"/>
  <c r="C88" i="2"/>
  <c r="C87" i="2"/>
  <c r="C86" i="2"/>
  <c r="C85" i="2"/>
  <c r="C84" i="2"/>
  <c r="C83" i="2"/>
  <c r="C81" i="2"/>
  <c r="C78" i="2"/>
  <c r="C77" i="2"/>
  <c r="C75" i="2"/>
  <c r="C74" i="2"/>
  <c r="C72" i="2"/>
  <c r="C71" i="2"/>
  <c r="C69" i="2"/>
  <c r="C68" i="2"/>
  <c r="C66" i="2"/>
  <c r="C65" i="2"/>
  <c r="C63" i="2"/>
  <c r="C62" i="2"/>
  <c r="C60" i="2"/>
  <c r="C37" i="2"/>
  <c r="C36" i="2"/>
  <c r="C35" i="2"/>
  <c r="C33" i="2"/>
  <c r="C32" i="2"/>
  <c r="C31" i="2"/>
  <c r="C29" i="2"/>
  <c r="C28" i="2"/>
  <c r="C27" i="2"/>
  <c r="C26" i="2"/>
  <c r="C25" i="2"/>
  <c r="C23" i="2"/>
  <c r="C22" i="2"/>
  <c r="C21" i="2"/>
  <c r="L19" i="2"/>
  <c r="F7" i="2"/>
  <c r="F21" i="2"/>
  <c r="T19" i="2"/>
  <c r="Q19" i="2"/>
  <c r="N19" i="2"/>
  <c r="J2" i="2"/>
  <c r="G19" i="2"/>
  <c r="F19" i="2"/>
  <c r="F10" i="2"/>
  <c r="H2" i="2"/>
  <c r="V19" i="2"/>
  <c r="S19" i="2"/>
  <c r="B13" i="1"/>
</calcChain>
</file>

<file path=xl/sharedStrings.xml><?xml version="1.0" encoding="utf-8"?>
<sst xmlns="http://schemas.openxmlformats.org/spreadsheetml/2006/main" count="108" uniqueCount="105">
  <si>
    <t>Server Name :</t>
  </si>
  <si>
    <t>tango_core_model:</t>
  </si>
  <si>
    <t>xServer</t>
  </si>
  <si>
    <t>Host Server :</t>
  </si>
  <si>
    <t>Flag Send Data :</t>
  </si>
  <si>
    <t>Flag Send Comment :</t>
  </si>
  <si>
    <t>Excel Report Context :</t>
  </si>
  <si>
    <t>Cube n°1 :</t>
  </si>
  <si>
    <t>Report_PL</t>
  </si>
  <si>
    <t>Cube n°2 :</t>
  </si>
  <si>
    <t>RP_Comments_PL</t>
  </si>
  <si>
    <t>Actual Year :</t>
  </si>
  <si>
    <t>Actual Month :</t>
  </si>
  <si>
    <t>Budget Version :</t>
  </si>
  <si>
    <t xml:space="preserve">Forecast Version </t>
  </si>
  <si>
    <t>Local language</t>
  </si>
  <si>
    <t>Language List :</t>
  </si>
  <si>
    <t>English</t>
  </si>
  <si>
    <t>French</t>
  </si>
  <si>
    <t>Dutch</t>
  </si>
  <si>
    <t>German</t>
  </si>
  <si>
    <t>Portuguese</t>
  </si>
  <si>
    <t>Note List :</t>
  </si>
  <si>
    <t>A</t>
  </si>
  <si>
    <t>B</t>
  </si>
  <si>
    <t>C</t>
  </si>
  <si>
    <t>Sheets Context Legend :</t>
  </si>
  <si>
    <t>Technical Named Cell for VBA process :</t>
  </si>
  <si>
    <t>Fixed Dimension Context</t>
  </si>
  <si>
    <t>z_Admin_Param Dimension Context</t>
  </si>
  <si>
    <t>Name of the dimension concerning report translation</t>
  </si>
  <si>
    <t>Phase</t>
  </si>
  <si>
    <t>ACT_TOT</t>
  </si>
  <si>
    <t>ACT_PRIOR_NB</t>
  </si>
  <si>
    <t>ACT_PRIOR_PO</t>
  </si>
  <si>
    <t>ACT_BUDG_NB</t>
  </si>
  <si>
    <t>ACT_BUDG_PO</t>
  </si>
  <si>
    <t>ACT_FC_NB</t>
  </si>
  <si>
    <t>ACT_FC_PO</t>
  </si>
  <si>
    <t>Period</t>
  </si>
  <si>
    <t>AutoRefresh_PL_aggregated</t>
  </si>
  <si>
    <t>z_Translate_Report</t>
  </si>
  <si>
    <t>Context_selection</t>
  </si>
  <si>
    <t>Management_organization</t>
  </si>
  <si>
    <t>Language</t>
  </si>
  <si>
    <t>Indicator</t>
  </si>
  <si>
    <t>Activity</t>
  </si>
  <si>
    <t>Currency</t>
  </si>
  <si>
    <t>Gaap</t>
  </si>
  <si>
    <t>FC_ALL</t>
  </si>
  <si>
    <t>FC_1_TOT</t>
  </si>
  <si>
    <t>FC_2_TOT</t>
  </si>
  <si>
    <t>Legal organization</t>
  </si>
  <si>
    <t>Integration rate</t>
  </si>
  <si>
    <t>PL1110_DO_10</t>
  </si>
  <si>
    <t>PL1210_BD</t>
  </si>
  <si>
    <t>PL1215_BD_20</t>
  </si>
  <si>
    <t>PL1110_MF_10</t>
  </si>
  <si>
    <t>PL1110_MI_10</t>
  </si>
  <si>
    <t>PL1110_CD_20</t>
  </si>
  <si>
    <t>PL1110_CS_10</t>
  </si>
  <si>
    <t>PL1110_DS_10</t>
  </si>
  <si>
    <t>PL1310_FI_10</t>
  </si>
  <si>
    <t>PL1310_IT_10</t>
  </si>
  <si>
    <t>PL1310_TD_10</t>
  </si>
  <si>
    <t>PL1310_HR_10</t>
  </si>
  <si>
    <t>PL1310_GM_10</t>
  </si>
  <si>
    <t>PL1310_IA_10</t>
  </si>
  <si>
    <t>PL1310_TM_10</t>
  </si>
  <si>
    <t>PL1310_LE_10</t>
  </si>
  <si>
    <t>PL1310_RM_10</t>
  </si>
  <si>
    <t>PL1310_PU_10</t>
  </si>
  <si>
    <t>PL1310_CO_10</t>
  </si>
  <si>
    <t>PL1310_SE_10</t>
  </si>
  <si>
    <t>PL1310_GS_10</t>
  </si>
  <si>
    <t>PL1310_RD_10</t>
  </si>
  <si>
    <t>=PL1110 + PL1210 + PL1310</t>
  </si>
  <si>
    <t>=PL1115_Int_staff + PL1215_BD_20 + PL1315_Int_Staff</t>
  </si>
  <si>
    <t>PL1110</t>
  </si>
  <si>
    <t>PL1210</t>
  </si>
  <si>
    <t>PL1310</t>
  </si>
  <si>
    <t>PL1115_Int_staff</t>
  </si>
  <si>
    <t>PL1315_Int_Staff</t>
  </si>
  <si>
    <t>staff_interim_staff_costs</t>
  </si>
  <si>
    <t>PL1110_XX</t>
  </si>
  <si>
    <t>PL1210_XX</t>
  </si>
  <si>
    <t>PL1310_XX</t>
  </si>
  <si>
    <t>PL1110_AC_20</t>
  </si>
  <si>
    <t>PL1210_BD_20</t>
  </si>
  <si>
    <t>PL1310_CO_20</t>
  </si>
  <si>
    <t>PL1310_FI_20</t>
  </si>
  <si>
    <t>PL1310_GM_20</t>
  </si>
  <si>
    <t>PL1310_GS_20</t>
  </si>
  <si>
    <t>PL1310_HR_20</t>
  </si>
  <si>
    <t>PL1310_IA_20</t>
  </si>
  <si>
    <t>PL1310_IT_20</t>
  </si>
  <si>
    <t>PL1310_LE_20</t>
  </si>
  <si>
    <t>PL1310_PU_20</t>
  </si>
  <si>
    <t>PL1310_RD_20</t>
  </si>
  <si>
    <t>PL1310_RM_20</t>
  </si>
  <si>
    <t>PL1310_SE_20</t>
  </si>
  <si>
    <t>PL1310_TD_20</t>
  </si>
  <si>
    <t>PL1310_TM_20</t>
  </si>
  <si>
    <t>Variances</t>
  </si>
  <si>
    <t>PL1110_CD_30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</si>
</sst>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164" formatCode="#,##0.0"/>
    <numFmt numFmtId="165" formatCode="0.0%"/>
    <numFmt numFmtId="166" formatCode="_-* #,##0.00\ _F_-;\-* #,##0.00\ _F_-;_-* &quot;-&quot;??\ _F_-;_-@_-"/>
    <numFmt numFmtId="167" formatCode="_(* #,##0.00_);_(* \(#,##0.00\);_(* &quot;-&quot;??_);_(@_)"/>
    <numFmt numFmtId="168" formatCode="#,###,##0.00"/>
    <numFmt numFmtId="169" formatCode="#,###,##0.0"/>
    <numFmt numFmtId="170" formatCode="#,###,##0"/>
    <numFmt numFmtId="171" formatCode="0.00_)"/>
    <numFmt numFmtId="172" formatCode="#,###,##0.000"/>
    <numFmt numFmtId="173" formatCode="#,##0_);\(#,##0\)"/>
  </numFmts>
  <fonts count="93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4"/>
      <color indexed="46"/>
      <name val="Arial"/>
      <family val="2"/>
    </font>
    <font>
      <b/>
      <sz val="12"/>
      <color indexed="45"/>
      <name val="Arial"/>
      <family val="2"/>
    </font>
    <font>
      <b/>
      <sz val="10"/>
      <color indexed="9"/>
      <name val="Arial"/>
      <family val="2"/>
    </font>
    <font>
      <b/>
      <sz val="10"/>
      <color indexed="46"/>
      <name val="Arial"/>
      <family val="2"/>
    </font>
    <font>
      <b/>
      <sz val="12"/>
      <name val="Arial"/>
      <family val="2"/>
    </font>
    <font>
      <sz val="10"/>
      <name val="Calibri"/>
      <family val="2"/>
    </font>
    <font>
      <sz val="9"/>
      <color indexed="9"/>
      <name val="Calibri"/>
      <family val="2"/>
    </font>
    <font>
      <sz val="10"/>
      <color indexed="9"/>
      <name val="Calibri"/>
      <family val="2"/>
    </font>
    <font>
      <b/>
      <sz val="32"/>
      <color indexed="9"/>
      <name val="Calibri"/>
      <family val="2"/>
    </font>
    <font>
      <sz val="32"/>
      <name val="Arial"/>
      <family val="2"/>
    </font>
    <font>
      <b/>
      <sz val="14"/>
      <color indexed="9"/>
      <name val="Calibri"/>
      <family val="2"/>
    </font>
    <font>
      <b/>
      <sz val="12"/>
      <name val="Calibri"/>
      <family val="2"/>
    </font>
    <font>
      <sz val="14"/>
      <color indexed="9"/>
      <name val="Calibri"/>
      <family val="2"/>
    </font>
    <font>
      <sz val="14"/>
      <name val="Calibri"/>
      <family val="2"/>
    </font>
    <font>
      <sz val="18"/>
      <name val="Calibri"/>
      <family val="2"/>
    </font>
    <font>
      <b/>
      <sz val="18"/>
      <color indexed="57"/>
      <name val="Wingdings"/>
      <charset val="2"/>
    </font>
    <font>
      <sz val="18"/>
      <color indexed="9"/>
      <name val="Calibri"/>
      <family val="2"/>
    </font>
    <font>
      <b/>
      <sz val="16"/>
      <color indexed="57"/>
      <name val="Wingdings"/>
      <charset val="2"/>
    </font>
    <font>
      <sz val="12"/>
      <name val="Calibri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b/>
      <sz val="10"/>
      <name val="Arial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Arial"/>
      <family val="2"/>
    </font>
    <font>
      <u/>
      <sz val="10"/>
      <color indexed="8"/>
      <name val="Arial"/>
      <family val="2"/>
    </font>
    <font>
      <sz val="11"/>
      <color indexed="62"/>
      <name val="Calibri"/>
      <family val="2"/>
    </font>
    <font>
      <sz val="10"/>
      <color indexed="8"/>
      <name val="Times New Roman"/>
      <family val="1"/>
    </font>
    <font>
      <sz val="11"/>
      <color indexed="52"/>
      <name val="Calibri"/>
      <family val="2"/>
    </font>
    <font>
      <sz val="8"/>
      <color indexed="8"/>
      <name val="Comic Sans MS"/>
      <family val="4"/>
    </font>
    <font>
      <sz val="10"/>
      <color indexed="10"/>
      <name val="Arial"/>
      <family val="2"/>
    </font>
    <font>
      <sz val="11"/>
      <color indexed="60"/>
      <name val="Calibri"/>
      <family val="2"/>
    </font>
    <font>
      <b/>
      <i/>
      <sz val="16"/>
      <name val="Helv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i/>
      <sz val="12"/>
      <color indexed="8"/>
      <name val="Times New Roman"/>
      <family val="1"/>
    </font>
    <font>
      <sz val="12"/>
      <color indexed="8"/>
      <name val="Times New Roman"/>
      <family val="1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11"/>
      <color theme="1"/>
      <name val="Calibri"/>
      <family val="2"/>
      <scheme val="minor"/>
    </font>
    <font>
      <b/>
      <sz val="11"/>
      <color indexed="57"/>
      <name val="Wingdings"/>
      <charset val="2"/>
    </font>
    <font>
      <sz val="12"/>
      <name val="SWISS"/>
    </font>
    <font>
      <b/>
      <sz val="12"/>
      <color rgb="FFFF0000"/>
      <name val="Calibri"/>
      <family val="2"/>
      <scheme val="minor"/>
    </font>
    <font>
      <b/>
      <sz val="12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sz val="12"/>
      <color indexed="10"/>
      <name val="Calibri"/>
      <family val="2"/>
      <scheme val="minor"/>
    </font>
    <font>
      <sz val="9"/>
      <color indexed="9"/>
      <name val="Calibri"/>
      <family val="2"/>
      <scheme val="minor"/>
    </font>
    <font>
      <sz val="10"/>
      <color indexed="9"/>
      <name val="Calibri"/>
      <family val="2"/>
      <scheme val="minor"/>
    </font>
    <font>
      <b/>
      <sz val="10"/>
      <color indexed="10"/>
      <name val="Calibri"/>
      <family val="2"/>
      <scheme val="minor"/>
    </font>
    <font>
      <sz val="10"/>
      <color indexed="12"/>
      <name val="Calibri"/>
      <family val="2"/>
      <scheme val="minor"/>
    </font>
    <font>
      <b/>
      <sz val="14"/>
      <name val="Calibri"/>
      <family val="2"/>
      <scheme val="minor"/>
    </font>
    <font>
      <b/>
      <sz val="18"/>
      <color indexed="9"/>
      <name val="Calibri"/>
      <family val="2"/>
      <scheme val="minor"/>
    </font>
    <font>
      <b/>
      <sz val="10"/>
      <color indexed="53"/>
      <name val="Calibri"/>
      <family val="2"/>
      <scheme val="minor"/>
    </font>
    <font>
      <b/>
      <sz val="10"/>
      <color indexed="9"/>
      <name val="Calibri"/>
      <family val="2"/>
      <scheme val="minor"/>
    </font>
    <font>
      <sz val="14"/>
      <color indexed="9"/>
      <name val="Calibri"/>
      <family val="2"/>
      <scheme val="minor"/>
    </font>
    <font>
      <sz val="14"/>
      <name val="Calibri"/>
      <family val="2"/>
      <scheme val="minor"/>
    </font>
    <font>
      <sz val="18"/>
      <name val="Calibri"/>
      <family val="2"/>
      <scheme val="minor"/>
    </font>
    <font>
      <sz val="15"/>
      <color indexed="61"/>
      <name val="Calibri"/>
      <family val="2"/>
      <scheme val="minor"/>
    </font>
    <font>
      <sz val="15"/>
      <name val="Calibri"/>
      <family val="2"/>
      <scheme val="minor"/>
    </font>
    <font>
      <sz val="11"/>
      <name val="Calibri"/>
      <family val="2"/>
      <scheme val="minor"/>
    </font>
    <font>
      <b/>
      <sz val="14"/>
      <color indexed="9"/>
      <name val="Calibri"/>
      <family val="2"/>
      <scheme val="minor"/>
    </font>
    <font>
      <sz val="14"/>
      <name val="Arial"/>
      <family val="2"/>
    </font>
    <font>
      <sz val="18"/>
      <color indexed="17"/>
      <name val="Calibri"/>
      <family val="2"/>
      <scheme val="minor"/>
    </font>
    <font>
      <sz val="14"/>
      <color indexed="57"/>
      <name val="Wingdings"/>
      <charset val="2"/>
    </font>
    <font>
      <sz val="12"/>
      <color indexed="9"/>
      <name val="Calibri"/>
      <family val="2"/>
      <scheme val="minor"/>
    </font>
    <font>
      <sz val="12"/>
      <name val="Calibri"/>
      <family val="2"/>
      <scheme val="minor"/>
    </font>
    <font>
      <b/>
      <sz val="12"/>
      <color indexed="9"/>
      <name val="Calibri"/>
      <family val="2"/>
      <scheme val="minor"/>
    </font>
    <font>
      <sz val="12"/>
      <color indexed="9"/>
      <name val="Calibri"/>
      <family val="2"/>
    </font>
    <font>
      <b/>
      <u/>
      <sz val="12"/>
      <color indexed="8"/>
      <name val="Calibri"/>
      <family val="2"/>
      <scheme val="minor"/>
    </font>
    <font>
      <b/>
      <sz val="12"/>
      <color indexed="53"/>
      <name val="Calibri"/>
      <family val="2"/>
      <scheme val="minor"/>
    </font>
    <font>
      <b/>
      <sz val="12"/>
      <color indexed="8"/>
      <name val="Calibri"/>
      <family val="2"/>
      <scheme val="minor"/>
    </font>
    <font>
      <sz val="12"/>
      <color indexed="8"/>
      <name val="Calibri"/>
      <family val="2"/>
      <scheme val="minor"/>
    </font>
    <font>
      <b/>
      <sz val="12"/>
      <color indexed="9"/>
      <name val="Calibri"/>
      <family val="2"/>
    </font>
    <font>
      <sz val="12"/>
      <color indexed="62"/>
      <name val="Calibri"/>
      <family val="2"/>
    </font>
    <font>
      <sz val="15"/>
      <color indexed="57"/>
      <name val="Wingdings"/>
      <charset val="2"/>
    </font>
    <font>
      <b/>
      <sz val="16"/>
      <color rgb="FFFF0000"/>
      <name val="Calibri"/>
      <family val="2"/>
    </font>
    <font>
      <b/>
      <sz val="18"/>
      <name val="Calibri"/>
      <family val="2"/>
    </font>
    <font>
      <sz val="18"/>
      <color rgb="FF00B050"/>
      <name val="Calibri"/>
      <family val="2"/>
    </font>
    <font>
      <b/>
      <sz val="18"/>
      <color rgb="FF00B0F0"/>
      <name val="Calibri"/>
      <family val="2"/>
    </font>
    <font>
      <b/>
      <sz val="18"/>
      <color rgb="FF00B050"/>
      <name val="Calibri"/>
      <family val="2"/>
    </font>
    <font>
      <b/>
      <sz val="18"/>
      <color rgb="FFFF0000"/>
      <name val="Calibri"/>
      <family val="2"/>
      <scheme val="minor"/>
    </font>
    <font>
      <b/>
      <sz val="15"/>
      <color rgb="FFFF0000"/>
      <name val="Calibri"/>
      <family val="2"/>
      <scheme val="minor"/>
    </font>
    <font>
      <sz val="15"/>
      <color rgb="FFFF0000"/>
      <name val="Wingdings"/>
      <charset val="2"/>
    </font>
  </fonts>
  <fills count="42">
    <fill>
      <patternFill patternType="none"/>
    </fill>
    <fill>
      <patternFill patternType="gray125"/>
    </fill>
    <fill>
      <patternFill patternType="solid">
        <fgColor indexed="46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9"/>
        <bgColor indexed="64"/>
      </patternFill>
    </fill>
    <fill>
      <gradientFill>
        <stop position="0">
          <color theme="0"/>
        </stop>
        <stop position="1">
          <color rgb="FFFF0000"/>
        </stop>
      </gradientFill>
    </fill>
    <fill>
      <patternFill patternType="solid">
        <fgColor rgb="FFFF0000"/>
        <bgColor indexed="64"/>
      </patternFill>
    </fill>
    <fill>
      <patternFill patternType="solid">
        <fgColor rgb="FFAAAEB6"/>
        <bgColor indexed="64"/>
      </patternFill>
    </fill>
    <fill>
      <patternFill patternType="solid">
        <fgColor rgb="FFEAEAEA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22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9"/>
        <bgColor indexed="9"/>
      </patternFill>
    </fill>
    <fill>
      <patternFill patternType="solid">
        <fgColor indexed="43"/>
        <bgColor indexed="8"/>
      </patternFill>
    </fill>
    <fill>
      <patternFill patternType="solid">
        <fgColor indexed="9"/>
        <bgColor indexed="8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7"/>
        <bgColor indexed="9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rgb="FFE3E3E3"/>
        <bgColor indexed="64"/>
      </patternFill>
    </fill>
  </fills>
  <borders count="26">
    <border>
      <left/>
      <right/>
      <top/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9"/>
      </bottom>
      <diagonal/>
    </border>
    <border>
      <left style="thin">
        <color indexed="36"/>
      </left>
      <right style="thin">
        <color indexed="36"/>
      </right>
      <top style="thin">
        <color indexed="36"/>
      </top>
      <bottom style="thin">
        <color indexed="36"/>
      </bottom>
      <diagonal/>
    </border>
    <border>
      <left/>
      <right style="thin">
        <color indexed="36"/>
      </right>
      <top style="thin">
        <color indexed="36"/>
      </top>
      <bottom style="thin">
        <color indexed="36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rgb="FFB5B8BF"/>
      </top>
      <bottom style="thin">
        <color rgb="FFB5B8BF"/>
      </bottom>
      <diagonal/>
    </border>
    <border>
      <left/>
      <right/>
      <top/>
      <bottom style="thin">
        <color rgb="FFB5B8B6"/>
      </bottom>
      <diagonal/>
    </border>
    <border>
      <left/>
      <right style="thick">
        <color theme="0"/>
      </right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medium">
        <color theme="0" tint="-0.14996795556505021"/>
      </left>
      <right/>
      <top style="medium">
        <color theme="0" tint="-0.14996795556505021"/>
      </top>
      <bottom style="medium">
        <color theme="0" tint="-0.14996795556505021"/>
      </bottom>
      <diagonal/>
    </border>
    <border>
      <left/>
      <right/>
      <top style="medium">
        <color theme="0" tint="-0.14996795556505021"/>
      </top>
      <bottom style="medium">
        <color theme="0" tint="-0.14996795556505021"/>
      </bottom>
      <diagonal/>
    </border>
    <border>
      <left/>
      <right style="medium">
        <color theme="0" tint="-0.14996795556505021"/>
      </right>
      <top style="medium">
        <color theme="0" tint="-0.14996795556505021"/>
      </top>
      <bottom style="medium">
        <color theme="0" tint="-0.14996795556505021"/>
      </bottom>
      <diagonal/>
    </border>
    <border>
      <left/>
      <right/>
      <top/>
      <bottom style="medium">
        <color theme="0" tint="-0.14996795556505021"/>
      </bottom>
      <diagonal/>
    </border>
    <border>
      <left/>
      <right/>
      <top style="thin">
        <color rgb="FFB5B8BF"/>
      </top>
      <bottom/>
      <diagonal/>
    </border>
  </borders>
  <cellStyleXfs count="235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2" fillId="13" borderId="0" applyNumberFormat="0" applyBorder="0" applyAlignment="0" applyProtection="0"/>
    <xf numFmtId="0" fontId="22" fillId="13" borderId="0" applyNumberFormat="0" applyBorder="0" applyAlignment="0" applyProtection="0"/>
    <xf numFmtId="0" fontId="22" fillId="13" borderId="0" applyNumberFormat="0" applyBorder="0" applyAlignment="0" applyProtection="0"/>
    <xf numFmtId="0" fontId="22" fillId="13" borderId="0" applyNumberFormat="0" applyBorder="0" applyAlignment="0" applyProtection="0"/>
    <xf numFmtId="0" fontId="22" fillId="14" borderId="0" applyNumberFormat="0" applyBorder="0" applyAlignment="0" applyProtection="0"/>
    <xf numFmtId="0" fontId="22" fillId="14" borderId="0" applyNumberFormat="0" applyBorder="0" applyAlignment="0" applyProtection="0"/>
    <xf numFmtId="0" fontId="22" fillId="14" borderId="0" applyNumberFormat="0" applyBorder="0" applyAlignment="0" applyProtection="0"/>
    <xf numFmtId="0" fontId="22" fillId="14" borderId="0" applyNumberFormat="0" applyBorder="0" applyAlignment="0" applyProtection="0"/>
    <xf numFmtId="0" fontId="22" fillId="15" borderId="0" applyNumberFormat="0" applyBorder="0" applyAlignment="0" applyProtection="0"/>
    <xf numFmtId="0" fontId="22" fillId="15" borderId="0" applyNumberFormat="0" applyBorder="0" applyAlignment="0" applyProtection="0"/>
    <xf numFmtId="0" fontId="22" fillId="15" borderId="0" applyNumberFormat="0" applyBorder="0" applyAlignment="0" applyProtection="0"/>
    <xf numFmtId="0" fontId="22" fillId="15" borderId="0" applyNumberFormat="0" applyBorder="0" applyAlignment="0" applyProtection="0"/>
    <xf numFmtId="0" fontId="22" fillId="16" borderId="0" applyNumberFormat="0" applyBorder="0" applyAlignment="0" applyProtection="0"/>
    <xf numFmtId="0" fontId="22" fillId="16" borderId="0" applyNumberFormat="0" applyBorder="0" applyAlignment="0" applyProtection="0"/>
    <xf numFmtId="0" fontId="22" fillId="16" borderId="0" applyNumberFormat="0" applyBorder="0" applyAlignment="0" applyProtection="0"/>
    <xf numFmtId="0" fontId="22" fillId="16" borderId="0" applyNumberFormat="0" applyBorder="0" applyAlignment="0" applyProtection="0"/>
    <xf numFmtId="0" fontId="22" fillId="17" borderId="0" applyNumberFormat="0" applyBorder="0" applyAlignment="0" applyProtection="0"/>
    <xf numFmtId="0" fontId="22" fillId="17" borderId="0" applyNumberFormat="0" applyBorder="0" applyAlignment="0" applyProtection="0"/>
    <xf numFmtId="0" fontId="22" fillId="17" borderId="0" applyNumberFormat="0" applyBorder="0" applyAlignment="0" applyProtection="0"/>
    <xf numFmtId="0" fontId="22" fillId="17" borderId="0" applyNumberFormat="0" applyBorder="0" applyAlignment="0" applyProtection="0"/>
    <xf numFmtId="0" fontId="22" fillId="18" borderId="0" applyNumberFormat="0" applyBorder="0" applyAlignment="0" applyProtection="0"/>
    <xf numFmtId="0" fontId="22" fillId="18" borderId="0" applyNumberFormat="0" applyBorder="0" applyAlignment="0" applyProtection="0"/>
    <xf numFmtId="0" fontId="22" fillId="18" borderId="0" applyNumberFormat="0" applyBorder="0" applyAlignment="0" applyProtection="0"/>
    <xf numFmtId="0" fontId="22" fillId="18" borderId="0" applyNumberFormat="0" applyBorder="0" applyAlignment="0" applyProtection="0"/>
    <xf numFmtId="0" fontId="22" fillId="19" borderId="0" applyNumberFormat="0" applyBorder="0" applyAlignment="0" applyProtection="0"/>
    <xf numFmtId="0" fontId="22" fillId="19" borderId="0" applyNumberFormat="0" applyBorder="0" applyAlignment="0" applyProtection="0"/>
    <xf numFmtId="0" fontId="22" fillId="19" borderId="0" applyNumberFormat="0" applyBorder="0" applyAlignment="0" applyProtection="0"/>
    <xf numFmtId="0" fontId="22" fillId="19" borderId="0" applyNumberFormat="0" applyBorder="0" applyAlignment="0" applyProtection="0"/>
    <xf numFmtId="0" fontId="22" fillId="20" borderId="0" applyNumberFormat="0" applyBorder="0" applyAlignment="0" applyProtection="0"/>
    <xf numFmtId="0" fontId="22" fillId="20" borderId="0" applyNumberFormat="0" applyBorder="0" applyAlignment="0" applyProtection="0"/>
    <xf numFmtId="0" fontId="22" fillId="20" borderId="0" applyNumberFormat="0" applyBorder="0" applyAlignment="0" applyProtection="0"/>
    <xf numFmtId="0" fontId="22" fillId="20" borderId="0" applyNumberFormat="0" applyBorder="0" applyAlignment="0" applyProtection="0"/>
    <xf numFmtId="0" fontId="22" fillId="21" borderId="0" applyNumberFormat="0" applyBorder="0" applyAlignment="0" applyProtection="0"/>
    <xf numFmtId="0" fontId="22" fillId="21" borderId="0" applyNumberFormat="0" applyBorder="0" applyAlignment="0" applyProtection="0"/>
    <xf numFmtId="0" fontId="22" fillId="21" borderId="0" applyNumberFormat="0" applyBorder="0" applyAlignment="0" applyProtection="0"/>
    <xf numFmtId="0" fontId="22" fillId="21" borderId="0" applyNumberFormat="0" applyBorder="0" applyAlignment="0" applyProtection="0"/>
    <xf numFmtId="0" fontId="22" fillId="16" borderId="0" applyNumberFormat="0" applyBorder="0" applyAlignment="0" applyProtection="0"/>
    <xf numFmtId="0" fontId="22" fillId="16" borderId="0" applyNumberFormat="0" applyBorder="0" applyAlignment="0" applyProtection="0"/>
    <xf numFmtId="0" fontId="22" fillId="16" borderId="0" applyNumberFormat="0" applyBorder="0" applyAlignment="0" applyProtection="0"/>
    <xf numFmtId="0" fontId="22" fillId="16" borderId="0" applyNumberFormat="0" applyBorder="0" applyAlignment="0" applyProtection="0"/>
    <xf numFmtId="0" fontId="22" fillId="19" borderId="0" applyNumberFormat="0" applyBorder="0" applyAlignment="0" applyProtection="0"/>
    <xf numFmtId="0" fontId="22" fillId="19" borderId="0" applyNumberFormat="0" applyBorder="0" applyAlignment="0" applyProtection="0"/>
    <xf numFmtId="0" fontId="22" fillId="19" borderId="0" applyNumberFormat="0" applyBorder="0" applyAlignment="0" applyProtection="0"/>
    <xf numFmtId="0" fontId="22" fillId="19" borderId="0" applyNumberFormat="0" applyBorder="0" applyAlignment="0" applyProtection="0"/>
    <xf numFmtId="0" fontId="22" fillId="22" borderId="0" applyNumberFormat="0" applyBorder="0" applyAlignment="0" applyProtection="0"/>
    <xf numFmtId="0" fontId="22" fillId="22" borderId="0" applyNumberFormat="0" applyBorder="0" applyAlignment="0" applyProtection="0"/>
    <xf numFmtId="0" fontId="22" fillId="22" borderId="0" applyNumberFormat="0" applyBorder="0" applyAlignment="0" applyProtection="0"/>
    <xf numFmtId="0" fontId="22" fillId="22" borderId="0" applyNumberFormat="0" applyBorder="0" applyAlignment="0" applyProtection="0"/>
    <xf numFmtId="0" fontId="23" fillId="23" borderId="0" applyNumberFormat="0" applyBorder="0" applyAlignment="0" applyProtection="0"/>
    <xf numFmtId="0" fontId="23" fillId="23" borderId="0" applyNumberFormat="0" applyBorder="0" applyAlignment="0" applyProtection="0"/>
    <xf numFmtId="0" fontId="23" fillId="23" borderId="0" applyNumberFormat="0" applyBorder="0" applyAlignment="0" applyProtection="0"/>
    <xf numFmtId="0" fontId="23" fillId="23" borderId="0" applyNumberFormat="0" applyBorder="0" applyAlignment="0" applyProtection="0"/>
    <xf numFmtId="0" fontId="23" fillId="20" borderId="0" applyNumberFormat="0" applyBorder="0" applyAlignment="0" applyProtection="0"/>
    <xf numFmtId="0" fontId="23" fillId="20" borderId="0" applyNumberFormat="0" applyBorder="0" applyAlignment="0" applyProtection="0"/>
    <xf numFmtId="0" fontId="23" fillId="20" borderId="0" applyNumberFormat="0" applyBorder="0" applyAlignment="0" applyProtection="0"/>
    <xf numFmtId="0" fontId="23" fillId="20" borderId="0" applyNumberFormat="0" applyBorder="0" applyAlignment="0" applyProtection="0"/>
    <xf numFmtId="0" fontId="23" fillId="21" borderId="0" applyNumberFormat="0" applyBorder="0" applyAlignment="0" applyProtection="0"/>
    <xf numFmtId="0" fontId="23" fillId="21" borderId="0" applyNumberFormat="0" applyBorder="0" applyAlignment="0" applyProtection="0"/>
    <xf numFmtId="0" fontId="23" fillId="21" borderId="0" applyNumberFormat="0" applyBorder="0" applyAlignment="0" applyProtection="0"/>
    <xf numFmtId="0" fontId="23" fillId="21" borderId="0" applyNumberFormat="0" applyBorder="0" applyAlignment="0" applyProtection="0"/>
    <xf numFmtId="0" fontId="23" fillId="24" borderId="0" applyNumberFormat="0" applyBorder="0" applyAlignment="0" applyProtection="0"/>
    <xf numFmtId="0" fontId="23" fillId="24" borderId="0" applyNumberFormat="0" applyBorder="0" applyAlignment="0" applyProtection="0"/>
    <xf numFmtId="0" fontId="23" fillId="24" borderId="0" applyNumberFormat="0" applyBorder="0" applyAlignment="0" applyProtection="0"/>
    <xf numFmtId="0" fontId="23" fillId="24" borderId="0" applyNumberFormat="0" applyBorder="0" applyAlignment="0" applyProtection="0"/>
    <xf numFmtId="0" fontId="23" fillId="25" borderId="0" applyNumberFormat="0" applyBorder="0" applyAlignment="0" applyProtection="0"/>
    <xf numFmtId="0" fontId="23" fillId="25" borderId="0" applyNumberFormat="0" applyBorder="0" applyAlignment="0" applyProtection="0"/>
    <xf numFmtId="0" fontId="23" fillId="25" borderId="0" applyNumberFormat="0" applyBorder="0" applyAlignment="0" applyProtection="0"/>
    <xf numFmtId="0" fontId="23" fillId="25" borderId="0" applyNumberFormat="0" applyBorder="0" applyAlignment="0" applyProtection="0"/>
    <xf numFmtId="0" fontId="23" fillId="26" borderId="0" applyNumberFormat="0" applyBorder="0" applyAlignment="0" applyProtection="0"/>
    <xf numFmtId="0" fontId="23" fillId="26" borderId="0" applyNumberFormat="0" applyBorder="0" applyAlignment="0" applyProtection="0"/>
    <xf numFmtId="0" fontId="23" fillId="26" borderId="0" applyNumberFormat="0" applyBorder="0" applyAlignment="0" applyProtection="0"/>
    <xf numFmtId="0" fontId="23" fillId="26" borderId="0" applyNumberFormat="0" applyBorder="0" applyAlignment="0" applyProtection="0"/>
    <xf numFmtId="0" fontId="23" fillId="27" borderId="0" applyNumberFormat="0" applyBorder="0" applyAlignment="0" applyProtection="0"/>
    <xf numFmtId="0" fontId="23" fillId="27" borderId="0" applyNumberFormat="0" applyBorder="0" applyAlignment="0" applyProtection="0"/>
    <xf numFmtId="0" fontId="23" fillId="27" borderId="0" applyNumberFormat="0" applyBorder="0" applyAlignment="0" applyProtection="0"/>
    <xf numFmtId="0" fontId="23" fillId="27" borderId="0" applyNumberFormat="0" applyBorder="0" applyAlignment="0" applyProtection="0"/>
    <xf numFmtId="0" fontId="23" fillId="28" borderId="0" applyNumberFormat="0" applyBorder="0" applyAlignment="0" applyProtection="0"/>
    <xf numFmtId="0" fontId="23" fillId="28" borderId="0" applyNumberFormat="0" applyBorder="0" applyAlignment="0" applyProtection="0"/>
    <xf numFmtId="0" fontId="23" fillId="28" borderId="0" applyNumberFormat="0" applyBorder="0" applyAlignment="0" applyProtection="0"/>
    <xf numFmtId="0" fontId="23" fillId="28" borderId="0" applyNumberFormat="0" applyBorder="0" applyAlignment="0" applyProtection="0"/>
    <xf numFmtId="0" fontId="23" fillId="29" borderId="0" applyNumberFormat="0" applyBorder="0" applyAlignment="0" applyProtection="0"/>
    <xf numFmtId="0" fontId="23" fillId="29" borderId="0" applyNumberFormat="0" applyBorder="0" applyAlignment="0" applyProtection="0"/>
    <xf numFmtId="0" fontId="23" fillId="29" borderId="0" applyNumberFormat="0" applyBorder="0" applyAlignment="0" applyProtection="0"/>
    <xf numFmtId="0" fontId="23" fillId="29" borderId="0" applyNumberFormat="0" applyBorder="0" applyAlignment="0" applyProtection="0"/>
    <xf numFmtId="0" fontId="23" fillId="24" borderId="0" applyNumberFormat="0" applyBorder="0" applyAlignment="0" applyProtection="0"/>
    <xf numFmtId="0" fontId="23" fillId="24" borderId="0" applyNumberFormat="0" applyBorder="0" applyAlignment="0" applyProtection="0"/>
    <xf numFmtId="0" fontId="23" fillId="24" borderId="0" applyNumberFormat="0" applyBorder="0" applyAlignment="0" applyProtection="0"/>
    <xf numFmtId="0" fontId="23" fillId="24" borderId="0" applyNumberFormat="0" applyBorder="0" applyAlignment="0" applyProtection="0"/>
    <xf numFmtId="0" fontId="23" fillId="25" borderId="0" applyNumberFormat="0" applyBorder="0" applyAlignment="0" applyProtection="0"/>
    <xf numFmtId="0" fontId="23" fillId="25" borderId="0" applyNumberFormat="0" applyBorder="0" applyAlignment="0" applyProtection="0"/>
    <xf numFmtId="0" fontId="23" fillId="25" borderId="0" applyNumberFormat="0" applyBorder="0" applyAlignment="0" applyProtection="0"/>
    <xf numFmtId="0" fontId="23" fillId="25" borderId="0" applyNumberFormat="0" applyBorder="0" applyAlignment="0" applyProtection="0"/>
    <xf numFmtId="0" fontId="23" fillId="30" borderId="0" applyNumberFormat="0" applyBorder="0" applyAlignment="0" applyProtection="0"/>
    <xf numFmtId="0" fontId="23" fillId="30" borderId="0" applyNumberFormat="0" applyBorder="0" applyAlignment="0" applyProtection="0"/>
    <xf numFmtId="0" fontId="23" fillId="30" borderId="0" applyNumberFormat="0" applyBorder="0" applyAlignment="0" applyProtection="0"/>
    <xf numFmtId="0" fontId="23" fillId="30" borderId="0" applyNumberFormat="0" applyBorder="0" applyAlignment="0" applyProtection="0"/>
    <xf numFmtId="0" fontId="24" fillId="14" borderId="0" applyNumberFormat="0" applyBorder="0" applyAlignment="0" applyProtection="0"/>
    <xf numFmtId="0" fontId="24" fillId="14" borderId="0" applyNumberFormat="0" applyBorder="0" applyAlignment="0" applyProtection="0"/>
    <xf numFmtId="0" fontId="24" fillId="14" borderId="0" applyNumberFormat="0" applyBorder="0" applyAlignment="0" applyProtection="0"/>
    <xf numFmtId="0" fontId="24" fillId="14" borderId="0" applyNumberFormat="0" applyBorder="0" applyAlignment="0" applyProtection="0"/>
    <xf numFmtId="0" fontId="25" fillId="18" borderId="12" applyNumberFormat="0" applyAlignment="0" applyProtection="0"/>
    <xf numFmtId="0" fontId="25" fillId="18" borderId="12" applyNumberFormat="0" applyAlignment="0" applyProtection="0"/>
    <xf numFmtId="0" fontId="25" fillId="18" borderId="12" applyNumberFormat="0" applyAlignment="0" applyProtection="0"/>
    <xf numFmtId="0" fontId="25" fillId="18" borderId="12" applyNumberFormat="0" applyAlignment="0" applyProtection="0"/>
    <xf numFmtId="0" fontId="26" fillId="31" borderId="13" applyNumberFormat="0" applyAlignment="0" applyProtection="0"/>
    <xf numFmtId="0" fontId="26" fillId="31" borderId="13" applyNumberFormat="0" applyAlignment="0" applyProtection="0"/>
    <xf numFmtId="0" fontId="26" fillId="31" borderId="13" applyNumberFormat="0" applyAlignment="0" applyProtection="0"/>
    <xf numFmtId="0" fontId="26" fillId="31" borderId="13" applyNumberFormat="0" applyAlignment="0" applyProtection="0"/>
    <xf numFmtId="0" fontId="27" fillId="0" borderId="5">
      <alignment horizontal="left" wrapText="1"/>
    </xf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30" fillId="0" borderId="14" applyNumberFormat="0" applyFill="0" applyAlignment="0" applyProtection="0"/>
    <xf numFmtId="0" fontId="30" fillId="0" borderId="14" applyNumberFormat="0" applyFill="0" applyAlignment="0" applyProtection="0"/>
    <xf numFmtId="0" fontId="30" fillId="0" borderId="14" applyNumberFormat="0" applyFill="0" applyAlignment="0" applyProtection="0"/>
    <xf numFmtId="0" fontId="30" fillId="0" borderId="14" applyNumberFormat="0" applyFill="0" applyAlignment="0" applyProtection="0"/>
    <xf numFmtId="0" fontId="31" fillId="0" borderId="15" applyNumberFormat="0" applyFill="0" applyAlignment="0" applyProtection="0"/>
    <xf numFmtId="0" fontId="31" fillId="0" borderId="15" applyNumberFormat="0" applyFill="0" applyAlignment="0" applyProtection="0"/>
    <xf numFmtId="0" fontId="31" fillId="0" borderId="15" applyNumberFormat="0" applyFill="0" applyAlignment="0" applyProtection="0"/>
    <xf numFmtId="0" fontId="31" fillId="0" borderId="15" applyNumberFormat="0" applyFill="0" applyAlignment="0" applyProtection="0"/>
    <xf numFmtId="0" fontId="32" fillId="0" borderId="16" applyNumberFormat="0" applyFill="0" applyAlignment="0" applyProtection="0"/>
    <xf numFmtId="0" fontId="32" fillId="0" borderId="16" applyNumberFormat="0" applyFill="0" applyAlignment="0" applyProtection="0"/>
    <xf numFmtId="0" fontId="32" fillId="0" borderId="16" applyNumberFormat="0" applyFill="0" applyAlignment="0" applyProtection="0"/>
    <xf numFmtId="0" fontId="32" fillId="0" borderId="16" applyNumberFormat="0" applyFill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>
      <alignment vertical="top"/>
      <protection locked="0"/>
    </xf>
    <xf numFmtId="0" fontId="34" fillId="0" borderId="0" applyNumberFormat="0" applyFill="0" applyBorder="0" applyAlignment="0" applyProtection="0">
      <alignment vertical="top"/>
      <protection locked="0"/>
    </xf>
    <xf numFmtId="0" fontId="35" fillId="18" borderId="12" applyNumberFormat="0" applyAlignment="0" applyProtection="0"/>
    <xf numFmtId="0" fontId="35" fillId="18" borderId="12" applyNumberFormat="0" applyAlignment="0" applyProtection="0"/>
    <xf numFmtId="0" fontId="35" fillId="18" borderId="12" applyNumberFormat="0" applyAlignment="0" applyProtection="0"/>
    <xf numFmtId="0" fontId="35" fillId="18" borderId="12" applyNumberFormat="0" applyAlignment="0" applyProtection="0"/>
    <xf numFmtId="0" fontId="34" fillId="0" borderId="0" applyNumberFormat="0" applyFill="0" applyBorder="0" applyAlignment="0" applyProtection="0">
      <alignment vertical="top"/>
      <protection locked="0"/>
    </xf>
    <xf numFmtId="168" fontId="36" fillId="32" borderId="0" applyNumberFormat="0" applyBorder="0">
      <alignment horizontal="right"/>
      <protection locked="0"/>
    </xf>
    <xf numFmtId="0" fontId="37" fillId="0" borderId="17" applyNumberFormat="0" applyFill="0" applyAlignment="0" applyProtection="0"/>
    <xf numFmtId="0" fontId="37" fillId="0" borderId="17" applyNumberFormat="0" applyFill="0" applyAlignment="0" applyProtection="0"/>
    <xf numFmtId="0" fontId="37" fillId="0" borderId="17" applyNumberFormat="0" applyFill="0" applyAlignment="0" applyProtection="0"/>
    <xf numFmtId="0" fontId="37" fillId="0" borderId="17" applyNumberFormat="0" applyFill="0" applyAlignment="0" applyProtection="0"/>
    <xf numFmtId="169" fontId="38" fillId="33" borderId="0" applyNumberFormat="0" applyBorder="0">
      <alignment horizontal="right" vertical="center"/>
      <protection locked="0"/>
    </xf>
    <xf numFmtId="170" fontId="38" fillId="34" borderId="0" applyNumberFormat="0" applyBorder="0">
      <alignment horizontal="right" vertical="center"/>
      <protection locked="0"/>
    </xf>
    <xf numFmtId="167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0" fontId="39" fillId="7" borderId="0"/>
    <xf numFmtId="0" fontId="40" fillId="35" borderId="0" applyNumberFormat="0" applyBorder="0" applyAlignment="0" applyProtection="0"/>
    <xf numFmtId="0" fontId="40" fillId="35" borderId="0" applyNumberFormat="0" applyBorder="0" applyAlignment="0" applyProtection="0"/>
    <xf numFmtId="0" fontId="40" fillId="35" borderId="0" applyNumberFormat="0" applyBorder="0" applyAlignment="0" applyProtection="0"/>
    <xf numFmtId="0" fontId="40" fillId="35" borderId="0" applyNumberFormat="0" applyBorder="0" applyAlignment="0" applyProtection="0"/>
    <xf numFmtId="0" fontId="39" fillId="7" borderId="0"/>
    <xf numFmtId="0" fontId="39" fillId="7" borderId="0"/>
    <xf numFmtId="171" fontId="41" fillId="0" borderId="0"/>
    <xf numFmtId="0" fontId="2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2" fillId="36" borderId="18" applyNumberFormat="0" applyFont="0" applyAlignment="0" applyProtection="0"/>
    <xf numFmtId="0" fontId="22" fillId="36" borderId="18" applyNumberFormat="0" applyFont="0" applyAlignment="0" applyProtection="0"/>
    <xf numFmtId="0" fontId="22" fillId="36" borderId="18" applyNumberFormat="0" applyFont="0" applyAlignment="0" applyProtection="0"/>
    <xf numFmtId="0" fontId="22" fillId="36" borderId="18" applyNumberFormat="0" applyFont="0" applyAlignment="0" applyProtection="0"/>
    <xf numFmtId="0" fontId="39" fillId="7" borderId="0"/>
    <xf numFmtId="0" fontId="42" fillId="18" borderId="19" applyNumberFormat="0" applyAlignment="0" applyProtection="0"/>
    <xf numFmtId="0" fontId="42" fillId="18" borderId="19" applyNumberFormat="0" applyAlignment="0" applyProtection="0"/>
    <xf numFmtId="0" fontId="42" fillId="18" borderId="19" applyNumberFormat="0" applyAlignment="0" applyProtection="0"/>
    <xf numFmtId="0" fontId="42" fillId="18" borderId="19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172" fontId="44" fillId="37" borderId="0" applyNumberFormat="0" applyBorder="0">
      <alignment horizontal="left" vertical="center"/>
      <protection locked="0"/>
    </xf>
    <xf numFmtId="172" fontId="45" fillId="32" borderId="0" applyNumberFormat="0" applyBorder="0">
      <alignment horizontal="left"/>
      <protection locked="0"/>
    </xf>
    <xf numFmtId="0" fontId="46" fillId="0" borderId="20" applyNumberFormat="0" applyFill="0" applyAlignment="0" applyProtection="0"/>
    <xf numFmtId="0" fontId="46" fillId="0" borderId="20" applyNumberFormat="0" applyFill="0" applyAlignment="0" applyProtection="0"/>
    <xf numFmtId="0" fontId="46" fillId="0" borderId="20" applyNumberFormat="0" applyFill="0" applyAlignment="0" applyProtection="0"/>
    <xf numFmtId="0" fontId="46" fillId="0" borderId="20" applyNumberFormat="0" applyFill="0" applyAlignment="0" applyProtection="0"/>
    <xf numFmtId="0" fontId="47" fillId="0" borderId="0" applyNumberFormat="0" applyFill="0" applyBorder="0" applyAlignment="0" applyProtection="0"/>
    <xf numFmtId="0" fontId="47" fillId="0" borderId="0" applyNumberFormat="0" applyFill="0" applyBorder="0" applyAlignment="0" applyProtection="0"/>
    <xf numFmtId="0" fontId="47" fillId="0" borderId="0" applyNumberFormat="0" applyFill="0" applyBorder="0" applyAlignment="0" applyProtection="0"/>
    <xf numFmtId="0" fontId="47" fillId="0" borderId="0" applyNumberFormat="0" applyFill="0" applyBorder="0" applyAlignment="0" applyProtection="0"/>
    <xf numFmtId="173" fontId="50" fillId="0" borderId="0"/>
    <xf numFmtId="0" fontId="1" fillId="0" borderId="0"/>
  </cellStyleXfs>
  <cellXfs count="148">
    <xf numFmtId="0" fontId="0" fillId="0" borderId="0" xfId="0"/>
    <xf numFmtId="0" fontId="2" fillId="0" borderId="0" xfId="1" applyFont="1" applyFill="1" applyProtection="1">
      <protection locked="0"/>
    </xf>
    <xf numFmtId="0" fontId="1" fillId="0" borderId="0" xfId="1" applyFont="1" applyProtection="1">
      <protection locked="0"/>
    </xf>
    <xf numFmtId="0" fontId="1" fillId="0" borderId="0" xfId="1" applyProtection="1">
      <protection locked="0"/>
    </xf>
    <xf numFmtId="0" fontId="3" fillId="2" borderId="1" xfId="1" applyFont="1" applyFill="1" applyBorder="1" applyAlignment="1" applyProtection="1">
      <alignment horizontal="left"/>
      <protection locked="0"/>
    </xf>
    <xf numFmtId="0" fontId="4" fillId="2" borderId="2" xfId="1" applyFont="1" applyFill="1" applyBorder="1" applyProtection="1">
      <protection locked="0"/>
    </xf>
    <xf numFmtId="0" fontId="5" fillId="3" borderId="3" xfId="1" applyFont="1" applyFill="1" applyBorder="1" applyProtection="1">
      <protection locked="0"/>
    </xf>
    <xf numFmtId="0" fontId="5" fillId="0" borderId="3" xfId="1" applyFont="1" applyBorder="1" applyProtection="1">
      <protection locked="0"/>
    </xf>
    <xf numFmtId="0" fontId="5" fillId="0" borderId="3" xfId="1" applyNumberFormat="1" applyFont="1" applyBorder="1" applyProtection="1">
      <protection locked="0"/>
    </xf>
    <xf numFmtId="0" fontId="5" fillId="0" borderId="4" xfId="1" applyFont="1" applyBorder="1" applyProtection="1">
      <protection locked="0"/>
    </xf>
    <xf numFmtId="0" fontId="6" fillId="4" borderId="5" xfId="1" applyFont="1" applyFill="1" applyBorder="1" applyAlignment="1" applyProtection="1">
      <alignment horizontal="center"/>
    </xf>
    <xf numFmtId="0" fontId="1" fillId="5" borderId="5" xfId="1" applyFill="1" applyBorder="1" applyProtection="1">
      <protection locked="0"/>
    </xf>
    <xf numFmtId="0" fontId="1" fillId="2" borderId="5" xfId="1" applyFill="1" applyBorder="1" applyProtection="1">
      <protection locked="0"/>
    </xf>
    <xf numFmtId="0" fontId="1" fillId="6" borderId="5" xfId="1" applyFill="1" applyBorder="1" applyProtection="1">
      <protection locked="0"/>
    </xf>
    <xf numFmtId="0" fontId="7" fillId="0" borderId="0" xfId="2" applyFont="1" applyFill="1" applyBorder="1" applyAlignment="1" applyProtection="1">
      <alignment vertical="center"/>
    </xf>
    <xf numFmtId="0" fontId="8" fillId="0" borderId="0" xfId="2" applyFont="1" applyFill="1" applyBorder="1" applyAlignment="1" applyProtection="1">
      <alignment vertical="center"/>
    </xf>
    <xf numFmtId="0" fontId="1" fillId="0" borderId="0" xfId="1" applyFill="1" applyBorder="1" applyProtection="1"/>
    <xf numFmtId="0" fontId="9" fillId="0" borderId="0" xfId="2" applyFont="1" applyFill="1" applyBorder="1" applyAlignment="1" applyProtection="1">
      <alignment vertical="center"/>
    </xf>
    <xf numFmtId="0" fontId="8" fillId="7" borderId="0" xfId="2" applyFont="1" applyFill="1" applyBorder="1" applyAlignment="1" applyProtection="1">
      <alignment vertical="center"/>
    </xf>
    <xf numFmtId="0" fontId="7" fillId="0" borderId="0" xfId="1" applyFont="1" applyFill="1" applyBorder="1" applyAlignment="1">
      <alignment vertical="center"/>
    </xf>
    <xf numFmtId="0" fontId="1" fillId="0" borderId="0" xfId="1" applyFill="1" applyAlignment="1"/>
    <xf numFmtId="0" fontId="12" fillId="0" borderId="0" xfId="1" applyFont="1" applyFill="1" applyBorder="1" applyAlignment="1">
      <alignment horizontal="center" vertical="center" wrapText="1"/>
    </xf>
    <xf numFmtId="0" fontId="7" fillId="0" borderId="0" xfId="2" applyFont="1" applyFill="1" applyAlignment="1" applyProtection="1">
      <alignment vertical="center"/>
    </xf>
    <xf numFmtId="0" fontId="16" fillId="0" borderId="0" xfId="2" applyFont="1" applyFill="1" applyBorder="1" applyAlignment="1" applyProtection="1">
      <alignment vertical="center"/>
    </xf>
    <xf numFmtId="0" fontId="17" fillId="0" borderId="0" xfId="4" applyFont="1" applyFill="1" applyBorder="1" applyAlignment="1">
      <alignment horizontal="center" vertical="center"/>
    </xf>
    <xf numFmtId="0" fontId="18" fillId="0" borderId="0" xfId="2" applyFont="1" applyFill="1" applyBorder="1" applyAlignment="1" applyProtection="1">
      <alignment vertical="center"/>
    </xf>
    <xf numFmtId="0" fontId="19" fillId="0" borderId="0" xfId="4" applyFont="1" applyFill="1" applyBorder="1" applyAlignment="1">
      <alignment horizontal="center" vertical="center"/>
    </xf>
    <xf numFmtId="0" fontId="20" fillId="0" borderId="0" xfId="2" applyFont="1" applyFill="1" applyBorder="1" applyAlignment="1" applyProtection="1">
      <alignment vertical="center"/>
    </xf>
    <xf numFmtId="0" fontId="21" fillId="0" borderId="0" xfId="2" applyFont="1" applyFill="1" applyBorder="1" applyAlignment="1" applyProtection="1">
      <alignment vertical="center"/>
    </xf>
    <xf numFmtId="0" fontId="49" fillId="0" borderId="0" xfId="4" applyFont="1" applyFill="1" applyBorder="1" applyAlignment="1">
      <alignment horizontal="center" vertical="center"/>
    </xf>
    <xf numFmtId="0" fontId="23" fillId="0" borderId="0" xfId="2" applyFont="1" applyFill="1" applyBorder="1" applyAlignment="1" applyProtection="1">
      <alignment vertical="center"/>
    </xf>
    <xf numFmtId="0" fontId="53" fillId="0" borderId="0" xfId="2" applyFont="1" applyFill="1" applyBorder="1" applyAlignment="1" applyProtection="1">
      <alignment vertical="center"/>
    </xf>
    <xf numFmtId="0" fontId="54" fillId="0" borderId="0" xfId="2" applyFont="1" applyFill="1" applyBorder="1" applyAlignment="1" applyProtection="1">
      <alignment horizontal="center" vertical="center"/>
    </xf>
    <xf numFmtId="0" fontId="52" fillId="0" borderId="0" xfId="1" applyFont="1" applyFill="1" applyBorder="1" applyAlignment="1" applyProtection="1">
      <alignment horizontal="center"/>
    </xf>
    <xf numFmtId="0" fontId="55" fillId="0" borderId="0" xfId="1" applyFont="1" applyFill="1" applyBorder="1" applyAlignment="1" applyProtection="1">
      <alignment horizontal="right"/>
    </xf>
    <xf numFmtId="0" fontId="53" fillId="5" borderId="5" xfId="1" applyFont="1" applyFill="1" applyBorder="1" applyProtection="1"/>
    <xf numFmtId="0" fontId="53" fillId="2" borderId="5" xfId="1" applyFont="1" applyFill="1" applyBorder="1" applyProtection="1">
      <protection locked="0"/>
    </xf>
    <xf numFmtId="0" fontId="56" fillId="0" borderId="0" xfId="2" applyFont="1" applyFill="1" applyBorder="1" applyAlignment="1" applyProtection="1">
      <alignment vertical="center"/>
    </xf>
    <xf numFmtId="0" fontId="53" fillId="0" borderId="0" xfId="2" applyFont="1" applyFill="1" applyBorder="1" applyAlignment="1" applyProtection="1">
      <alignment horizontal="left" vertical="center"/>
    </xf>
    <xf numFmtId="0" fontId="55" fillId="0" borderId="0" xfId="0" applyFont="1" applyAlignment="1" applyProtection="1">
      <alignment horizontal="right"/>
    </xf>
    <xf numFmtId="0" fontId="48" fillId="0" borderId="0" xfId="0" applyFont="1" applyProtection="1"/>
    <xf numFmtId="0" fontId="48" fillId="0" borderId="6" xfId="0" applyFont="1" applyFill="1" applyBorder="1" applyProtection="1"/>
    <xf numFmtId="0" fontId="54" fillId="0" borderId="0" xfId="2" applyFont="1" applyFill="1" applyBorder="1" applyAlignment="1" applyProtection="1">
      <alignment vertical="center"/>
    </xf>
    <xf numFmtId="0" fontId="53" fillId="0" borderId="0" xfId="3" applyFont="1" applyFill="1" applyBorder="1" applyAlignment="1" applyProtection="1">
      <alignment vertical="center"/>
    </xf>
    <xf numFmtId="0" fontId="57" fillId="0" borderId="0" xfId="2" applyFont="1" applyFill="1" applyBorder="1" applyAlignment="1" applyProtection="1">
      <alignment vertical="center"/>
    </xf>
    <xf numFmtId="0" fontId="52" fillId="4" borderId="5" xfId="0" applyFont="1" applyFill="1" applyBorder="1" applyAlignment="1" applyProtection="1">
      <alignment horizontal="center"/>
    </xf>
    <xf numFmtId="0" fontId="58" fillId="0" borderId="0" xfId="3" applyFont="1" applyFill="1" applyBorder="1" applyAlignment="1" applyProtection="1">
      <alignment horizontal="right" vertical="center"/>
    </xf>
    <xf numFmtId="164" fontId="58" fillId="0" borderId="0" xfId="3" applyNumberFormat="1" applyFont="1" applyFill="1" applyBorder="1" applyAlignment="1" applyProtection="1">
      <alignment horizontal="right" vertical="center"/>
    </xf>
    <xf numFmtId="2" fontId="59" fillId="0" borderId="0" xfId="3" applyNumberFormat="1" applyFont="1" applyFill="1" applyBorder="1" applyAlignment="1" applyProtection="1">
      <alignment vertical="center"/>
    </xf>
    <xf numFmtId="0" fontId="60" fillId="0" borderId="0" xfId="2" applyFont="1" applyFill="1" applyBorder="1" applyAlignment="1" applyProtection="1">
      <alignment horizontal="left" vertical="center"/>
    </xf>
    <xf numFmtId="0" fontId="53" fillId="0" borderId="0" xfId="1" applyFont="1" applyFill="1" applyBorder="1" applyAlignment="1">
      <alignment vertical="center"/>
    </xf>
    <xf numFmtId="0" fontId="53" fillId="0" borderId="0" xfId="1" applyFont="1" applyFill="1" applyAlignment="1">
      <alignment horizontal="left" indent="1"/>
    </xf>
    <xf numFmtId="0" fontId="53" fillId="0" borderId="0" xfId="1" applyFont="1" applyFill="1" applyAlignment="1"/>
    <xf numFmtId="0" fontId="61" fillId="9" borderId="0" xfId="1" applyFont="1" applyFill="1" applyBorder="1" applyAlignment="1">
      <alignment horizontal="left" vertical="center"/>
    </xf>
    <xf numFmtId="0" fontId="53" fillId="0" borderId="0" xfId="2" applyFont="1" applyFill="1" applyAlignment="1" applyProtection="1">
      <alignment vertical="center"/>
    </xf>
    <xf numFmtId="0" fontId="63" fillId="0" borderId="0" xfId="4" applyFont="1" applyFill="1" applyBorder="1" applyAlignment="1">
      <alignment horizontal="center" vertical="center" wrapText="1"/>
    </xf>
    <xf numFmtId="0" fontId="55" fillId="0" borderId="0" xfId="1" applyFont="1" applyFill="1" applyBorder="1" applyAlignment="1" applyProtection="1">
      <alignment horizontal="left"/>
    </xf>
    <xf numFmtId="0" fontId="53" fillId="0" borderId="0" xfId="1" applyFont="1" applyFill="1" applyBorder="1" applyAlignment="1">
      <alignment vertical="center" wrapText="1"/>
    </xf>
    <xf numFmtId="0" fontId="64" fillId="0" borderId="0" xfId="1" applyFont="1" applyFill="1" applyBorder="1" applyAlignment="1">
      <alignment horizontal="center" vertical="center" wrapText="1"/>
    </xf>
    <xf numFmtId="0" fontId="65" fillId="0" borderId="0" xfId="1" applyFont="1" applyFill="1" applyBorder="1" applyAlignment="1">
      <alignment horizontal="center" vertical="center" wrapText="1"/>
    </xf>
    <xf numFmtId="0" fontId="66" fillId="0" borderId="0" xfId="2" applyFont="1" applyFill="1" applyBorder="1" applyAlignment="1" applyProtection="1">
      <alignment vertical="center"/>
    </xf>
    <xf numFmtId="164" fontId="68" fillId="0" borderId="0" xfId="2" applyNumberFormat="1" applyFont="1" applyFill="1" applyBorder="1" applyAlignment="1" applyProtection="1">
      <alignment horizontal="right" vertical="center" indent="1"/>
    </xf>
    <xf numFmtId="0" fontId="69" fillId="0" borderId="0" xfId="2" applyFont="1" applyFill="1" applyBorder="1" applyAlignment="1" applyProtection="1">
      <alignment vertical="center"/>
    </xf>
    <xf numFmtId="0" fontId="56" fillId="7" borderId="0" xfId="2" applyFont="1" applyFill="1" applyBorder="1" applyAlignment="1" applyProtection="1">
      <alignment vertical="center"/>
    </xf>
    <xf numFmtId="0" fontId="70" fillId="0" borderId="0" xfId="1" applyFont="1" applyFill="1" applyBorder="1" applyAlignment="1">
      <alignment horizontal="center" vertical="center" wrapText="1"/>
    </xf>
    <xf numFmtId="0" fontId="14" fillId="0" borderId="0" xfId="2" applyFont="1" applyFill="1" applyBorder="1" applyAlignment="1" applyProtection="1">
      <alignment vertical="center"/>
    </xf>
    <xf numFmtId="0" fontId="71" fillId="0" borderId="0" xfId="1" applyFont="1" applyFill="1" applyBorder="1" applyProtection="1"/>
    <xf numFmtId="0" fontId="14" fillId="7" borderId="0" xfId="2" applyFont="1" applyFill="1" applyBorder="1" applyAlignment="1" applyProtection="1">
      <alignment vertical="center"/>
    </xf>
    <xf numFmtId="0" fontId="15" fillId="0" borderId="0" xfId="1" applyFont="1" applyFill="1" applyBorder="1" applyAlignment="1">
      <alignment vertical="center"/>
    </xf>
    <xf numFmtId="0" fontId="71" fillId="0" borderId="0" xfId="1" applyFont="1" applyFill="1" applyAlignment="1"/>
    <xf numFmtId="0" fontId="51" fillId="38" borderId="0" xfId="233" applyNumberFormat="1" applyFont="1" applyFill="1" applyBorder="1" applyAlignment="1" applyProtection="1">
      <alignment horizontal="left" vertical="center"/>
    </xf>
    <xf numFmtId="0" fontId="72" fillId="0" borderId="0" xfId="4" applyFont="1" applyFill="1" applyBorder="1" applyAlignment="1">
      <alignment horizontal="center"/>
    </xf>
    <xf numFmtId="0" fontId="73" fillId="11" borderId="10" xfId="4" applyFont="1" applyFill="1" applyBorder="1" applyAlignment="1">
      <alignment horizontal="center" vertical="center"/>
    </xf>
    <xf numFmtId="0" fontId="74" fillId="0" borderId="0" xfId="2" applyFont="1" applyFill="1" applyBorder="1" applyAlignment="1" applyProtection="1">
      <alignment vertical="center"/>
    </xf>
    <xf numFmtId="0" fontId="52" fillId="0" borderId="0" xfId="1" applyFont="1" applyFill="1" applyBorder="1" applyAlignment="1">
      <alignment vertical="center" wrapText="1"/>
    </xf>
    <xf numFmtId="0" fontId="11" fillId="0" borderId="0" xfId="1" applyFont="1" applyFill="1" applyBorder="1" applyAlignment="1"/>
    <xf numFmtId="0" fontId="53" fillId="0" borderId="0" xfId="2" applyFont="1" applyFill="1" applyAlignment="1" applyProtection="1">
      <alignment vertical="center" wrapText="1"/>
    </xf>
    <xf numFmtId="0" fontId="54" fillId="0" borderId="0" xfId="2" applyFont="1" applyFill="1" applyBorder="1" applyAlignment="1" applyProtection="1">
      <alignment horizontal="center" vertical="center" wrapText="1"/>
    </xf>
    <xf numFmtId="0" fontId="55" fillId="0" borderId="0" xfId="1" applyFont="1" applyFill="1" applyBorder="1" applyAlignment="1" applyProtection="1">
      <alignment horizontal="left" wrapText="1"/>
    </xf>
    <xf numFmtId="0" fontId="62" fillId="0" borderId="0" xfId="2" applyFont="1" applyFill="1" applyBorder="1" applyAlignment="1" applyProtection="1">
      <alignment horizontal="center" vertical="center" wrapText="1"/>
    </xf>
    <xf numFmtId="0" fontId="51" fillId="38" borderId="0" xfId="233" applyNumberFormat="1" applyFont="1" applyFill="1" applyBorder="1" applyAlignment="1" applyProtection="1">
      <alignment horizontal="center" vertical="center" wrapText="1"/>
    </xf>
    <xf numFmtId="0" fontId="51" fillId="39" borderId="0" xfId="233" applyNumberFormat="1" applyFont="1" applyFill="1" applyBorder="1" applyAlignment="1" applyProtection="1">
      <alignment horizontal="center" vertical="center" wrapText="1"/>
    </xf>
    <xf numFmtId="0" fontId="9" fillId="0" borderId="0" xfId="2" applyFont="1" applyFill="1" applyBorder="1" applyAlignment="1" applyProtection="1">
      <alignment vertical="center" wrapText="1"/>
    </xf>
    <xf numFmtId="0" fontId="7" fillId="0" borderId="0" xfId="2" applyFont="1" applyFill="1" applyAlignment="1" applyProtection="1">
      <alignment vertical="center" wrapText="1"/>
    </xf>
    <xf numFmtId="0" fontId="76" fillId="0" borderId="0" xfId="2" applyFont="1" applyFill="1" applyBorder="1" applyAlignment="1" applyProtection="1">
      <alignment vertical="center" wrapText="1"/>
    </xf>
    <xf numFmtId="0" fontId="51" fillId="0" borderId="0" xfId="233" applyNumberFormat="1" applyFont="1" applyFill="1" applyBorder="1" applyAlignment="1" applyProtection="1">
      <alignment horizontal="right" vertical="center" wrapText="1"/>
    </xf>
    <xf numFmtId="0" fontId="75" fillId="0" borderId="0" xfId="2" applyFont="1" applyFill="1" applyBorder="1" applyAlignment="1" applyProtection="1">
      <alignment vertical="center"/>
    </xf>
    <xf numFmtId="0" fontId="52" fillId="0" borderId="0" xfId="2" applyFont="1" applyFill="1" applyBorder="1" applyAlignment="1" applyProtection="1">
      <alignment horizontal="center" vertical="center"/>
    </xf>
    <xf numFmtId="0" fontId="75" fillId="39" borderId="0" xfId="1" applyFont="1" applyFill="1" applyBorder="1" applyAlignment="1">
      <alignment horizontal="left" vertical="center"/>
    </xf>
    <xf numFmtId="0" fontId="75" fillId="0" borderId="0" xfId="1" applyFont="1" applyFill="1" applyAlignment="1">
      <alignment horizontal="left" indent="1"/>
    </xf>
    <xf numFmtId="0" fontId="75" fillId="0" borderId="0" xfId="1" applyFont="1" applyFill="1" applyAlignment="1"/>
    <xf numFmtId="0" fontId="77" fillId="7" borderId="0" xfId="2" applyFont="1" applyFill="1" applyBorder="1" applyAlignment="1" applyProtection="1">
      <alignment vertical="center"/>
    </xf>
    <xf numFmtId="0" fontId="74" fillId="7" borderId="0" xfId="2" applyFont="1" applyFill="1" applyBorder="1" applyAlignment="1" applyProtection="1">
      <alignment vertical="center"/>
    </xf>
    <xf numFmtId="0" fontId="77" fillId="0" borderId="0" xfId="2" applyFont="1" applyFill="1" applyBorder="1" applyAlignment="1" applyProtection="1">
      <alignment vertical="center"/>
    </xf>
    <xf numFmtId="0" fontId="78" fillId="0" borderId="0" xfId="2" applyNumberFormat="1" applyFont="1" applyFill="1" applyBorder="1" applyAlignment="1" applyProtection="1">
      <alignment vertical="center"/>
    </xf>
    <xf numFmtId="0" fontId="79" fillId="0" borderId="0" xfId="2" applyFont="1" applyFill="1" applyBorder="1" applyAlignment="1" applyProtection="1">
      <alignment horizontal="center" vertical="center"/>
    </xf>
    <xf numFmtId="0" fontId="80" fillId="0" borderId="0" xfId="2" applyNumberFormat="1" applyFont="1" applyFill="1" applyBorder="1" applyAlignment="1" applyProtection="1">
      <alignment vertical="center"/>
    </xf>
    <xf numFmtId="164" fontId="81" fillId="0" borderId="0" xfId="2" applyNumberFormat="1" applyFont="1" applyFill="1" applyBorder="1" applyAlignment="1" applyProtection="1">
      <alignment horizontal="left" vertical="center"/>
    </xf>
    <xf numFmtId="0" fontId="82" fillId="0" borderId="0" xfId="1" applyFont="1" applyFill="1" applyBorder="1" applyAlignment="1">
      <alignment horizontal="center" vertical="center" wrapText="1"/>
    </xf>
    <xf numFmtId="0" fontId="13" fillId="6" borderId="5" xfId="2" applyFont="1" applyFill="1" applyBorder="1" applyAlignment="1" applyProtection="1">
      <alignment horizontal="center" vertical="center"/>
    </xf>
    <xf numFmtId="0" fontId="83" fillId="0" borderId="0" xfId="2" applyFont="1" applyBorder="1" applyAlignment="1" applyProtection="1">
      <alignment vertical="center"/>
    </xf>
    <xf numFmtId="0" fontId="75" fillId="0" borderId="0" xfId="2" applyFont="1" applyFill="1" applyAlignment="1" applyProtection="1">
      <alignment vertical="center"/>
    </xf>
    <xf numFmtId="0" fontId="79" fillId="0" borderId="0" xfId="2" applyFont="1" applyBorder="1" applyAlignment="1" applyProtection="1">
      <alignment horizontal="center" vertical="center"/>
    </xf>
    <xf numFmtId="0" fontId="76" fillId="0" borderId="7" xfId="4" applyFont="1" applyFill="1" applyBorder="1" applyAlignment="1">
      <alignment horizontal="center" vertical="center" wrapText="1"/>
    </xf>
    <xf numFmtId="0" fontId="20" fillId="0" borderId="0" xfId="2" applyFont="1" applyFill="1" applyAlignment="1" applyProtection="1">
      <alignment vertical="center"/>
    </xf>
    <xf numFmtId="0" fontId="20" fillId="0" borderId="8" xfId="2" applyFont="1" applyFill="1" applyBorder="1" applyAlignment="1" applyProtection="1">
      <alignment vertical="center"/>
    </xf>
    <xf numFmtId="0" fontId="75" fillId="0" borderId="0" xfId="2" applyFont="1" applyFill="1" applyAlignment="1" applyProtection="1">
      <alignment vertical="center" wrapText="1"/>
    </xf>
    <xf numFmtId="0" fontId="52" fillId="0" borderId="0" xfId="2" applyFont="1" applyFill="1" applyBorder="1" applyAlignment="1" applyProtection="1">
      <alignment horizontal="center" vertical="center" wrapText="1"/>
    </xf>
    <xf numFmtId="0" fontId="79" fillId="0" borderId="0" xfId="2" applyFont="1" applyFill="1" applyBorder="1" applyAlignment="1" applyProtection="1">
      <alignment horizontal="center" vertical="center" wrapText="1"/>
    </xf>
    <xf numFmtId="0" fontId="75" fillId="39" borderId="0" xfId="4" applyFont="1" applyFill="1" applyBorder="1" applyAlignment="1">
      <alignment horizontal="left" vertical="center" wrapText="1"/>
    </xf>
    <xf numFmtId="0" fontId="76" fillId="0" borderId="0" xfId="4" applyFont="1" applyFill="1" applyBorder="1" applyAlignment="1">
      <alignment horizontal="center" vertical="center" wrapText="1"/>
    </xf>
    <xf numFmtId="0" fontId="77" fillId="0" borderId="0" xfId="2" applyFont="1" applyFill="1" applyBorder="1" applyAlignment="1" applyProtection="1">
      <alignment vertical="center" wrapText="1"/>
    </xf>
    <xf numFmtId="0" fontId="20" fillId="0" borderId="0" xfId="2" applyFont="1" applyFill="1" applyAlignment="1" applyProtection="1">
      <alignment vertical="center" wrapText="1"/>
    </xf>
    <xf numFmtId="0" fontId="20" fillId="0" borderId="0" xfId="2" quotePrefix="1" applyFont="1" applyFill="1" applyAlignment="1" applyProtection="1">
      <alignment vertical="center"/>
    </xf>
    <xf numFmtId="0" fontId="9" fillId="12" borderId="0" xfId="2" applyFont="1" applyFill="1" applyBorder="1" applyAlignment="1" applyProtection="1">
      <alignment vertical="center"/>
    </xf>
    <xf numFmtId="0" fontId="67" fillId="12" borderId="0" xfId="4" applyFont="1" applyFill="1" applyBorder="1" applyAlignment="1">
      <alignment horizontal="center"/>
    </xf>
    <xf numFmtId="164" fontId="68" fillId="12" borderId="0" xfId="3" applyNumberFormat="1" applyFont="1" applyFill="1" applyBorder="1" applyAlignment="1">
      <alignment horizontal="right" vertical="center" wrapText="1" indent="1"/>
    </xf>
    <xf numFmtId="164" fontId="68" fillId="12" borderId="0" xfId="2" applyNumberFormat="1" applyFont="1" applyFill="1" applyBorder="1" applyAlignment="1" applyProtection="1">
      <alignment horizontal="right" vertical="center" indent="1"/>
    </xf>
    <xf numFmtId="165" fontId="68" fillId="12" borderId="0" xfId="3" applyNumberFormat="1" applyFont="1" applyFill="1" applyBorder="1" applyAlignment="1">
      <alignment horizontal="right" vertical="center" wrapText="1" indent="1"/>
    </xf>
    <xf numFmtId="0" fontId="73" fillId="12" borderId="11" xfId="4" applyFont="1" applyFill="1" applyBorder="1" applyAlignment="1">
      <alignment horizontal="center" vertical="center"/>
    </xf>
    <xf numFmtId="164" fontId="68" fillId="10" borderId="9" xfId="1" applyNumberFormat="1" applyFont="1" applyFill="1" applyBorder="1" applyAlignment="1">
      <alignment horizontal="right" vertical="center" wrapText="1" indent="1"/>
    </xf>
    <xf numFmtId="165" fontId="68" fillId="10" borderId="9" xfId="1" applyNumberFormat="1" applyFont="1" applyFill="1" applyBorder="1" applyAlignment="1">
      <alignment horizontal="right" vertical="center" wrapText="1" indent="1"/>
    </xf>
    <xf numFmtId="0" fontId="84" fillId="11" borderId="10" xfId="4" applyFont="1" applyFill="1" applyBorder="1" applyAlignment="1">
      <alignment horizontal="center" vertical="center"/>
    </xf>
    <xf numFmtId="0" fontId="84" fillId="12" borderId="0" xfId="4" applyFont="1" applyFill="1" applyBorder="1" applyAlignment="1">
      <alignment horizontal="center" vertical="center"/>
    </xf>
    <xf numFmtId="0" fontId="85" fillId="40" borderId="0" xfId="2" applyFont="1" applyFill="1" applyBorder="1" applyAlignment="1" applyProtection="1">
      <alignment horizontal="left" vertical="center"/>
    </xf>
    <xf numFmtId="0" fontId="86" fillId="41" borderId="0" xfId="2" applyFont="1" applyFill="1" applyBorder="1" applyAlignment="1" applyProtection="1">
      <alignment vertical="center"/>
    </xf>
    <xf numFmtId="0" fontId="87" fillId="41" borderId="0" xfId="2" applyFont="1" applyFill="1" applyBorder="1" applyAlignment="1" applyProtection="1">
      <alignment vertical="center"/>
    </xf>
    <xf numFmtId="0" fontId="7" fillId="41" borderId="0" xfId="2" applyFont="1" applyFill="1" applyBorder="1" applyAlignment="1" applyProtection="1">
      <alignment vertical="center"/>
    </xf>
    <xf numFmtId="0" fontId="88" fillId="41" borderId="0" xfId="2" applyFont="1" applyFill="1" applyBorder="1" applyAlignment="1" applyProtection="1">
      <alignment vertical="center"/>
    </xf>
    <xf numFmtId="0" fontId="89" fillId="41" borderId="0" xfId="2" applyFont="1" applyFill="1" applyBorder="1" applyAlignment="1" applyProtection="1">
      <alignment vertical="center"/>
    </xf>
    <xf numFmtId="0" fontId="16" fillId="41" borderId="0" xfId="2" applyFont="1" applyFill="1" applyBorder="1" applyAlignment="1" applyProtection="1">
      <alignment vertical="center"/>
    </xf>
    <xf numFmtId="0" fontId="66" fillId="12" borderId="0" xfId="3" applyFont="1" applyFill="1" applyBorder="1" applyAlignment="1">
      <alignment horizontal="left" vertical="center" wrapText="1" indent="1"/>
    </xf>
    <xf numFmtId="49" fontId="0" fillId="0" borderId="0" xfId="0" applyNumberFormat="1" applyAlignment="1">
      <alignment horizontal="left" indent="2"/>
    </xf>
    <xf numFmtId="0" fontId="0" fillId="0" borderId="0" xfId="0" applyNumberFormat="1" applyAlignment="1">
      <alignment horizontal="left" indent="2"/>
    </xf>
    <xf numFmtId="164" fontId="91" fillId="38" borderId="0" xfId="233" applyNumberFormat="1" applyFont="1" applyFill="1" applyBorder="1" applyAlignment="1" applyProtection="1">
      <alignment horizontal="right" vertical="center" wrapText="1"/>
    </xf>
    <xf numFmtId="165" fontId="91" fillId="38" borderId="0" xfId="1" applyNumberFormat="1" applyFont="1" applyFill="1" applyBorder="1" applyAlignment="1">
      <alignment horizontal="right" vertical="center" wrapText="1" indent="1"/>
    </xf>
    <xf numFmtId="0" fontId="92" fillId="38" borderId="0" xfId="4" applyFont="1" applyFill="1" applyBorder="1" applyAlignment="1">
      <alignment horizontal="center" vertical="center"/>
    </xf>
    <xf numFmtId="0" fontId="51" fillId="38" borderId="0" xfId="233" applyNumberFormat="1" applyFont="1" applyFill="1" applyBorder="1" applyAlignment="1" applyProtection="1">
      <alignment horizontal="left" vertical="center" wrapText="1"/>
      <protection locked="0"/>
    </xf>
    <xf numFmtId="0" fontId="4" fillId="2" borderId="1" xfId="1" applyFont="1" applyFill="1" applyBorder="1" applyAlignment="1" applyProtection="1">
      <alignment horizontal="left" vertical="center"/>
      <protection locked="0"/>
    </xf>
    <xf numFmtId="0" fontId="66" fillId="12" borderId="0" xfId="3" applyFont="1" applyFill="1" applyBorder="1" applyAlignment="1">
      <alignment horizontal="left" vertical="center" wrapText="1" indent="1"/>
    </xf>
    <xf numFmtId="0" fontId="66" fillId="10" borderId="9" xfId="1" applyFont="1" applyFill="1" applyBorder="1" applyAlignment="1">
      <alignment horizontal="left" vertical="center"/>
    </xf>
    <xf numFmtId="0" fontId="51" fillId="39" borderId="21" xfId="233" applyNumberFormat="1" applyFont="1" applyFill="1" applyBorder="1" applyAlignment="1" applyProtection="1">
      <alignment horizontal="center" vertical="center" wrapText="1"/>
    </xf>
    <xf numFmtId="0" fontId="51" fillId="39" borderId="22" xfId="233" applyNumberFormat="1" applyFont="1" applyFill="1" applyBorder="1" applyAlignment="1" applyProtection="1">
      <alignment horizontal="center" vertical="center" wrapText="1"/>
    </xf>
    <xf numFmtId="0" fontId="51" fillId="39" borderId="23" xfId="233" applyNumberFormat="1" applyFont="1" applyFill="1" applyBorder="1" applyAlignment="1" applyProtection="1">
      <alignment horizontal="center" vertical="center" wrapText="1"/>
    </xf>
    <xf numFmtId="0" fontId="51" fillId="39" borderId="24" xfId="233" applyNumberFormat="1" applyFont="1" applyFill="1" applyBorder="1" applyAlignment="1" applyProtection="1">
      <alignment horizontal="center" vertical="center" wrapText="1"/>
    </xf>
    <xf numFmtId="0" fontId="10" fillId="8" borderId="0" xfId="1" applyFont="1" applyFill="1" applyAlignment="1">
      <alignment horizontal="center" vertical="center"/>
    </xf>
    <xf numFmtId="0" fontId="90" fillId="38" borderId="0" xfId="233" applyNumberFormat="1" applyFont="1" applyFill="1" applyBorder="1" applyAlignment="1" applyProtection="1">
      <alignment horizontal="left" vertical="center" wrapText="1"/>
    </xf>
    <xf numFmtId="0" fontId="66" fillId="12" borderId="25" xfId="3" applyFont="1" applyFill="1" applyBorder="1" applyAlignment="1">
      <alignment horizontal="left" vertical="center" wrapText="1" indent="1"/>
    </xf>
  </cellXfs>
  <cellStyles count="235">
    <cellStyle name="20% - Accent1 2" xfId="5"/>
    <cellStyle name="20% - Accent1 3" xfId="6"/>
    <cellStyle name="20% - Accent1 4" xfId="7"/>
    <cellStyle name="20% - Accent1 5" xfId="8"/>
    <cellStyle name="20% - Accent2 2" xfId="9"/>
    <cellStyle name="20% - Accent2 3" xfId="10"/>
    <cellStyle name="20% - Accent2 4" xfId="11"/>
    <cellStyle name="20% - Accent2 5" xfId="12"/>
    <cellStyle name="20% - Accent3 2" xfId="13"/>
    <cellStyle name="20% - Accent3 3" xfId="14"/>
    <cellStyle name="20% - Accent3 4" xfId="15"/>
    <cellStyle name="20% - Accent3 5" xfId="16"/>
    <cellStyle name="20% - Accent4 2" xfId="17"/>
    <cellStyle name="20% - Accent4 3" xfId="18"/>
    <cellStyle name="20% - Accent4 4" xfId="19"/>
    <cellStyle name="20% - Accent4 5" xfId="20"/>
    <cellStyle name="20% - Accent5 2" xfId="21"/>
    <cellStyle name="20% - Accent5 3" xfId="22"/>
    <cellStyle name="20% - Accent5 4" xfId="23"/>
    <cellStyle name="20% - Accent5 5" xfId="24"/>
    <cellStyle name="20% - Accent6 2" xfId="25"/>
    <cellStyle name="20% - Accent6 3" xfId="26"/>
    <cellStyle name="20% - Accent6 4" xfId="27"/>
    <cellStyle name="20% - Accent6 5" xfId="28"/>
    <cellStyle name="40% - Accent1 2" xfId="29"/>
    <cellStyle name="40% - Accent1 3" xfId="30"/>
    <cellStyle name="40% - Accent1 4" xfId="31"/>
    <cellStyle name="40% - Accent1 5" xfId="32"/>
    <cellStyle name="40% - Accent2 2" xfId="33"/>
    <cellStyle name="40% - Accent2 3" xfId="34"/>
    <cellStyle name="40% - Accent2 4" xfId="35"/>
    <cellStyle name="40% - Accent2 5" xfId="36"/>
    <cellStyle name="40% - Accent3 2" xfId="37"/>
    <cellStyle name="40% - Accent3 3" xfId="38"/>
    <cellStyle name="40% - Accent3 4" xfId="39"/>
    <cellStyle name="40% - Accent3 5" xfId="40"/>
    <cellStyle name="40% - Accent4 2" xfId="41"/>
    <cellStyle name="40% - Accent4 3" xfId="42"/>
    <cellStyle name="40% - Accent4 4" xfId="43"/>
    <cellStyle name="40% - Accent4 5" xfId="44"/>
    <cellStyle name="40% - Accent5 2" xfId="45"/>
    <cellStyle name="40% - Accent5 3" xfId="46"/>
    <cellStyle name="40% - Accent5 4" xfId="47"/>
    <cellStyle name="40% - Accent5 5" xfId="48"/>
    <cellStyle name="40% - Accent6 2" xfId="49"/>
    <cellStyle name="40% - Accent6 3" xfId="50"/>
    <cellStyle name="40% - Accent6 4" xfId="51"/>
    <cellStyle name="40% - Accent6 5" xfId="52"/>
    <cellStyle name="60% - Accent1 2" xfId="53"/>
    <cellStyle name="60% - Accent1 3" xfId="54"/>
    <cellStyle name="60% - Accent1 4" xfId="55"/>
    <cellStyle name="60% - Accent1 5" xfId="56"/>
    <cellStyle name="60% - Accent2 2" xfId="57"/>
    <cellStyle name="60% - Accent2 3" xfId="58"/>
    <cellStyle name="60% - Accent2 4" xfId="59"/>
    <cellStyle name="60% - Accent2 5" xfId="60"/>
    <cellStyle name="60% - Accent3 2" xfId="61"/>
    <cellStyle name="60% - Accent3 3" xfId="62"/>
    <cellStyle name="60% - Accent3 4" xfId="63"/>
    <cellStyle name="60% - Accent3 5" xfId="64"/>
    <cellStyle name="60% - Accent4 2" xfId="65"/>
    <cellStyle name="60% - Accent4 3" xfId="66"/>
    <cellStyle name="60% - Accent4 4" xfId="67"/>
    <cellStyle name="60% - Accent4 5" xfId="68"/>
    <cellStyle name="60% - Accent5 2" xfId="69"/>
    <cellStyle name="60% - Accent5 3" xfId="70"/>
    <cellStyle name="60% - Accent5 4" xfId="71"/>
    <cellStyle name="60% - Accent5 5" xfId="72"/>
    <cellStyle name="60% - Accent6 2" xfId="73"/>
    <cellStyle name="60% - Accent6 3" xfId="74"/>
    <cellStyle name="60% - Accent6 4" xfId="75"/>
    <cellStyle name="60% - Accent6 5" xfId="76"/>
    <cellStyle name="Accent1 2" xfId="77"/>
    <cellStyle name="Accent1 3" xfId="78"/>
    <cellStyle name="Accent1 4" xfId="79"/>
    <cellStyle name="Accent1 5" xfId="80"/>
    <cellStyle name="Accent2 2" xfId="81"/>
    <cellStyle name="Accent2 3" xfId="82"/>
    <cellStyle name="Accent2 4" xfId="83"/>
    <cellStyle name="Accent2 5" xfId="84"/>
    <cellStyle name="Accent3 2" xfId="85"/>
    <cellStyle name="Accent3 3" xfId="86"/>
    <cellStyle name="Accent3 4" xfId="87"/>
    <cellStyle name="Accent3 5" xfId="88"/>
    <cellStyle name="Accent4 2" xfId="89"/>
    <cellStyle name="Accent4 3" xfId="90"/>
    <cellStyle name="Accent4 4" xfId="91"/>
    <cellStyle name="Accent4 5" xfId="92"/>
    <cellStyle name="Accent5 2" xfId="93"/>
    <cellStyle name="Accent5 3" xfId="94"/>
    <cellStyle name="Accent5 4" xfId="95"/>
    <cellStyle name="Accent5 5" xfId="96"/>
    <cellStyle name="Accent6 2" xfId="97"/>
    <cellStyle name="Accent6 3" xfId="98"/>
    <cellStyle name="Accent6 4" xfId="99"/>
    <cellStyle name="Accent6 5" xfId="100"/>
    <cellStyle name="Bad 2" xfId="101"/>
    <cellStyle name="Bad 3" xfId="102"/>
    <cellStyle name="Bad 4" xfId="103"/>
    <cellStyle name="Bad 5" xfId="104"/>
    <cellStyle name="Calculation 2" xfId="105"/>
    <cellStyle name="Calculation 3" xfId="106"/>
    <cellStyle name="Calculation 4" xfId="107"/>
    <cellStyle name="Calculation 5" xfId="108"/>
    <cellStyle name="Check Cell 2" xfId="109"/>
    <cellStyle name="Check Cell 3" xfId="110"/>
    <cellStyle name="Check Cell 4" xfId="111"/>
    <cellStyle name="Check Cell 5" xfId="112"/>
    <cellStyle name="ColumnHeading" xfId="113"/>
    <cellStyle name="Comma 2" xfId="114"/>
    <cellStyle name="Comma 3" xfId="115"/>
    <cellStyle name="Comma 4" xfId="116"/>
    <cellStyle name="Comma 5" xfId="117"/>
    <cellStyle name="Comma 6" xfId="118"/>
    <cellStyle name="Comma 7" xfId="119"/>
    <cellStyle name="Comma 8" xfId="120"/>
    <cellStyle name="Euro" xfId="121"/>
    <cellStyle name="Explanatory Text 2" xfId="122"/>
    <cellStyle name="Explanatory Text 3" xfId="123"/>
    <cellStyle name="Explanatory Text 4" xfId="124"/>
    <cellStyle name="Explanatory Text 5" xfId="125"/>
    <cellStyle name="Good 2" xfId="126"/>
    <cellStyle name="Good 3" xfId="127"/>
    <cellStyle name="Good 4" xfId="128"/>
    <cellStyle name="Good 5" xfId="129"/>
    <cellStyle name="Heading 1 2" xfId="130"/>
    <cellStyle name="Heading 1 3" xfId="131"/>
    <cellStyle name="Heading 1 4" xfId="132"/>
    <cellStyle name="Heading 1 5" xfId="133"/>
    <cellStyle name="Heading 2 2" xfId="134"/>
    <cellStyle name="Heading 2 3" xfId="135"/>
    <cellStyle name="Heading 2 4" xfId="136"/>
    <cellStyle name="Heading 2 5" xfId="137"/>
    <cellStyle name="Heading 3 2" xfId="138"/>
    <cellStyle name="Heading 3 3" xfId="139"/>
    <cellStyle name="Heading 3 4" xfId="140"/>
    <cellStyle name="Heading 3 5" xfId="141"/>
    <cellStyle name="Heading 4 2" xfId="142"/>
    <cellStyle name="Heading 4 3" xfId="143"/>
    <cellStyle name="Heading 4 4" xfId="144"/>
    <cellStyle name="Heading 4 5" xfId="145"/>
    <cellStyle name="Hyperlink 2" xfId="146"/>
    <cellStyle name="Hyperlink 3" xfId="147"/>
    <cellStyle name="Input 2" xfId="148"/>
    <cellStyle name="Input 3" xfId="149"/>
    <cellStyle name="Input 4" xfId="150"/>
    <cellStyle name="Input 5" xfId="151"/>
    <cellStyle name="Lien hypertexte 3" xfId="152"/>
    <cellStyle name="Ligne détail" xfId="153"/>
    <cellStyle name="Linked Cell 2" xfId="154"/>
    <cellStyle name="Linked Cell 3" xfId="155"/>
    <cellStyle name="Linked Cell 4" xfId="156"/>
    <cellStyle name="Linked Cell 5" xfId="157"/>
    <cellStyle name="MEV4" xfId="158"/>
    <cellStyle name="MEV5" xfId="159"/>
    <cellStyle name="Milliers 2" xfId="160"/>
    <cellStyle name="Milliers 3" xfId="161"/>
    <cellStyle name="Milliers 4" xfId="162"/>
    <cellStyle name="N?rmal_la?oux_larou?" xfId="163"/>
    <cellStyle name="Neutral 2" xfId="164"/>
    <cellStyle name="Neutral 3" xfId="165"/>
    <cellStyle name="Neutral 4" xfId="166"/>
    <cellStyle name="Neutral 5" xfId="167"/>
    <cellStyle name="Norma?_On Hol?" xfId="168"/>
    <cellStyle name="Normaᷬ_On Holᷤ" xfId="169"/>
    <cellStyle name="Normal" xfId="0" builtinId="0"/>
    <cellStyle name="Normal - Style1" xfId="170"/>
    <cellStyle name="Normal 10" xfId="4"/>
    <cellStyle name="Normal 11" xfId="171"/>
    <cellStyle name="Normal 12" xfId="234"/>
    <cellStyle name="Normal 2" xfId="1"/>
    <cellStyle name="Normal 2 2" xfId="172"/>
    <cellStyle name="Normal 2 3" xfId="173"/>
    <cellStyle name="Normal 2 4" xfId="174"/>
    <cellStyle name="Normal 2 5" xfId="175"/>
    <cellStyle name="Normal 2_CRD hybride yc EMB" xfId="176"/>
    <cellStyle name="Normal 3" xfId="177"/>
    <cellStyle name="Normal 3 2" xfId="2"/>
    <cellStyle name="Normal 3 3" xfId="178"/>
    <cellStyle name="Normal 3 4" xfId="179"/>
    <cellStyle name="Normal 3 5" xfId="180"/>
    <cellStyle name="Normal 3 6" xfId="181"/>
    <cellStyle name="Normal 3_0. Investissement" xfId="182"/>
    <cellStyle name="Normal 4" xfId="183"/>
    <cellStyle name="Normal 5" xfId="184"/>
    <cellStyle name="Normal 6" xfId="185"/>
    <cellStyle name="Normal 6 2" xfId="186"/>
    <cellStyle name="Normal 6 3" xfId="187"/>
    <cellStyle name="Normal 6 4" xfId="188"/>
    <cellStyle name="Normal 6 5" xfId="189"/>
    <cellStyle name="Normal 6_0. Investissement" xfId="190"/>
    <cellStyle name="Normal 7" xfId="191"/>
    <cellStyle name="Normal 8" xfId="192"/>
    <cellStyle name="Normal 9" xfId="193"/>
    <cellStyle name="Normal_Copie de CRD_CRC_domaine TER_ergo" xfId="3"/>
    <cellStyle name="Normal_EBIT_EBITDA  groupe Actual 2003.12" xfId="233"/>
    <cellStyle name="Note 2" xfId="194"/>
    <cellStyle name="Note 3" xfId="195"/>
    <cellStyle name="Note 4" xfId="196"/>
    <cellStyle name="Note 5" xfId="197"/>
    <cellStyle name="N䃯rmal_la䇲oux_larou᷸" xfId="198"/>
    <cellStyle name="Output 2" xfId="199"/>
    <cellStyle name="Output 3" xfId="200"/>
    <cellStyle name="Output 4" xfId="201"/>
    <cellStyle name="Output 5" xfId="202"/>
    <cellStyle name="Percent 10" xfId="203"/>
    <cellStyle name="Percent 2" xfId="204"/>
    <cellStyle name="Percent 2 2" xfId="205"/>
    <cellStyle name="Percent 3" xfId="206"/>
    <cellStyle name="Percent 4" xfId="207"/>
    <cellStyle name="Percent 5" xfId="208"/>
    <cellStyle name="Percent 5 2" xfId="209"/>
    <cellStyle name="Percent 5 3" xfId="210"/>
    <cellStyle name="Percent 5 4" xfId="211"/>
    <cellStyle name="Percent 5 5" xfId="212"/>
    <cellStyle name="Percent 6" xfId="213"/>
    <cellStyle name="Percent 7" xfId="214"/>
    <cellStyle name="Percent 8" xfId="215"/>
    <cellStyle name="Percent 9" xfId="216"/>
    <cellStyle name="Pourcentage 2" xfId="217"/>
    <cellStyle name="Pourcentage 3" xfId="218"/>
    <cellStyle name="Title 2" xfId="219"/>
    <cellStyle name="Title 3" xfId="220"/>
    <cellStyle name="Title 4" xfId="221"/>
    <cellStyle name="Title 5" xfId="222"/>
    <cellStyle name="Titre colonnes" xfId="223"/>
    <cellStyle name="Titre lignes" xfId="224"/>
    <cellStyle name="Total 2" xfId="225"/>
    <cellStyle name="Total 3" xfId="226"/>
    <cellStyle name="Total 4" xfId="227"/>
    <cellStyle name="Total 5" xfId="228"/>
    <cellStyle name="Warning Text 2" xfId="229"/>
    <cellStyle name="Warning Text 3" xfId="230"/>
    <cellStyle name="Warning Text 4" xfId="231"/>
    <cellStyle name="Warning Text 5" xfId="232"/>
  </cellStyles>
  <dxfs count="234">
    <dxf>
      <font>
        <condense val="0"/>
        <extend val="0"/>
        <color indexed="52"/>
      </font>
      <fill>
        <patternFill>
          <bgColor rgb="FFAAAEB6"/>
        </patternFill>
      </fill>
    </dxf>
    <dxf>
      <font>
        <condense val="0"/>
        <extend val="0"/>
        <color indexed="10"/>
      </font>
      <fill>
        <patternFill patternType="solid">
          <bgColor rgb="FFAAAEB6"/>
        </patternFill>
      </fill>
    </dxf>
    <dxf>
      <font>
        <condense val="0"/>
        <extend val="0"/>
        <color indexed="57"/>
      </font>
      <fill>
        <patternFill patternType="solid">
          <bgColor rgb="FFAAAEB6"/>
        </patternFill>
      </fill>
    </dxf>
    <dxf>
      <font>
        <condense val="0"/>
        <extend val="0"/>
        <color indexed="52"/>
      </font>
      <fill>
        <patternFill>
          <bgColor rgb="FFAAAEB6"/>
        </patternFill>
      </fill>
    </dxf>
    <dxf>
      <font>
        <condense val="0"/>
        <extend val="0"/>
        <color indexed="10"/>
      </font>
      <fill>
        <patternFill patternType="solid">
          <bgColor rgb="FFAAAEB6"/>
        </patternFill>
      </fill>
    </dxf>
    <dxf>
      <font>
        <condense val="0"/>
        <extend val="0"/>
        <color indexed="57"/>
      </font>
      <fill>
        <patternFill patternType="solid">
          <bgColor rgb="FFAAAEB6"/>
        </patternFill>
      </fill>
    </dxf>
    <dxf>
      <font>
        <condense val="0"/>
        <extend val="0"/>
        <color indexed="52"/>
      </font>
      <fill>
        <patternFill>
          <bgColor rgb="FFDDDDDD"/>
        </patternFill>
      </fill>
    </dxf>
    <dxf>
      <font>
        <condense val="0"/>
        <extend val="0"/>
        <color indexed="10"/>
      </font>
      <fill>
        <patternFill patternType="solid">
          <bgColor rgb="FFDDDDDD"/>
        </patternFill>
      </fill>
    </dxf>
    <dxf>
      <font>
        <condense val="0"/>
        <extend val="0"/>
        <color indexed="57"/>
      </font>
      <fill>
        <patternFill patternType="solid">
          <bgColor rgb="FFDDDDDD"/>
        </patternFill>
      </fill>
    </dxf>
    <dxf>
      <font>
        <condense val="0"/>
        <extend val="0"/>
        <color indexed="52"/>
      </font>
      <fill>
        <patternFill>
          <bgColor rgb="FFDDDDDD"/>
        </patternFill>
      </fill>
    </dxf>
    <dxf>
      <font>
        <condense val="0"/>
        <extend val="0"/>
        <color indexed="10"/>
      </font>
      <fill>
        <patternFill patternType="solid">
          <bgColor rgb="FFDDDDDD"/>
        </patternFill>
      </fill>
    </dxf>
    <dxf>
      <font>
        <condense val="0"/>
        <extend val="0"/>
        <color indexed="57"/>
      </font>
      <fill>
        <patternFill patternType="solid">
          <bgColor rgb="FFDDDDDD"/>
        </patternFill>
      </fill>
    </dxf>
    <dxf>
      <font>
        <condense val="0"/>
        <extend val="0"/>
        <color indexed="52"/>
      </font>
      <fill>
        <patternFill>
          <bgColor theme="4" tint="0.79998168889431442"/>
        </patternFill>
      </fill>
    </dxf>
    <dxf>
      <font>
        <condense val="0"/>
        <extend val="0"/>
        <color indexed="10"/>
      </font>
      <fill>
        <patternFill patternType="solid">
          <bgColor theme="4" tint="0.79998168889431442"/>
        </patternFill>
      </fill>
    </dxf>
    <dxf>
      <font>
        <condense val="0"/>
        <extend val="0"/>
        <color indexed="57"/>
      </font>
      <fill>
        <patternFill patternType="solid">
          <bgColor theme="4" tint="0.79998168889431442"/>
        </patternFill>
      </fill>
    </dxf>
    <dxf>
      <font>
        <condense val="0"/>
        <extend val="0"/>
        <color indexed="52"/>
      </font>
      <fill>
        <patternFill>
          <bgColor theme="4" tint="0.79998168889431442"/>
        </patternFill>
      </fill>
    </dxf>
    <dxf>
      <font>
        <condense val="0"/>
        <extend val="0"/>
        <color indexed="10"/>
      </font>
      <fill>
        <patternFill patternType="solid">
          <bgColor theme="4" tint="0.79998168889431442"/>
        </patternFill>
      </fill>
    </dxf>
    <dxf>
      <font>
        <condense val="0"/>
        <extend val="0"/>
        <color indexed="57"/>
      </font>
      <fill>
        <patternFill patternType="solid">
          <bgColor theme="4" tint="0.79998168889431442"/>
        </patternFill>
      </fill>
    </dxf>
    <dxf>
      <font>
        <condense val="0"/>
        <extend val="0"/>
        <color indexed="52"/>
      </font>
      <fill>
        <patternFill>
          <bgColor theme="4" tint="0.79998168889431442"/>
        </patternFill>
      </fill>
    </dxf>
    <dxf>
      <font>
        <condense val="0"/>
        <extend val="0"/>
        <color indexed="10"/>
      </font>
      <fill>
        <patternFill patternType="solid">
          <bgColor theme="4" tint="0.79998168889431442"/>
        </patternFill>
      </fill>
    </dxf>
    <dxf>
      <font>
        <condense val="0"/>
        <extend val="0"/>
        <color indexed="57"/>
      </font>
      <fill>
        <patternFill patternType="solid">
          <bgColor theme="4" tint="0.79998168889431442"/>
        </patternFill>
      </fill>
    </dxf>
    <dxf>
      <font>
        <condense val="0"/>
        <extend val="0"/>
        <color indexed="52"/>
      </font>
      <fill>
        <patternFill>
          <bgColor theme="4" tint="0.79998168889431442"/>
        </patternFill>
      </fill>
    </dxf>
    <dxf>
      <font>
        <condense val="0"/>
        <extend val="0"/>
        <color indexed="10"/>
      </font>
      <fill>
        <patternFill patternType="solid">
          <bgColor theme="4" tint="0.79998168889431442"/>
        </patternFill>
      </fill>
    </dxf>
    <dxf>
      <font>
        <condense val="0"/>
        <extend val="0"/>
        <color indexed="57"/>
      </font>
      <fill>
        <patternFill patternType="solid">
          <bgColor theme="4" tint="0.79998168889431442"/>
        </patternFill>
      </fill>
    </dxf>
    <dxf>
      <font>
        <condense val="0"/>
        <extend val="0"/>
        <color indexed="52"/>
      </font>
      <fill>
        <patternFill>
          <bgColor theme="4" tint="0.79998168889431442"/>
        </patternFill>
      </fill>
    </dxf>
    <dxf>
      <font>
        <condense val="0"/>
        <extend val="0"/>
        <color indexed="10"/>
      </font>
      <fill>
        <patternFill patternType="solid">
          <bgColor theme="4" tint="0.79998168889431442"/>
        </patternFill>
      </fill>
    </dxf>
    <dxf>
      <font>
        <condense val="0"/>
        <extend val="0"/>
        <color indexed="57"/>
      </font>
      <fill>
        <patternFill patternType="solid">
          <bgColor theme="4" tint="0.79998168889431442"/>
        </patternFill>
      </fill>
    </dxf>
    <dxf>
      <font>
        <condense val="0"/>
        <extend val="0"/>
        <color indexed="52"/>
      </font>
      <fill>
        <patternFill>
          <bgColor theme="4" tint="0.79998168889431442"/>
        </patternFill>
      </fill>
    </dxf>
    <dxf>
      <font>
        <condense val="0"/>
        <extend val="0"/>
        <color indexed="10"/>
      </font>
      <fill>
        <patternFill patternType="solid">
          <bgColor theme="4" tint="0.79998168889431442"/>
        </patternFill>
      </fill>
    </dxf>
    <dxf>
      <font>
        <condense val="0"/>
        <extend val="0"/>
        <color indexed="57"/>
      </font>
      <fill>
        <patternFill patternType="solid">
          <bgColor theme="4" tint="0.79998168889431442"/>
        </patternFill>
      </fill>
    </dxf>
    <dxf>
      <font>
        <condense val="0"/>
        <extend val="0"/>
        <color indexed="52"/>
      </font>
      <fill>
        <patternFill>
          <bgColor rgb="FFDDDDDD"/>
        </patternFill>
      </fill>
    </dxf>
    <dxf>
      <font>
        <condense val="0"/>
        <extend val="0"/>
        <color indexed="10"/>
      </font>
      <fill>
        <patternFill patternType="solid">
          <bgColor rgb="FFDDDDDD"/>
        </patternFill>
      </fill>
    </dxf>
    <dxf>
      <font>
        <condense val="0"/>
        <extend val="0"/>
        <color indexed="57"/>
      </font>
      <fill>
        <patternFill patternType="solid">
          <bgColor rgb="FFDDDDDD"/>
        </patternFill>
      </fill>
    </dxf>
    <dxf>
      <font>
        <condense val="0"/>
        <extend val="0"/>
        <color indexed="52"/>
      </font>
      <fill>
        <patternFill>
          <bgColor rgb="FFDDDDDD"/>
        </patternFill>
      </fill>
    </dxf>
    <dxf>
      <font>
        <condense val="0"/>
        <extend val="0"/>
        <color indexed="10"/>
      </font>
      <fill>
        <patternFill patternType="solid">
          <bgColor rgb="FFDDDDDD"/>
        </patternFill>
      </fill>
    </dxf>
    <dxf>
      <font>
        <condense val="0"/>
        <extend val="0"/>
        <color indexed="57"/>
      </font>
      <fill>
        <patternFill patternType="solid">
          <bgColor rgb="FFDDDDDD"/>
        </patternFill>
      </fill>
    </dxf>
    <dxf>
      <font>
        <condense val="0"/>
        <extend val="0"/>
        <color indexed="52"/>
      </font>
      <fill>
        <patternFill>
          <bgColor rgb="FFDDDDDD"/>
        </patternFill>
      </fill>
    </dxf>
    <dxf>
      <font>
        <condense val="0"/>
        <extend val="0"/>
        <color indexed="10"/>
      </font>
      <fill>
        <patternFill patternType="solid">
          <bgColor rgb="FFDDDDDD"/>
        </patternFill>
      </fill>
    </dxf>
    <dxf>
      <font>
        <condense val="0"/>
        <extend val="0"/>
        <color indexed="57"/>
      </font>
      <fill>
        <patternFill patternType="solid">
          <bgColor rgb="FFDDDDDD"/>
        </patternFill>
      </fill>
    </dxf>
    <dxf>
      <font>
        <condense val="0"/>
        <extend val="0"/>
        <color indexed="52"/>
      </font>
      <fill>
        <patternFill>
          <bgColor rgb="FFDDDDDD"/>
        </patternFill>
      </fill>
    </dxf>
    <dxf>
      <font>
        <condense val="0"/>
        <extend val="0"/>
        <color indexed="10"/>
      </font>
      <fill>
        <patternFill patternType="solid">
          <bgColor rgb="FFDDDDDD"/>
        </patternFill>
      </fill>
    </dxf>
    <dxf>
      <font>
        <condense val="0"/>
        <extend val="0"/>
        <color indexed="57"/>
      </font>
      <fill>
        <patternFill patternType="solid">
          <bgColor rgb="FFDDDDDD"/>
        </patternFill>
      </fill>
    </dxf>
    <dxf>
      <font>
        <condense val="0"/>
        <extend val="0"/>
        <color indexed="52"/>
      </font>
      <fill>
        <patternFill>
          <bgColor rgb="FFDDDDDD"/>
        </patternFill>
      </fill>
    </dxf>
    <dxf>
      <font>
        <condense val="0"/>
        <extend val="0"/>
        <color indexed="10"/>
      </font>
      <fill>
        <patternFill patternType="solid">
          <bgColor rgb="FFDDDDDD"/>
        </patternFill>
      </fill>
    </dxf>
    <dxf>
      <font>
        <condense val="0"/>
        <extend val="0"/>
        <color indexed="57"/>
      </font>
      <fill>
        <patternFill patternType="solid">
          <bgColor rgb="FFDDDDDD"/>
        </patternFill>
      </fill>
    </dxf>
    <dxf>
      <font>
        <condense val="0"/>
        <extend val="0"/>
        <color indexed="52"/>
      </font>
      <fill>
        <patternFill>
          <bgColor rgb="FFDDDDDD"/>
        </patternFill>
      </fill>
    </dxf>
    <dxf>
      <font>
        <condense val="0"/>
        <extend val="0"/>
        <color indexed="10"/>
      </font>
      <fill>
        <patternFill patternType="solid">
          <bgColor rgb="FFDDDDDD"/>
        </patternFill>
      </fill>
    </dxf>
    <dxf>
      <font>
        <condense val="0"/>
        <extend val="0"/>
        <color indexed="57"/>
      </font>
      <fill>
        <patternFill patternType="solid">
          <bgColor rgb="FFDDDDDD"/>
        </patternFill>
      </fill>
    </dxf>
    <dxf>
      <font>
        <condense val="0"/>
        <extend val="0"/>
        <color indexed="52"/>
      </font>
      <fill>
        <patternFill>
          <bgColor rgb="FFDDDDDD"/>
        </patternFill>
      </fill>
    </dxf>
    <dxf>
      <font>
        <condense val="0"/>
        <extend val="0"/>
        <color indexed="10"/>
      </font>
      <fill>
        <patternFill patternType="solid">
          <bgColor rgb="FFDDDDDD"/>
        </patternFill>
      </fill>
    </dxf>
    <dxf>
      <font>
        <condense val="0"/>
        <extend val="0"/>
        <color indexed="57"/>
      </font>
      <fill>
        <patternFill patternType="solid">
          <bgColor rgb="FFDDDDDD"/>
        </patternFill>
      </fill>
    </dxf>
    <dxf>
      <font>
        <condense val="0"/>
        <extend val="0"/>
        <color indexed="52"/>
      </font>
      <fill>
        <patternFill>
          <bgColor rgb="FFDDDDDD"/>
        </patternFill>
      </fill>
    </dxf>
    <dxf>
      <font>
        <condense val="0"/>
        <extend val="0"/>
        <color indexed="10"/>
      </font>
      <fill>
        <patternFill patternType="solid">
          <bgColor rgb="FFDDDDDD"/>
        </patternFill>
      </fill>
    </dxf>
    <dxf>
      <font>
        <condense val="0"/>
        <extend val="0"/>
        <color indexed="57"/>
      </font>
      <fill>
        <patternFill patternType="solid">
          <bgColor rgb="FFDDDDDD"/>
        </patternFill>
      </fill>
    </dxf>
    <dxf>
      <font>
        <condense val="0"/>
        <extend val="0"/>
        <color indexed="52"/>
      </font>
      <fill>
        <patternFill>
          <bgColor rgb="FFDDDDDD"/>
        </patternFill>
      </fill>
    </dxf>
    <dxf>
      <font>
        <condense val="0"/>
        <extend val="0"/>
        <color indexed="10"/>
      </font>
      <fill>
        <patternFill patternType="solid">
          <bgColor rgb="FFDDDDDD"/>
        </patternFill>
      </fill>
    </dxf>
    <dxf>
      <font>
        <condense val="0"/>
        <extend val="0"/>
        <color indexed="57"/>
      </font>
      <fill>
        <patternFill patternType="solid">
          <bgColor rgb="FFDDDDDD"/>
        </patternFill>
      </fill>
    </dxf>
    <dxf>
      <font>
        <condense val="0"/>
        <extend val="0"/>
        <color indexed="52"/>
      </font>
      <fill>
        <patternFill>
          <bgColor rgb="FFDDDDDD"/>
        </patternFill>
      </fill>
    </dxf>
    <dxf>
      <font>
        <condense val="0"/>
        <extend val="0"/>
        <color indexed="10"/>
      </font>
      <fill>
        <patternFill patternType="solid">
          <bgColor rgb="FFDDDDDD"/>
        </patternFill>
      </fill>
    </dxf>
    <dxf>
      <font>
        <condense val="0"/>
        <extend val="0"/>
        <color indexed="57"/>
      </font>
      <fill>
        <patternFill patternType="solid">
          <bgColor rgb="FFDDDDDD"/>
        </patternFill>
      </fill>
    </dxf>
    <dxf>
      <font>
        <condense val="0"/>
        <extend val="0"/>
        <color indexed="52"/>
      </font>
      <fill>
        <patternFill>
          <bgColor rgb="FFDDDDDD"/>
        </patternFill>
      </fill>
    </dxf>
    <dxf>
      <font>
        <condense val="0"/>
        <extend val="0"/>
        <color indexed="10"/>
      </font>
      <fill>
        <patternFill patternType="solid">
          <bgColor rgb="FFDDDDDD"/>
        </patternFill>
      </fill>
    </dxf>
    <dxf>
      <font>
        <condense val="0"/>
        <extend val="0"/>
        <color indexed="57"/>
      </font>
      <fill>
        <patternFill patternType="solid">
          <bgColor rgb="FFDDDDDD"/>
        </patternFill>
      </fill>
    </dxf>
    <dxf>
      <font>
        <condense val="0"/>
        <extend val="0"/>
        <color indexed="52"/>
      </font>
      <fill>
        <patternFill>
          <bgColor rgb="FFDDDDDD"/>
        </patternFill>
      </fill>
    </dxf>
    <dxf>
      <font>
        <condense val="0"/>
        <extend val="0"/>
        <color indexed="10"/>
      </font>
      <fill>
        <patternFill patternType="solid">
          <bgColor rgb="FFDDDDDD"/>
        </patternFill>
      </fill>
    </dxf>
    <dxf>
      <font>
        <condense val="0"/>
        <extend val="0"/>
        <color indexed="57"/>
      </font>
      <fill>
        <patternFill patternType="solid">
          <bgColor rgb="FFDDDDDD"/>
        </patternFill>
      </fill>
    </dxf>
    <dxf>
      <font>
        <condense val="0"/>
        <extend val="0"/>
        <color indexed="52"/>
      </font>
      <fill>
        <patternFill>
          <bgColor rgb="FFDDDDDD"/>
        </patternFill>
      </fill>
    </dxf>
    <dxf>
      <font>
        <condense val="0"/>
        <extend val="0"/>
        <color indexed="10"/>
      </font>
      <fill>
        <patternFill patternType="solid">
          <bgColor rgb="FFDDDDDD"/>
        </patternFill>
      </fill>
    </dxf>
    <dxf>
      <font>
        <condense val="0"/>
        <extend val="0"/>
        <color indexed="57"/>
      </font>
      <fill>
        <patternFill patternType="solid">
          <bgColor rgb="FFDDDDDD"/>
        </patternFill>
      </fill>
    </dxf>
    <dxf>
      <font>
        <condense val="0"/>
        <extend val="0"/>
        <color indexed="52"/>
      </font>
      <fill>
        <patternFill>
          <bgColor rgb="FFDDDDDD"/>
        </patternFill>
      </fill>
    </dxf>
    <dxf>
      <font>
        <condense val="0"/>
        <extend val="0"/>
        <color indexed="10"/>
      </font>
      <fill>
        <patternFill patternType="solid">
          <bgColor rgb="FFDDDDDD"/>
        </patternFill>
      </fill>
    </dxf>
    <dxf>
      <font>
        <condense val="0"/>
        <extend val="0"/>
        <color indexed="57"/>
      </font>
      <fill>
        <patternFill patternType="solid">
          <bgColor rgb="FFDDDDDD"/>
        </patternFill>
      </fill>
    </dxf>
    <dxf>
      <font>
        <condense val="0"/>
        <extend val="0"/>
        <color indexed="52"/>
      </font>
      <fill>
        <patternFill>
          <bgColor rgb="FFDDDDDD"/>
        </patternFill>
      </fill>
    </dxf>
    <dxf>
      <font>
        <condense val="0"/>
        <extend val="0"/>
        <color indexed="10"/>
      </font>
      <fill>
        <patternFill patternType="solid">
          <bgColor rgb="FFDDDDDD"/>
        </patternFill>
      </fill>
    </dxf>
    <dxf>
      <font>
        <condense val="0"/>
        <extend val="0"/>
        <color indexed="57"/>
      </font>
      <fill>
        <patternFill patternType="solid">
          <bgColor rgb="FFDDDDDD"/>
        </patternFill>
      </fill>
    </dxf>
    <dxf>
      <font>
        <condense val="0"/>
        <extend val="0"/>
        <color indexed="52"/>
      </font>
      <fill>
        <patternFill>
          <bgColor rgb="FFDDDDDD"/>
        </patternFill>
      </fill>
    </dxf>
    <dxf>
      <font>
        <condense val="0"/>
        <extend val="0"/>
        <color indexed="10"/>
      </font>
      <fill>
        <patternFill patternType="solid">
          <bgColor rgb="FFDDDDDD"/>
        </patternFill>
      </fill>
    </dxf>
    <dxf>
      <font>
        <condense val="0"/>
        <extend val="0"/>
        <color indexed="57"/>
      </font>
      <fill>
        <patternFill patternType="solid">
          <bgColor rgb="FFDDDDDD"/>
        </patternFill>
      </fill>
    </dxf>
    <dxf>
      <font>
        <condense val="0"/>
        <extend val="0"/>
        <color indexed="52"/>
      </font>
      <fill>
        <patternFill>
          <bgColor rgb="FFDDDDDD"/>
        </patternFill>
      </fill>
    </dxf>
    <dxf>
      <font>
        <condense val="0"/>
        <extend val="0"/>
        <color indexed="10"/>
      </font>
      <fill>
        <patternFill patternType="solid">
          <bgColor rgb="FFDDDDDD"/>
        </patternFill>
      </fill>
    </dxf>
    <dxf>
      <font>
        <condense val="0"/>
        <extend val="0"/>
        <color indexed="57"/>
      </font>
      <fill>
        <patternFill patternType="solid">
          <bgColor rgb="FFDDDDDD"/>
        </patternFill>
      </fill>
    </dxf>
    <dxf>
      <font>
        <condense val="0"/>
        <extend val="0"/>
        <color indexed="52"/>
      </font>
      <fill>
        <patternFill>
          <bgColor rgb="FFDDDDDD"/>
        </patternFill>
      </fill>
    </dxf>
    <dxf>
      <font>
        <condense val="0"/>
        <extend val="0"/>
        <color indexed="10"/>
      </font>
      <fill>
        <patternFill patternType="solid">
          <bgColor rgb="FFDDDDDD"/>
        </patternFill>
      </fill>
    </dxf>
    <dxf>
      <font>
        <condense val="0"/>
        <extend val="0"/>
        <color indexed="57"/>
      </font>
      <fill>
        <patternFill patternType="solid">
          <bgColor rgb="FFDDDDDD"/>
        </patternFill>
      </fill>
    </dxf>
    <dxf>
      <font>
        <condense val="0"/>
        <extend val="0"/>
        <color indexed="52"/>
      </font>
      <fill>
        <patternFill>
          <bgColor rgb="FFDDDDDD"/>
        </patternFill>
      </fill>
    </dxf>
    <dxf>
      <font>
        <condense val="0"/>
        <extend val="0"/>
        <color indexed="10"/>
      </font>
      <fill>
        <patternFill patternType="solid">
          <bgColor rgb="FFDDDDDD"/>
        </patternFill>
      </fill>
    </dxf>
    <dxf>
      <font>
        <condense val="0"/>
        <extend val="0"/>
        <color indexed="57"/>
      </font>
      <fill>
        <patternFill patternType="solid">
          <bgColor rgb="FFDDDDDD"/>
        </patternFill>
      </fill>
    </dxf>
    <dxf>
      <font>
        <condense val="0"/>
        <extend val="0"/>
        <color indexed="52"/>
      </font>
      <fill>
        <patternFill>
          <bgColor rgb="FFDDDDDD"/>
        </patternFill>
      </fill>
    </dxf>
    <dxf>
      <font>
        <condense val="0"/>
        <extend val="0"/>
        <color indexed="10"/>
      </font>
      <fill>
        <patternFill patternType="solid">
          <bgColor rgb="FFDDDDDD"/>
        </patternFill>
      </fill>
    </dxf>
    <dxf>
      <font>
        <condense val="0"/>
        <extend val="0"/>
        <color indexed="57"/>
      </font>
      <fill>
        <patternFill patternType="solid">
          <bgColor rgb="FFDDDDDD"/>
        </patternFill>
      </fill>
    </dxf>
    <dxf>
      <font>
        <condense val="0"/>
        <extend val="0"/>
        <color indexed="52"/>
      </font>
      <fill>
        <patternFill>
          <bgColor rgb="FFDDDDDD"/>
        </patternFill>
      </fill>
    </dxf>
    <dxf>
      <font>
        <condense val="0"/>
        <extend val="0"/>
        <color indexed="10"/>
      </font>
      <fill>
        <patternFill patternType="solid">
          <bgColor rgb="FFDDDDDD"/>
        </patternFill>
      </fill>
    </dxf>
    <dxf>
      <font>
        <condense val="0"/>
        <extend val="0"/>
        <color indexed="57"/>
      </font>
      <fill>
        <patternFill patternType="solid">
          <bgColor rgb="FFDDDDDD"/>
        </patternFill>
      </fill>
    </dxf>
    <dxf>
      <font>
        <condense val="0"/>
        <extend val="0"/>
        <color indexed="52"/>
      </font>
      <fill>
        <patternFill>
          <bgColor rgb="FFDDDDDD"/>
        </patternFill>
      </fill>
    </dxf>
    <dxf>
      <font>
        <condense val="0"/>
        <extend val="0"/>
        <color indexed="10"/>
      </font>
      <fill>
        <patternFill patternType="solid">
          <bgColor rgb="FFDDDDDD"/>
        </patternFill>
      </fill>
    </dxf>
    <dxf>
      <font>
        <condense val="0"/>
        <extend val="0"/>
        <color indexed="57"/>
      </font>
      <fill>
        <patternFill patternType="solid">
          <bgColor rgb="FFDDDDDD"/>
        </patternFill>
      </fill>
    </dxf>
    <dxf>
      <font>
        <condense val="0"/>
        <extend val="0"/>
        <color indexed="52"/>
      </font>
      <fill>
        <patternFill>
          <bgColor rgb="FFDDDDDD"/>
        </patternFill>
      </fill>
    </dxf>
    <dxf>
      <font>
        <condense val="0"/>
        <extend val="0"/>
        <color indexed="10"/>
      </font>
      <fill>
        <patternFill patternType="solid">
          <bgColor rgb="FFDDDDDD"/>
        </patternFill>
      </fill>
    </dxf>
    <dxf>
      <font>
        <condense val="0"/>
        <extend val="0"/>
        <color indexed="57"/>
      </font>
      <fill>
        <patternFill patternType="solid">
          <bgColor rgb="FFDDDDDD"/>
        </patternFill>
      </fill>
    </dxf>
    <dxf>
      <font>
        <condense val="0"/>
        <extend val="0"/>
        <color indexed="52"/>
      </font>
      <fill>
        <patternFill>
          <bgColor rgb="FFDDDDDD"/>
        </patternFill>
      </fill>
    </dxf>
    <dxf>
      <font>
        <condense val="0"/>
        <extend val="0"/>
        <color indexed="10"/>
      </font>
      <fill>
        <patternFill patternType="solid">
          <bgColor rgb="FFDDDDDD"/>
        </patternFill>
      </fill>
    </dxf>
    <dxf>
      <font>
        <condense val="0"/>
        <extend val="0"/>
        <color indexed="57"/>
      </font>
      <fill>
        <patternFill patternType="solid">
          <bgColor rgb="FFDDDDDD"/>
        </patternFill>
      </fill>
    </dxf>
    <dxf>
      <font>
        <condense val="0"/>
        <extend val="0"/>
        <color indexed="52"/>
      </font>
      <fill>
        <patternFill>
          <bgColor rgb="FFDDDDDD"/>
        </patternFill>
      </fill>
    </dxf>
    <dxf>
      <font>
        <condense val="0"/>
        <extend val="0"/>
        <color indexed="10"/>
      </font>
      <fill>
        <patternFill patternType="solid">
          <bgColor rgb="FFDDDDDD"/>
        </patternFill>
      </fill>
    </dxf>
    <dxf>
      <font>
        <condense val="0"/>
        <extend val="0"/>
        <color indexed="57"/>
      </font>
      <fill>
        <patternFill patternType="solid">
          <bgColor rgb="FFDDDDDD"/>
        </patternFill>
      </fill>
    </dxf>
    <dxf>
      <font>
        <condense val="0"/>
        <extend val="0"/>
        <color indexed="52"/>
      </font>
      <fill>
        <patternFill>
          <bgColor rgb="FFDDDDDD"/>
        </patternFill>
      </fill>
    </dxf>
    <dxf>
      <font>
        <condense val="0"/>
        <extend val="0"/>
        <color indexed="10"/>
      </font>
      <fill>
        <patternFill patternType="solid">
          <bgColor rgb="FFDDDDDD"/>
        </patternFill>
      </fill>
    </dxf>
    <dxf>
      <font>
        <condense val="0"/>
        <extend val="0"/>
        <color indexed="57"/>
      </font>
      <fill>
        <patternFill patternType="solid">
          <bgColor rgb="FFDDDDDD"/>
        </patternFill>
      </fill>
    </dxf>
    <dxf>
      <font>
        <condense val="0"/>
        <extend val="0"/>
        <color indexed="52"/>
      </font>
      <fill>
        <patternFill>
          <bgColor rgb="FFDDDDDD"/>
        </patternFill>
      </fill>
    </dxf>
    <dxf>
      <font>
        <condense val="0"/>
        <extend val="0"/>
        <color indexed="10"/>
      </font>
      <fill>
        <patternFill patternType="solid">
          <bgColor rgb="FFDDDDDD"/>
        </patternFill>
      </fill>
    </dxf>
    <dxf>
      <font>
        <condense val="0"/>
        <extend val="0"/>
        <color indexed="57"/>
      </font>
      <fill>
        <patternFill patternType="solid">
          <bgColor rgb="FFDDDDDD"/>
        </patternFill>
      </fill>
    </dxf>
    <dxf>
      <font>
        <condense val="0"/>
        <extend val="0"/>
        <color indexed="52"/>
      </font>
      <fill>
        <patternFill>
          <bgColor rgb="FFDDDDDD"/>
        </patternFill>
      </fill>
    </dxf>
    <dxf>
      <font>
        <condense val="0"/>
        <extend val="0"/>
        <color indexed="10"/>
      </font>
      <fill>
        <patternFill patternType="solid">
          <bgColor rgb="FFDDDDDD"/>
        </patternFill>
      </fill>
    </dxf>
    <dxf>
      <font>
        <condense val="0"/>
        <extend val="0"/>
        <color indexed="57"/>
      </font>
      <fill>
        <patternFill patternType="solid">
          <bgColor rgb="FFDDDDDD"/>
        </patternFill>
      </fill>
    </dxf>
    <dxf>
      <font>
        <condense val="0"/>
        <extend val="0"/>
        <color indexed="52"/>
      </font>
      <fill>
        <patternFill>
          <bgColor rgb="FFDDDDDD"/>
        </patternFill>
      </fill>
    </dxf>
    <dxf>
      <font>
        <condense val="0"/>
        <extend val="0"/>
        <color indexed="10"/>
      </font>
      <fill>
        <patternFill patternType="solid">
          <bgColor rgb="FFDDDDDD"/>
        </patternFill>
      </fill>
    </dxf>
    <dxf>
      <font>
        <condense val="0"/>
        <extend val="0"/>
        <color indexed="57"/>
      </font>
      <fill>
        <patternFill patternType="solid">
          <bgColor rgb="FFDDDDDD"/>
        </patternFill>
      </fill>
    </dxf>
    <dxf>
      <font>
        <condense val="0"/>
        <extend val="0"/>
        <color indexed="52"/>
      </font>
      <fill>
        <patternFill>
          <bgColor rgb="FFDDDDDD"/>
        </patternFill>
      </fill>
    </dxf>
    <dxf>
      <font>
        <condense val="0"/>
        <extend val="0"/>
        <color indexed="10"/>
      </font>
      <fill>
        <patternFill patternType="solid">
          <bgColor rgb="FFDDDDDD"/>
        </patternFill>
      </fill>
    </dxf>
    <dxf>
      <font>
        <condense val="0"/>
        <extend val="0"/>
        <color indexed="57"/>
      </font>
      <fill>
        <patternFill patternType="solid">
          <bgColor rgb="FFDDDDDD"/>
        </patternFill>
      </fill>
    </dxf>
    <dxf>
      <font>
        <condense val="0"/>
        <extend val="0"/>
        <color indexed="52"/>
      </font>
      <fill>
        <patternFill>
          <bgColor rgb="FFDDDDDD"/>
        </patternFill>
      </fill>
    </dxf>
    <dxf>
      <font>
        <condense val="0"/>
        <extend val="0"/>
        <color indexed="10"/>
      </font>
      <fill>
        <patternFill patternType="solid">
          <bgColor rgb="FFDDDDDD"/>
        </patternFill>
      </fill>
    </dxf>
    <dxf>
      <font>
        <condense val="0"/>
        <extend val="0"/>
        <color indexed="57"/>
      </font>
      <fill>
        <patternFill patternType="solid">
          <bgColor rgb="FFDDDDDD"/>
        </patternFill>
      </fill>
    </dxf>
    <dxf>
      <font>
        <condense val="0"/>
        <extend val="0"/>
        <color indexed="52"/>
      </font>
      <fill>
        <patternFill>
          <bgColor rgb="FFDDDDDD"/>
        </patternFill>
      </fill>
    </dxf>
    <dxf>
      <font>
        <condense val="0"/>
        <extend val="0"/>
        <color indexed="10"/>
      </font>
      <fill>
        <patternFill patternType="solid">
          <bgColor rgb="FFDDDDDD"/>
        </patternFill>
      </fill>
    </dxf>
    <dxf>
      <font>
        <condense val="0"/>
        <extend val="0"/>
        <color indexed="57"/>
      </font>
      <fill>
        <patternFill patternType="solid">
          <bgColor rgb="FFDDDDDD"/>
        </patternFill>
      </fill>
    </dxf>
    <dxf>
      <font>
        <condense val="0"/>
        <extend val="0"/>
        <color indexed="52"/>
      </font>
      <fill>
        <patternFill>
          <bgColor rgb="FFDDDDDD"/>
        </patternFill>
      </fill>
    </dxf>
    <dxf>
      <font>
        <condense val="0"/>
        <extend val="0"/>
        <color indexed="10"/>
      </font>
      <fill>
        <patternFill patternType="solid">
          <bgColor rgb="FFDDDDDD"/>
        </patternFill>
      </fill>
    </dxf>
    <dxf>
      <font>
        <condense val="0"/>
        <extend val="0"/>
        <color indexed="57"/>
      </font>
      <fill>
        <patternFill patternType="solid">
          <bgColor rgb="FFDDDDDD"/>
        </patternFill>
      </fill>
    </dxf>
    <dxf>
      <font>
        <condense val="0"/>
        <extend val="0"/>
        <color indexed="52"/>
      </font>
      <fill>
        <patternFill>
          <bgColor rgb="FFDDDDDD"/>
        </patternFill>
      </fill>
    </dxf>
    <dxf>
      <font>
        <condense val="0"/>
        <extend val="0"/>
        <color indexed="10"/>
      </font>
      <fill>
        <patternFill patternType="solid">
          <bgColor rgb="FFDDDDDD"/>
        </patternFill>
      </fill>
    </dxf>
    <dxf>
      <font>
        <condense val="0"/>
        <extend val="0"/>
        <color indexed="57"/>
      </font>
      <fill>
        <patternFill patternType="solid">
          <bgColor rgb="FFDDDDDD"/>
        </patternFill>
      </fill>
    </dxf>
    <dxf>
      <font>
        <condense val="0"/>
        <extend val="0"/>
        <color indexed="52"/>
      </font>
      <fill>
        <patternFill>
          <bgColor rgb="FFDDDDDD"/>
        </patternFill>
      </fill>
    </dxf>
    <dxf>
      <font>
        <condense val="0"/>
        <extend val="0"/>
        <color indexed="10"/>
      </font>
      <fill>
        <patternFill patternType="solid">
          <bgColor rgb="FFDDDDDD"/>
        </patternFill>
      </fill>
    </dxf>
    <dxf>
      <font>
        <condense val="0"/>
        <extend val="0"/>
        <color indexed="57"/>
      </font>
      <fill>
        <patternFill patternType="solid">
          <bgColor rgb="FFDDDDDD"/>
        </patternFill>
      </fill>
    </dxf>
    <dxf>
      <font>
        <condense val="0"/>
        <extend val="0"/>
        <color indexed="52"/>
      </font>
      <fill>
        <patternFill>
          <bgColor rgb="FFDDDDDD"/>
        </patternFill>
      </fill>
    </dxf>
    <dxf>
      <font>
        <condense val="0"/>
        <extend val="0"/>
        <color indexed="10"/>
      </font>
      <fill>
        <patternFill patternType="solid">
          <bgColor rgb="FFDDDDDD"/>
        </patternFill>
      </fill>
    </dxf>
    <dxf>
      <font>
        <condense val="0"/>
        <extend val="0"/>
        <color indexed="57"/>
      </font>
      <fill>
        <patternFill patternType="solid">
          <bgColor rgb="FFDDDDDD"/>
        </patternFill>
      </fill>
    </dxf>
    <dxf>
      <font>
        <condense val="0"/>
        <extend val="0"/>
        <color indexed="52"/>
      </font>
      <fill>
        <patternFill>
          <bgColor rgb="FFDDDDDD"/>
        </patternFill>
      </fill>
    </dxf>
    <dxf>
      <font>
        <condense val="0"/>
        <extend val="0"/>
        <color indexed="10"/>
      </font>
      <fill>
        <patternFill patternType="solid">
          <bgColor rgb="FFDDDDDD"/>
        </patternFill>
      </fill>
    </dxf>
    <dxf>
      <font>
        <condense val="0"/>
        <extend val="0"/>
        <color indexed="57"/>
      </font>
      <fill>
        <patternFill patternType="solid">
          <bgColor rgb="FFDDDDDD"/>
        </patternFill>
      </fill>
    </dxf>
    <dxf>
      <font>
        <condense val="0"/>
        <extend val="0"/>
        <color indexed="52"/>
      </font>
      <fill>
        <patternFill>
          <bgColor rgb="FFDDDDDD"/>
        </patternFill>
      </fill>
    </dxf>
    <dxf>
      <font>
        <condense val="0"/>
        <extend val="0"/>
        <color indexed="10"/>
      </font>
      <fill>
        <patternFill patternType="solid">
          <bgColor rgb="FFDDDDDD"/>
        </patternFill>
      </fill>
    </dxf>
    <dxf>
      <font>
        <condense val="0"/>
        <extend val="0"/>
        <color indexed="57"/>
      </font>
      <fill>
        <patternFill patternType="solid">
          <bgColor rgb="FFDDDDDD"/>
        </patternFill>
      </fill>
    </dxf>
    <dxf>
      <font>
        <condense val="0"/>
        <extend val="0"/>
        <color indexed="52"/>
      </font>
      <fill>
        <patternFill>
          <bgColor rgb="FFDDDDDD"/>
        </patternFill>
      </fill>
    </dxf>
    <dxf>
      <font>
        <condense val="0"/>
        <extend val="0"/>
        <color indexed="10"/>
      </font>
      <fill>
        <patternFill patternType="solid">
          <bgColor rgb="FFDDDDDD"/>
        </patternFill>
      </fill>
    </dxf>
    <dxf>
      <font>
        <condense val="0"/>
        <extend val="0"/>
        <color indexed="57"/>
      </font>
      <fill>
        <patternFill patternType="solid">
          <bgColor rgb="FFDDDDDD"/>
        </patternFill>
      </fill>
    </dxf>
    <dxf>
      <font>
        <condense val="0"/>
        <extend val="0"/>
        <color indexed="52"/>
      </font>
      <fill>
        <patternFill>
          <bgColor rgb="FFDDDDDD"/>
        </patternFill>
      </fill>
    </dxf>
    <dxf>
      <font>
        <condense val="0"/>
        <extend val="0"/>
        <color indexed="10"/>
      </font>
      <fill>
        <patternFill patternType="solid">
          <bgColor rgb="FFDDDDDD"/>
        </patternFill>
      </fill>
    </dxf>
    <dxf>
      <font>
        <condense val="0"/>
        <extend val="0"/>
        <color indexed="57"/>
      </font>
      <fill>
        <patternFill patternType="solid">
          <bgColor rgb="FFDDDDDD"/>
        </patternFill>
      </fill>
    </dxf>
    <dxf>
      <font>
        <condense val="0"/>
        <extend val="0"/>
        <color indexed="52"/>
      </font>
      <fill>
        <patternFill>
          <bgColor rgb="FFDDDDDD"/>
        </patternFill>
      </fill>
    </dxf>
    <dxf>
      <font>
        <condense val="0"/>
        <extend val="0"/>
        <color indexed="10"/>
      </font>
      <fill>
        <patternFill patternType="solid">
          <bgColor rgb="FFDDDDDD"/>
        </patternFill>
      </fill>
    </dxf>
    <dxf>
      <font>
        <condense val="0"/>
        <extend val="0"/>
        <color indexed="57"/>
      </font>
      <fill>
        <patternFill patternType="solid">
          <bgColor rgb="FFDDDDDD"/>
        </patternFill>
      </fill>
    </dxf>
    <dxf>
      <font>
        <condense val="0"/>
        <extend val="0"/>
        <color indexed="52"/>
      </font>
      <fill>
        <patternFill>
          <bgColor rgb="FFDDDDDD"/>
        </patternFill>
      </fill>
    </dxf>
    <dxf>
      <font>
        <condense val="0"/>
        <extend val="0"/>
        <color indexed="10"/>
      </font>
      <fill>
        <patternFill patternType="solid">
          <bgColor rgb="FFDDDDDD"/>
        </patternFill>
      </fill>
    </dxf>
    <dxf>
      <font>
        <condense val="0"/>
        <extend val="0"/>
        <color indexed="57"/>
      </font>
      <fill>
        <patternFill patternType="solid">
          <bgColor rgb="FFDDDDDD"/>
        </patternFill>
      </fill>
    </dxf>
    <dxf>
      <font>
        <condense val="0"/>
        <extend val="0"/>
        <color indexed="52"/>
      </font>
      <fill>
        <patternFill>
          <bgColor rgb="FFAAAEB6"/>
        </patternFill>
      </fill>
    </dxf>
    <dxf>
      <font>
        <condense val="0"/>
        <extend val="0"/>
        <color indexed="10"/>
      </font>
      <fill>
        <patternFill patternType="solid">
          <bgColor rgb="FFAAAEB6"/>
        </patternFill>
      </fill>
    </dxf>
    <dxf>
      <font>
        <condense val="0"/>
        <extend val="0"/>
        <color indexed="57"/>
      </font>
      <fill>
        <patternFill patternType="solid">
          <bgColor rgb="FFAAAEB6"/>
        </patternFill>
      </fill>
    </dxf>
    <dxf>
      <font>
        <condense val="0"/>
        <extend val="0"/>
        <color indexed="52"/>
      </font>
      <fill>
        <patternFill>
          <bgColor rgb="FFAAAEB6"/>
        </patternFill>
      </fill>
    </dxf>
    <dxf>
      <font>
        <condense val="0"/>
        <extend val="0"/>
        <color indexed="10"/>
      </font>
      <fill>
        <patternFill patternType="solid">
          <bgColor rgb="FFAAAEB6"/>
        </patternFill>
      </fill>
    </dxf>
    <dxf>
      <font>
        <condense val="0"/>
        <extend val="0"/>
        <color indexed="57"/>
      </font>
      <fill>
        <patternFill patternType="solid">
          <bgColor rgb="FFAAAEB6"/>
        </patternFill>
      </fill>
    </dxf>
    <dxf>
      <font>
        <condense val="0"/>
        <extend val="0"/>
        <color indexed="52"/>
      </font>
      <fill>
        <patternFill>
          <bgColor rgb="FFAAAEB6"/>
        </patternFill>
      </fill>
    </dxf>
    <dxf>
      <font>
        <condense val="0"/>
        <extend val="0"/>
        <color indexed="10"/>
      </font>
      <fill>
        <patternFill patternType="solid">
          <bgColor rgb="FFAAAEB6"/>
        </patternFill>
      </fill>
    </dxf>
    <dxf>
      <font>
        <condense val="0"/>
        <extend val="0"/>
        <color indexed="57"/>
      </font>
      <fill>
        <patternFill patternType="solid">
          <bgColor rgb="FFAAAEB6"/>
        </patternFill>
      </fill>
    </dxf>
    <dxf>
      <font>
        <condense val="0"/>
        <extend val="0"/>
        <color indexed="52"/>
      </font>
      <fill>
        <patternFill>
          <bgColor rgb="FFAAAEB6"/>
        </patternFill>
      </fill>
    </dxf>
    <dxf>
      <font>
        <condense val="0"/>
        <extend val="0"/>
        <color indexed="10"/>
      </font>
      <fill>
        <patternFill patternType="solid">
          <bgColor rgb="FFAAAEB6"/>
        </patternFill>
      </fill>
    </dxf>
    <dxf>
      <font>
        <condense val="0"/>
        <extend val="0"/>
        <color indexed="57"/>
      </font>
      <fill>
        <patternFill patternType="solid">
          <bgColor rgb="FFAAAEB6"/>
        </patternFill>
      </fill>
    </dxf>
    <dxf>
      <font>
        <condense val="0"/>
        <extend val="0"/>
        <color indexed="52"/>
      </font>
      <fill>
        <patternFill>
          <bgColor rgb="FFAAAEB6"/>
        </patternFill>
      </fill>
    </dxf>
    <dxf>
      <font>
        <condense val="0"/>
        <extend val="0"/>
        <color indexed="10"/>
      </font>
      <fill>
        <patternFill patternType="solid">
          <bgColor rgb="FFAAAEB6"/>
        </patternFill>
      </fill>
    </dxf>
    <dxf>
      <font>
        <condense val="0"/>
        <extend val="0"/>
        <color indexed="57"/>
      </font>
      <fill>
        <patternFill patternType="solid">
          <bgColor rgb="FFAAAEB6"/>
        </patternFill>
      </fill>
    </dxf>
    <dxf>
      <font>
        <condense val="0"/>
        <extend val="0"/>
        <color indexed="52"/>
      </font>
      <fill>
        <patternFill>
          <bgColor rgb="FFAAAEB6"/>
        </patternFill>
      </fill>
    </dxf>
    <dxf>
      <font>
        <condense val="0"/>
        <extend val="0"/>
        <color indexed="10"/>
      </font>
      <fill>
        <patternFill patternType="solid">
          <bgColor rgb="FFAAAEB6"/>
        </patternFill>
      </fill>
    </dxf>
    <dxf>
      <font>
        <condense val="0"/>
        <extend val="0"/>
        <color indexed="57"/>
      </font>
      <fill>
        <patternFill patternType="solid">
          <bgColor rgb="FFAAAEB6"/>
        </patternFill>
      </fill>
    </dxf>
    <dxf>
      <font>
        <condense val="0"/>
        <extend val="0"/>
        <color indexed="52"/>
      </font>
      <fill>
        <patternFill>
          <bgColor rgb="FFAAAEB6"/>
        </patternFill>
      </fill>
    </dxf>
    <dxf>
      <font>
        <condense val="0"/>
        <extend val="0"/>
        <color indexed="10"/>
      </font>
      <fill>
        <patternFill patternType="solid">
          <bgColor rgb="FFAAAEB6"/>
        </patternFill>
      </fill>
    </dxf>
    <dxf>
      <font>
        <condense val="0"/>
        <extend val="0"/>
        <color indexed="57"/>
      </font>
      <fill>
        <patternFill patternType="solid">
          <bgColor rgb="FFAAAEB6"/>
        </patternFill>
      </fill>
    </dxf>
    <dxf>
      <font>
        <condense val="0"/>
        <extend val="0"/>
        <color indexed="52"/>
      </font>
      <fill>
        <patternFill>
          <bgColor rgb="FFAAAEB6"/>
        </patternFill>
      </fill>
    </dxf>
    <dxf>
      <font>
        <condense val="0"/>
        <extend val="0"/>
        <color indexed="10"/>
      </font>
      <fill>
        <patternFill patternType="solid">
          <bgColor rgb="FFAAAEB6"/>
        </patternFill>
      </fill>
    </dxf>
    <dxf>
      <font>
        <condense val="0"/>
        <extend val="0"/>
        <color indexed="57"/>
      </font>
      <fill>
        <patternFill patternType="solid">
          <bgColor rgb="FFAAAEB6"/>
        </patternFill>
      </fill>
    </dxf>
    <dxf>
      <font>
        <condense val="0"/>
        <extend val="0"/>
        <color indexed="52"/>
      </font>
      <fill>
        <patternFill>
          <bgColor rgb="FFAAAEB6"/>
        </patternFill>
      </fill>
    </dxf>
    <dxf>
      <font>
        <condense val="0"/>
        <extend val="0"/>
        <color indexed="10"/>
      </font>
      <fill>
        <patternFill patternType="solid">
          <bgColor rgb="FFAAAEB6"/>
        </patternFill>
      </fill>
    </dxf>
    <dxf>
      <font>
        <condense val="0"/>
        <extend val="0"/>
        <color indexed="57"/>
      </font>
      <fill>
        <patternFill patternType="solid">
          <bgColor rgb="FFAAAEB6"/>
        </patternFill>
      </fill>
    </dxf>
    <dxf>
      <font>
        <condense val="0"/>
        <extend val="0"/>
        <color indexed="52"/>
      </font>
      <fill>
        <patternFill>
          <bgColor rgb="FFAAAEB6"/>
        </patternFill>
      </fill>
    </dxf>
    <dxf>
      <font>
        <condense val="0"/>
        <extend val="0"/>
        <color indexed="10"/>
      </font>
      <fill>
        <patternFill patternType="solid">
          <bgColor rgb="FFAAAEB6"/>
        </patternFill>
      </fill>
    </dxf>
    <dxf>
      <font>
        <condense val="0"/>
        <extend val="0"/>
        <color indexed="57"/>
      </font>
      <fill>
        <patternFill patternType="solid">
          <bgColor rgb="FFAAAEB6"/>
        </patternFill>
      </fill>
    </dxf>
    <dxf>
      <font>
        <condense val="0"/>
        <extend val="0"/>
        <color indexed="52"/>
      </font>
      <fill>
        <patternFill>
          <bgColor rgb="FFAAAEB6"/>
        </patternFill>
      </fill>
    </dxf>
    <dxf>
      <font>
        <condense val="0"/>
        <extend val="0"/>
        <color indexed="10"/>
      </font>
      <fill>
        <patternFill patternType="solid">
          <bgColor rgb="FFAAAEB6"/>
        </patternFill>
      </fill>
    </dxf>
    <dxf>
      <font>
        <condense val="0"/>
        <extend val="0"/>
        <color indexed="57"/>
      </font>
      <fill>
        <patternFill patternType="solid">
          <bgColor rgb="FFAAAEB6"/>
        </patternFill>
      </fill>
    </dxf>
    <dxf>
      <font>
        <condense val="0"/>
        <extend val="0"/>
        <color indexed="52"/>
      </font>
      <fill>
        <patternFill>
          <bgColor rgb="FFAAAEB6"/>
        </patternFill>
      </fill>
    </dxf>
    <dxf>
      <font>
        <condense val="0"/>
        <extend val="0"/>
        <color indexed="10"/>
      </font>
      <fill>
        <patternFill patternType="solid">
          <bgColor rgb="FFAAAEB6"/>
        </patternFill>
      </fill>
    </dxf>
    <dxf>
      <font>
        <condense val="0"/>
        <extend val="0"/>
        <color indexed="57"/>
      </font>
      <fill>
        <patternFill patternType="solid">
          <bgColor rgb="FFAAAEB6"/>
        </patternFill>
      </fill>
    </dxf>
    <dxf>
      <font>
        <condense val="0"/>
        <extend val="0"/>
        <color indexed="52"/>
      </font>
      <fill>
        <patternFill>
          <bgColor rgb="FFDDDDDD"/>
        </patternFill>
      </fill>
    </dxf>
    <dxf>
      <font>
        <condense val="0"/>
        <extend val="0"/>
        <color indexed="10"/>
      </font>
      <fill>
        <patternFill patternType="solid">
          <bgColor rgb="FFDDDDDD"/>
        </patternFill>
      </fill>
    </dxf>
    <dxf>
      <font>
        <condense val="0"/>
        <extend val="0"/>
        <color indexed="57"/>
      </font>
      <fill>
        <patternFill patternType="solid">
          <bgColor rgb="FFDDDDDD"/>
        </patternFill>
      </fill>
    </dxf>
    <dxf>
      <font>
        <condense val="0"/>
        <extend val="0"/>
        <color indexed="52"/>
      </font>
      <fill>
        <patternFill>
          <bgColor rgb="FFDDDDDD"/>
        </patternFill>
      </fill>
    </dxf>
    <dxf>
      <font>
        <condense val="0"/>
        <extend val="0"/>
        <color indexed="10"/>
      </font>
      <fill>
        <patternFill patternType="solid">
          <bgColor rgb="FFDDDDDD"/>
        </patternFill>
      </fill>
    </dxf>
    <dxf>
      <font>
        <condense val="0"/>
        <extend val="0"/>
        <color indexed="57"/>
      </font>
      <fill>
        <patternFill patternType="solid">
          <bgColor rgb="FFDDDDDD"/>
        </patternFill>
      </fill>
    </dxf>
    <dxf>
      <font>
        <condense val="0"/>
        <extend val="0"/>
        <color indexed="52"/>
      </font>
      <fill>
        <patternFill>
          <bgColor rgb="FFAAAEB6"/>
        </patternFill>
      </fill>
    </dxf>
    <dxf>
      <font>
        <condense val="0"/>
        <extend val="0"/>
        <color indexed="10"/>
      </font>
      <fill>
        <patternFill patternType="solid">
          <bgColor rgb="FFAAAEB6"/>
        </patternFill>
      </fill>
    </dxf>
    <dxf>
      <font>
        <condense val="0"/>
        <extend val="0"/>
        <color indexed="57"/>
      </font>
      <fill>
        <patternFill patternType="solid">
          <bgColor rgb="FFAAAEB6"/>
        </patternFill>
      </fill>
    </dxf>
    <dxf>
      <font>
        <condense val="0"/>
        <extend val="0"/>
        <color indexed="52"/>
      </font>
      <fill>
        <patternFill>
          <bgColor rgb="FFAAAEB6"/>
        </patternFill>
      </fill>
    </dxf>
    <dxf>
      <font>
        <condense val="0"/>
        <extend val="0"/>
        <color indexed="10"/>
      </font>
      <fill>
        <patternFill patternType="solid">
          <bgColor rgb="FFAAAEB6"/>
        </patternFill>
      </fill>
    </dxf>
    <dxf>
      <font>
        <condense val="0"/>
        <extend val="0"/>
        <color indexed="57"/>
      </font>
      <fill>
        <patternFill patternType="solid">
          <bgColor rgb="FFAAAEB6"/>
        </patternFill>
      </fill>
    </dxf>
    <dxf>
      <font>
        <condense val="0"/>
        <extend val="0"/>
        <color indexed="52"/>
      </font>
      <fill>
        <patternFill>
          <bgColor rgb="FFAAAEB6"/>
        </patternFill>
      </fill>
    </dxf>
    <dxf>
      <font>
        <condense val="0"/>
        <extend val="0"/>
        <color indexed="10"/>
      </font>
      <fill>
        <patternFill patternType="solid">
          <bgColor rgb="FFAAAEB6"/>
        </patternFill>
      </fill>
    </dxf>
    <dxf>
      <font>
        <condense val="0"/>
        <extend val="0"/>
        <color indexed="57"/>
      </font>
      <fill>
        <patternFill patternType="solid">
          <bgColor rgb="FFAAAEB6"/>
        </patternFill>
      </fill>
    </dxf>
    <dxf>
      <font>
        <condense val="0"/>
        <extend val="0"/>
        <color indexed="52"/>
      </font>
      <fill>
        <patternFill>
          <bgColor rgb="FFAAAEB6"/>
        </patternFill>
      </fill>
    </dxf>
    <dxf>
      <font>
        <condense val="0"/>
        <extend val="0"/>
        <color indexed="10"/>
      </font>
      <fill>
        <patternFill patternType="solid">
          <bgColor rgb="FFAAAEB6"/>
        </patternFill>
      </fill>
    </dxf>
    <dxf>
      <font>
        <condense val="0"/>
        <extend val="0"/>
        <color indexed="57"/>
      </font>
      <fill>
        <patternFill patternType="solid">
          <bgColor rgb="FFAAAEB6"/>
        </patternFill>
      </fill>
    </dxf>
    <dxf>
      <font>
        <condense val="0"/>
        <extend val="0"/>
        <color indexed="52"/>
      </font>
      <fill>
        <patternFill>
          <bgColor rgb="FFAAAEB6"/>
        </patternFill>
      </fill>
    </dxf>
    <dxf>
      <font>
        <condense val="0"/>
        <extend val="0"/>
        <color indexed="10"/>
      </font>
      <fill>
        <patternFill patternType="solid">
          <bgColor rgb="FFAAAEB6"/>
        </patternFill>
      </fill>
    </dxf>
    <dxf>
      <font>
        <condense val="0"/>
        <extend val="0"/>
        <color indexed="57"/>
      </font>
      <fill>
        <patternFill patternType="solid">
          <bgColor rgb="FFAAAEB6"/>
        </patternFill>
      </fill>
    </dxf>
    <dxf>
      <font>
        <condense val="0"/>
        <extend val="0"/>
        <color indexed="52"/>
      </font>
      <fill>
        <patternFill>
          <bgColor rgb="FFAAAEB6"/>
        </patternFill>
      </fill>
    </dxf>
    <dxf>
      <font>
        <condense val="0"/>
        <extend val="0"/>
        <color indexed="10"/>
      </font>
      <fill>
        <patternFill patternType="solid">
          <bgColor rgb="FFAAAEB6"/>
        </patternFill>
      </fill>
    </dxf>
    <dxf>
      <font>
        <condense val="0"/>
        <extend val="0"/>
        <color indexed="57"/>
      </font>
      <fill>
        <patternFill patternType="solid">
          <bgColor rgb="FFAAAEB6"/>
        </patternFill>
      </fill>
    </dxf>
    <dxf>
      <font>
        <condense val="0"/>
        <extend val="0"/>
        <color indexed="52"/>
      </font>
      <fill>
        <patternFill>
          <bgColor rgb="FFAAAEB6"/>
        </patternFill>
      </fill>
    </dxf>
    <dxf>
      <font>
        <condense val="0"/>
        <extend val="0"/>
        <color indexed="10"/>
      </font>
      <fill>
        <patternFill patternType="solid">
          <bgColor rgb="FFAAAEB6"/>
        </patternFill>
      </fill>
    </dxf>
    <dxf>
      <font>
        <condense val="0"/>
        <extend val="0"/>
        <color indexed="57"/>
      </font>
      <fill>
        <patternFill patternType="solid">
          <bgColor rgb="FFAAAEB6"/>
        </patternFill>
      </fill>
    </dxf>
    <dxf>
      <font>
        <condense val="0"/>
        <extend val="0"/>
        <color indexed="52"/>
      </font>
      <fill>
        <patternFill>
          <bgColor rgb="FFAAAEB6"/>
        </patternFill>
      </fill>
    </dxf>
    <dxf>
      <font>
        <condense val="0"/>
        <extend val="0"/>
        <color indexed="10"/>
      </font>
      <fill>
        <patternFill patternType="solid">
          <bgColor rgb="FFAAAEB6"/>
        </patternFill>
      </fill>
    </dxf>
    <dxf>
      <font>
        <condense val="0"/>
        <extend val="0"/>
        <color indexed="57"/>
      </font>
      <fill>
        <patternFill patternType="solid">
          <bgColor rgb="FFAAAEB6"/>
        </patternFill>
      </fill>
    </dxf>
    <dxf>
      <font>
        <condense val="0"/>
        <extend val="0"/>
        <color indexed="52"/>
      </font>
      <fill>
        <patternFill>
          <bgColor rgb="FFAAAEB6"/>
        </patternFill>
      </fill>
    </dxf>
    <dxf>
      <font>
        <condense val="0"/>
        <extend val="0"/>
        <color indexed="10"/>
      </font>
      <fill>
        <patternFill patternType="solid">
          <bgColor rgb="FFAAAEB6"/>
        </patternFill>
      </fill>
    </dxf>
    <dxf>
      <font>
        <condense val="0"/>
        <extend val="0"/>
        <color indexed="57"/>
      </font>
      <fill>
        <patternFill patternType="solid">
          <bgColor rgb="FFAAAEB6"/>
        </patternFill>
      </fill>
    </dxf>
    <dxf>
      <font>
        <condense val="0"/>
        <extend val="0"/>
        <color indexed="52"/>
      </font>
      <fill>
        <patternFill>
          <bgColor rgb="FFDDDDDD"/>
        </patternFill>
      </fill>
    </dxf>
    <dxf>
      <font>
        <condense val="0"/>
        <extend val="0"/>
        <color indexed="10"/>
      </font>
      <fill>
        <patternFill patternType="solid">
          <bgColor rgb="FFDDDDDD"/>
        </patternFill>
      </fill>
    </dxf>
    <dxf>
      <font>
        <condense val="0"/>
        <extend val="0"/>
        <color indexed="57"/>
      </font>
      <fill>
        <patternFill patternType="solid">
          <bgColor rgb="FFDDDDDD"/>
        </patternFill>
      </fill>
    </dxf>
    <dxf>
      <font>
        <condense val="0"/>
        <extend val="0"/>
        <color indexed="52"/>
      </font>
      <fill>
        <patternFill>
          <bgColor rgb="FFDDDDDD"/>
        </patternFill>
      </fill>
    </dxf>
    <dxf>
      <font>
        <condense val="0"/>
        <extend val="0"/>
        <color indexed="10"/>
      </font>
      <fill>
        <patternFill patternType="solid">
          <bgColor rgb="FFDDDDDD"/>
        </patternFill>
      </fill>
    </dxf>
    <dxf>
      <font>
        <condense val="0"/>
        <extend val="0"/>
        <color indexed="57"/>
      </font>
      <fill>
        <patternFill patternType="solid">
          <bgColor rgb="FFDDDDDD"/>
        </patternFill>
      </fill>
    </dxf>
    <dxf>
      <font>
        <condense val="0"/>
        <extend val="0"/>
        <color indexed="52"/>
      </font>
      <fill>
        <patternFill>
          <bgColor rgb="FFAAAEB6"/>
        </patternFill>
      </fill>
    </dxf>
    <dxf>
      <font>
        <condense val="0"/>
        <extend val="0"/>
        <color indexed="10"/>
      </font>
      <fill>
        <patternFill patternType="solid">
          <bgColor rgb="FFAAAEB6"/>
        </patternFill>
      </fill>
    </dxf>
    <dxf>
      <font>
        <condense val="0"/>
        <extend val="0"/>
        <color indexed="57"/>
      </font>
      <fill>
        <patternFill patternType="solid">
          <bgColor rgb="FFAAAEB6"/>
        </patternFill>
      </fill>
    </dxf>
  </dxfs>
  <tableStyles count="0" defaultTableStyle="TableStyleMedium2" defaultPivotStyle="PivotStyleLight16"/>
  <colors>
    <mruColors>
      <color rgb="FFADAFB7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1419225</xdr:colOff>
          <xdr:row>12</xdr:row>
          <xdr:rowOff>66675</xdr:rowOff>
        </xdr:from>
        <xdr:to>
          <xdr:col>11</xdr:col>
          <xdr:colOff>47625</xdr:colOff>
          <xdr:row>15</xdr:row>
          <xdr:rowOff>28575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xdr:twoCellAnchor editAs="oneCell">
    <xdr:from>
      <xdr:col>5</xdr:col>
      <xdr:colOff>228600</xdr:colOff>
      <xdr:row>6</xdr:row>
      <xdr:rowOff>19050</xdr:rowOff>
    </xdr:from>
    <xdr:to>
      <xdr:col>5</xdr:col>
      <xdr:colOff>2708563</xdr:colOff>
      <xdr:row>7</xdr:row>
      <xdr:rowOff>210856</xdr:rowOff>
    </xdr:to>
    <xdr:pic>
      <xdr:nvPicPr>
        <xdr:cNvPr id="4" name="Image 3"/>
        <xdr:cNvPicPr>
          <a:picLocks noChangeAspect="1"/>
        </xdr:cNvPicPr>
      </xdr:nvPicPr>
      <xdr:blipFill>
        <a:blip xmlns:r="http://schemas.openxmlformats.org/officeDocument/2006/relationships" r:embed="rId1" cstate="print">
          <a:clrChange>
            <a:clrFrom>
              <a:srgbClr val="FDFDFD"/>
            </a:clrFrom>
            <a:clrTo>
              <a:srgbClr val="FDFDFD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8700" y="19050"/>
          <a:ext cx="2479963" cy="839506"/>
        </a:xfrm>
        <a:prstGeom prst="rect">
          <a:avLst/>
        </a:prstGeom>
      </xdr:spPr>
    </xdr:pic>
    <xdr:clientData/>
  </xdr:twoCellAnchor>
  <xdr:twoCellAnchor>
    <xdr:from>
      <xdr:col>6</xdr:col>
      <xdr:colOff>4727864</xdr:colOff>
      <xdr:row>10</xdr:row>
      <xdr:rowOff>0</xdr:rowOff>
    </xdr:from>
    <xdr:to>
      <xdr:col>8</xdr:col>
      <xdr:colOff>121227</xdr:colOff>
      <xdr:row>16</xdr:row>
      <xdr:rowOff>218208</xdr:rowOff>
    </xdr:to>
    <xdr:sp macro="" textlink="">
      <xdr:nvSpPr>
        <xdr:cNvPr id="3" name="Accolade fermante 2"/>
        <xdr:cNvSpPr/>
      </xdr:nvSpPr>
      <xdr:spPr>
        <a:xfrm>
          <a:off x="9334500" y="2736273"/>
          <a:ext cx="640772" cy="1569026"/>
        </a:xfrm>
        <a:prstGeom prst="rightBrac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8</xdr:col>
      <xdr:colOff>31172</xdr:colOff>
      <xdr:row>15</xdr:row>
      <xdr:rowOff>48485</xdr:rowOff>
    </xdr:from>
    <xdr:to>
      <xdr:col>10</xdr:col>
      <xdr:colOff>1887683</xdr:colOff>
      <xdr:row>17</xdr:row>
      <xdr:rowOff>17314</xdr:rowOff>
    </xdr:to>
    <xdr:sp macro="" textlink="">
      <xdr:nvSpPr>
        <xdr:cNvPr id="6" name="Accolade fermante 5"/>
        <xdr:cNvSpPr/>
      </xdr:nvSpPr>
      <xdr:spPr>
        <a:xfrm rot="16200000">
          <a:off x="9036627" y="1052939"/>
          <a:ext cx="557647" cy="4887193"/>
        </a:xfrm>
        <a:prstGeom prst="rightBrac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8</xdr:col>
      <xdr:colOff>173182</xdr:colOff>
      <xdr:row>12</xdr:row>
      <xdr:rowOff>103909</xdr:rowOff>
    </xdr:from>
    <xdr:to>
      <xdr:col>9</xdr:col>
      <xdr:colOff>1108364</xdr:colOff>
      <xdr:row>14</xdr:row>
      <xdr:rowOff>259771</xdr:rowOff>
    </xdr:to>
    <xdr:sp macro="" textlink="">
      <xdr:nvSpPr>
        <xdr:cNvPr id="5" name="Arrondir un rectangle avec un coin diagonal 4"/>
        <xdr:cNvSpPr/>
      </xdr:nvSpPr>
      <xdr:spPr>
        <a:xfrm>
          <a:off x="7013864" y="2545773"/>
          <a:ext cx="2320636" cy="623453"/>
        </a:xfrm>
        <a:prstGeom prst="round2DiagRect">
          <a:avLst/>
        </a:prstGeom>
        <a:solidFill>
          <a:schemeClr val="accent1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600">
              <a:solidFill>
                <a:srgbClr val="FF0000"/>
              </a:solidFill>
              <a:latin typeface="+mn-lt"/>
            </a:rPr>
            <a:t>Changeable values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indexed="10"/>
  </sheetPr>
  <dimension ref="A1:B31"/>
  <sheetViews>
    <sheetView workbookViewId="0">
      <selection activeCell="D31" sqref="D31"/>
    </sheetView>
  </sheetViews>
  <sheetFormatPr baseColWidth="10" defaultColWidth="9.140625" defaultRowHeight="12.75"/>
  <cols>
    <col min="1" max="1" width="44.140625" style="3" customWidth="1"/>
    <col min="2" max="2" width="17.85546875" style="3" bestFit="1" customWidth="1"/>
    <col min="3" max="3" width="9.140625" style="3"/>
    <col min="4" max="4" width="27.7109375" style="3" customWidth="1"/>
    <col min="5" max="16384" width="9.140625" style="3"/>
  </cols>
  <sheetData>
    <row r="1" spans="1:2" ht="18">
      <c r="A1" s="1" t="s">
        <v>49</v>
      </c>
      <c r="B1" s="2"/>
    </row>
    <row r="2" spans="1:2">
      <c r="A2" s="2" t="s">
        <v>50</v>
      </c>
      <c r="B2" s="2"/>
    </row>
    <row r="3" spans="1:2" ht="15.75">
      <c r="A3" s="4" t="s">
        <v>51</v>
      </c>
      <c r="B3" s="2"/>
    </row>
    <row r="4" spans="1:2">
      <c r="A4" s="5" t="s">
        <v>0</v>
      </c>
      <c r="B4" s="6" t="s">
        <v>1</v>
      </c>
    </row>
    <row r="5" spans="1:2">
      <c r="A5" s="5" t="s">
        <v>2</v>
      </c>
      <c r="B5" s="7" t="str">
        <f>LEFT(Server,LEN(Server)-1)</f>
        <v>tango_core_model</v>
      </c>
    </row>
    <row r="6" spans="1:2">
      <c r="A6" s="5" t="s">
        <v>3</v>
      </c>
      <c r="B6" s="7" t="str">
        <f ca="1">Host_Serveur</f>
        <v>FRSAPP021269</v>
      </c>
    </row>
    <row r="7" spans="1:2">
      <c r="A7" s="5" t="s">
        <v>4</v>
      </c>
      <c r="B7" s="7">
        <v>0</v>
      </c>
    </row>
    <row r="8" spans="1:2">
      <c r="A8" s="5" t="s">
        <v>5</v>
      </c>
      <c r="B8" s="7">
        <v>0</v>
      </c>
    </row>
    <row r="10" spans="1:2" ht="15.75">
      <c r="A10" s="4" t="s">
        <v>6</v>
      </c>
    </row>
    <row r="11" spans="1:2" ht="13.5" customHeight="1">
      <c r="A11" s="5" t="s">
        <v>7</v>
      </c>
      <c r="B11" s="7" t="s">
        <v>8</v>
      </c>
    </row>
    <row r="12" spans="1:2" ht="13.5" customHeight="1">
      <c r="A12" s="5" t="s">
        <v>9</v>
      </c>
      <c r="B12" s="7" t="s">
        <v>10</v>
      </c>
    </row>
    <row r="13" spans="1:2">
      <c r="A13" s="5" t="s">
        <v>11</v>
      </c>
      <c r="B13" s="7" t="str">
        <f ca="1">_xll.DBR(Server&amp;"z_Admin_Param","YEAR_ACTUAL","STR_VAR1")</f>
        <v>2020</v>
      </c>
    </row>
    <row r="14" spans="1:2">
      <c r="A14" s="5" t="s">
        <v>12</v>
      </c>
      <c r="B14" s="7" t="str">
        <f ca="1">_xll.DBR(Server&amp;"z_Admin_Param","MONTH_ACTUAL","STR_VAR1")</f>
        <v>2020.02</v>
      </c>
    </row>
    <row r="15" spans="1:2">
      <c r="A15" s="5" t="s">
        <v>13</v>
      </c>
      <c r="B15" s="7" t="str">
        <f ca="1">_xll.DBR(Server&amp;"z_Admin_Param","BUDGET_VERSION","STR_VAR1")</f>
        <v>BUDG_TOT</v>
      </c>
    </row>
    <row r="16" spans="1:2">
      <c r="A16" s="5" t="s">
        <v>14</v>
      </c>
      <c r="B16" s="7" t="str">
        <f ca="1">_xll.DBR(Server&amp;"z_Admin_Param","FORECAST_VERSION","STR_VAR1")</f>
        <v>FC_2_TOT</v>
      </c>
    </row>
    <row r="17" spans="1:2">
      <c r="A17" s="5" t="s">
        <v>15</v>
      </c>
      <c r="B17" s="8" t="str">
        <f ca="1">_xll.DBR(Server&amp;"z_Client_Properties","Language",_xll.TM1USER(xServer))</f>
        <v>French</v>
      </c>
    </row>
    <row r="18" spans="1:2">
      <c r="A18" s="138" t="s">
        <v>16</v>
      </c>
      <c r="B18" s="9" t="s">
        <v>17</v>
      </c>
    </row>
    <row r="19" spans="1:2">
      <c r="A19" s="138"/>
      <c r="B19" s="9" t="s">
        <v>18</v>
      </c>
    </row>
    <row r="20" spans="1:2">
      <c r="A20" s="138"/>
      <c r="B20" s="9" t="s">
        <v>19</v>
      </c>
    </row>
    <row r="21" spans="1:2">
      <c r="A21" s="138"/>
      <c r="B21" s="9" t="s">
        <v>20</v>
      </c>
    </row>
    <row r="22" spans="1:2">
      <c r="A22" s="138"/>
      <c r="B22" s="9" t="s">
        <v>21</v>
      </c>
    </row>
    <row r="23" spans="1:2">
      <c r="A23" s="138" t="s">
        <v>22</v>
      </c>
      <c r="B23" s="9" t="s">
        <v>23</v>
      </c>
    </row>
    <row r="24" spans="1:2">
      <c r="A24" s="138"/>
      <c r="B24" s="9" t="s">
        <v>24</v>
      </c>
    </row>
    <row r="25" spans="1:2">
      <c r="A25" s="138"/>
      <c r="B25" s="9" t="s">
        <v>25</v>
      </c>
    </row>
    <row r="27" spans="1:2" ht="15.75">
      <c r="A27" s="4" t="s">
        <v>26</v>
      </c>
    </row>
    <row r="28" spans="1:2" ht="13.5" customHeight="1">
      <c r="A28" s="3" t="s">
        <v>27</v>
      </c>
      <c r="B28" s="10"/>
    </row>
    <row r="29" spans="1:2">
      <c r="A29" s="3" t="s">
        <v>28</v>
      </c>
      <c r="B29" s="11"/>
    </row>
    <row r="30" spans="1:2">
      <c r="A30" s="3" t="s">
        <v>29</v>
      </c>
      <c r="B30" s="12"/>
    </row>
    <row r="31" spans="1:2">
      <c r="A31" s="3" t="s">
        <v>30</v>
      </c>
      <c r="B31" s="13"/>
    </row>
  </sheetData>
  <sheetProtection sheet="1" objects="1" scenarios="1" formatColumns="0" formatRows="0"/>
  <mergeCells count="2">
    <mergeCell ref="A18:A22"/>
    <mergeCell ref="A23:A25"/>
  </mergeCells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FF0000"/>
    <pageSetUpPr fitToPage="1"/>
  </sheetPr>
  <dimension ref="A1:AZ90"/>
  <sheetViews>
    <sheetView showGridLines="0" tabSelected="1" topLeftCell="F7" zoomScale="60" zoomScaleNormal="60" zoomScaleSheetLayoutView="40" workbookViewId="0">
      <selection activeCell="F34" sqref="F34:G34"/>
    </sheetView>
  </sheetViews>
  <sheetFormatPr baseColWidth="10" defaultColWidth="11.42578125" defaultRowHeight="18" customHeight="1"/>
  <cols>
    <col min="1" max="1" width="9.140625" style="31" hidden="1" customWidth="1"/>
    <col min="2" max="2" width="81.140625" style="32" hidden="1" customWidth="1"/>
    <col min="3" max="3" width="74.5703125" style="32" hidden="1" customWidth="1"/>
    <col min="4" max="5" width="6" style="32" hidden="1" customWidth="1"/>
    <col min="6" max="6" width="57.140625" style="38" customWidth="1"/>
    <col min="7" max="7" width="72.28515625" style="38" customWidth="1"/>
    <col min="8" max="8" width="6.42578125" style="31" customWidth="1"/>
    <col min="9" max="9" width="15.140625" style="31" customWidth="1"/>
    <col min="10" max="10" width="24.7109375" style="31" customWidth="1"/>
    <col min="11" max="11" width="29.42578125" style="31" customWidth="1"/>
    <col min="12" max="12" width="26.85546875" style="31" customWidth="1"/>
    <col min="13" max="13" width="2.7109375" style="37" customWidth="1"/>
    <col min="14" max="14" width="14.140625" style="37" customWidth="1"/>
    <col min="15" max="15" width="10.85546875" style="44" customWidth="1"/>
    <col min="16" max="16" width="5.5703125" style="18" customWidth="1"/>
    <col min="17" max="17" width="15.140625" style="63" customWidth="1"/>
    <col min="18" max="18" width="3.7109375" style="63" customWidth="1"/>
    <col min="19" max="19" width="5.5703125" style="67" customWidth="1"/>
    <col min="20" max="20" width="15.140625" style="44" customWidth="1"/>
    <col min="21" max="21" width="10.85546875" style="44" customWidth="1"/>
    <col min="22" max="22" width="5.42578125" style="65" customWidth="1"/>
    <col min="23" max="23" width="5" style="17" customWidth="1"/>
    <col min="24" max="24" width="7.140625" style="17" customWidth="1"/>
    <col min="25" max="25" width="29.7109375" style="17" customWidth="1"/>
    <col min="26" max="26" width="25.7109375" style="17" hidden="1" customWidth="1"/>
    <col min="27" max="27" width="16.5703125" style="17" customWidth="1"/>
    <col min="28" max="28" width="25.42578125" style="17" customWidth="1"/>
    <col min="29" max="39" width="9" style="17" customWidth="1"/>
    <col min="40" max="41" width="10.140625" style="14" customWidth="1"/>
    <col min="42" max="51" width="6.5703125" style="14" customWidth="1"/>
    <col min="52" max="53" width="6.42578125" style="14" customWidth="1"/>
    <col min="54" max="16384" width="11.42578125" style="14"/>
  </cols>
  <sheetData>
    <row r="1" spans="1:52" ht="18" hidden="1" customHeight="1">
      <c r="F1" s="33"/>
      <c r="G1" s="34" t="s">
        <v>31</v>
      </c>
      <c r="I1" s="35" t="str">
        <f ca="1">I19</f>
        <v>Actual</v>
      </c>
      <c r="J1" s="36" t="str">
        <f ca="1">J19</f>
        <v>Budget V current</v>
      </c>
      <c r="K1" s="36" t="str">
        <f ca="1">K19</f>
        <v>Forecast 2 V current</v>
      </c>
      <c r="L1" s="35" t="s">
        <v>32</v>
      </c>
      <c r="N1" s="35" t="s">
        <v>33</v>
      </c>
      <c r="O1" s="35" t="s">
        <v>34</v>
      </c>
      <c r="P1" s="16"/>
      <c r="Q1" s="35" t="s">
        <v>35</v>
      </c>
      <c r="R1" s="35" t="s">
        <v>36</v>
      </c>
      <c r="S1" s="66"/>
      <c r="T1" s="35" t="s">
        <v>37</v>
      </c>
      <c r="U1" s="35" t="s">
        <v>38</v>
      </c>
      <c r="V1" s="66"/>
    </row>
    <row r="2" spans="1:52" ht="18" hidden="1" customHeight="1">
      <c r="G2" s="39" t="s">
        <v>39</v>
      </c>
      <c r="H2" s="40" t="str">
        <f ca="1">_xll.SUBNM(Server&amp;"Period","",#REF!,"")</f>
        <v/>
      </c>
      <c r="I2" s="41" t="str">
        <f ca="1">_xll.DBRA(Server&amp;$G$2,I18,"Prior Year")</f>
        <v>2019.02_YTD</v>
      </c>
      <c r="J2" s="42" t="str">
        <f ca="1">SUBSTITUTE(ActualBudget,"_TOT","_VC")</f>
        <v>BUDG_VC</v>
      </c>
      <c r="K2" s="43"/>
      <c r="L2" s="43"/>
      <c r="P2" s="15"/>
      <c r="Q2" s="37"/>
      <c r="R2" s="37"/>
      <c r="S2" s="65"/>
    </row>
    <row r="3" spans="1:52" ht="18" hidden="1" customHeight="1">
      <c r="G3" s="45" t="s">
        <v>40</v>
      </c>
      <c r="H3" s="46"/>
      <c r="J3" s="42"/>
      <c r="K3" s="43"/>
      <c r="L3" s="43"/>
      <c r="P3" s="15"/>
      <c r="Q3" s="37"/>
      <c r="R3" s="37"/>
      <c r="S3" s="65"/>
    </row>
    <row r="4" spans="1:52" ht="18" hidden="1" customHeight="1">
      <c r="H4" s="47"/>
      <c r="J4" s="42"/>
      <c r="K4" s="43"/>
      <c r="L4" s="48"/>
    </row>
    <row r="5" spans="1:52" ht="18" hidden="1" customHeight="1">
      <c r="G5" s="49"/>
      <c r="H5" s="46"/>
      <c r="I5" s="50"/>
      <c r="J5" s="42"/>
      <c r="K5" s="50"/>
      <c r="L5" s="50"/>
      <c r="M5" s="50"/>
      <c r="N5" s="50"/>
      <c r="O5" s="50"/>
      <c r="P5" s="19"/>
      <c r="Q5" s="50"/>
      <c r="R5" s="50"/>
      <c r="S5" s="68"/>
      <c r="T5" s="50"/>
      <c r="U5" s="50"/>
    </row>
    <row r="6" spans="1:52" ht="18" hidden="1" customHeight="1">
      <c r="G6" s="51"/>
    </row>
    <row r="7" spans="1:52" ht="51" customHeight="1">
      <c r="C7" s="32" t="s">
        <v>83</v>
      </c>
      <c r="F7" s="145" t="str">
        <f ca="1">_xll.DBRA(Server&amp;$Z$15,$C$7,$G$17)&amp;" - "&amp;G11&amp;" - "&amp;G12&amp;" - "&amp;G13</f>
        <v>Frais de personnel et personnel intérimaire - TRANSDEV All - TRANSDEV All - Total Activités</v>
      </c>
      <c r="G7" s="145"/>
      <c r="H7" s="145"/>
      <c r="I7" s="145"/>
      <c r="J7" s="145"/>
      <c r="K7" s="145"/>
      <c r="L7" s="145"/>
      <c r="M7" s="145"/>
      <c r="N7" s="145"/>
      <c r="O7" s="145"/>
      <c r="P7" s="145"/>
      <c r="Q7" s="145"/>
      <c r="R7" s="145"/>
      <c r="S7" s="145"/>
      <c r="T7" s="145"/>
      <c r="U7" s="145"/>
      <c r="V7" s="145"/>
      <c r="W7" s="75"/>
    </row>
    <row r="8" spans="1:52" ht="18" customHeight="1">
      <c r="F8" s="145"/>
      <c r="G8" s="145"/>
      <c r="H8" s="145"/>
      <c r="I8" s="145"/>
      <c r="J8" s="145"/>
      <c r="K8" s="145"/>
      <c r="L8" s="145"/>
      <c r="M8" s="145"/>
      <c r="N8" s="145"/>
      <c r="O8" s="145"/>
      <c r="P8" s="145"/>
      <c r="Q8" s="145"/>
      <c r="R8" s="145"/>
      <c r="S8" s="145"/>
      <c r="T8" s="145"/>
      <c r="U8" s="145"/>
      <c r="V8" s="145"/>
      <c r="W8" s="75"/>
    </row>
    <row r="9" spans="1:52" ht="18" customHeight="1">
      <c r="F9" s="31"/>
      <c r="G9" s="51"/>
      <c r="H9" s="51"/>
      <c r="I9" s="52"/>
      <c r="J9" s="52"/>
      <c r="K9" s="52"/>
      <c r="L9" s="52"/>
      <c r="M9" s="52"/>
      <c r="N9" s="52"/>
      <c r="O9" s="52"/>
      <c r="P9" s="20"/>
      <c r="Q9" s="52"/>
      <c r="R9" s="52"/>
      <c r="S9" s="69"/>
      <c r="T9" s="52"/>
      <c r="U9" s="52"/>
      <c r="V9" s="69"/>
      <c r="W9" s="20"/>
    </row>
    <row r="10" spans="1:52" ht="23.25" customHeight="1">
      <c r="F10" s="53" t="str">
        <f ca="1">_xll.DBRA(Server&amp;$Z$15,$Z16,$G$17)</f>
        <v>Sélection du contexte</v>
      </c>
      <c r="H10" s="51"/>
      <c r="I10" s="52"/>
      <c r="J10" s="52"/>
      <c r="K10" s="52"/>
      <c r="L10" s="52"/>
      <c r="M10" s="52"/>
      <c r="N10" s="52"/>
      <c r="O10" s="52"/>
      <c r="P10" s="20"/>
      <c r="Q10" s="52"/>
      <c r="R10" s="52"/>
      <c r="S10" s="69"/>
      <c r="T10" s="52"/>
      <c r="U10" s="52"/>
      <c r="V10" s="69"/>
      <c r="W10" s="20"/>
    </row>
    <row r="11" spans="1:52" s="27" customFormat="1" ht="17.25" customHeight="1">
      <c r="A11" s="86"/>
      <c r="B11" s="87"/>
      <c r="C11" s="87"/>
      <c r="D11" s="87"/>
      <c r="E11" s="87"/>
      <c r="F11" s="88" t="s">
        <v>52</v>
      </c>
      <c r="G11" s="70" t="str">
        <f ca="1">_xll.SUBNM(Server&amp;"Legal_Organization","default",_xll.DBR(Server&amp;"z_Client_Properties","Default_Legal_Organization",_xll.TM1USER(xServer)),G17)</f>
        <v>TRANSDEV All</v>
      </c>
      <c r="H11" s="89"/>
      <c r="I11" s="90"/>
      <c r="J11" s="86"/>
      <c r="K11" s="86"/>
      <c r="L11" s="86"/>
      <c r="M11" s="73"/>
      <c r="N11" s="73"/>
      <c r="O11" s="73"/>
      <c r="P11" s="91"/>
      <c r="Q11" s="92"/>
      <c r="R11" s="92"/>
      <c r="S11" s="91"/>
      <c r="T11" s="73"/>
      <c r="U11" s="73"/>
      <c r="V11" s="93"/>
      <c r="W11" s="93"/>
      <c r="X11" s="93"/>
      <c r="Y11" s="93"/>
      <c r="Z11" s="93"/>
      <c r="AA11" s="93"/>
      <c r="AB11" s="93"/>
      <c r="AC11" s="93"/>
      <c r="AD11" s="93"/>
      <c r="AE11" s="93"/>
      <c r="AF11" s="93"/>
      <c r="AG11" s="93"/>
      <c r="AH11" s="93"/>
      <c r="AI11" s="93"/>
      <c r="AJ11" s="93"/>
      <c r="AK11" s="93"/>
      <c r="AL11" s="93"/>
      <c r="AM11" s="93"/>
    </row>
    <row r="12" spans="1:52" s="27" customFormat="1" ht="17.25" customHeight="1">
      <c r="A12" s="86"/>
      <c r="B12" s="87"/>
      <c r="C12" s="87"/>
      <c r="D12" s="87"/>
      <c r="E12" s="87"/>
      <c r="F12" s="88" t="s">
        <v>43</v>
      </c>
      <c r="G12" s="70" t="str">
        <f ca="1">_xll.SUBNM(Server&amp;"Management_Organization","default",_xll.DBR(Server&amp;"z_Client_Properties","Default_Management_Organization",_xll.TM1USER(xServer)),G17)</f>
        <v>TRANSDEV All</v>
      </c>
      <c r="H12" s="89"/>
      <c r="I12" s="90"/>
      <c r="J12" s="90"/>
      <c r="K12" s="90"/>
      <c r="L12" s="86"/>
      <c r="M12" s="73"/>
      <c r="N12" s="73"/>
      <c r="O12" s="73"/>
      <c r="P12" s="91"/>
      <c r="Q12" s="92"/>
      <c r="R12" s="92"/>
      <c r="S12" s="91"/>
      <c r="T12" s="73"/>
      <c r="U12" s="73"/>
      <c r="V12" s="93"/>
      <c r="W12" s="93"/>
      <c r="X12" s="93"/>
      <c r="Y12" s="93"/>
      <c r="Z12" s="93"/>
      <c r="AA12" s="93"/>
      <c r="AB12" s="93"/>
      <c r="AC12" s="93"/>
      <c r="AD12" s="93"/>
      <c r="AE12" s="93"/>
      <c r="AF12" s="93"/>
      <c r="AG12" s="93"/>
      <c r="AH12" s="93"/>
      <c r="AI12" s="93"/>
      <c r="AJ12" s="93"/>
      <c r="AK12" s="93"/>
      <c r="AL12" s="93"/>
      <c r="AM12" s="93"/>
    </row>
    <row r="13" spans="1:52" s="27" customFormat="1" ht="17.25" customHeight="1">
      <c r="A13" s="86"/>
      <c r="B13" s="87"/>
      <c r="C13" s="87"/>
      <c r="D13" s="87"/>
      <c r="E13" s="87"/>
      <c r="F13" s="88" t="s">
        <v>46</v>
      </c>
      <c r="G13" s="70" t="str">
        <f ca="1">_xll.SUBNM(Server&amp;"Activity","default","Tot_act",G17)</f>
        <v>Total Activités</v>
      </c>
      <c r="H13" s="86"/>
      <c r="I13" s="90"/>
      <c r="J13" s="90"/>
      <c r="K13" s="90"/>
      <c r="L13" s="86"/>
      <c r="M13" s="73"/>
      <c r="N13" s="73"/>
      <c r="O13" s="73"/>
      <c r="P13" s="91"/>
      <c r="Q13" s="92"/>
      <c r="R13" s="92"/>
      <c r="S13" s="91"/>
      <c r="T13" s="73"/>
      <c r="U13" s="73"/>
      <c r="V13" s="93"/>
      <c r="W13" s="93"/>
      <c r="X13" s="93"/>
      <c r="Y13" s="93"/>
      <c r="Z13" s="93"/>
      <c r="AA13" s="93"/>
      <c r="AB13" s="93"/>
      <c r="AC13" s="93"/>
      <c r="AD13" s="93"/>
      <c r="AE13" s="93"/>
      <c r="AF13" s="93"/>
      <c r="AG13" s="93"/>
      <c r="AH13" s="93"/>
      <c r="AI13" s="93"/>
      <c r="AJ13" s="93"/>
      <c r="AK13" s="93"/>
      <c r="AL13" s="93"/>
      <c r="AM13" s="93"/>
    </row>
    <row r="14" spans="1:52" s="27" customFormat="1" ht="17.25" customHeight="1">
      <c r="A14" s="86"/>
      <c r="B14" s="87"/>
      <c r="C14" s="87"/>
      <c r="D14" s="87"/>
      <c r="E14" s="94"/>
      <c r="F14" s="88" t="s">
        <v>47</v>
      </c>
      <c r="G14" s="70" t="str">
        <f ca="1">_xll.SUBNM(Server&amp;"Currency","default","KEUR",G17)</f>
        <v>K€</v>
      </c>
      <c r="H14" s="86"/>
      <c r="I14" s="90"/>
      <c r="J14" s="90"/>
      <c r="K14" s="90"/>
      <c r="L14" s="86"/>
      <c r="M14" s="73"/>
      <c r="N14" s="73"/>
      <c r="O14" s="73"/>
      <c r="P14" s="91"/>
      <c r="Q14" s="92"/>
      <c r="R14" s="92"/>
      <c r="S14" s="91"/>
      <c r="T14" s="73"/>
      <c r="U14" s="73"/>
      <c r="V14" s="93"/>
      <c r="W14" s="93"/>
      <c r="X14" s="93"/>
      <c r="Y14" s="93"/>
      <c r="Z14" s="93"/>
      <c r="AA14" s="93"/>
      <c r="AB14" s="93"/>
      <c r="AC14" s="93"/>
      <c r="AD14" s="93"/>
      <c r="AE14" s="93"/>
      <c r="AF14" s="93"/>
      <c r="AG14" s="93"/>
      <c r="AH14" s="93"/>
      <c r="AI14" s="93"/>
      <c r="AJ14" s="93"/>
      <c r="AK14" s="93"/>
      <c r="AL14" s="93"/>
      <c r="AM14" s="93"/>
    </row>
    <row r="15" spans="1:52" s="27" customFormat="1" ht="17.25" customHeight="1">
      <c r="A15" s="86"/>
      <c r="B15" s="87"/>
      <c r="C15" s="95"/>
      <c r="D15" s="95"/>
      <c r="E15" s="96"/>
      <c r="F15" s="88" t="s">
        <v>48</v>
      </c>
      <c r="G15" s="70" t="str">
        <f ca="1">_xll.SUBNM(Server&amp;"Gaap","default","Total_conso_wo_opt_dis")</f>
        <v>Total_conso_wo_opt_dis</v>
      </c>
      <c r="H15" s="97"/>
      <c r="I15" s="86"/>
      <c r="J15" s="86"/>
      <c r="K15" s="86"/>
      <c r="L15" s="86"/>
      <c r="M15" s="73"/>
      <c r="N15" s="73"/>
      <c r="O15" s="73"/>
      <c r="P15" s="91"/>
      <c r="Q15" s="92"/>
      <c r="R15" s="92"/>
      <c r="S15" s="91"/>
      <c r="T15" s="73"/>
      <c r="U15" s="73"/>
      <c r="V15" s="93"/>
      <c r="W15" s="98"/>
      <c r="X15" s="93"/>
      <c r="Y15" s="93"/>
      <c r="Z15" s="99" t="s">
        <v>41</v>
      </c>
      <c r="AA15" s="93"/>
      <c r="AB15" s="93"/>
      <c r="AC15" s="93"/>
      <c r="AD15" s="93"/>
      <c r="AE15" s="93"/>
      <c r="AF15" s="93"/>
      <c r="AG15" s="93"/>
      <c r="AH15" s="93"/>
      <c r="AI15" s="93"/>
      <c r="AJ15" s="93"/>
      <c r="AK15" s="93"/>
      <c r="AL15" s="93"/>
      <c r="AM15" s="93"/>
      <c r="AN15" s="100"/>
      <c r="AO15" s="100"/>
      <c r="AP15" s="100"/>
      <c r="AQ15" s="100"/>
      <c r="AR15" s="100"/>
      <c r="AS15" s="100"/>
      <c r="AT15" s="100"/>
      <c r="AU15" s="100"/>
      <c r="AV15" s="100"/>
      <c r="AW15" s="100"/>
      <c r="AX15" s="100"/>
      <c r="AY15" s="100"/>
      <c r="AZ15" s="100"/>
    </row>
    <row r="16" spans="1:52" s="104" customFormat="1" ht="17.25" customHeight="1">
      <c r="A16" s="101"/>
      <c r="B16" s="87"/>
      <c r="C16" s="102"/>
      <c r="D16" s="102"/>
      <c r="E16" s="95"/>
      <c r="F16" s="88" t="s">
        <v>53</v>
      </c>
      <c r="G16" s="70" t="str">
        <f ca="1">_xll.SUBNM(Server&amp;"Integration_Rate","default","APP")</f>
        <v>APP</v>
      </c>
      <c r="H16" s="103"/>
      <c r="O16" s="113"/>
      <c r="W16" s="98"/>
      <c r="X16" s="93"/>
      <c r="Z16" s="105" t="s">
        <v>42</v>
      </c>
      <c r="AL16" s="93"/>
      <c r="AM16" s="93"/>
    </row>
    <row r="17" spans="1:39" s="112" customFormat="1" ht="17.25" customHeight="1">
      <c r="A17" s="106"/>
      <c r="B17" s="107"/>
      <c r="C17" s="106"/>
      <c r="D17" s="106"/>
      <c r="E17" s="108"/>
      <c r="F17" s="109" t="s">
        <v>44</v>
      </c>
      <c r="G17" s="137" t="str">
        <f ca="1">LocalLanguage</f>
        <v>French</v>
      </c>
      <c r="H17" s="110"/>
      <c r="I17" s="101"/>
      <c r="J17" s="101"/>
      <c r="K17" s="101"/>
      <c r="L17" s="101"/>
      <c r="M17" s="101"/>
      <c r="N17" s="101"/>
      <c r="O17" s="101"/>
      <c r="P17" s="104"/>
      <c r="Q17" s="101"/>
      <c r="R17" s="101"/>
      <c r="S17" s="104"/>
      <c r="T17" s="101"/>
      <c r="U17" s="101"/>
      <c r="V17" s="104"/>
      <c r="W17" s="98"/>
      <c r="X17" s="111"/>
      <c r="Y17" s="111"/>
      <c r="Z17" s="17"/>
      <c r="AA17" s="111"/>
      <c r="AB17" s="111"/>
      <c r="AC17" s="111"/>
      <c r="AD17" s="111"/>
      <c r="AE17" s="111"/>
      <c r="AF17" s="111"/>
      <c r="AG17" s="111"/>
      <c r="AH17" s="111"/>
      <c r="AI17" s="111"/>
      <c r="AJ17" s="111"/>
      <c r="AK17" s="111"/>
      <c r="AL17" s="111"/>
      <c r="AM17" s="111"/>
    </row>
    <row r="18" spans="1:39" s="83" customFormat="1" ht="40.5" customHeight="1" thickBot="1">
      <c r="A18" s="76"/>
      <c r="B18" s="77"/>
      <c r="C18" s="76"/>
      <c r="D18" s="76"/>
      <c r="E18" s="79"/>
      <c r="F18" s="76"/>
      <c r="H18" s="55"/>
      <c r="I18" s="80" t="str">
        <f ca="1">_xll.SUBNM(Server&amp;$G$2,"default",ActualMonth&amp;"_YTD","English")</f>
        <v>February 2020 YTD</v>
      </c>
      <c r="J18" s="80" t="str">
        <f ca="1">_xll.SUBNM(Server&amp;$G$2,"default",I18,"English")</f>
        <v>February 2020 YTD</v>
      </c>
      <c r="K18" s="80" t="str">
        <f ca="1">_xll.SUBNM(Server&amp;$G$2,"default",I18,"English")</f>
        <v>February 2020 YTD</v>
      </c>
      <c r="L18" s="81" t="str">
        <f ca="1">_xll.SUBNM(Server&amp;$G$2,"default",PriorYear,"English")</f>
        <v>February 2019 YTD</v>
      </c>
      <c r="M18" s="84"/>
      <c r="N18" s="144" t="s">
        <v>103</v>
      </c>
      <c r="O18" s="144"/>
      <c r="P18" s="144"/>
      <c r="Q18" s="144"/>
      <c r="R18" s="144"/>
      <c r="S18" s="144"/>
      <c r="T18" s="144"/>
      <c r="U18" s="144"/>
      <c r="V18" s="144"/>
      <c r="W18" s="21"/>
      <c r="X18" s="82"/>
      <c r="Y18" s="82"/>
      <c r="Z18" s="17"/>
      <c r="AA18" s="82"/>
      <c r="AB18" s="82"/>
      <c r="AC18" s="82"/>
      <c r="AD18" s="82"/>
      <c r="AE18" s="82"/>
      <c r="AF18" s="82"/>
      <c r="AG18" s="82"/>
      <c r="AH18" s="82"/>
      <c r="AI18" s="82"/>
      <c r="AJ18" s="82"/>
      <c r="AK18" s="82"/>
      <c r="AL18" s="82"/>
      <c r="AM18" s="82"/>
    </row>
    <row r="19" spans="1:39" s="83" customFormat="1" ht="40.5" customHeight="1" thickBot="1">
      <c r="A19" s="76"/>
      <c r="B19" s="77"/>
      <c r="C19" s="78"/>
      <c r="D19" s="79"/>
      <c r="E19" s="79"/>
      <c r="F19" s="85" t="str">
        <f ca="1">G15</f>
        <v>Total_conso_wo_opt_dis</v>
      </c>
      <c r="G19" s="85" t="str">
        <f ca="1">G14</f>
        <v>K€</v>
      </c>
      <c r="H19" s="55"/>
      <c r="I19" s="80" t="str">
        <f ca="1">_xll.SUBNM(Server&amp;$G$1,"default","ACT_TOT","English")</f>
        <v>Actual</v>
      </c>
      <c r="J19" s="80" t="str">
        <f ca="1">_xll.SUBNM(Server&amp;$G$1,"default",SUBSTITUTE(ActualBudget,"_TOT","_VC_TOT"),"English")</f>
        <v>Budget V current</v>
      </c>
      <c r="K19" s="80" t="str">
        <f ca="1">_xll.SUBNM(Server&amp;$G$1,"default",SUBSTITUTE(ActualForecast,"_TOT","_VC_TOT"),"English")</f>
        <v>Forecast 2 V current</v>
      </c>
      <c r="L19" s="81" t="str">
        <f ca="1">_xll.DBRA(Server&amp;$Z$15,"Prior_year",$G$17)</f>
        <v>Année précédente</v>
      </c>
      <c r="M19" s="74"/>
      <c r="N19" s="141" t="str">
        <f ca="1">$I19&amp;" vs "&amp;J19</f>
        <v>Actual vs Budget V current</v>
      </c>
      <c r="O19" s="142"/>
      <c r="P19" s="143"/>
      <c r="Q19" s="141" t="str">
        <f ca="1">$I19&amp;" vs "&amp;K19</f>
        <v>Actual vs Forecast 2 V current</v>
      </c>
      <c r="R19" s="142"/>
      <c r="S19" s="143" t="str">
        <f ca="1">_xll.DBRA(Server&amp;$Z$15,$Z31,$G$17)</f>
        <v/>
      </c>
      <c r="T19" s="141" t="str">
        <f ca="1">$I19&amp;" vs "&amp;L19</f>
        <v>Actual vs Année précédente</v>
      </c>
      <c r="U19" s="142"/>
      <c r="V19" s="143" t="str">
        <f ca="1">_xll.DBRA(Server&amp;$Z$15,$Z31,$G$17)</f>
        <v/>
      </c>
      <c r="W19" s="21"/>
      <c r="X19" s="82"/>
      <c r="Y19" s="82"/>
      <c r="Z19" s="17"/>
      <c r="AA19" s="82"/>
      <c r="AB19" s="82"/>
      <c r="AC19" s="82"/>
      <c r="AD19" s="82"/>
      <c r="AE19" s="82"/>
      <c r="AF19" s="82"/>
      <c r="AG19" s="82"/>
      <c r="AH19" s="82"/>
      <c r="AI19" s="82"/>
      <c r="AJ19" s="82"/>
      <c r="AK19" s="82"/>
      <c r="AL19" s="82"/>
      <c r="AM19" s="82"/>
    </row>
    <row r="20" spans="1:39" s="22" customFormat="1" ht="15.75" customHeight="1">
      <c r="A20" s="54"/>
      <c r="B20" s="124" t="s">
        <v>45</v>
      </c>
      <c r="C20" s="56" t="s">
        <v>45</v>
      </c>
      <c r="D20" s="79"/>
      <c r="E20" s="79"/>
      <c r="F20" s="54"/>
      <c r="H20" s="55"/>
      <c r="I20" s="58"/>
      <c r="J20" s="58"/>
      <c r="K20" s="58"/>
      <c r="L20" s="58"/>
      <c r="M20" s="57"/>
      <c r="N20" s="58"/>
      <c r="O20" s="59"/>
      <c r="P20" s="21"/>
      <c r="Q20" s="64"/>
      <c r="R20" s="64"/>
      <c r="S20" s="21"/>
      <c r="T20" s="58"/>
      <c r="U20" s="59"/>
      <c r="V20" s="21"/>
      <c r="W20" s="21"/>
      <c r="X20" s="17"/>
      <c r="Y20" s="17"/>
      <c r="Z20" s="17"/>
      <c r="AA20" s="17"/>
      <c r="AB20" s="17"/>
      <c r="AC20" s="17"/>
      <c r="AD20" s="17"/>
      <c r="AE20" s="17"/>
      <c r="AF20" s="17"/>
      <c r="AG20" s="17"/>
      <c r="AH20" s="17"/>
      <c r="AI20" s="17"/>
      <c r="AJ20" s="17"/>
      <c r="AK20" s="17"/>
      <c r="AL20" s="17"/>
      <c r="AM20" s="17"/>
    </row>
    <row r="21" spans="1:39" s="23" customFormat="1" ht="22.5" customHeight="1">
      <c r="A21" s="60"/>
      <c r="B21" s="125" t="s">
        <v>78</v>
      </c>
      <c r="C21" s="60" t="str">
        <f ca="1">_xll.DBRA(Server&amp;$C$20,$B21,$G$17)</f>
        <v>CDV - Frais de personnel - Cash</v>
      </c>
      <c r="D21" s="79"/>
      <c r="E21" s="79"/>
      <c r="F21" s="140" t="str">
        <f ca="1">_xll.DBRA(Server&amp;$C$20,$B21,$G$17)</f>
        <v>CDV - Frais de personnel - Cash</v>
      </c>
      <c r="G21" s="140"/>
      <c r="H21" s="71"/>
      <c r="I21" s="120">
        <f ca="1">_xll.DBRW(Server&amp;Cube1,$G$13,$G$14,$G$15,$G$16,$G$11,$G$12,I$18,I$1,$B21)</f>
        <v>-625213.75219000038</v>
      </c>
      <c r="J21" s="120">
        <f ca="1">_xll.DBRW(Server&amp;Cube1,$G$13,$G$14,$G$15,$G$16,$G$11,$G$12,J$18,J$1,$B21)</f>
        <v>-608681.34546603903</v>
      </c>
      <c r="K21" s="120">
        <f ca="1">_xll.DBRW(Server&amp;Cube1,$G$13,$G$14,$G$15,$G$16,$G$11,$G$12,K$18,K$1,$B21)</f>
        <v>0</v>
      </c>
      <c r="L21" s="120">
        <f ca="1">_xll.DBRW(Server&amp;Cube1,$G$13,$G$14,$G$15,$G$16,$G$11,$G$12,L$18,L$1,$B21)</f>
        <v>-570516.13681700011</v>
      </c>
      <c r="M21" s="61"/>
      <c r="N21" s="120">
        <f ca="1">IF(OR($I21="",J21=""),"-",IFERROR(($I21-J21),""))</f>
        <v>-16532.406723961351</v>
      </c>
      <c r="O21" s="121">
        <f ca="1">IF(OR($J21=0,N21=0),"-",IF(ABS(N21/$J21)&gt;2,"-",N21/$J21))</f>
        <v>2.7161020864378972E-2</v>
      </c>
      <c r="P21" s="122" t="str">
        <f ca="1">IF(OR(AND(O21&gt;0.01,N21&lt;0),AND(O21&lt;-0.01,N21&lt;0)),"î",IF(OR(AND(O21&lt;-0.01,N21&gt;0),AND(O21&gt;0.01,N21&gt;0)),"ì","è"))</f>
        <v>î</v>
      </c>
      <c r="Q21" s="120">
        <f ca="1">IF(OR($I21="",K21=""),"-",IFERROR(($I21-K21),""))</f>
        <v>-625213.75219000038</v>
      </c>
      <c r="R21" s="121" t="str">
        <f ca="1">IF(OR($K21=0,Q21=0),"-",IF(ABS(Q21/$K21)&gt;2,"-",Q21/$K21))</f>
        <v>-</v>
      </c>
      <c r="S21" s="122" t="str">
        <f ca="1">IF(OR(AND(R21&gt;0.01,Q21&lt;0),AND(R21&lt;-0.01,Q21&lt;0)),"î",IF(OR(AND(R21&lt;-0.01,Q21&gt;0),AND(R21&gt;0.01,Q21&gt;0)),"ì","è"))</f>
        <v>î</v>
      </c>
      <c r="T21" s="120">
        <f ca="1">IF(OR($I21="",L21=""),"-",IFERROR(($I21-L21),""))</f>
        <v>-54697.61537300027</v>
      </c>
      <c r="U21" s="121">
        <f ca="1">IF(OR($L21=0,T21=0),"-",IF(ABS(T21/$L21)&gt;2,"-",T21/$L21))</f>
        <v>9.5873914589282141E-2</v>
      </c>
      <c r="V21" s="122" t="str">
        <f ca="1">IF(OR(AND(U21&gt;0.01,T21&lt;0),AND(U21&lt;-0.01,T21&lt;0)),"î",IF(OR(AND(U21&lt;-0.01,T21&gt;0),AND(U21&gt;0.01,T21&gt;0)),"ì","è"))</f>
        <v>î</v>
      </c>
      <c r="W21" s="24"/>
      <c r="X21" s="25"/>
      <c r="Y21" s="25"/>
      <c r="Z21" s="17"/>
      <c r="AA21" s="25"/>
      <c r="AB21" s="25"/>
      <c r="AC21" s="25"/>
      <c r="AD21" s="25"/>
      <c r="AE21" s="25"/>
      <c r="AF21" s="25"/>
      <c r="AG21" s="25"/>
      <c r="AH21" s="25"/>
      <c r="AI21" s="25"/>
      <c r="AJ21" s="25"/>
      <c r="AK21" s="25"/>
      <c r="AL21" s="25"/>
      <c r="AM21" s="25"/>
    </row>
    <row r="22" spans="1:39" ht="22.5" customHeight="1">
      <c r="B22" s="132" t="s">
        <v>87</v>
      </c>
      <c r="C22" s="60" t="str">
        <f ca="1">_xll.DBRA(Server&amp;$C$20,$B22,$G$17)</f>
        <v>Coûts d'assurance maladie (CDV)</v>
      </c>
      <c r="D22" s="79"/>
      <c r="E22" s="79"/>
      <c r="F22" s="139" t="str">
        <f ca="1">_xll.DBRA(Server&amp;$C$20,$B22,$G$17)</f>
        <v>Coûts d'assurance maladie (CDV)</v>
      </c>
      <c r="G22" s="139"/>
      <c r="H22" s="115"/>
      <c r="I22" s="116">
        <f ca="1">_xll.DBRW(Server&amp;Cube1,$G$13,$G$14,$G$15,$G$16,$G$11,$G$12,I$18,I$1,$B22)</f>
        <v>0</v>
      </c>
      <c r="J22" s="116">
        <f ca="1">_xll.DBRW(Server&amp;Cube1,$G$13,$G$14,$G$15,$G$16,$G$11,$G$12,J$18,J$1,$B22)</f>
        <v>-11766.005360885434</v>
      </c>
      <c r="K22" s="116">
        <f ca="1">_xll.DBRW(Server&amp;Cube1,$G$13,$G$14,$G$15,$G$16,$G$11,$G$12,K$18,K$1,$B22)</f>
        <v>0</v>
      </c>
      <c r="L22" s="116">
        <f ca="1">_xll.DBRW(Server&amp;Cube1,$G$13,$G$14,$G$15,$G$16,$G$11,$G$12,L$18,L$1,$B22)</f>
        <v>-11869.409162132926</v>
      </c>
      <c r="M22" s="117"/>
      <c r="N22" s="116">
        <f t="shared" ref="N22:N24" ca="1" si="0">IF(OR($I22="",J22=""),"-",IFERROR(($I22-J22),""))</f>
        <v>11766.005360885434</v>
      </c>
      <c r="O22" s="118">
        <f t="shared" ref="O22:O24" ca="1" si="1">IF(OR($J22=0,N22=0),"-",IF(ABS(N22/$J22)&gt;2,"-",N22/$J22))</f>
        <v>-1</v>
      </c>
      <c r="P22" s="123" t="str">
        <f t="shared" ref="P22:P90" ca="1" si="2">IF(OR(AND(O22&gt;0.01,N22&lt;0),AND(O22&lt;-0.01,N22&lt;0)),"î",IF(OR(AND(O22&lt;-0.01,N22&gt;0),AND(O22&gt;0.01,N22&gt;0)),"ì","è"))</f>
        <v>ì</v>
      </c>
      <c r="Q22" s="116">
        <f t="shared" ref="Q22:Q24" ca="1" si="3">IF(OR($I22="",K22=""),"-",IFERROR(($I22-K22),""))</f>
        <v>0</v>
      </c>
      <c r="R22" s="118" t="str">
        <f t="shared" ref="R22:R24" ca="1" si="4">IF(OR($K22=0,Q22=0),"-",IF(ABS(Q22/$K22)&gt;2,"-",Q22/$K22))</f>
        <v>-</v>
      </c>
      <c r="S22" s="123" t="str">
        <f t="shared" ref="S22:S29" ca="1" si="5">IF(OR(AND(R22&gt;0.01,Q22&lt;0),AND(R22&lt;-0.01,Q22&lt;0)),"î",IF(OR(AND(R22&lt;-0.01,Q22&gt;0),AND(R22&gt;0.01,Q22&gt;0)),"ì","è"))</f>
        <v>è</v>
      </c>
      <c r="T22" s="116">
        <f t="shared" ref="T22:T24" ca="1" si="6">IF(OR($I22="",L22=""),"-",IFERROR(($I22-L22),""))</f>
        <v>11869.409162132926</v>
      </c>
      <c r="U22" s="118">
        <f t="shared" ref="U22:U24" ca="1" si="7">IF(OR($L22=0,T22=0),"-",IF(ABS(T22/$L22)&gt;2,"-",T22/$L22))</f>
        <v>-1</v>
      </c>
      <c r="V22" s="119" t="str">
        <f t="shared" ref="V22:V29" ca="1" si="8">IF(OR(AND(U22&gt;0.01,T22&lt;0),AND(U22&lt;-0.01,T22&lt;0)),"î",IF(OR(AND(U22&lt;-0.01,T22&gt;0),AND(U22&gt;0.01,T22&gt;0)),"ì","è"))</f>
        <v>ì</v>
      </c>
      <c r="W22" s="114"/>
      <c r="X22" s="114"/>
      <c r="Y22" s="114"/>
      <c r="Z22" s="114"/>
      <c r="AA22" s="114"/>
      <c r="AB22" s="114"/>
      <c r="AC22" s="114"/>
    </row>
    <row r="23" spans="1:39" ht="22.5" customHeight="1">
      <c r="B23" s="132" t="s">
        <v>59</v>
      </c>
      <c r="C23" s="60" t="str">
        <f ca="1">_xll.DBRA(Server&amp;$C$20,$B23,$G$17)</f>
        <v>Coûts des accidents du travail</v>
      </c>
      <c r="D23" s="79"/>
      <c r="E23" s="79"/>
      <c r="F23" s="139" t="str">
        <f ca="1">_xll.DBRA(Server&amp;$C$20,$B23,$G$17)</f>
        <v>Coûts des accidents du travail</v>
      </c>
      <c r="G23" s="139"/>
      <c r="H23" s="115"/>
      <c r="I23" s="116">
        <f ca="1">_xll.DBRW(Server&amp;Cube1,$G$13,$G$14,$G$15,$G$16,$G$11,$G$12,I$18,I$1,$B23)</f>
        <v>-1041.2766348318812</v>
      </c>
      <c r="J23" s="116">
        <f ca="1">_xll.DBRW(Server&amp;Cube1,$G$13,$G$14,$G$15,$G$16,$G$11,$G$12,J$18,J$1,$B23)</f>
        <v>-5313.5951195920325</v>
      </c>
      <c r="K23" s="116">
        <f ca="1">_xll.DBRW(Server&amp;Cube1,$G$13,$G$14,$G$15,$G$16,$G$11,$G$12,K$18,K$1,$B23)</f>
        <v>0</v>
      </c>
      <c r="L23" s="116">
        <f ca="1">_xll.DBRW(Server&amp;Cube1,$G$13,$G$14,$G$15,$G$16,$G$11,$G$12,L$18,L$1,$B23)</f>
        <v>-979.27934104806752</v>
      </c>
      <c r="M23" s="117"/>
      <c r="N23" s="116">
        <f t="shared" ca="1" si="0"/>
        <v>4272.3184847601515</v>
      </c>
      <c r="O23" s="118">
        <f t="shared" ca="1" si="1"/>
        <v>-0.80403538256188622</v>
      </c>
      <c r="P23" s="123" t="str">
        <f t="shared" ca="1" si="2"/>
        <v>ì</v>
      </c>
      <c r="Q23" s="116">
        <f t="shared" ca="1" si="3"/>
        <v>-1041.2766348318812</v>
      </c>
      <c r="R23" s="118" t="str">
        <f t="shared" ca="1" si="4"/>
        <v>-</v>
      </c>
      <c r="S23" s="123" t="str">
        <f t="shared" ca="1" si="5"/>
        <v>î</v>
      </c>
      <c r="T23" s="116">
        <f t="shared" ca="1" si="6"/>
        <v>-61.997293783813689</v>
      </c>
      <c r="U23" s="118">
        <f t="shared" ca="1" si="7"/>
        <v>6.3309100054598805E-2</v>
      </c>
      <c r="V23" s="119" t="str">
        <f t="shared" ca="1" si="8"/>
        <v>î</v>
      </c>
      <c r="W23" s="26"/>
    </row>
    <row r="24" spans="1:39" ht="22.5" customHeight="1">
      <c r="B24" s="132" t="s">
        <v>104</v>
      </c>
      <c r="C24" s="60" t="str">
        <f ca="1">_xll.DBRA(Server&amp;$C$20,$B24,$G$17)</f>
        <v>Coûts des accidents du travail - assurance</v>
      </c>
      <c r="D24" s="79"/>
      <c r="E24" s="79"/>
      <c r="F24" s="139" t="str">
        <f ca="1">_xll.DBRA(Server&amp;$C$20,$B24,"Attribut " &amp;$G$17)</f>
        <v>Coût du risque (Coûts des accidents du travail - assurance)</v>
      </c>
      <c r="G24" s="139"/>
      <c r="H24" s="115"/>
      <c r="I24" s="116">
        <f ca="1">_xll.DBRW(Server&amp;Cube1,$G$13,$G$14,$G$15,$G$16,$G$11,$G$12,I$18,I$1,$B24)</f>
        <v>0</v>
      </c>
      <c r="J24" s="116">
        <f ca="1">_xll.DBRW(Server&amp;Cube1,$G$13,$G$14,$G$15,$G$16,$G$11,$G$12,J$18,J$1,$B24)</f>
        <v>-694.93847368421075</v>
      </c>
      <c r="K24" s="116">
        <f ca="1">_xll.DBRW(Server&amp;Cube1,$G$13,$G$14,$G$15,$G$16,$G$11,$G$12,K$18,K$1,$B24)</f>
        <v>0</v>
      </c>
      <c r="L24" s="116">
        <f ca="1">_xll.DBRW(Server&amp;Cube1,$G$13,$G$14,$G$15,$G$16,$G$11,$G$12,L$18,L$1,$B24)</f>
        <v>-770.35482941518546</v>
      </c>
      <c r="M24" s="117"/>
      <c r="N24" s="116">
        <f t="shared" ca="1" si="0"/>
        <v>694.93847368421075</v>
      </c>
      <c r="O24" s="118">
        <f t="shared" ca="1" si="1"/>
        <v>-1</v>
      </c>
      <c r="P24" s="123" t="str">
        <f t="shared" ca="1" si="2"/>
        <v>ì</v>
      </c>
      <c r="Q24" s="116">
        <f t="shared" ca="1" si="3"/>
        <v>0</v>
      </c>
      <c r="R24" s="118" t="str">
        <f t="shared" ca="1" si="4"/>
        <v>-</v>
      </c>
      <c r="S24" s="123" t="str">
        <f t="shared" ca="1" si="5"/>
        <v>è</v>
      </c>
      <c r="T24" s="116">
        <f t="shared" ca="1" si="6"/>
        <v>770.35482941518546</v>
      </c>
      <c r="U24" s="118">
        <f t="shared" ca="1" si="7"/>
        <v>-1</v>
      </c>
      <c r="V24" s="119" t="str">
        <f t="shared" ca="1" si="8"/>
        <v>ì</v>
      </c>
      <c r="W24" s="26"/>
    </row>
    <row r="25" spans="1:39" ht="22.5" customHeight="1">
      <c r="B25" s="132" t="s">
        <v>60</v>
      </c>
      <c r="C25" s="60" t="str">
        <f ca="1">_xll.DBRA(Server&amp;$C$20,$B25,$G$17)</f>
        <v>Frais de personnel (SC)</v>
      </c>
      <c r="D25" s="79"/>
      <c r="E25" s="79"/>
      <c r="F25" s="139" t="str">
        <f ca="1">_xll.DBRA(Server&amp;$C$20,$B25,"Attribut " &amp;$G$17)</f>
        <v>Service Clients</v>
      </c>
      <c r="G25" s="139"/>
      <c r="H25" s="115"/>
      <c r="I25" s="116">
        <f ca="1">_xll.DBRW(Server&amp;Cube1,$G$13,$G$14,$G$15,$G$16,$G$11,$G$12,I$18,I$1,$B25)</f>
        <v>-12217.599459361683</v>
      </c>
      <c r="J25" s="116">
        <f ca="1">_xll.DBRW(Server&amp;Cube1,$G$13,$G$14,$G$15,$G$16,$G$11,$G$12,J$18,J$1,$B25)</f>
        <v>-14331.291204984564</v>
      </c>
      <c r="K25" s="116">
        <f ca="1">_xll.DBRW(Server&amp;Cube1,$G$13,$G$14,$G$15,$G$16,$G$11,$G$12,K$18,K$1,$B25)</f>
        <v>0</v>
      </c>
      <c r="L25" s="116">
        <f ca="1">_xll.DBRW(Server&amp;Cube1,$G$13,$G$14,$G$15,$G$16,$G$11,$G$12,L$18,L$1,$B25)</f>
        <v>-13935.677350668537</v>
      </c>
      <c r="M25" s="117"/>
      <c r="N25" s="116">
        <f t="shared" ref="N25" ca="1" si="9">IF(OR($I25="",J25=""),"-",IFERROR(($I25-J25),""))</f>
        <v>2113.6917456228803</v>
      </c>
      <c r="O25" s="118">
        <f t="shared" ref="O25" ca="1" si="10">IF(OR($J25=0,N25=0),"-",IF(ABS(N25/$J25)&gt;2,"-",N25/$J25))</f>
        <v>-0.14748787917223519</v>
      </c>
      <c r="P25" s="123" t="str">
        <f t="shared" ca="1" si="2"/>
        <v>ì</v>
      </c>
      <c r="Q25" s="116">
        <f t="shared" ref="Q25" ca="1" si="11">IF(OR($I25="",K25=""),"-",IFERROR(($I25-K25),""))</f>
        <v>-12217.599459361683</v>
      </c>
      <c r="R25" s="118" t="str">
        <f t="shared" ref="R25" ca="1" si="12">IF(OR($K25=0,Q25=0),"-",IF(ABS(Q25/$K25)&gt;2,"-",Q25/$K25))</f>
        <v>-</v>
      </c>
      <c r="S25" s="123" t="str">
        <f t="shared" ca="1" si="5"/>
        <v>î</v>
      </c>
      <c r="T25" s="116">
        <f t="shared" ref="T25" ca="1" si="13">IF(OR($I25="",L25=""),"-",IFERROR(($I25-L25),""))</f>
        <v>1718.0778913068534</v>
      </c>
      <c r="U25" s="118">
        <f t="shared" ref="U25" ca="1" si="14">IF(OR($L25=0,T25=0),"-",IF(ABS(T25/$L25)&gt;2,"-",T25/$L25))</f>
        <v>-0.12328628512803735</v>
      </c>
      <c r="V25" s="119" t="str">
        <f t="shared" ca="1" si="8"/>
        <v>ì</v>
      </c>
      <c r="W25" s="26"/>
    </row>
    <row r="26" spans="1:39" ht="22.5" customHeight="1">
      <c r="B26" s="132" t="s">
        <v>54</v>
      </c>
      <c r="C26" s="60" t="str">
        <f ca="1">_xll.DBRA(Server&amp;$C$20,$B26,$G$17)</f>
        <v>Frais de personnel (CO)</v>
      </c>
      <c r="D26" s="79"/>
      <c r="E26" s="79"/>
      <c r="F26" s="139" t="str">
        <f ca="1">_xll.DBRA(Server&amp;$C$20,$B26,"Attribut " &amp;$G$17)</f>
        <v>Conduite et Opérations</v>
      </c>
      <c r="G26" s="139"/>
      <c r="H26" s="115"/>
      <c r="I26" s="116">
        <f ca="1">_xll.DBRW(Server&amp;Cube1,$G$13,$G$14,$G$15,$G$16,$G$11,$G$12,I$18,I$1,$B26)</f>
        <v>-290984.18756336439</v>
      </c>
      <c r="J26" s="116">
        <f ca="1">_xll.DBRW(Server&amp;Cube1,$G$13,$G$14,$G$15,$G$16,$G$11,$G$12,J$18,J$1,$B26)</f>
        <v>-396100.25019606826</v>
      </c>
      <c r="K26" s="116">
        <f ca="1">_xll.DBRW(Server&amp;Cube1,$G$13,$G$14,$G$15,$G$16,$G$11,$G$12,K$18,K$1,$B26)</f>
        <v>0</v>
      </c>
      <c r="L26" s="116">
        <f ca="1">_xll.DBRW(Server&amp;Cube1,$G$13,$G$14,$G$15,$G$16,$G$11,$G$12,L$18,L$1,$B26)</f>
        <v>-417908.37408209563</v>
      </c>
      <c r="M26" s="117"/>
      <c r="N26" s="116">
        <f t="shared" ref="N26:N29" ca="1" si="15">IF(OR($I26="",J26=""),"-",IFERROR(($I26-J26),""))</f>
        <v>105116.06263270386</v>
      </c>
      <c r="O26" s="118">
        <f t="shared" ref="O26:O29" ca="1" si="16">IF(OR($J26=0,N26=0),"-",IF(ABS(N26/$J26)&gt;2,"-",N26/$J26))</f>
        <v>-0.26537742044008245</v>
      </c>
      <c r="P26" s="123" t="str">
        <f t="shared" ca="1" si="2"/>
        <v>ì</v>
      </c>
      <c r="Q26" s="116">
        <f t="shared" ref="Q26:Q29" ca="1" si="17">IF(OR($I26="",K26=""),"-",IFERROR(($I26-K26),""))</f>
        <v>-290984.18756336439</v>
      </c>
      <c r="R26" s="118" t="str">
        <f t="shared" ref="R26:R29" ca="1" si="18">IF(OR($K26=0,Q26=0),"-",IF(ABS(Q26/$K26)&gt;2,"-",Q26/$K26))</f>
        <v>-</v>
      </c>
      <c r="S26" s="123" t="str">
        <f t="shared" ca="1" si="5"/>
        <v>î</v>
      </c>
      <c r="T26" s="116">
        <f t="shared" ref="T26:T29" ca="1" si="19">IF(OR($I26="",L26=""),"-",IFERROR(($I26-L26),""))</f>
        <v>126924.18651873124</v>
      </c>
      <c r="U26" s="118">
        <f t="shared" ref="U26:U29" ca="1" si="20">IF(OR($L26=0,T26=0),"-",IF(ABS(T26/$L26)&gt;2,"-",T26/$L26))</f>
        <v>-0.30371295334177184</v>
      </c>
      <c r="V26" s="119" t="str">
        <f t="shared" ca="1" si="8"/>
        <v>ì</v>
      </c>
      <c r="W26" s="26"/>
    </row>
    <row r="27" spans="1:39" ht="22.5" customHeight="1">
      <c r="B27" s="132" t="s">
        <v>61</v>
      </c>
      <c r="C27" s="60" t="str">
        <f ca="1">_xll.DBRA(Server&amp;$C$20,$B27,$G$17)</f>
        <v>Frais de personnel (SO)</v>
      </c>
      <c r="D27" s="79"/>
      <c r="E27" s="79"/>
      <c r="F27" s="139" t="str">
        <f ca="1">_xll.DBRA(Server&amp;$C$20,$B27,"Attribut " &amp;$G$17)</f>
        <v>Support aux opérations</v>
      </c>
      <c r="G27" s="139"/>
      <c r="H27" s="115"/>
      <c r="I27" s="116">
        <f ca="1">_xll.DBRW(Server&amp;Cube1,$G$13,$G$14,$G$15,$G$16,$G$11,$G$12,I$18,I$1,$B27)</f>
        <v>-55512.296267359307</v>
      </c>
      <c r="J27" s="116">
        <f ca="1">_xll.DBRW(Server&amp;Cube1,$G$13,$G$14,$G$15,$G$16,$G$11,$G$12,J$18,J$1,$B27)</f>
        <v>-73320.503067825834</v>
      </c>
      <c r="K27" s="116">
        <f ca="1">_xll.DBRW(Server&amp;Cube1,$G$13,$G$14,$G$15,$G$16,$G$11,$G$12,K$18,K$1,$B27)</f>
        <v>-343.50109999999995</v>
      </c>
      <c r="L27" s="116">
        <f ca="1">_xll.DBRW(Server&amp;Cube1,$G$13,$G$14,$G$15,$G$16,$G$11,$G$12,L$18,L$1,$B27)</f>
        <v>-80284.283085012197</v>
      </c>
      <c r="M27" s="117"/>
      <c r="N27" s="116">
        <f t="shared" ca="1" si="15"/>
        <v>17808.206800466527</v>
      </c>
      <c r="O27" s="118">
        <f t="shared" ca="1" si="16"/>
        <v>-0.24288167777562675</v>
      </c>
      <c r="P27" s="123" t="str">
        <f t="shared" ca="1" si="2"/>
        <v>ì</v>
      </c>
      <c r="Q27" s="116">
        <f t="shared" ca="1" si="17"/>
        <v>-55168.795167359305</v>
      </c>
      <c r="R27" s="118" t="str">
        <f t="shared" ca="1" si="18"/>
        <v>-</v>
      </c>
      <c r="S27" s="123" t="str">
        <f t="shared" ca="1" si="5"/>
        <v>î</v>
      </c>
      <c r="T27" s="116">
        <f t="shared" ca="1" si="19"/>
        <v>24771.986817652891</v>
      </c>
      <c r="U27" s="118">
        <f t="shared" ca="1" si="20"/>
        <v>-0.30855337889013829</v>
      </c>
      <c r="V27" s="119" t="str">
        <f t="shared" ca="1" si="8"/>
        <v>ì</v>
      </c>
      <c r="W27" s="26"/>
    </row>
    <row r="28" spans="1:39" ht="22.5" customHeight="1">
      <c r="B28" s="132" t="s">
        <v>57</v>
      </c>
      <c r="C28" s="60" t="str">
        <f ca="1">_xll.DBRA(Server&amp;$C$20,$B28,$G$17)</f>
        <v>Frais de personnel (MF)</v>
      </c>
      <c r="D28" s="79"/>
      <c r="E28" s="79"/>
      <c r="F28" s="139" t="str">
        <f ca="1">_xll.DBRA(Server&amp;$C$20,$B28,"Attribut " &amp;$G$17)</f>
        <v>Maintenance &amp; Nettoyage de la flotte</v>
      </c>
      <c r="G28" s="139"/>
      <c r="H28" s="115"/>
      <c r="I28" s="116">
        <f ca="1">_xll.DBRW(Server&amp;Cube1,$G$13,$G$14,$G$15,$G$16,$G$11,$G$12,I$18,I$1,$B28)</f>
        <v>-26404.929162870274</v>
      </c>
      <c r="J28" s="116">
        <f ca="1">_xll.DBRW(Server&amp;Cube1,$G$13,$G$14,$G$15,$G$16,$G$11,$G$12,J$18,J$1,$B28)</f>
        <v>-43811.686850365979</v>
      </c>
      <c r="K28" s="116">
        <f ca="1">_xll.DBRW(Server&amp;Cube1,$G$13,$G$14,$G$15,$G$16,$G$11,$G$12,K$18,K$1,$B28)</f>
        <v>0</v>
      </c>
      <c r="L28" s="116">
        <f ca="1">_xll.DBRW(Server&amp;Cube1,$G$13,$G$14,$G$15,$G$16,$G$11,$G$12,L$18,L$1,$B28)</f>
        <v>-43164.113226172369</v>
      </c>
      <c r="M28" s="117"/>
      <c r="N28" s="116">
        <f t="shared" ca="1" si="15"/>
        <v>17406.757687495705</v>
      </c>
      <c r="O28" s="118">
        <f t="shared" ca="1" si="16"/>
        <v>-0.39730854798963988</v>
      </c>
      <c r="P28" s="123" t="str">
        <f t="shared" ca="1" si="2"/>
        <v>ì</v>
      </c>
      <c r="Q28" s="116">
        <f t="shared" ca="1" si="17"/>
        <v>-26404.929162870274</v>
      </c>
      <c r="R28" s="118" t="str">
        <f t="shared" ca="1" si="18"/>
        <v>-</v>
      </c>
      <c r="S28" s="123" t="str">
        <f t="shared" ca="1" si="5"/>
        <v>î</v>
      </c>
      <c r="T28" s="116">
        <f t="shared" ca="1" si="19"/>
        <v>16759.184063302095</v>
      </c>
      <c r="U28" s="118">
        <f t="shared" ca="1" si="20"/>
        <v>-0.3882666134130201</v>
      </c>
      <c r="V28" s="119" t="str">
        <f t="shared" ca="1" si="8"/>
        <v>ì</v>
      </c>
      <c r="W28" s="26"/>
    </row>
    <row r="29" spans="1:39" ht="22.5" customHeight="1">
      <c r="B29" s="132" t="s">
        <v>58</v>
      </c>
      <c r="C29" s="60" t="str">
        <f ca="1">_xll.DBRA(Server&amp;$C$20,$B29,$G$17)</f>
        <v>Frais de personnel (MI)</v>
      </c>
      <c r="D29" s="79"/>
      <c r="E29" s="79"/>
      <c r="F29" s="139" t="str">
        <f ca="1">_xll.DBRA(Server&amp;$C$20,$B29,"Attribut " &amp;$G$17)</f>
        <v>Maintenance &amp; Nettoyage de l'infrastructure</v>
      </c>
      <c r="G29" s="139"/>
      <c r="H29" s="115"/>
      <c r="I29" s="116">
        <f ca="1">_xll.DBRW(Server&amp;Cube1,$G$13,$G$14,$G$15,$G$16,$G$11,$G$12,I$18,I$1,$B29)</f>
        <v>-2202.8212539338374</v>
      </c>
      <c r="J29" s="116">
        <f ca="1">_xll.DBRW(Server&amp;Cube1,$G$13,$G$14,$G$15,$G$16,$G$11,$G$12,J$18,J$1,$B29)</f>
        <v>-5459.8673561323358</v>
      </c>
      <c r="K29" s="116">
        <f ca="1">_xll.DBRW(Server&amp;Cube1,$G$13,$G$14,$G$15,$G$16,$G$11,$G$12,K$18,K$1,$B29)</f>
        <v>0</v>
      </c>
      <c r="L29" s="116">
        <f ca="1">_xll.DBRW(Server&amp;Cube1,$G$13,$G$14,$G$15,$G$16,$G$11,$G$12,L$18,L$1,$B29)</f>
        <v>-3432.6837218504088</v>
      </c>
      <c r="M29" s="117"/>
      <c r="N29" s="116">
        <f t="shared" ca="1" si="15"/>
        <v>3257.0461021984984</v>
      </c>
      <c r="O29" s="118">
        <f t="shared" ca="1" si="16"/>
        <v>-0.59654308241395204</v>
      </c>
      <c r="P29" s="123" t="str">
        <f t="shared" ca="1" si="2"/>
        <v>ì</v>
      </c>
      <c r="Q29" s="116">
        <f t="shared" ca="1" si="17"/>
        <v>-2202.8212539338374</v>
      </c>
      <c r="R29" s="118" t="str">
        <f t="shared" ca="1" si="18"/>
        <v>-</v>
      </c>
      <c r="S29" s="123" t="str">
        <f t="shared" ca="1" si="5"/>
        <v>î</v>
      </c>
      <c r="T29" s="116">
        <f t="shared" ca="1" si="19"/>
        <v>1229.8624679165714</v>
      </c>
      <c r="U29" s="118">
        <f t="shared" ca="1" si="20"/>
        <v>-0.35828015849173739</v>
      </c>
      <c r="V29" s="119" t="str">
        <f t="shared" ca="1" si="8"/>
        <v>ì</v>
      </c>
      <c r="W29" s="26"/>
    </row>
    <row r="30" spans="1:39" ht="22.5" customHeight="1">
      <c r="B30" s="132" t="s">
        <v>84</v>
      </c>
      <c r="C30" s="60" t="str">
        <f ca="1">_xll.DBRA(Server&amp;$C$20,$B30,$G$17)</f>
        <v>Réconciliation Vector ( TPL11) - Frais de personnel - Cash</v>
      </c>
      <c r="D30" s="79"/>
      <c r="E30" s="79"/>
      <c r="F30" s="139" t="str">
        <f ca="1">_xll.DBRA(Server&amp;$C$20,$B30,$G$17)</f>
        <v>Réconciliation Vector ( TPL11) - Frais de personnel - Cash</v>
      </c>
      <c r="G30" s="139"/>
      <c r="H30" s="115"/>
      <c r="I30" s="116">
        <f ca="1">_xll.DBRW(Server&amp;Cube1,$G$13,$G$14,$G$15,$G$16,$G$11,$G$12,I$18,I$1,$B30)</f>
        <v>-236837.20497896482</v>
      </c>
      <c r="J30" s="116">
        <f ca="1">_xll.DBRW(Server&amp;Cube1,$G$13,$G$14,$G$15,$G$16,$G$11,$G$12,J$18,J$1,$B30)</f>
        <v>-52033.978980317748</v>
      </c>
      <c r="K30" s="116">
        <f ca="1">_xll.DBRW(Server&amp;Cube1,$G$13,$G$14,$G$15,$G$16,$G$11,$G$12,K$18,K$1,$B30)</f>
        <v>343.50109999999995</v>
      </c>
      <c r="L30" s="116">
        <f ca="1">_xll.DBRW(Server&amp;Cube1,$G$13,$G$14,$G$15,$G$16,$G$11,$G$12,L$18,L$1,$B30)</f>
        <v>9897.7885882620812</v>
      </c>
      <c r="M30" s="117"/>
      <c r="N30" s="116">
        <f t="shared" ref="N30" ca="1" si="21">IF(OR($I30="",J30=""),"-",IFERROR(($I30-J30),""))</f>
        <v>-184803.22599864707</v>
      </c>
      <c r="O30" s="118" t="str">
        <f t="shared" ref="O30" ca="1" si="22">IF(OR($J30=0,N30=0),"-",IF(ABS(N30/$J30)&gt;2,"-",N30/$J30))</f>
        <v>-</v>
      </c>
      <c r="P30" s="123"/>
      <c r="Q30" s="116">
        <f t="shared" ref="Q30" ca="1" si="23">IF(OR($I30="",K30=""),"-",IFERROR(($I30-K30),""))</f>
        <v>-237180.70607896481</v>
      </c>
      <c r="R30" s="118" t="str">
        <f t="shared" ref="R30" ca="1" si="24">IF(OR($K30=0,Q30=0),"-",IF(ABS(Q30/$K30)&gt;2,"-",Q30/$K30))</f>
        <v>-</v>
      </c>
      <c r="S30" s="123"/>
      <c r="T30" s="116">
        <f t="shared" ref="T30" ca="1" si="25">IF(OR($I30="",L30=""),"-",IFERROR(($I30-L30),""))</f>
        <v>-246734.99356722689</v>
      </c>
      <c r="U30" s="118" t="str">
        <f t="shared" ref="U30" ca="1" si="26">IF(OR($L30=0,T30=0),"-",IF(ABS(T30/$L30)&gt;2,"-",T30/$L30))</f>
        <v>-</v>
      </c>
      <c r="V30" s="119"/>
      <c r="W30" s="26"/>
    </row>
    <row r="31" spans="1:39" ht="22.5" customHeight="1">
      <c r="B31" s="127"/>
      <c r="C31" s="60" t="str">
        <f ca="1">_xll.DBRA(Server&amp;$C$20,$B31,$G$17)</f>
        <v/>
      </c>
      <c r="D31" s="79"/>
      <c r="E31" s="79"/>
      <c r="F31" s="79"/>
      <c r="G31" s="79"/>
      <c r="H31" s="79"/>
      <c r="I31" s="79"/>
      <c r="J31" s="79"/>
      <c r="K31" s="79"/>
      <c r="L31" s="79"/>
      <c r="M31" s="79"/>
      <c r="N31" s="79"/>
      <c r="O31" s="79"/>
      <c r="P31" s="79"/>
      <c r="Q31" s="79"/>
      <c r="R31" s="79"/>
      <c r="S31" s="79"/>
      <c r="T31" s="79"/>
      <c r="U31" s="79"/>
      <c r="V31" s="79"/>
      <c r="W31" s="79"/>
      <c r="X31" s="79"/>
      <c r="Y31" s="79"/>
    </row>
    <row r="32" spans="1:39" ht="22.5" customHeight="1">
      <c r="B32" s="125" t="s">
        <v>79</v>
      </c>
      <c r="C32" s="60" t="str">
        <f ca="1">_xll.DBRA(Server&amp;$C$20,$B32,$G$17)</f>
        <v>COM - Frais de personnel - Cash</v>
      </c>
      <c r="D32" s="79"/>
      <c r="E32" s="79"/>
      <c r="F32" s="140" t="str">
        <f ca="1">_xll.DBRA(Server&amp;$C$20,$B32,$G$17)</f>
        <v>COM - Frais de personnel - Cash</v>
      </c>
      <c r="G32" s="140"/>
      <c r="H32" s="71"/>
      <c r="I32" s="120">
        <f ca="1">_xll.DBRW(Server&amp;Cube1,$G$13,$G$14,$G$15,$G$16,$G$11,$G$12,I$18,I$1,$B32)</f>
        <v>-5171.924062</v>
      </c>
      <c r="J32" s="120">
        <f ca="1">_xll.DBRW(Server&amp;Cube1,$G$13,$G$14,$G$15,$G$16,$G$11,$G$12,J$18,J$1,$B32)</f>
        <v>-5214.8065210000004</v>
      </c>
      <c r="K32" s="120">
        <f ca="1">_xll.DBRW(Server&amp;Cube1,$G$13,$G$14,$G$15,$G$16,$G$11,$G$12,K$18,K$1,$B32)</f>
        <v>0</v>
      </c>
      <c r="L32" s="120">
        <f ca="1">_xll.DBRW(Server&amp;Cube1,$G$13,$G$14,$G$15,$G$16,$G$11,$G$12,L$18,L$1,$B32)</f>
        <v>-5787.3482819999999</v>
      </c>
      <c r="M32" s="61"/>
      <c r="N32" s="120">
        <f ca="1">IF(OR($I32="",J32=""),"-",IFERROR(($I32-J32),""))</f>
        <v>42.882459000000381</v>
      </c>
      <c r="O32" s="121">
        <f ca="1">IF(OR($J32=0,N32=0),"-",IF(ABS(N32/$J32)&gt;2,"-",N32/$J32))</f>
        <v>-8.2232118923900484E-3</v>
      </c>
      <c r="P32" s="122" t="str">
        <f t="shared" ca="1" si="2"/>
        <v>è</v>
      </c>
      <c r="Q32" s="120">
        <f ca="1">IF(OR($I32="",K32=""),"-",IFERROR(($I32-K32),""))</f>
        <v>-5171.924062</v>
      </c>
      <c r="R32" s="121" t="str">
        <f ca="1">IF(OR($K32=0,Q32=0),"-",IF(ABS(Q32/$K32)&gt;2,"-",Q32/$K32))</f>
        <v>-</v>
      </c>
      <c r="S32" s="122" t="str">
        <f t="shared" ref="S32:S34" ca="1" si="27">IF(OR(AND(R32&gt;0.01,Q32&lt;0),AND(R32&lt;-0.01,Q32&lt;0)),"î",IF(OR(AND(R32&lt;-0.01,Q32&gt;0),AND(R32&gt;0.01,Q32&gt;0)),"ì","è"))</f>
        <v>î</v>
      </c>
      <c r="T32" s="120">
        <f ca="1">IF(OR($I32="",L32=""),"-",IFERROR(($I32-L32),""))</f>
        <v>615.42421999999988</v>
      </c>
      <c r="U32" s="121">
        <f ca="1">IF(OR($L32=0,T32=0),"-",IF(ABS(T32/$L32)&gt;2,"-",T32/$L32))</f>
        <v>-0.10633958594026774</v>
      </c>
      <c r="V32" s="72" t="str">
        <f t="shared" ref="V32:V34" ca="1" si="28">IF(OR(AND(U32&gt;0.01,T32&lt;0),AND(U32&lt;-0.01,T32&lt;0)),"î",IF(OR(AND(U32&lt;-0.01,T32&gt;0),AND(U32&gt;0.01,T32&gt;0)),"ì","è"))</f>
        <v>ì</v>
      </c>
    </row>
    <row r="33" spans="1:39" ht="22.5" customHeight="1">
      <c r="B33" s="132" t="s">
        <v>55</v>
      </c>
      <c r="C33" s="60" t="str">
        <f ca="1">_xll.DBRA(Server&amp;$C$20,$B33,$G$17)</f>
        <v>Frais de personnel (DD)</v>
      </c>
      <c r="D33" s="79"/>
      <c r="E33" s="79"/>
      <c r="F33" s="139" t="str">
        <f ca="1">_xll.DBRA(Server&amp;$C$20,$B33,$G$17)</f>
        <v>Frais de personnel (DD)</v>
      </c>
      <c r="G33" s="139"/>
      <c r="H33" s="115"/>
      <c r="I33" s="116">
        <f ca="1">_xll.DBRW(Server&amp;Cube1,$G$13,$G$14,$G$15,$G$16,$G$11,$G$12,I$18,I$1,$B33)</f>
        <v>-4096.7552062516515</v>
      </c>
      <c r="J33" s="116">
        <f ca="1">_xll.DBRW(Server&amp;Cube1,$G$13,$G$14,$G$15,$G$16,$G$11,$G$12,J$18,J$1,$B33)</f>
        <v>-2952.2240516676038</v>
      </c>
      <c r="K33" s="116">
        <f ca="1">_xll.DBRW(Server&amp;Cube1,$G$13,$G$14,$G$15,$G$16,$G$11,$G$12,K$18,K$1,$B33)</f>
        <v>-2218.2601899999995</v>
      </c>
      <c r="L33" s="116">
        <f ca="1">_xll.DBRW(Server&amp;Cube1,$G$13,$G$14,$G$15,$G$16,$G$11,$G$12,L$18,L$1,$B33)</f>
        <v>-5327.0214152398239</v>
      </c>
      <c r="M33" s="117"/>
      <c r="N33" s="116">
        <f t="shared" ref="N33:N34" ca="1" si="29">IF(OR($I33="",J33=""),"-",IFERROR(($I33-J33),""))</f>
        <v>-1144.5311545840477</v>
      </c>
      <c r="O33" s="118">
        <f t="shared" ref="O33:O34" ca="1" si="30">IF(OR($J33=0,N33=0),"-",IF(ABS(N33/$J33)&gt;2,"-",N33/$J33))</f>
        <v>0.38768438118290643</v>
      </c>
      <c r="P33" s="123" t="str">
        <f t="shared" ca="1" si="2"/>
        <v>î</v>
      </c>
      <c r="Q33" s="116">
        <f t="shared" ref="Q33:Q34" ca="1" si="31">IF(OR($I33="",K33=""),"-",IFERROR(($I33-K33),""))</f>
        <v>-1878.495016251652</v>
      </c>
      <c r="R33" s="118">
        <f t="shared" ref="R33:R34" ca="1" si="32">IF(OR($K33=0,Q33=0),"-",IF(ABS(Q33/$K33)&gt;2,"-",Q33/$K33))</f>
        <v>0.84683258741241374</v>
      </c>
      <c r="S33" s="123" t="str">
        <f t="shared" ca="1" si="27"/>
        <v>î</v>
      </c>
      <c r="T33" s="116">
        <f t="shared" ref="T33:T34" ca="1" si="33">IF(OR($I33="",L33=""),"-",IFERROR(($I33-L33),""))</f>
        <v>1230.2662089881724</v>
      </c>
      <c r="U33" s="118">
        <f t="shared" ref="U33:U34" ca="1" si="34">IF(OR($L33=0,T33=0),"-",IF(ABS(T33/$L33)&gt;2,"-",T33/$L33))</f>
        <v>-0.23094823787803104</v>
      </c>
      <c r="V33" s="119" t="str">
        <f t="shared" ca="1" si="28"/>
        <v>ì</v>
      </c>
      <c r="W33" s="26"/>
    </row>
    <row r="34" spans="1:39" s="28" customFormat="1" ht="22.5" customHeight="1">
      <c r="A34" s="62"/>
      <c r="B34" s="132" t="s">
        <v>88</v>
      </c>
      <c r="C34" s="60" t="str">
        <f ca="1">_xll.DBRA(Server&amp;$C$20,$B34,$G$17)</f>
        <v>Coûts d'assurance maladie (DD)</v>
      </c>
      <c r="D34" s="79"/>
      <c r="E34" s="79"/>
      <c r="F34" s="139" t="str">
        <f ca="1">_xll.DBRA(Server&amp;$C$20,$B34,$G$17)</f>
        <v>Coûts d'assurance maladie (DD)</v>
      </c>
      <c r="G34" s="139"/>
      <c r="H34" s="115"/>
      <c r="I34" s="116">
        <f ca="1">_xll.DBRW(Server&amp;Cube1,$G$13,$G$14,$G$15,$G$16,$G$11,$G$12,I$18,I$1,$B34)</f>
        <v>0</v>
      </c>
      <c r="J34" s="116">
        <f ca="1">_xll.DBRW(Server&amp;Cube1,$G$13,$G$14,$G$15,$G$16,$G$11,$G$12,J$18,J$1,$B34)</f>
        <v>-42.788964912280697</v>
      </c>
      <c r="K34" s="116">
        <f ca="1">_xll.DBRW(Server&amp;Cube1,$G$13,$G$14,$G$15,$G$16,$G$11,$G$12,K$18,K$1,$B34)</f>
        <v>0</v>
      </c>
      <c r="L34" s="116">
        <f ca="1">_xll.DBRW(Server&amp;Cube1,$G$13,$G$14,$G$15,$G$16,$G$11,$G$12,L$18,L$1,$B34)</f>
        <v>-96.337473141610261</v>
      </c>
      <c r="M34" s="117"/>
      <c r="N34" s="116">
        <f t="shared" ca="1" si="29"/>
        <v>42.788964912280697</v>
      </c>
      <c r="O34" s="118">
        <f t="shared" ca="1" si="30"/>
        <v>-1</v>
      </c>
      <c r="P34" s="123" t="str">
        <f t="shared" ca="1" si="2"/>
        <v>ì</v>
      </c>
      <c r="Q34" s="116">
        <f t="shared" ca="1" si="31"/>
        <v>0</v>
      </c>
      <c r="R34" s="118" t="str">
        <f t="shared" ca="1" si="32"/>
        <v>-</v>
      </c>
      <c r="S34" s="123" t="str">
        <f t="shared" ca="1" si="27"/>
        <v>è</v>
      </c>
      <c r="T34" s="116">
        <f t="shared" ca="1" si="33"/>
        <v>96.337473141610261</v>
      </c>
      <c r="U34" s="118">
        <f t="shared" ca="1" si="34"/>
        <v>-1</v>
      </c>
      <c r="V34" s="119" t="str">
        <f t="shared" ca="1" si="28"/>
        <v>ì</v>
      </c>
      <c r="W34" s="30"/>
      <c r="X34" s="30"/>
      <c r="Y34" s="30"/>
      <c r="Z34" s="17"/>
      <c r="AA34" s="30"/>
      <c r="AB34" s="30"/>
      <c r="AC34" s="30"/>
      <c r="AD34" s="30"/>
      <c r="AE34" s="30"/>
      <c r="AF34" s="30"/>
      <c r="AG34" s="30"/>
      <c r="AH34" s="30"/>
      <c r="AI34" s="30"/>
      <c r="AJ34" s="30"/>
      <c r="AK34" s="30"/>
      <c r="AL34" s="30"/>
      <c r="AM34" s="30"/>
    </row>
    <row r="35" spans="1:39" s="28" customFormat="1" ht="22.5" customHeight="1">
      <c r="A35" s="62"/>
      <c r="B35" s="132" t="s">
        <v>85</v>
      </c>
      <c r="C35" s="60" t="str">
        <f ca="1">_xll.DBRA(Server&amp;$C$20,$B35,$G$17)</f>
        <v>Réconciliation Vector (TPL12) - Frais de personnel - Cash</v>
      </c>
      <c r="D35" s="79"/>
      <c r="E35" s="79"/>
      <c r="F35" s="139" t="str">
        <f ca="1">_xll.DBRA(Server&amp;$C$20,$B35,$G$17)</f>
        <v>Réconciliation Vector (TPL12) - Frais de personnel - Cash</v>
      </c>
      <c r="G35" s="139"/>
      <c r="H35" s="115"/>
      <c r="I35" s="116">
        <f ca="1">_xll.DBRW(Server&amp;Cube1,$G$13,$G$14,$G$15,$G$16,$G$11,$G$12,I$18,I$1,$B35)</f>
        <v>-1075.168855748349</v>
      </c>
      <c r="J35" s="116">
        <f ca="1">_xll.DBRW(Server&amp;Cube1,$G$13,$G$14,$G$15,$G$16,$G$11,$G$12,J$18,J$1,$B35)</f>
        <v>-2219.7935044201158</v>
      </c>
      <c r="K35" s="116">
        <f ca="1">_xll.DBRW(Server&amp;Cube1,$G$13,$G$14,$G$15,$G$16,$G$11,$G$12,K$18,K$1,$B35)</f>
        <v>2218.2601899999995</v>
      </c>
      <c r="L35" s="116">
        <f ca="1">_xll.DBRW(Server&amp;Cube1,$G$13,$G$14,$G$15,$G$16,$G$11,$G$12,L$18,L$1,$B35)</f>
        <v>-363.98939361856537</v>
      </c>
      <c r="M35" s="117"/>
      <c r="N35" s="116">
        <f t="shared" ref="N35" ca="1" si="35">IF(OR($I35="",J35=""),"-",IFERROR(($I35-J35),""))</f>
        <v>1144.6246486717669</v>
      </c>
      <c r="O35" s="118">
        <f t="shared" ref="O35" ca="1" si="36">IF(OR($J35=0,N35=0),"-",IF(ABS(N35/$J35)&gt;2,"-",N35/$J35))</f>
        <v>-0.51564465180772801</v>
      </c>
      <c r="P35" s="123"/>
      <c r="Q35" s="116">
        <f t="shared" ref="Q35" ca="1" si="37">IF(OR($I35="",K35=""),"-",IFERROR(($I35-K35),""))</f>
        <v>-3293.4290457483485</v>
      </c>
      <c r="R35" s="118">
        <f t="shared" ref="R35" ca="1" si="38">IF(OR($K35=0,Q35=0),"-",IF(ABS(Q35/$K35)&gt;2,"-",Q35/$K35))</f>
        <v>-1.4846901461763822</v>
      </c>
      <c r="S35" s="123"/>
      <c r="T35" s="116">
        <f t="shared" ref="T35" ca="1" si="39">IF(OR($I35="",L35=""),"-",IFERROR(($I35-L35),""))</f>
        <v>-711.17946212978359</v>
      </c>
      <c r="U35" s="118">
        <f t="shared" ref="U35" ca="1" si="40">IF(OR($L35=0,T35=0),"-",IF(ABS(T35/$L35)&gt;2,"-",T35/$L35))</f>
        <v>1.9538466631119706</v>
      </c>
      <c r="V35" s="119"/>
      <c r="W35" s="30"/>
      <c r="X35" s="30"/>
      <c r="Y35" s="30"/>
      <c r="Z35" s="17"/>
      <c r="AA35" s="30"/>
      <c r="AB35" s="30"/>
      <c r="AC35" s="30"/>
      <c r="AD35" s="30"/>
      <c r="AE35" s="30"/>
      <c r="AF35" s="30"/>
      <c r="AG35" s="30"/>
      <c r="AH35" s="30"/>
      <c r="AI35" s="30"/>
      <c r="AJ35" s="30"/>
      <c r="AK35" s="30"/>
      <c r="AL35" s="30"/>
      <c r="AM35" s="30"/>
    </row>
    <row r="36" spans="1:39" s="28" customFormat="1" ht="22.5" customHeight="1">
      <c r="A36" s="62"/>
      <c r="B36" s="127"/>
      <c r="C36" s="60" t="str">
        <f ca="1">_xll.DBRA(Server&amp;$C$20,$B36,$G$17)</f>
        <v/>
      </c>
      <c r="D36" s="79"/>
      <c r="E36" s="79"/>
      <c r="F36" s="79"/>
      <c r="G36" s="79"/>
      <c r="H36" s="79"/>
      <c r="I36" s="79"/>
      <c r="J36" s="79"/>
      <c r="K36" s="79"/>
      <c r="L36" s="79"/>
      <c r="M36" s="79"/>
      <c r="N36" s="79"/>
      <c r="O36" s="79"/>
      <c r="P36" s="79"/>
      <c r="Q36" s="79"/>
      <c r="R36" s="79"/>
      <c r="S36" s="79"/>
      <c r="T36" s="79"/>
      <c r="U36" s="79"/>
      <c r="V36" s="79"/>
      <c r="W36" s="29"/>
      <c r="X36" s="30"/>
      <c r="Y36" s="30"/>
      <c r="Z36" s="17"/>
      <c r="AA36" s="30"/>
      <c r="AB36" s="30"/>
      <c r="AC36" s="30"/>
      <c r="AD36" s="30"/>
      <c r="AE36" s="30"/>
      <c r="AF36" s="30"/>
      <c r="AG36" s="30"/>
      <c r="AH36" s="30"/>
      <c r="AI36" s="30"/>
      <c r="AJ36" s="30"/>
      <c r="AK36" s="30"/>
      <c r="AL36" s="30"/>
      <c r="AM36" s="30"/>
    </row>
    <row r="37" spans="1:39" s="28" customFormat="1" ht="22.5" customHeight="1">
      <c r="A37" s="62"/>
      <c r="B37" s="125" t="s">
        <v>80</v>
      </c>
      <c r="C37" s="60" t="str">
        <f ca="1">_xll.DBRA(Server&amp;$C$20,$B37,$G$17)</f>
        <v>G&amp;A - Frais de personnel - Cash</v>
      </c>
      <c r="D37" s="79"/>
      <c r="E37" s="79"/>
      <c r="F37" s="140" t="str">
        <f ca="1">_xll.DBRA(Server&amp;$C$20,$B37,$G$17)</f>
        <v>G&amp;A - Frais de personnel - Cash</v>
      </c>
      <c r="G37" s="140"/>
      <c r="H37" s="71"/>
      <c r="I37" s="120">
        <f ca="1">_xll.DBRW(Server&amp;Cube1,$G$13,$G$14,$G$15,$G$16,$G$11,$G$12,I$18,I$1,$B37)</f>
        <v>-69112.387411999996</v>
      </c>
      <c r="J37" s="120">
        <f ca="1">_xll.DBRW(Server&amp;Cube1,$G$13,$G$14,$G$15,$G$16,$G$11,$G$12,J$18,J$1,$B37)</f>
        <v>-67654.121287999995</v>
      </c>
      <c r="K37" s="120">
        <f ca="1">_xll.DBRW(Server&amp;Cube1,$G$13,$G$14,$G$15,$G$16,$G$11,$G$12,K$18,K$1,$B37)</f>
        <v>9.3132257461547854E-13</v>
      </c>
      <c r="L37" s="120">
        <f ca="1">_xll.DBRW(Server&amp;Cube1,$G$13,$G$14,$G$15,$G$16,$G$11,$G$12,L$18,L$1,$B37)</f>
        <v>-61181.522195999998</v>
      </c>
      <c r="M37" s="61"/>
      <c r="N37" s="120">
        <f ca="1">IF(OR($I37="",J37=""),"-",IFERROR(($I37-J37),""))</f>
        <v>-1458.2661240000016</v>
      </c>
      <c r="O37" s="121">
        <f ca="1">IF(OR($J37=0,N37=0),"-",IF(ABS(N37/$J37)&gt;2,"-",N37/$J37))</f>
        <v>2.1554727136167216E-2</v>
      </c>
      <c r="P37" s="122" t="str">
        <f t="shared" ca="1" si="2"/>
        <v>î</v>
      </c>
      <c r="Q37" s="120">
        <f ca="1">IF(OR($I37="",K37=""),"-",IFERROR(($I37-K37),""))</f>
        <v>-69112.387411999996</v>
      </c>
      <c r="R37" s="121" t="str">
        <f ca="1">IF(OR($K37=0,Q37=0),"-",IF(ABS(Q37/$K37)&gt;2,"-",Q37/$K37))</f>
        <v>-</v>
      </c>
      <c r="S37" s="122" t="str">
        <f t="shared" ref="S37:S79" ca="1" si="41">IF(OR(AND(R37&gt;0.01,Q37&lt;0),AND(R37&lt;-0.01,Q37&lt;0)),"î",IF(OR(AND(R37&lt;-0.01,Q37&gt;0),AND(R37&gt;0.01,Q37&gt;0)),"ì","è"))</f>
        <v>î</v>
      </c>
      <c r="T37" s="120">
        <f ca="1">IF(OR($I37="",L37=""),"-",IFERROR(($I37-L37),""))</f>
        <v>-7930.8652159999983</v>
      </c>
      <c r="U37" s="121">
        <f ca="1">IF(OR($L37=0,T37=0),"-",IF(ABS(T37/$L37)&gt;2,"-",T37/$L37))</f>
        <v>0.12962843896875964</v>
      </c>
      <c r="V37" s="72" t="str">
        <f t="shared" ref="V37:V79" ca="1" si="42">IF(OR(AND(U37&gt;0.01,T37&lt;0),AND(U37&lt;-0.01,T37&lt;0)),"î",IF(OR(AND(U37&lt;-0.01,T37&gt;0),AND(U37&gt;0.01,T37&gt;0)),"ì","è"))</f>
        <v>î</v>
      </c>
      <c r="W37" s="30"/>
      <c r="X37" s="30"/>
      <c r="Y37" s="30"/>
      <c r="Z37" s="17"/>
      <c r="AA37" s="30"/>
      <c r="AB37" s="30"/>
      <c r="AC37" s="30"/>
      <c r="AD37" s="30"/>
      <c r="AE37" s="30"/>
      <c r="AF37" s="30"/>
      <c r="AG37" s="30"/>
      <c r="AH37" s="30"/>
      <c r="AI37" s="30"/>
      <c r="AJ37" s="30"/>
      <c r="AK37" s="30"/>
      <c r="AL37" s="30"/>
      <c r="AM37" s="30"/>
    </row>
    <row r="38" spans="1:39" ht="22.5" hidden="1" customHeight="1">
      <c r="B38" s="132" t="s">
        <v>72</v>
      </c>
      <c r="C38" s="60" t="str">
        <f ca="1">_xll.DBRA(Server&amp;$C$20,$B38,$G$17)</f>
        <v>Frais de personnel (COM)</v>
      </c>
      <c r="D38" s="79"/>
      <c r="E38" s="79"/>
      <c r="F38" s="147" t="str">
        <f ca="1">_xll.DBRA(Server&amp;$C$20,$B38,"Attribut " &amp;$G$17)</f>
        <v>Communication</v>
      </c>
      <c r="G38" s="147"/>
      <c r="H38" s="115"/>
      <c r="I38" s="116">
        <f ca="1">_xll.DBRW(Server&amp;Cube1,$G$13,$G$14,$G$15,$G$16,$G$11,$G$12,I$18,I$1,$B38)</f>
        <v>-1116.3393215467447</v>
      </c>
      <c r="J38" s="116">
        <f ca="1">_xll.DBRW(Server&amp;Cube1,$G$13,$G$14,$G$15,$G$16,$G$11,$G$12,J$18,J$1,$B38)</f>
        <v>-759.15742705363641</v>
      </c>
      <c r="K38" s="116">
        <f ca="1">_xll.DBRW(Server&amp;Cube1,$G$13,$G$14,$G$15,$G$16,$G$11,$G$12,K$18,K$1,$B38)</f>
        <v>-402.51566000000014</v>
      </c>
      <c r="L38" s="116">
        <f ca="1">_xll.DBRW(Server&amp;Cube1,$G$13,$G$14,$G$15,$G$16,$G$11,$G$12,L$18,L$1,$B38)</f>
        <v>-1627.3373666185646</v>
      </c>
      <c r="M38" s="117"/>
      <c r="N38" s="116">
        <f t="shared" ref="N38:N59" ca="1" si="43">IF(OR($I38="",J38=""),"-",IFERROR(($I38-J38),""))</f>
        <v>-357.1818944931083</v>
      </c>
      <c r="O38" s="118">
        <f t="shared" ref="O38:O59" ca="1" si="44">IF(OR($J38=0,N38=0),"-",IF(ABS(N38/$J38)&gt;2,"-",N38/$J38))</f>
        <v>0.47049779369131101</v>
      </c>
      <c r="P38" s="123" t="str">
        <f t="shared" ca="1" si="2"/>
        <v>î</v>
      </c>
      <c r="Q38" s="116">
        <f t="shared" ref="Q38:Q59" ca="1" si="45">IF(OR($I38="",K38=""),"-",IFERROR(($I38-K38),""))</f>
        <v>-713.82366154674457</v>
      </c>
      <c r="R38" s="118">
        <f t="shared" ref="R38:R59" ca="1" si="46">IF(OR($K38=0,Q38=0),"-",IF(ABS(Q38/$K38)&gt;2,"-",Q38/$K38))</f>
        <v>1.7734059379124387</v>
      </c>
      <c r="S38" s="123" t="str">
        <f t="shared" ca="1" si="41"/>
        <v>î</v>
      </c>
      <c r="T38" s="116">
        <f t="shared" ref="T38:T59" ca="1" si="47">IF(OR($I38="",L38=""),"-",IFERROR(($I38-L38),""))</f>
        <v>510.99804507181989</v>
      </c>
      <c r="U38" s="118">
        <f t="shared" ref="U38:U59" ca="1" si="48">IF(OR($L38=0,T38=0),"-",IF(ABS(T38/$L38)&gt;2,"-",T38/$L38))</f>
        <v>-0.3140086718057854</v>
      </c>
      <c r="V38" s="119" t="str">
        <f t="shared" ca="1" si="42"/>
        <v>ì</v>
      </c>
      <c r="W38" s="26"/>
    </row>
    <row r="39" spans="1:39" ht="22.5" hidden="1" customHeight="1">
      <c r="B39" s="132" t="s">
        <v>89</v>
      </c>
      <c r="C39" s="60" t="str">
        <f ca="1">_xll.DBRA(Server&amp;$C$20,$B39,$G$17)</f>
        <v>Coûts d'assurance maladie (COM)</v>
      </c>
      <c r="D39" s="79"/>
      <c r="E39" s="79"/>
      <c r="F39" s="139" t="str">
        <f ca="1">_xll.DBRA(Server&amp;$C$20,$B39,"Attribut " &amp;$G$17)</f>
        <v>Communication</v>
      </c>
      <c r="G39" s="139"/>
      <c r="H39" s="115"/>
      <c r="I39" s="116">
        <f ca="1">_xll.DBRW(Server&amp;Cube1,$G$13,$G$14,$G$15,$G$16,$G$11,$G$12,I$18,I$1,$B39)</f>
        <v>0</v>
      </c>
      <c r="J39" s="116">
        <f ca="1">_xll.DBRW(Server&amp;Cube1,$G$13,$G$14,$G$15,$G$16,$G$11,$G$12,J$18,J$1,$B39)</f>
        <v>0</v>
      </c>
      <c r="K39" s="116">
        <f ca="1">_xll.DBRW(Server&amp;Cube1,$G$13,$G$14,$G$15,$G$16,$G$11,$G$12,K$18,K$1,$B39)</f>
        <v>0</v>
      </c>
      <c r="L39" s="116">
        <f ca="1">_xll.DBRW(Server&amp;Cube1,$G$13,$G$14,$G$15,$G$16,$G$11,$G$12,L$18,L$1,$B39)</f>
        <v>0</v>
      </c>
      <c r="M39" s="117"/>
      <c r="N39" s="116">
        <f t="shared" ca="1" si="43"/>
        <v>0</v>
      </c>
      <c r="O39" s="118" t="str">
        <f t="shared" ca="1" si="44"/>
        <v>-</v>
      </c>
      <c r="P39" s="123" t="str">
        <f t="shared" ca="1" si="2"/>
        <v>è</v>
      </c>
      <c r="Q39" s="116">
        <f t="shared" ca="1" si="45"/>
        <v>0</v>
      </c>
      <c r="R39" s="118" t="str">
        <f t="shared" ca="1" si="46"/>
        <v>-</v>
      </c>
      <c r="S39" s="123" t="str">
        <f t="shared" ca="1" si="41"/>
        <v>è</v>
      </c>
      <c r="T39" s="116">
        <f t="shared" ca="1" si="47"/>
        <v>0</v>
      </c>
      <c r="U39" s="118" t="str">
        <f t="shared" ca="1" si="48"/>
        <v>-</v>
      </c>
      <c r="V39" s="119" t="str">
        <f t="shared" ca="1" si="42"/>
        <v>è</v>
      </c>
    </row>
    <row r="40" spans="1:39" ht="22.5" customHeight="1">
      <c r="B40" s="133" t="str">
        <f>B38&amp;"+"&amp;B39</f>
        <v>PL1310_CO_10+PL1310_CO_20</v>
      </c>
      <c r="C40" s="60"/>
      <c r="D40" s="79"/>
      <c r="E40" s="79"/>
      <c r="F40" s="131" t="str">
        <f ca="1">F39</f>
        <v>Communication</v>
      </c>
      <c r="G40" s="131"/>
      <c r="H40" s="115"/>
      <c r="I40" s="116">
        <f ca="1">SUM(I38:I39)</f>
        <v>-1116.3393215467447</v>
      </c>
      <c r="J40" s="116">
        <f t="shared" ref="J40:L40" ca="1" si="49">SUM(J38:J39)</f>
        <v>-759.15742705363641</v>
      </c>
      <c r="K40" s="116">
        <f t="shared" ca="1" si="49"/>
        <v>-402.51566000000014</v>
      </c>
      <c r="L40" s="116">
        <f t="shared" ca="1" si="49"/>
        <v>-1627.3373666185646</v>
      </c>
      <c r="M40" s="117"/>
      <c r="N40" s="116">
        <f t="shared" ref="N40" ca="1" si="50">IF(OR($I40="",J40=""),"-",IFERROR(($I40-J40),""))</f>
        <v>-357.1818944931083</v>
      </c>
      <c r="O40" s="118">
        <f t="shared" ref="O40" ca="1" si="51">IF(OR($J40=0,N40=0),"-",IF(ABS(N40/$J40)&gt;2,"-",N40/$J40))</f>
        <v>0.47049779369131101</v>
      </c>
      <c r="P40" s="123" t="str">
        <f t="shared" ca="1" si="2"/>
        <v>î</v>
      </c>
      <c r="Q40" s="116">
        <f t="shared" ref="Q40" ca="1" si="52">IF(OR($I40="",K40=""),"-",IFERROR(($I40-K40),""))</f>
        <v>-713.82366154674457</v>
      </c>
      <c r="R40" s="118">
        <f t="shared" ref="R40" ca="1" si="53">IF(OR($K40=0,Q40=0),"-",IF(ABS(Q40/$K40)&gt;2,"-",Q40/$K40))</f>
        <v>1.7734059379124387</v>
      </c>
      <c r="S40" s="123" t="str">
        <f t="shared" ca="1" si="41"/>
        <v>î</v>
      </c>
      <c r="T40" s="116">
        <f t="shared" ref="T40" ca="1" si="54">IF(OR($I40="",L40=""),"-",IFERROR(($I40-L40),""))</f>
        <v>510.99804507181989</v>
      </c>
      <c r="U40" s="118">
        <f t="shared" ref="U40" ca="1" si="55">IF(OR($L40=0,T40=0),"-",IF(ABS(T40/$L40)&gt;2,"-",T40/$L40))</f>
        <v>-0.3140086718057854</v>
      </c>
      <c r="V40" s="119" t="str">
        <f t="shared" ca="1" si="42"/>
        <v>ì</v>
      </c>
    </row>
    <row r="41" spans="1:39" ht="22.5" hidden="1" customHeight="1">
      <c r="B41" s="132" t="s">
        <v>62</v>
      </c>
      <c r="C41" s="60" t="str">
        <f ca="1">_xll.DBRA(Server&amp;$C$20,$B41,$G$17)</f>
        <v>Frais de personnel (FI)</v>
      </c>
      <c r="D41" s="79"/>
      <c r="E41" s="79"/>
      <c r="F41" s="139" t="str">
        <f ca="1">_xll.DBRA(Server&amp;$C$20,$B41,"Attribut " &amp;$G$17)</f>
        <v>Finance</v>
      </c>
      <c r="G41" s="139"/>
      <c r="H41" s="115"/>
      <c r="I41" s="116">
        <f ca="1">_xll.DBRW(Server&amp;Cube1,$G$13,$G$14,$G$15,$G$16,$G$11,$G$12,I$18,I$1,$B41)</f>
        <v>-4200.691698645177</v>
      </c>
      <c r="J41" s="116">
        <f ca="1">_xll.DBRW(Server&amp;Cube1,$G$13,$G$14,$G$15,$G$16,$G$11,$G$12,J$18,J$1,$B41)</f>
        <v>-4859.9435535427447</v>
      </c>
      <c r="K41" s="116">
        <f ca="1">_xll.DBRW(Server&amp;Cube1,$G$13,$G$14,$G$15,$G$16,$G$11,$G$12,K$18,K$1,$B41)</f>
        <v>-1298.6634100000001</v>
      </c>
      <c r="L41" s="116">
        <f ca="1">_xll.DBRW(Server&amp;Cube1,$G$13,$G$14,$G$15,$G$16,$G$11,$G$12,L$18,L$1,$B41)</f>
        <v>-5901.4598317067503</v>
      </c>
      <c r="M41" s="117"/>
      <c r="N41" s="116">
        <f t="shared" ca="1" si="43"/>
        <v>659.25185489756768</v>
      </c>
      <c r="O41" s="118">
        <f t="shared" ca="1" si="44"/>
        <v>-0.13565010532210689</v>
      </c>
      <c r="P41" s="123" t="str">
        <f t="shared" ca="1" si="2"/>
        <v>ì</v>
      </c>
      <c r="Q41" s="116">
        <f t="shared" ca="1" si="45"/>
        <v>-2902.0282886451769</v>
      </c>
      <c r="R41" s="118" t="str">
        <f t="shared" ca="1" si="46"/>
        <v>-</v>
      </c>
      <c r="S41" s="123" t="str">
        <f t="shared" ca="1" si="41"/>
        <v>î</v>
      </c>
      <c r="T41" s="116">
        <f t="shared" ca="1" si="47"/>
        <v>1700.7681330615733</v>
      </c>
      <c r="U41" s="118">
        <f t="shared" ca="1" si="48"/>
        <v>-0.28819447756364669</v>
      </c>
      <c r="V41" s="119" t="str">
        <f t="shared" ca="1" si="42"/>
        <v>ì</v>
      </c>
    </row>
    <row r="42" spans="1:39" ht="22.5" hidden="1" customHeight="1">
      <c r="B42" s="132" t="s">
        <v>90</v>
      </c>
      <c r="C42" s="60" t="str">
        <f ca="1">_xll.DBRA(Server&amp;$C$20,$B42,$G$17)</f>
        <v>Coûts d'assurance maladie (FI)</v>
      </c>
      <c r="D42" s="79"/>
      <c r="E42" s="79"/>
      <c r="F42" s="139" t="str">
        <f ca="1">_xll.DBRA(Server&amp;$C$20,$B42,"Attribut " &amp;$G$17)</f>
        <v>Finance</v>
      </c>
      <c r="G42" s="139"/>
      <c r="H42" s="115"/>
      <c r="I42" s="116">
        <f ca="1">_xll.DBRW(Server&amp;Cube1,$G$13,$G$14,$G$15,$G$16,$G$11,$G$12,I$18,I$1,$B42)</f>
        <v>0</v>
      </c>
      <c r="J42" s="116">
        <f ca="1">_xll.DBRW(Server&amp;Cube1,$G$13,$G$14,$G$15,$G$16,$G$11,$G$12,J$18,J$1,$B42)</f>
        <v>-44.197543859649116</v>
      </c>
      <c r="K42" s="116">
        <f ca="1">_xll.DBRW(Server&amp;Cube1,$G$13,$G$14,$G$15,$G$16,$G$11,$G$12,K$18,K$1,$B42)</f>
        <v>0</v>
      </c>
      <c r="L42" s="116">
        <f ca="1">_xll.DBRW(Server&amp;Cube1,$G$13,$G$14,$G$15,$G$16,$G$11,$G$12,L$18,L$1,$B42)</f>
        <v>-46.666300648817874</v>
      </c>
      <c r="M42" s="117"/>
      <c r="N42" s="116">
        <f t="shared" ca="1" si="43"/>
        <v>44.197543859649116</v>
      </c>
      <c r="O42" s="118">
        <f t="shared" ca="1" si="44"/>
        <v>-1</v>
      </c>
      <c r="P42" s="123" t="str">
        <f t="shared" ca="1" si="2"/>
        <v>ì</v>
      </c>
      <c r="Q42" s="116">
        <f t="shared" ca="1" si="45"/>
        <v>0</v>
      </c>
      <c r="R42" s="118" t="str">
        <f t="shared" ca="1" si="46"/>
        <v>-</v>
      </c>
      <c r="S42" s="123" t="str">
        <f t="shared" ca="1" si="41"/>
        <v>è</v>
      </c>
      <c r="T42" s="116">
        <f t="shared" ca="1" si="47"/>
        <v>46.666300648817874</v>
      </c>
      <c r="U42" s="118">
        <f t="shared" ca="1" si="48"/>
        <v>-1</v>
      </c>
      <c r="V42" s="119" t="str">
        <f t="shared" ca="1" si="42"/>
        <v>ì</v>
      </c>
    </row>
    <row r="43" spans="1:39" ht="22.5" customHeight="1">
      <c r="B43" s="133" t="str">
        <f>B41&amp;"+"&amp;B42</f>
        <v>PL1310_FI_10+PL1310_FI_20</v>
      </c>
      <c r="C43" s="60"/>
      <c r="D43" s="79"/>
      <c r="E43" s="79"/>
      <c r="F43" s="131" t="str">
        <f ca="1">F42</f>
        <v>Finance</v>
      </c>
      <c r="G43" s="131"/>
      <c r="H43" s="115"/>
      <c r="I43" s="116">
        <f ca="1">SUM(I41:I42)</f>
        <v>-4200.691698645177</v>
      </c>
      <c r="J43" s="116">
        <f t="shared" ref="J43" ca="1" si="56">SUM(J41:J42)</f>
        <v>-4904.1410974023938</v>
      </c>
      <c r="K43" s="116">
        <f t="shared" ref="K43" ca="1" si="57">SUM(K41:K42)</f>
        <v>-1298.6634100000001</v>
      </c>
      <c r="L43" s="116">
        <f t="shared" ref="L43" ca="1" si="58">SUM(L41:L42)</f>
        <v>-5948.1261323555682</v>
      </c>
      <c r="M43" s="117"/>
      <c r="N43" s="116">
        <f t="shared" ca="1" si="43"/>
        <v>703.44939875721684</v>
      </c>
      <c r="O43" s="118">
        <f t="shared" ca="1" si="44"/>
        <v>-0.14343987760258717</v>
      </c>
      <c r="P43" s="123" t="str">
        <f t="shared" ca="1" si="2"/>
        <v>ì</v>
      </c>
      <c r="Q43" s="116">
        <f t="shared" ca="1" si="45"/>
        <v>-2902.0282886451769</v>
      </c>
      <c r="R43" s="118" t="str">
        <f t="shared" ca="1" si="46"/>
        <v>-</v>
      </c>
      <c r="S43" s="123" t="str">
        <f t="shared" ca="1" si="41"/>
        <v>î</v>
      </c>
      <c r="T43" s="116">
        <f t="shared" ca="1" si="47"/>
        <v>1747.4344337103912</v>
      </c>
      <c r="U43" s="118">
        <f t="shared" ca="1" si="48"/>
        <v>-0.29377898094746263</v>
      </c>
      <c r="V43" s="119" t="str">
        <f t="shared" ca="1" si="42"/>
        <v>ì</v>
      </c>
    </row>
    <row r="44" spans="1:39" ht="22.5" hidden="1" customHeight="1">
      <c r="B44" s="132" t="s">
        <v>66</v>
      </c>
      <c r="C44" s="60" t="str">
        <f ca="1">_xll.DBRA(Server&amp;$C$20,$B44,$G$17)</f>
        <v>Frais de personnel (DI)</v>
      </c>
      <c r="D44" s="79"/>
      <c r="E44" s="79"/>
      <c r="F44" s="139" t="str">
        <f ca="1">_xll.DBRA(Server&amp;$C$20,$B44,"Attribut " &amp;$G$17)</f>
        <v>Direction</v>
      </c>
      <c r="G44" s="139"/>
      <c r="H44" s="115"/>
      <c r="I44" s="116">
        <f ca="1">_xll.DBRW(Server&amp;Cube1,$G$13,$G$14,$G$15,$G$16,$G$11,$G$12,I$18,I$1,$B44)</f>
        <v>-31960.543123336782</v>
      </c>
      <c r="J44" s="116">
        <f ca="1">_xll.DBRW(Server&amp;Cube1,$G$13,$G$14,$G$15,$G$16,$G$11,$G$12,J$18,J$1,$B44)</f>
        <v>-32299.851357755488</v>
      </c>
      <c r="K44" s="116">
        <f ca="1">_xll.DBRW(Server&amp;Cube1,$G$13,$G$14,$G$15,$G$16,$G$11,$G$12,K$18,K$1,$B44)</f>
        <v>-1212.5606200000002</v>
      </c>
      <c r="L44" s="116">
        <f ca="1">_xll.DBRW(Server&amp;Cube1,$G$13,$G$14,$G$15,$G$16,$G$11,$G$12,L$18,L$1,$B44)</f>
        <v>-30692.480801301321</v>
      </c>
      <c r="M44" s="117"/>
      <c r="N44" s="116">
        <f t="shared" ca="1" si="43"/>
        <v>339.30823441870598</v>
      </c>
      <c r="O44" s="118">
        <f t="shared" ca="1" si="44"/>
        <v>-1.0504947241413078E-2</v>
      </c>
      <c r="P44" s="123" t="str">
        <f t="shared" ca="1" si="2"/>
        <v>ì</v>
      </c>
      <c r="Q44" s="116">
        <f t="shared" ca="1" si="45"/>
        <v>-30747.982503336782</v>
      </c>
      <c r="R44" s="118" t="str">
        <f t="shared" ca="1" si="46"/>
        <v>-</v>
      </c>
      <c r="S44" s="123" t="str">
        <f t="shared" ca="1" si="41"/>
        <v>î</v>
      </c>
      <c r="T44" s="116">
        <f t="shared" ca="1" si="47"/>
        <v>-1268.062322035461</v>
      </c>
      <c r="U44" s="118">
        <f t="shared" ca="1" si="48"/>
        <v>4.1315080727579924E-2</v>
      </c>
      <c r="V44" s="119" t="str">
        <f t="shared" ca="1" si="42"/>
        <v>î</v>
      </c>
    </row>
    <row r="45" spans="1:39" ht="22.5" hidden="1" customHeight="1">
      <c r="B45" s="132" t="s">
        <v>91</v>
      </c>
      <c r="C45" s="60" t="str">
        <f ca="1">_xll.DBRA(Server&amp;$C$20,$B45,$G$17)</f>
        <v>Coûts d'assurance maladie (G&amp;A)</v>
      </c>
      <c r="D45" s="79"/>
      <c r="E45" s="79"/>
      <c r="F45" s="139" t="str">
        <f ca="1">_xll.DBRA(Server&amp;$C$20,$B45,"Attribut " &amp;$G$17)</f>
        <v/>
      </c>
      <c r="G45" s="139"/>
      <c r="H45" s="115"/>
      <c r="I45" s="116">
        <f ca="1">_xll.DBRW(Server&amp;Cube1,$G$13,$G$14,$G$15,$G$16,$G$11,$G$12,I$18,I$1,$B45)</f>
        <v>0</v>
      </c>
      <c r="J45" s="116">
        <f ca="1">_xll.DBRW(Server&amp;Cube1,$G$13,$G$14,$G$15,$G$16,$G$11,$G$12,J$18,J$1,$B45)</f>
        <v>-288.36034493111976</v>
      </c>
      <c r="K45" s="116">
        <f ca="1">_xll.DBRW(Server&amp;Cube1,$G$13,$G$14,$G$15,$G$16,$G$11,$G$12,K$18,K$1,$B45)</f>
        <v>0</v>
      </c>
      <c r="L45" s="116">
        <f ca="1">_xll.DBRW(Server&amp;Cube1,$G$13,$G$14,$G$15,$G$16,$G$11,$G$12,L$18,L$1,$B45)</f>
        <v>-221.9110499646861</v>
      </c>
      <c r="M45" s="117"/>
      <c r="N45" s="116">
        <f t="shared" ca="1" si="43"/>
        <v>288.36034493111976</v>
      </c>
      <c r="O45" s="118">
        <f t="shared" ca="1" si="44"/>
        <v>-1</v>
      </c>
      <c r="P45" s="123" t="str">
        <f t="shared" ca="1" si="2"/>
        <v>ì</v>
      </c>
      <c r="Q45" s="116">
        <f t="shared" ca="1" si="45"/>
        <v>0</v>
      </c>
      <c r="R45" s="118" t="str">
        <f t="shared" ca="1" si="46"/>
        <v>-</v>
      </c>
      <c r="S45" s="123" t="str">
        <f t="shared" ca="1" si="41"/>
        <v>è</v>
      </c>
      <c r="T45" s="116">
        <f t="shared" ca="1" si="47"/>
        <v>221.9110499646861</v>
      </c>
      <c r="U45" s="118">
        <f t="shared" ca="1" si="48"/>
        <v>-1</v>
      </c>
      <c r="V45" s="119" t="str">
        <f t="shared" ca="1" si="42"/>
        <v>ì</v>
      </c>
    </row>
    <row r="46" spans="1:39" ht="22.5" customHeight="1">
      <c r="B46" s="133" t="str">
        <f>B44&amp;"+"&amp;B45</f>
        <v>PL1310_GM_10+PL1310_GM_20</v>
      </c>
      <c r="C46" s="60"/>
      <c r="D46" s="79"/>
      <c r="E46" s="79"/>
      <c r="F46" s="131" t="str">
        <f ca="1">F44</f>
        <v>Direction</v>
      </c>
      <c r="G46" s="131"/>
      <c r="H46" s="115"/>
      <c r="I46" s="116">
        <f ca="1">SUM(I44:I45)</f>
        <v>-31960.543123336782</v>
      </c>
      <c r="J46" s="116">
        <f t="shared" ref="J46" ca="1" si="59">SUM(J44:J45)</f>
        <v>-32588.211702686607</v>
      </c>
      <c r="K46" s="116">
        <f t="shared" ref="K46" ca="1" si="60">SUM(K44:K45)</f>
        <v>-1212.5606200000002</v>
      </c>
      <c r="L46" s="116">
        <f t="shared" ref="L46" ca="1" si="61">SUM(L44:L45)</f>
        <v>-30914.391851266006</v>
      </c>
      <c r="M46" s="117"/>
      <c r="N46" s="116">
        <f t="shared" ca="1" si="43"/>
        <v>627.66857934982545</v>
      </c>
      <c r="O46" s="118">
        <f t="shared" ca="1" si="44"/>
        <v>-1.9260602118221778E-2</v>
      </c>
      <c r="P46" s="123" t="str">
        <f t="shared" ca="1" si="2"/>
        <v>ì</v>
      </c>
      <c r="Q46" s="116">
        <f t="shared" ca="1" si="45"/>
        <v>-30747.982503336782</v>
      </c>
      <c r="R46" s="118" t="str">
        <f t="shared" ca="1" si="46"/>
        <v>-</v>
      </c>
      <c r="S46" s="123" t="str">
        <f t="shared" ca="1" si="41"/>
        <v>î</v>
      </c>
      <c r="T46" s="116">
        <f t="shared" ca="1" si="47"/>
        <v>-1046.151272070776</v>
      </c>
      <c r="U46" s="118">
        <f t="shared" ca="1" si="48"/>
        <v>3.3840266924996427E-2</v>
      </c>
      <c r="V46" s="119" t="str">
        <f t="shared" ca="1" si="42"/>
        <v>î</v>
      </c>
    </row>
    <row r="47" spans="1:39" ht="22.5" hidden="1" customHeight="1">
      <c r="B47" s="132" t="s">
        <v>74</v>
      </c>
      <c r="C47" s="60" t="str">
        <f ca="1">_xll.DBRA(Server&amp;$C$20,$B47,$G$17)</f>
        <v>Frais de personnel (SG)</v>
      </c>
      <c r="D47" s="79"/>
      <c r="E47" s="79"/>
      <c r="F47" s="139" t="str">
        <f ca="1">_xll.DBRA(Server&amp;$C$20,$B47,"Attribut " &amp;$G$17)</f>
        <v>Service Généraux</v>
      </c>
      <c r="G47" s="139"/>
      <c r="H47" s="115"/>
      <c r="I47" s="116">
        <f ca="1">_xll.DBRW(Server&amp;Cube1,$G$13,$G$14,$G$15,$G$16,$G$11,$G$12,I$18,I$1,$B47)</f>
        <v>-90.89171917275948</v>
      </c>
      <c r="J47" s="116">
        <f ca="1">_xll.DBRW(Server&amp;Cube1,$G$13,$G$14,$G$15,$G$16,$G$11,$G$12,J$18,J$1,$B47)</f>
        <v>-80.866994074074057</v>
      </c>
      <c r="K47" s="116">
        <f ca="1">_xll.DBRW(Server&amp;Cube1,$G$13,$G$14,$G$15,$G$16,$G$11,$G$12,K$18,K$1,$B47)</f>
        <v>-8.7201299999999975</v>
      </c>
      <c r="L47" s="116">
        <f ca="1">_xll.DBRW(Server&amp;Cube1,$G$13,$G$14,$G$15,$G$16,$G$11,$G$12,L$18,L$1,$B47)</f>
        <v>-76.060999021045802</v>
      </c>
      <c r="M47" s="117"/>
      <c r="N47" s="116">
        <f t="shared" ca="1" si="43"/>
        <v>-10.024725098685423</v>
      </c>
      <c r="O47" s="118">
        <f t="shared" ca="1" si="44"/>
        <v>0.12396559577202521</v>
      </c>
      <c r="P47" s="123" t="str">
        <f t="shared" ca="1" si="2"/>
        <v>î</v>
      </c>
      <c r="Q47" s="116">
        <f t="shared" ca="1" si="45"/>
        <v>-82.171589172759482</v>
      </c>
      <c r="R47" s="118" t="str">
        <f t="shared" ca="1" si="46"/>
        <v>-</v>
      </c>
      <c r="S47" s="123" t="str">
        <f t="shared" ca="1" si="41"/>
        <v>î</v>
      </c>
      <c r="T47" s="116">
        <f t="shared" ca="1" si="47"/>
        <v>-14.830720151713678</v>
      </c>
      <c r="U47" s="118">
        <f t="shared" ca="1" si="48"/>
        <v>0.19498455637704773</v>
      </c>
      <c r="V47" s="119" t="str">
        <f t="shared" ca="1" si="42"/>
        <v>î</v>
      </c>
    </row>
    <row r="48" spans="1:39" ht="22.5" hidden="1" customHeight="1">
      <c r="B48" s="132" t="s">
        <v>92</v>
      </c>
      <c r="C48" s="60" t="str">
        <f ca="1">_xll.DBRA(Server&amp;$C$20,$B48,$G$17)</f>
        <v>Coûts d'assurance maladie (SG)</v>
      </c>
      <c r="D48" s="79"/>
      <c r="E48" s="79"/>
      <c r="F48" s="139" t="str">
        <f ca="1">_xll.DBRA(Server&amp;$C$20,$B48,"Attribut " &amp;$G$17)</f>
        <v>Service Généraux</v>
      </c>
      <c r="G48" s="139"/>
      <c r="H48" s="115"/>
      <c r="I48" s="116">
        <f ca="1">_xll.DBRW(Server&amp;Cube1,$G$13,$G$14,$G$15,$G$16,$G$11,$G$12,I$18,I$1,$B48)</f>
        <v>0</v>
      </c>
      <c r="J48" s="116">
        <f ca="1">_xll.DBRW(Server&amp;Cube1,$G$13,$G$14,$G$15,$G$16,$G$11,$G$12,J$18,J$1,$B48)</f>
        <v>0</v>
      </c>
      <c r="K48" s="116">
        <f ca="1">_xll.DBRW(Server&amp;Cube1,$G$13,$G$14,$G$15,$G$16,$G$11,$G$12,K$18,K$1,$B48)</f>
        <v>0</v>
      </c>
      <c r="L48" s="116">
        <f ca="1">_xll.DBRW(Server&amp;Cube1,$G$13,$G$14,$G$15,$G$16,$G$11,$G$12,L$18,L$1,$B48)</f>
        <v>0</v>
      </c>
      <c r="M48" s="117"/>
      <c r="N48" s="116">
        <f t="shared" ca="1" si="43"/>
        <v>0</v>
      </c>
      <c r="O48" s="118" t="str">
        <f t="shared" ca="1" si="44"/>
        <v>-</v>
      </c>
      <c r="P48" s="123" t="str">
        <f t="shared" ca="1" si="2"/>
        <v>è</v>
      </c>
      <c r="Q48" s="116">
        <f t="shared" ca="1" si="45"/>
        <v>0</v>
      </c>
      <c r="R48" s="118" t="str">
        <f t="shared" ca="1" si="46"/>
        <v>-</v>
      </c>
      <c r="S48" s="123" t="str">
        <f t="shared" ca="1" si="41"/>
        <v>è</v>
      </c>
      <c r="T48" s="116">
        <f t="shared" ca="1" si="47"/>
        <v>0</v>
      </c>
      <c r="U48" s="118" t="str">
        <f t="shared" ca="1" si="48"/>
        <v>-</v>
      </c>
      <c r="V48" s="119" t="str">
        <f t="shared" ca="1" si="42"/>
        <v>è</v>
      </c>
    </row>
    <row r="49" spans="2:23" ht="22.5" customHeight="1">
      <c r="B49" s="133" t="str">
        <f>B47&amp;"+"&amp;B48</f>
        <v>PL1310_GS_10+PL1310_GS_20</v>
      </c>
      <c r="C49" s="60"/>
      <c r="D49" s="79"/>
      <c r="E49" s="79"/>
      <c r="F49" s="131" t="str">
        <f ca="1">F48</f>
        <v>Service Généraux</v>
      </c>
      <c r="G49" s="131"/>
      <c r="H49" s="115"/>
      <c r="I49" s="116">
        <f ca="1">SUM(I47:I48)</f>
        <v>-90.89171917275948</v>
      </c>
      <c r="J49" s="116">
        <f t="shared" ref="J49" ca="1" si="62">SUM(J47:J48)</f>
        <v>-80.866994074074057</v>
      </c>
      <c r="K49" s="116">
        <f t="shared" ref="K49" ca="1" si="63">SUM(K47:K48)</f>
        <v>-8.7201299999999975</v>
      </c>
      <c r="L49" s="116">
        <f t="shared" ref="L49" ca="1" si="64">SUM(L47:L48)</f>
        <v>-76.060999021045802</v>
      </c>
      <c r="M49" s="117"/>
      <c r="N49" s="116">
        <f t="shared" ca="1" si="43"/>
        <v>-10.024725098685423</v>
      </c>
      <c r="O49" s="118">
        <f t="shared" ca="1" si="44"/>
        <v>0.12396559577202521</v>
      </c>
      <c r="P49" s="123" t="str">
        <f t="shared" ca="1" si="2"/>
        <v>î</v>
      </c>
      <c r="Q49" s="116">
        <f t="shared" ca="1" si="45"/>
        <v>-82.171589172759482</v>
      </c>
      <c r="R49" s="118" t="str">
        <f t="shared" ca="1" si="46"/>
        <v>-</v>
      </c>
      <c r="S49" s="123" t="str">
        <f t="shared" ca="1" si="41"/>
        <v>î</v>
      </c>
      <c r="T49" s="116">
        <f t="shared" ca="1" si="47"/>
        <v>-14.830720151713678</v>
      </c>
      <c r="U49" s="118">
        <f t="shared" ca="1" si="48"/>
        <v>0.19498455637704773</v>
      </c>
      <c r="V49" s="119" t="str">
        <f t="shared" ca="1" si="42"/>
        <v>î</v>
      </c>
    </row>
    <row r="50" spans="2:23" ht="22.5" hidden="1" customHeight="1">
      <c r="B50" s="132" t="s">
        <v>65</v>
      </c>
      <c r="C50" s="60" t="str">
        <f ca="1">_xll.DBRA(Server&amp;$C$20,$B50,$G$17)</f>
        <v>Frais de personnel (RH)</v>
      </c>
      <c r="F50" s="139" t="str">
        <f ca="1">_xll.DBRA(Server&amp;$C$20,$B50,"Attribut " &amp;$G$17)</f>
        <v>DRH</v>
      </c>
      <c r="G50" s="139"/>
      <c r="H50" s="115"/>
      <c r="I50" s="116">
        <f ca="1">_xll.DBRW(Server&amp;Cube1,$G$13,$G$14,$G$15,$G$16,$G$11,$G$12,I$18,I$1,$B50)</f>
        <v>-3738.7625674144465</v>
      </c>
      <c r="J50" s="116">
        <f ca="1">_xll.DBRW(Server&amp;Cube1,$G$13,$G$14,$G$15,$G$16,$G$11,$G$12,J$18,J$1,$B50)</f>
        <v>-4518.8405975859487</v>
      </c>
      <c r="K50" s="116">
        <f ca="1">_xll.DBRW(Server&amp;Cube1,$G$13,$G$14,$G$15,$G$16,$G$11,$G$12,K$18,K$1,$B50)</f>
        <v>-945.01289000000008</v>
      </c>
      <c r="L50" s="116">
        <f ca="1">_xll.DBRW(Server&amp;Cube1,$G$13,$G$14,$G$15,$G$16,$G$11,$G$12,L$18,L$1,$B50)</f>
        <v>-5309.8555786545139</v>
      </c>
      <c r="M50" s="117"/>
      <c r="N50" s="116">
        <f t="shared" ca="1" si="43"/>
        <v>780.07803017150218</v>
      </c>
      <c r="O50" s="118">
        <f t="shared" ca="1" si="44"/>
        <v>-0.17262791490990739</v>
      </c>
      <c r="P50" s="123" t="str">
        <f t="shared" ca="1" si="2"/>
        <v>ì</v>
      </c>
      <c r="Q50" s="116">
        <f t="shared" ca="1" si="45"/>
        <v>-2793.7496774144465</v>
      </c>
      <c r="R50" s="118" t="str">
        <f t="shared" ca="1" si="46"/>
        <v>-</v>
      </c>
      <c r="S50" s="123" t="str">
        <f t="shared" ca="1" si="41"/>
        <v>î</v>
      </c>
      <c r="T50" s="116">
        <f t="shared" ca="1" si="47"/>
        <v>1571.0930112400674</v>
      </c>
      <c r="U50" s="118">
        <f t="shared" ca="1" si="48"/>
        <v>-0.29588243747265403</v>
      </c>
      <c r="V50" s="119" t="str">
        <f t="shared" ca="1" si="42"/>
        <v>ì</v>
      </c>
    </row>
    <row r="51" spans="2:23" ht="22.5" hidden="1" customHeight="1">
      <c r="B51" s="132" t="s">
        <v>93</v>
      </c>
      <c r="C51" s="60" t="str">
        <f ca="1">_xll.DBRA(Server&amp;$C$20,$B51,$G$17)</f>
        <v>Coûts d'assurance maladie (RH)</v>
      </c>
      <c r="F51" s="139" t="str">
        <f ca="1">_xll.DBRA(Server&amp;$C$20,$B51,"Attribut " &amp;$G$17)</f>
        <v>DRH</v>
      </c>
      <c r="G51" s="139"/>
      <c r="H51" s="115"/>
      <c r="I51" s="116">
        <f ca="1">_xll.DBRW(Server&amp;Cube1,$G$13,$G$14,$G$15,$G$16,$G$11,$G$12,I$18,I$1,$B51)</f>
        <v>0</v>
      </c>
      <c r="J51" s="116">
        <f ca="1">_xll.DBRW(Server&amp;Cube1,$G$13,$G$14,$G$15,$G$16,$G$11,$G$12,J$18,J$1,$B51)</f>
        <v>-29.954192982456142</v>
      </c>
      <c r="K51" s="116">
        <f ca="1">_xll.DBRW(Server&amp;Cube1,$G$13,$G$14,$G$15,$G$16,$G$11,$G$12,K$18,K$1,$B51)</f>
        <v>0</v>
      </c>
      <c r="L51" s="116">
        <f ca="1">_xll.DBRW(Server&amp;Cube1,$G$13,$G$14,$G$15,$G$16,$G$11,$G$12,L$18,L$1,$B51)</f>
        <v>-29.995660492384783</v>
      </c>
      <c r="M51" s="117"/>
      <c r="N51" s="116">
        <f t="shared" ca="1" si="43"/>
        <v>29.954192982456142</v>
      </c>
      <c r="O51" s="118">
        <f t="shared" ca="1" si="44"/>
        <v>-1</v>
      </c>
      <c r="P51" s="123" t="str">
        <f t="shared" ca="1" si="2"/>
        <v>ì</v>
      </c>
      <c r="Q51" s="116">
        <f t="shared" ca="1" si="45"/>
        <v>0</v>
      </c>
      <c r="R51" s="118" t="str">
        <f t="shared" ca="1" si="46"/>
        <v>-</v>
      </c>
      <c r="S51" s="123" t="str">
        <f t="shared" ca="1" si="41"/>
        <v>è</v>
      </c>
      <c r="T51" s="116">
        <f t="shared" ca="1" si="47"/>
        <v>29.995660492384783</v>
      </c>
      <c r="U51" s="118">
        <f t="shared" ca="1" si="48"/>
        <v>-1</v>
      </c>
      <c r="V51" s="119" t="str">
        <f t="shared" ca="1" si="42"/>
        <v>ì</v>
      </c>
    </row>
    <row r="52" spans="2:23" ht="22.5" customHeight="1">
      <c r="B52" s="133" t="str">
        <f>B50&amp;"+"&amp;B51</f>
        <v>PL1310_HR_10+PL1310_HR_20</v>
      </c>
      <c r="C52" s="60"/>
      <c r="F52" s="131" t="str">
        <f ca="1">F51</f>
        <v>DRH</v>
      </c>
      <c r="G52" s="131"/>
      <c r="H52" s="115"/>
      <c r="I52" s="116">
        <f ca="1">SUM(I50:I51)</f>
        <v>-3738.7625674144465</v>
      </c>
      <c r="J52" s="116">
        <f t="shared" ref="J52" ca="1" si="65">SUM(J50:J51)</f>
        <v>-4548.794790568405</v>
      </c>
      <c r="K52" s="116">
        <f t="shared" ref="K52" ca="1" si="66">SUM(K50:K51)</f>
        <v>-945.01289000000008</v>
      </c>
      <c r="L52" s="116">
        <f t="shared" ref="L52" ca="1" si="67">SUM(L50:L51)</f>
        <v>-5339.8512391468985</v>
      </c>
      <c r="M52" s="117"/>
      <c r="N52" s="116">
        <f t="shared" ca="1" si="43"/>
        <v>810.03222315395851</v>
      </c>
      <c r="O52" s="118">
        <f t="shared" ca="1" si="44"/>
        <v>-0.17807622907797499</v>
      </c>
      <c r="P52" s="123" t="str">
        <f t="shared" ca="1" si="2"/>
        <v>ì</v>
      </c>
      <c r="Q52" s="116">
        <f t="shared" ca="1" si="45"/>
        <v>-2793.7496774144465</v>
      </c>
      <c r="R52" s="118" t="str">
        <f t="shared" ca="1" si="46"/>
        <v>-</v>
      </c>
      <c r="S52" s="123" t="str">
        <f t="shared" ca="1" si="41"/>
        <v>î</v>
      </c>
      <c r="T52" s="116">
        <f t="shared" ca="1" si="47"/>
        <v>1601.088671732452</v>
      </c>
      <c r="U52" s="118">
        <f t="shared" ca="1" si="48"/>
        <v>-0.29983769210549094</v>
      </c>
      <c r="V52" s="119" t="str">
        <f t="shared" ca="1" si="42"/>
        <v>ì</v>
      </c>
    </row>
    <row r="53" spans="2:23" ht="22.5" hidden="1" customHeight="1">
      <c r="B53" s="132" t="s">
        <v>67</v>
      </c>
      <c r="C53" s="60" t="str">
        <f ca="1">_xll.DBRA(Server&amp;$C$20,$B53,$G$17)</f>
        <v>Frais de personnel (AI)</v>
      </c>
      <c r="F53" s="139" t="str">
        <f ca="1">_xll.DBRA(Server&amp;$C$20,$B53,"Attribut " &amp;$G$17)</f>
        <v>Audit interne</v>
      </c>
      <c r="G53" s="139"/>
      <c r="H53" s="115"/>
      <c r="I53" s="116">
        <f ca="1">_xll.DBRW(Server&amp;Cube1,$G$13,$G$14,$G$15,$G$16,$G$11,$G$12,I$18,I$1,$B53)</f>
        <v>-150.95335154674464</v>
      </c>
      <c r="J53" s="116">
        <f ca="1">_xll.DBRW(Server&amp;Cube1,$G$13,$G$14,$G$15,$G$16,$G$11,$G$12,J$18,J$1,$B53)</f>
        <v>-66.043962051282051</v>
      </c>
      <c r="K53" s="116">
        <f ca="1">_xll.DBRW(Server&amp;Cube1,$G$13,$G$14,$G$15,$G$16,$G$11,$G$12,K$18,K$1,$B53)</f>
        <v>-107.26885000000003</v>
      </c>
      <c r="L53" s="116">
        <f ca="1">_xll.DBRW(Server&amp;Cube1,$G$13,$G$14,$G$15,$G$16,$G$11,$G$12,L$18,L$1,$B53)</f>
        <v>-152.23522424145557</v>
      </c>
      <c r="M53" s="117"/>
      <c r="N53" s="116">
        <f t="shared" ca="1" si="43"/>
        <v>-84.909389495462591</v>
      </c>
      <c r="O53" s="118">
        <f t="shared" ca="1" si="44"/>
        <v>1.2856495409759312</v>
      </c>
      <c r="P53" s="123" t="str">
        <f t="shared" ca="1" si="2"/>
        <v>î</v>
      </c>
      <c r="Q53" s="116">
        <f t="shared" ca="1" si="45"/>
        <v>-43.684501546744613</v>
      </c>
      <c r="R53" s="118">
        <f t="shared" ca="1" si="46"/>
        <v>0.4072431236723858</v>
      </c>
      <c r="S53" s="123" t="str">
        <f t="shared" ca="1" si="41"/>
        <v>î</v>
      </c>
      <c r="T53" s="116">
        <f t="shared" ca="1" si="47"/>
        <v>1.2818726947109269</v>
      </c>
      <c r="U53" s="118">
        <f t="shared" ca="1" si="48"/>
        <v>-8.4203422768819158E-3</v>
      </c>
      <c r="V53" s="119" t="str">
        <f t="shared" ca="1" si="42"/>
        <v>è</v>
      </c>
    </row>
    <row r="54" spans="2:23" ht="22.5" hidden="1" customHeight="1">
      <c r="B54" s="132" t="s">
        <v>94</v>
      </c>
      <c r="C54" s="60" t="str">
        <f ca="1">_xll.DBRA(Server&amp;$C$20,$B54,$G$17)</f>
        <v>Coûts d'assurance maladie (AI)</v>
      </c>
      <c r="F54" s="139" t="str">
        <f ca="1">_xll.DBRA(Server&amp;$C$20,$B54,"Attribut " &amp;$G$17)</f>
        <v>Audit interne</v>
      </c>
      <c r="G54" s="139"/>
      <c r="H54" s="115"/>
      <c r="I54" s="116">
        <f ca="1">_xll.DBRW(Server&amp;Cube1,$G$13,$G$14,$G$15,$G$16,$G$11,$G$12,I$18,I$1,$B54)</f>
        <v>0</v>
      </c>
      <c r="J54" s="116">
        <f ca="1">_xll.DBRW(Server&amp;Cube1,$G$13,$G$14,$G$15,$G$16,$G$11,$G$12,J$18,J$1,$B54)</f>
        <v>0</v>
      </c>
      <c r="K54" s="116">
        <f ca="1">_xll.DBRW(Server&amp;Cube1,$G$13,$G$14,$G$15,$G$16,$G$11,$G$12,K$18,K$1,$B54)</f>
        <v>0</v>
      </c>
      <c r="L54" s="116">
        <f ca="1">_xll.DBRW(Server&amp;Cube1,$G$13,$G$14,$G$15,$G$16,$G$11,$G$12,L$18,L$1,$B54)</f>
        <v>0</v>
      </c>
      <c r="M54" s="117"/>
      <c r="N54" s="116">
        <f t="shared" ca="1" si="43"/>
        <v>0</v>
      </c>
      <c r="O54" s="118" t="str">
        <f t="shared" ca="1" si="44"/>
        <v>-</v>
      </c>
      <c r="P54" s="123" t="str">
        <f t="shared" ca="1" si="2"/>
        <v>è</v>
      </c>
      <c r="Q54" s="116">
        <f t="shared" ca="1" si="45"/>
        <v>0</v>
      </c>
      <c r="R54" s="118" t="str">
        <f t="shared" ca="1" si="46"/>
        <v>-</v>
      </c>
      <c r="S54" s="123" t="str">
        <f t="shared" ca="1" si="41"/>
        <v>è</v>
      </c>
      <c r="T54" s="116">
        <f t="shared" ca="1" si="47"/>
        <v>0</v>
      </c>
      <c r="U54" s="118" t="str">
        <f t="shared" ca="1" si="48"/>
        <v>-</v>
      </c>
      <c r="V54" s="119" t="str">
        <f t="shared" ca="1" si="42"/>
        <v>è</v>
      </c>
    </row>
    <row r="55" spans="2:23" ht="22.5" customHeight="1">
      <c r="B55" s="133" t="str">
        <f>B53&amp;"+"&amp;B54</f>
        <v>PL1310_IA_10+PL1310_IA_20</v>
      </c>
      <c r="C55" s="60"/>
      <c r="F55" s="131" t="str">
        <f ca="1">F54</f>
        <v>Audit interne</v>
      </c>
      <c r="G55" s="131"/>
      <c r="H55" s="115"/>
      <c r="I55" s="116">
        <f ca="1">SUM(I53:I54)</f>
        <v>-150.95335154674464</v>
      </c>
      <c r="J55" s="116">
        <f t="shared" ref="J55" ca="1" si="68">SUM(J53:J54)</f>
        <v>-66.043962051282051</v>
      </c>
      <c r="K55" s="116">
        <f t="shared" ref="K55" ca="1" si="69">SUM(K53:K54)</f>
        <v>-107.26885000000003</v>
      </c>
      <c r="L55" s="116">
        <f t="shared" ref="L55" ca="1" si="70">SUM(L53:L54)</f>
        <v>-152.23522424145557</v>
      </c>
      <c r="M55" s="117"/>
      <c r="N55" s="116">
        <f t="shared" ca="1" si="43"/>
        <v>-84.909389495462591</v>
      </c>
      <c r="O55" s="118">
        <f t="shared" ca="1" si="44"/>
        <v>1.2856495409759312</v>
      </c>
      <c r="P55" s="123" t="str">
        <f t="shared" ca="1" si="2"/>
        <v>î</v>
      </c>
      <c r="Q55" s="116">
        <f t="shared" ca="1" si="45"/>
        <v>-43.684501546744613</v>
      </c>
      <c r="R55" s="118">
        <f t="shared" ca="1" si="46"/>
        <v>0.4072431236723858</v>
      </c>
      <c r="S55" s="123" t="str">
        <f t="shared" ca="1" si="41"/>
        <v>î</v>
      </c>
      <c r="T55" s="116">
        <f t="shared" ca="1" si="47"/>
        <v>1.2818726947109269</v>
      </c>
      <c r="U55" s="118">
        <f t="shared" ca="1" si="48"/>
        <v>-8.4203422768819158E-3</v>
      </c>
      <c r="V55" s="119" t="str">
        <f t="shared" ca="1" si="42"/>
        <v>è</v>
      </c>
    </row>
    <row r="56" spans="2:23" ht="22.5" hidden="1" customHeight="1">
      <c r="B56" s="132" t="s">
        <v>63</v>
      </c>
      <c r="C56" s="60" t="str">
        <f ca="1">_xll.DBRA(Server&amp;$C$20,$B56,$G$17)</f>
        <v>Frais de personnel (IT)</v>
      </c>
      <c r="F56" s="139" t="str">
        <f ca="1">_xll.DBRA(Server&amp;$C$20,$B56,"Attribut " &amp;$G$17)</f>
        <v>IT</v>
      </c>
      <c r="G56" s="139"/>
      <c r="H56" s="115"/>
      <c r="I56" s="116">
        <f ca="1">_xll.DBRW(Server&amp;Cube1,$G$13,$G$14,$G$15,$G$16,$G$11,$G$12,I$18,I$1,$B56)</f>
        <v>-1819.7465504682475</v>
      </c>
      <c r="J56" s="116">
        <f ca="1">_xll.DBRW(Server&amp;Cube1,$G$13,$G$14,$G$15,$G$16,$G$11,$G$12,J$18,J$1,$B56)</f>
        <v>-2848.4929675485128</v>
      </c>
      <c r="K56" s="116">
        <f ca="1">_xll.DBRW(Server&amp;Cube1,$G$13,$G$14,$G$15,$G$16,$G$11,$G$12,K$18,K$1,$B56)</f>
        <v>-374.48050000000001</v>
      </c>
      <c r="L56" s="116">
        <f ca="1">_xll.DBRW(Server&amp;Cube1,$G$13,$G$14,$G$15,$G$16,$G$11,$G$12,L$18,L$1,$B56)</f>
        <v>-4787.1391878883996</v>
      </c>
      <c r="M56" s="117"/>
      <c r="N56" s="116">
        <f t="shared" ca="1" si="43"/>
        <v>1028.7464170802652</v>
      </c>
      <c r="O56" s="118">
        <f t="shared" ca="1" si="44"/>
        <v>-0.36115462765759648</v>
      </c>
      <c r="P56" s="123" t="str">
        <f t="shared" ca="1" si="2"/>
        <v>ì</v>
      </c>
      <c r="Q56" s="116">
        <f t="shared" ca="1" si="45"/>
        <v>-1445.2660504682476</v>
      </c>
      <c r="R56" s="118" t="str">
        <f t="shared" ca="1" si="46"/>
        <v>-</v>
      </c>
      <c r="S56" s="123" t="str">
        <f t="shared" ca="1" si="41"/>
        <v>î</v>
      </c>
      <c r="T56" s="116">
        <f t="shared" ca="1" si="47"/>
        <v>2967.3926374201519</v>
      </c>
      <c r="U56" s="118">
        <f t="shared" ca="1" si="48"/>
        <v>-0.61986763303806602</v>
      </c>
      <c r="V56" s="119" t="str">
        <f t="shared" ca="1" si="42"/>
        <v>ì</v>
      </c>
    </row>
    <row r="57" spans="2:23" ht="22.5" hidden="1" customHeight="1">
      <c r="B57" s="132" t="s">
        <v>95</v>
      </c>
      <c r="C57" s="60" t="str">
        <f ca="1">_xll.DBRA(Server&amp;$C$20,$B57,$G$17)</f>
        <v>Coûts d'assurance maladie (IT)</v>
      </c>
      <c r="F57" s="139" t="str">
        <f ca="1">_xll.DBRA(Server&amp;$C$20,$B57,"Attribut " &amp;$G$17)</f>
        <v>IT</v>
      </c>
      <c r="G57" s="139"/>
      <c r="H57" s="115"/>
      <c r="I57" s="116">
        <f ca="1">_xll.DBRW(Server&amp;Cube1,$G$13,$G$14,$G$15,$G$16,$G$11,$G$12,I$18,I$1,$B57)</f>
        <v>0</v>
      </c>
      <c r="J57" s="116">
        <f ca="1">_xll.DBRW(Server&amp;Cube1,$G$13,$G$14,$G$15,$G$16,$G$11,$G$12,J$18,J$1,$B57)</f>
        <v>-65.561596491228073</v>
      </c>
      <c r="K57" s="116">
        <f ca="1">_xll.DBRW(Server&amp;Cube1,$G$13,$G$14,$G$15,$G$16,$G$11,$G$12,K$18,K$1,$B57)</f>
        <v>0</v>
      </c>
      <c r="L57" s="116">
        <f ca="1">_xll.DBRW(Server&amp;Cube1,$G$13,$G$14,$G$15,$G$16,$G$11,$G$12,L$18,L$1,$B57)</f>
        <v>-99.982281807975923</v>
      </c>
      <c r="M57" s="117"/>
      <c r="N57" s="116">
        <f t="shared" ca="1" si="43"/>
        <v>65.561596491228073</v>
      </c>
      <c r="O57" s="118">
        <f t="shared" ca="1" si="44"/>
        <v>-1</v>
      </c>
      <c r="P57" s="123" t="str">
        <f t="shared" ca="1" si="2"/>
        <v>ì</v>
      </c>
      <c r="Q57" s="116">
        <f t="shared" ca="1" si="45"/>
        <v>0</v>
      </c>
      <c r="R57" s="118" t="str">
        <f t="shared" ca="1" si="46"/>
        <v>-</v>
      </c>
      <c r="S57" s="123" t="str">
        <f t="shared" ca="1" si="41"/>
        <v>è</v>
      </c>
      <c r="T57" s="116">
        <f t="shared" ca="1" si="47"/>
        <v>99.982281807975923</v>
      </c>
      <c r="U57" s="118">
        <f t="shared" ca="1" si="48"/>
        <v>-1</v>
      </c>
      <c r="V57" s="119" t="str">
        <f t="shared" ca="1" si="42"/>
        <v>ì</v>
      </c>
    </row>
    <row r="58" spans="2:23" ht="22.5" customHeight="1">
      <c r="B58" s="133" t="str">
        <f>B56&amp;"+"&amp;B57</f>
        <v>PL1310_IT_10+PL1310_IT_20</v>
      </c>
      <c r="C58" s="60"/>
      <c r="F58" s="131" t="str">
        <f ca="1">F57</f>
        <v>IT</v>
      </c>
      <c r="G58" s="131"/>
      <c r="H58" s="115"/>
      <c r="I58" s="116">
        <f ca="1">SUM(I56:I57)</f>
        <v>-1819.7465504682475</v>
      </c>
      <c r="J58" s="116">
        <f t="shared" ref="J58" ca="1" si="71">SUM(J56:J57)</f>
        <v>-2914.0545640397409</v>
      </c>
      <c r="K58" s="116">
        <f t="shared" ref="K58" ca="1" si="72">SUM(K56:K57)</f>
        <v>-374.48050000000001</v>
      </c>
      <c r="L58" s="116">
        <f t="shared" ref="L58" ca="1" si="73">SUM(L56:L57)</f>
        <v>-4887.1214696963752</v>
      </c>
      <c r="M58" s="117"/>
      <c r="N58" s="116">
        <f t="shared" ca="1" si="43"/>
        <v>1094.3080135714933</v>
      </c>
      <c r="O58" s="118">
        <f t="shared" ca="1" si="44"/>
        <v>-0.37552763324186317</v>
      </c>
      <c r="P58" s="123" t="str">
        <f t="shared" ca="1" si="2"/>
        <v>ì</v>
      </c>
      <c r="Q58" s="116">
        <f t="shared" ca="1" si="45"/>
        <v>-1445.2660504682476</v>
      </c>
      <c r="R58" s="118" t="str">
        <f t="shared" ca="1" si="46"/>
        <v>-</v>
      </c>
      <c r="S58" s="123" t="str">
        <f t="shared" ca="1" si="41"/>
        <v>î</v>
      </c>
      <c r="T58" s="116">
        <f t="shared" ca="1" si="47"/>
        <v>3067.3749192281275</v>
      </c>
      <c r="U58" s="118">
        <f t="shared" ca="1" si="48"/>
        <v>-0.62764450162494034</v>
      </c>
      <c r="V58" s="119" t="str">
        <f t="shared" ca="1" si="42"/>
        <v>ì</v>
      </c>
    </row>
    <row r="59" spans="2:23" ht="22.5" hidden="1" customHeight="1">
      <c r="B59" s="132" t="s">
        <v>69</v>
      </c>
      <c r="C59" s="60" t="str">
        <f ca="1">_xll.DBRA(Server&amp;$C$20,$B59,$G$17)</f>
        <v>Frais de personnel (JU)</v>
      </c>
      <c r="F59" s="139" t="str">
        <f ca="1">_xll.DBRA(Server&amp;$C$20,$B59,$G$17)</f>
        <v>Frais de personnel (JU)</v>
      </c>
      <c r="G59" s="139"/>
      <c r="H59" s="115"/>
      <c r="I59" s="116">
        <f ca="1">_xll.DBRW(Server&amp;Cube1,$G$13,$G$14,$G$15,$G$16,$G$11,$G$12,I$18,I$1,$B59)</f>
        <v>-820.73098206269458</v>
      </c>
      <c r="J59" s="116">
        <f ca="1">_xll.DBRW(Server&amp;Cube1,$G$13,$G$14,$G$15,$G$16,$G$11,$G$12,J$18,J$1,$B59)</f>
        <v>-924.66583999232489</v>
      </c>
      <c r="K59" s="116">
        <f ca="1">_xll.DBRW(Server&amp;Cube1,$G$13,$G$14,$G$15,$G$16,$G$11,$G$12,K$18,K$1,$B59)</f>
        <v>-525.28112999999996</v>
      </c>
      <c r="L59" s="116">
        <f ca="1">_xll.DBRW(Server&amp;Cube1,$G$13,$G$14,$G$15,$G$16,$G$11,$G$12,L$18,L$1,$B59)</f>
        <v>-1324.8762634608465</v>
      </c>
      <c r="M59" s="117"/>
      <c r="N59" s="116">
        <f t="shared" ca="1" si="43"/>
        <v>103.93485792963031</v>
      </c>
      <c r="O59" s="118">
        <f t="shared" ca="1" si="44"/>
        <v>-0.11240261447367085</v>
      </c>
      <c r="P59" s="123" t="str">
        <f t="shared" ca="1" si="2"/>
        <v>ì</v>
      </c>
      <c r="Q59" s="116">
        <f t="shared" ca="1" si="45"/>
        <v>-295.44985206269462</v>
      </c>
      <c r="R59" s="118">
        <f t="shared" ca="1" si="46"/>
        <v>0.56246043344959795</v>
      </c>
      <c r="S59" s="123" t="str">
        <f t="shared" ca="1" si="41"/>
        <v>î</v>
      </c>
      <c r="T59" s="116">
        <f t="shared" ca="1" si="47"/>
        <v>504.14528139815195</v>
      </c>
      <c r="U59" s="118">
        <f t="shared" ca="1" si="48"/>
        <v>-0.38052254033234911</v>
      </c>
      <c r="V59" s="119" t="str">
        <f t="shared" ca="1" si="42"/>
        <v>ì</v>
      </c>
    </row>
    <row r="60" spans="2:23" ht="22.5" hidden="1" customHeight="1">
      <c r="B60" s="132" t="s">
        <v>96</v>
      </c>
      <c r="C60" s="60" t="str">
        <f ca="1">_xll.DBRA(Server&amp;$C$20,$B60,$G$17)</f>
        <v>Coûts d'assurance maladie (JU)</v>
      </c>
      <c r="D60" s="79"/>
      <c r="E60" s="79"/>
      <c r="F60" s="139" t="str">
        <f ca="1">_xll.DBRA(Server&amp;$C$20,$B60,"Attribut " &amp;$G$17)</f>
        <v>Juridique</v>
      </c>
      <c r="G60" s="139"/>
      <c r="H60" s="115"/>
      <c r="I60" s="116">
        <f ca="1">_xll.DBRW(Server&amp;Cube1,$G$13,$G$14,$G$15,$G$16,$G$11,$G$12,I$18,I$1,$B60)</f>
        <v>0</v>
      </c>
      <c r="J60" s="116">
        <f ca="1">_xll.DBRW(Server&amp;Cube1,$G$13,$G$14,$G$15,$G$16,$G$11,$G$12,J$18,J$1,$B60)</f>
        <v>-17.223263157894742</v>
      </c>
      <c r="K60" s="116">
        <f ca="1">_xll.DBRW(Server&amp;Cube1,$G$13,$G$14,$G$15,$G$16,$G$11,$G$12,K$18,K$1,$B60)</f>
        <v>0</v>
      </c>
      <c r="L60" s="116">
        <f ca="1">_xll.DBRW(Server&amp;Cube1,$G$13,$G$14,$G$15,$G$16,$G$11,$G$12,L$18,L$1,$B60)</f>
        <v>-18.282450996066334</v>
      </c>
      <c r="M60" s="117"/>
      <c r="N60" s="116">
        <f t="shared" ref="N60:N80" ca="1" si="74">IF(OR($I60="",J60=""),"-",IFERROR(($I60-J60),""))</f>
        <v>17.223263157894742</v>
      </c>
      <c r="O60" s="118">
        <f t="shared" ref="O60:O80" ca="1" si="75">IF(OR($J60=0,N60=0),"-",IF(ABS(N60/$J60)&gt;2,"-",N60/$J60))</f>
        <v>-1</v>
      </c>
      <c r="P60" s="123" t="str">
        <f t="shared" ca="1" si="2"/>
        <v>ì</v>
      </c>
      <c r="Q60" s="116">
        <f t="shared" ref="Q60:Q80" ca="1" si="76">IF(OR($I60="",K60=""),"-",IFERROR(($I60-K60),""))</f>
        <v>0</v>
      </c>
      <c r="R60" s="118" t="str">
        <f t="shared" ref="R60:R80" ca="1" si="77">IF(OR($K60=0,Q60=0),"-",IF(ABS(Q60/$K60)&gt;2,"-",Q60/$K60))</f>
        <v>-</v>
      </c>
      <c r="S60" s="123" t="str">
        <f t="shared" ca="1" si="41"/>
        <v>è</v>
      </c>
      <c r="T60" s="116">
        <f t="shared" ref="T60:T80" ca="1" si="78">IF(OR($I60="",L60=""),"-",IFERROR(($I60-L60),""))</f>
        <v>18.282450996066334</v>
      </c>
      <c r="U60" s="118">
        <f t="shared" ref="U60:U80" ca="1" si="79">IF(OR($L60=0,T60=0),"-",IF(ABS(T60/$L60)&gt;2,"-",T60/$L60))</f>
        <v>-1</v>
      </c>
      <c r="V60" s="119" t="str">
        <f t="shared" ca="1" si="42"/>
        <v>ì</v>
      </c>
      <c r="W60" s="26"/>
    </row>
    <row r="61" spans="2:23" ht="22.5" customHeight="1">
      <c r="B61" s="133" t="str">
        <f>B59&amp;"+"&amp;B60</f>
        <v>PL1310_LE_10+PL1310_LE_20</v>
      </c>
      <c r="C61" s="60"/>
      <c r="D61" s="79"/>
      <c r="E61" s="79"/>
      <c r="F61" s="131" t="str">
        <f ca="1">F60</f>
        <v>Juridique</v>
      </c>
      <c r="G61" s="131"/>
      <c r="H61" s="115"/>
      <c r="I61" s="116">
        <f ca="1">SUM(I59:I60)</f>
        <v>-820.73098206269458</v>
      </c>
      <c r="J61" s="116">
        <f t="shared" ref="J61" ca="1" si="80">SUM(J59:J60)</f>
        <v>-941.88910315021963</v>
      </c>
      <c r="K61" s="116">
        <f t="shared" ref="K61" ca="1" si="81">SUM(K59:K60)</f>
        <v>-525.28112999999996</v>
      </c>
      <c r="L61" s="116">
        <f t="shared" ref="L61" ca="1" si="82">SUM(L59:L60)</f>
        <v>-1343.1587144569128</v>
      </c>
      <c r="M61" s="117"/>
      <c r="N61" s="116">
        <f t="shared" ca="1" si="74"/>
        <v>121.15812108752505</v>
      </c>
      <c r="O61" s="118">
        <f t="shared" ca="1" si="75"/>
        <v>-0.12863310625667343</v>
      </c>
      <c r="P61" s="123" t="str">
        <f t="shared" ca="1" si="2"/>
        <v>ì</v>
      </c>
      <c r="Q61" s="116">
        <f t="shared" ca="1" si="76"/>
        <v>-295.44985206269462</v>
      </c>
      <c r="R61" s="118">
        <f t="shared" ca="1" si="77"/>
        <v>0.56246043344959795</v>
      </c>
      <c r="S61" s="123" t="str">
        <f t="shared" ca="1" si="41"/>
        <v>î</v>
      </c>
      <c r="T61" s="116">
        <f t="shared" ca="1" si="78"/>
        <v>522.4277323942182</v>
      </c>
      <c r="U61" s="118">
        <f t="shared" ca="1" si="79"/>
        <v>-0.38895457906138403</v>
      </c>
      <c r="V61" s="119" t="str">
        <f t="shared" ca="1" si="42"/>
        <v>ì</v>
      </c>
      <c r="W61" s="26"/>
    </row>
    <row r="62" spans="2:23" ht="22.5" hidden="1" customHeight="1">
      <c r="B62" s="132" t="s">
        <v>71</v>
      </c>
      <c r="C62" s="60" t="str">
        <f ca="1">_xll.DBRA(Server&amp;$C$20,$B62,$G$17)</f>
        <v>Frais de personnel (AC)</v>
      </c>
      <c r="D62" s="79"/>
      <c r="E62" s="79"/>
      <c r="F62" s="139" t="str">
        <f ca="1">_xll.DBRA(Server&amp;$C$20,$B62,"Attribut " &amp;$G$17)</f>
        <v>Achat</v>
      </c>
      <c r="G62" s="139"/>
      <c r="H62" s="115"/>
      <c r="I62" s="116">
        <f ca="1">_xll.DBRW(Server&amp;Cube1,$G$13,$G$14,$G$15,$G$16,$G$11,$G$12,I$18,I$1,$B62)</f>
        <v>-306.47085961480792</v>
      </c>
      <c r="J62" s="116">
        <f ca="1">_xll.DBRW(Server&amp;Cube1,$G$13,$G$14,$G$15,$G$16,$G$11,$G$12,J$18,J$1,$B62)</f>
        <v>-526.21212481810949</v>
      </c>
      <c r="K62" s="116">
        <f ca="1">_xll.DBRW(Server&amp;Cube1,$G$13,$G$14,$G$15,$G$16,$G$11,$G$12,K$18,K$1,$B62)</f>
        <v>-1.2232100000000001</v>
      </c>
      <c r="L62" s="116">
        <f ca="1">_xll.DBRW(Server&amp;Cube1,$G$13,$G$14,$G$15,$G$16,$G$11,$G$12,L$18,L$1,$B62)</f>
        <v>-474.049523180601</v>
      </c>
      <c r="M62" s="117"/>
      <c r="N62" s="116">
        <f t="shared" ca="1" si="74"/>
        <v>219.74126520330157</v>
      </c>
      <c r="O62" s="118">
        <f t="shared" ca="1" si="75"/>
        <v>-0.4175906537297242</v>
      </c>
      <c r="P62" s="123" t="str">
        <f t="shared" ca="1" si="2"/>
        <v>ì</v>
      </c>
      <c r="Q62" s="116">
        <f t="shared" ca="1" si="76"/>
        <v>-305.24764961480793</v>
      </c>
      <c r="R62" s="118" t="str">
        <f t="shared" ca="1" si="77"/>
        <v>-</v>
      </c>
      <c r="S62" s="123" t="str">
        <f t="shared" ca="1" si="41"/>
        <v>î</v>
      </c>
      <c r="T62" s="116">
        <f t="shared" ca="1" si="78"/>
        <v>167.57866356579308</v>
      </c>
      <c r="U62" s="118">
        <f t="shared" ca="1" si="79"/>
        <v>-0.35350455041371237</v>
      </c>
      <c r="V62" s="119" t="str">
        <f t="shared" ca="1" si="42"/>
        <v>ì</v>
      </c>
    </row>
    <row r="63" spans="2:23" ht="22.5" hidden="1" customHeight="1">
      <c r="B63" s="132" t="s">
        <v>97</v>
      </c>
      <c r="C63" s="60" t="str">
        <f ca="1">_xll.DBRA(Server&amp;$C$20,$B63,$G$17)</f>
        <v>Coûts d'assurance maladie (AC)</v>
      </c>
      <c r="D63" s="79"/>
      <c r="E63" s="79"/>
      <c r="F63" s="139" t="str">
        <f ca="1">_xll.DBRA(Server&amp;$C$20,$B63,"Attribut " &amp;$G$17)</f>
        <v>Achat</v>
      </c>
      <c r="G63" s="139"/>
      <c r="H63" s="115"/>
      <c r="I63" s="116">
        <f ca="1">_xll.DBRW(Server&amp;Cube1,$G$13,$G$14,$G$15,$G$16,$G$11,$G$12,I$18,I$1,$B63)</f>
        <v>0</v>
      </c>
      <c r="J63" s="116">
        <f ca="1">_xll.DBRW(Server&amp;Cube1,$G$13,$G$14,$G$15,$G$16,$G$11,$G$12,J$18,J$1,$B63)</f>
        <v>-6.709666666666668</v>
      </c>
      <c r="K63" s="116">
        <f ca="1">_xll.DBRW(Server&amp;Cube1,$G$13,$G$14,$G$15,$G$16,$G$11,$G$12,K$18,K$1,$B63)</f>
        <v>0</v>
      </c>
      <c r="L63" s="116">
        <f ca="1">_xll.DBRW(Server&amp;Cube1,$G$13,$G$14,$G$15,$G$16,$G$11,$G$12,L$18,L$1,$B63)</f>
        <v>-7.5707014717431305</v>
      </c>
      <c r="M63" s="117"/>
      <c r="N63" s="116">
        <f t="shared" ca="1" si="74"/>
        <v>6.709666666666668</v>
      </c>
      <c r="O63" s="118">
        <f t="shared" ca="1" si="75"/>
        <v>-1</v>
      </c>
      <c r="P63" s="123" t="str">
        <f t="shared" ca="1" si="2"/>
        <v>ì</v>
      </c>
      <c r="Q63" s="116">
        <f t="shared" ca="1" si="76"/>
        <v>0</v>
      </c>
      <c r="R63" s="118" t="str">
        <f t="shared" ca="1" si="77"/>
        <v>-</v>
      </c>
      <c r="S63" s="123" t="str">
        <f t="shared" ca="1" si="41"/>
        <v>è</v>
      </c>
      <c r="T63" s="116">
        <f t="shared" ca="1" si="78"/>
        <v>7.5707014717431305</v>
      </c>
      <c r="U63" s="118">
        <f t="shared" ca="1" si="79"/>
        <v>-1</v>
      </c>
      <c r="V63" s="119" t="str">
        <f t="shared" ca="1" si="42"/>
        <v>ì</v>
      </c>
    </row>
    <row r="64" spans="2:23" ht="22.5" customHeight="1">
      <c r="B64" s="133" t="str">
        <f>B62&amp;"+"&amp;B63</f>
        <v>PL1310_PU_10+PL1310_PU_20</v>
      </c>
      <c r="C64" s="60"/>
      <c r="D64" s="79"/>
      <c r="E64" s="79"/>
      <c r="F64" s="131" t="str">
        <f ca="1">F63</f>
        <v>Achat</v>
      </c>
      <c r="G64" s="131"/>
      <c r="H64" s="115"/>
      <c r="I64" s="116">
        <f ca="1">SUM(I62:I63)</f>
        <v>-306.47085961480792</v>
      </c>
      <c r="J64" s="116">
        <f t="shared" ref="J64" ca="1" si="83">SUM(J62:J63)</f>
        <v>-532.92179148477612</v>
      </c>
      <c r="K64" s="116">
        <f t="shared" ref="K64" ca="1" si="84">SUM(K62:K63)</f>
        <v>-1.2232100000000001</v>
      </c>
      <c r="L64" s="116">
        <f t="shared" ref="L64" ca="1" si="85">SUM(L62:L63)</f>
        <v>-481.62022465234412</v>
      </c>
      <c r="M64" s="117"/>
      <c r="N64" s="116">
        <f t="shared" ca="1" si="74"/>
        <v>226.4509318699682</v>
      </c>
      <c r="O64" s="118">
        <f t="shared" ca="1" si="75"/>
        <v>-0.42492338554790959</v>
      </c>
      <c r="P64" s="123" t="str">
        <f t="shared" ca="1" si="2"/>
        <v>ì</v>
      </c>
      <c r="Q64" s="116">
        <f t="shared" ca="1" si="76"/>
        <v>-305.24764961480793</v>
      </c>
      <c r="R64" s="118" t="str">
        <f t="shared" ca="1" si="77"/>
        <v>-</v>
      </c>
      <c r="S64" s="123" t="str">
        <f t="shared" ca="1" si="41"/>
        <v>î</v>
      </c>
      <c r="T64" s="116">
        <f t="shared" ca="1" si="78"/>
        <v>175.1493650375362</v>
      </c>
      <c r="U64" s="118">
        <f t="shared" ca="1" si="79"/>
        <v>-0.3636669642849138</v>
      </c>
      <c r="V64" s="119" t="str">
        <f t="shared" ca="1" si="42"/>
        <v>ì</v>
      </c>
    </row>
    <row r="65" spans="2:22" ht="22.5" hidden="1" customHeight="1">
      <c r="B65" s="132" t="s">
        <v>75</v>
      </c>
      <c r="C65" s="60" t="str">
        <f ca="1">_xll.DBRA(Server&amp;$C$20,$B65,$G$17)</f>
        <v>Frais de personnel (RD)</v>
      </c>
      <c r="D65" s="79"/>
      <c r="E65" s="79"/>
      <c r="F65" s="139" t="str">
        <f ca="1">_xll.DBRA(Server&amp;$C$20,$B65,"Attribut " &amp;$G$17)</f>
        <v>R &amp; D</v>
      </c>
      <c r="G65" s="139"/>
      <c r="H65" s="115"/>
      <c r="I65" s="116">
        <f ca="1">_xll.DBRW(Server&amp;Cube1,$G$13,$G$14,$G$15,$G$16,$G$11,$G$12,I$18,I$1,$B65)</f>
        <v>-309.2054</v>
      </c>
      <c r="J65" s="116">
        <f ca="1">_xll.DBRW(Server&amp;Cube1,$G$13,$G$14,$G$15,$G$16,$G$11,$G$12,J$18,J$1,$B65)</f>
        <v>-334.16924567757894</v>
      </c>
      <c r="K65" s="116">
        <f ca="1">_xll.DBRW(Server&amp;Cube1,$G$13,$G$14,$G$15,$G$16,$G$11,$G$12,K$18,K$1,$B65)</f>
        <v>-86.840989999999991</v>
      </c>
      <c r="L65" s="116">
        <f ca="1">_xll.DBRW(Server&amp;Cube1,$G$13,$G$14,$G$15,$G$16,$G$11,$G$12,L$18,L$1,$B65)</f>
        <v>-474.18723999999986</v>
      </c>
      <c r="M65" s="117"/>
      <c r="N65" s="116">
        <f t="shared" ca="1" si="74"/>
        <v>24.963845677578945</v>
      </c>
      <c r="O65" s="118">
        <f t="shared" ca="1" si="75"/>
        <v>-7.470419854753825E-2</v>
      </c>
      <c r="P65" s="123" t="str">
        <f t="shared" ca="1" si="2"/>
        <v>ì</v>
      </c>
      <c r="Q65" s="116">
        <f t="shared" ca="1" si="76"/>
        <v>-222.36441000000002</v>
      </c>
      <c r="R65" s="118" t="str">
        <f t="shared" ca="1" si="77"/>
        <v>-</v>
      </c>
      <c r="S65" s="123" t="str">
        <f t="shared" ca="1" si="41"/>
        <v>î</v>
      </c>
      <c r="T65" s="116">
        <f t="shared" ca="1" si="78"/>
        <v>164.98183999999986</v>
      </c>
      <c r="U65" s="118">
        <f t="shared" ca="1" si="79"/>
        <v>-0.34792551566760826</v>
      </c>
      <c r="V65" s="119" t="str">
        <f t="shared" ca="1" si="42"/>
        <v>ì</v>
      </c>
    </row>
    <row r="66" spans="2:22" ht="22.5" hidden="1" customHeight="1">
      <c r="B66" s="132" t="s">
        <v>98</v>
      </c>
      <c r="C66" s="60" t="str">
        <f ca="1">_xll.DBRA(Server&amp;$C$20,$B66,$G$17)</f>
        <v>Coûts d'assurance maladie (RD)</v>
      </c>
      <c r="D66" s="79"/>
      <c r="E66" s="79"/>
      <c r="F66" s="139" t="str">
        <f ca="1">_xll.DBRA(Server&amp;$C$20,$B66,"Attribut " &amp;$G$17)</f>
        <v>R &amp; D</v>
      </c>
      <c r="G66" s="139"/>
      <c r="H66" s="115"/>
      <c r="I66" s="116">
        <f ca="1">_xll.DBRW(Server&amp;Cube1,$G$13,$G$14,$G$15,$G$16,$G$11,$G$12,I$18,I$1,$B66)</f>
        <v>0</v>
      </c>
      <c r="J66" s="116">
        <f ca="1">_xll.DBRW(Server&amp;Cube1,$G$13,$G$14,$G$15,$G$16,$G$11,$G$12,J$18,J$1,$B66)</f>
        <v>-2.6596491228070183</v>
      </c>
      <c r="K66" s="116">
        <f ca="1">_xll.DBRW(Server&amp;Cube1,$G$13,$G$14,$G$15,$G$16,$G$11,$G$12,K$18,K$1,$B66)</f>
        <v>0</v>
      </c>
      <c r="L66" s="116">
        <f ca="1">_xll.DBRW(Server&amp;Cube1,$G$13,$G$14,$G$15,$G$16,$G$11,$G$12,L$18,L$1,$B66)</f>
        <v>0</v>
      </c>
      <c r="M66" s="117"/>
      <c r="N66" s="116">
        <f t="shared" ca="1" si="74"/>
        <v>2.6596491228070183</v>
      </c>
      <c r="O66" s="118">
        <f t="shared" ca="1" si="75"/>
        <v>-1</v>
      </c>
      <c r="P66" s="123" t="str">
        <f t="shared" ca="1" si="2"/>
        <v>ì</v>
      </c>
      <c r="Q66" s="116">
        <f t="shared" ca="1" si="76"/>
        <v>0</v>
      </c>
      <c r="R66" s="118" t="str">
        <f t="shared" ca="1" si="77"/>
        <v>-</v>
      </c>
      <c r="S66" s="123" t="str">
        <f t="shared" ca="1" si="41"/>
        <v>è</v>
      </c>
      <c r="T66" s="116">
        <f t="shared" ca="1" si="78"/>
        <v>0</v>
      </c>
      <c r="U66" s="118" t="str">
        <f t="shared" ca="1" si="79"/>
        <v>-</v>
      </c>
      <c r="V66" s="119" t="str">
        <f t="shared" ca="1" si="42"/>
        <v>è</v>
      </c>
    </row>
    <row r="67" spans="2:22" ht="22.5" customHeight="1">
      <c r="B67" s="133" t="str">
        <f>B65&amp;"+"&amp;B66</f>
        <v>PL1310_RD_10+PL1310_RD_20</v>
      </c>
      <c r="C67" s="60"/>
      <c r="D67" s="79"/>
      <c r="E67" s="79"/>
      <c r="F67" s="131" t="str">
        <f ca="1">F66</f>
        <v>R &amp; D</v>
      </c>
      <c r="G67" s="131"/>
      <c r="H67" s="115"/>
      <c r="I67" s="116">
        <f ca="1">SUM(I65:I66)</f>
        <v>-309.2054</v>
      </c>
      <c r="J67" s="116">
        <f t="shared" ref="J67" ca="1" si="86">SUM(J65:J66)</f>
        <v>-336.82889480038597</v>
      </c>
      <c r="K67" s="116">
        <f t="shared" ref="K67" ca="1" si="87">SUM(K65:K66)</f>
        <v>-86.840989999999991</v>
      </c>
      <c r="L67" s="116">
        <f t="shared" ref="L67" ca="1" si="88">SUM(L65:L66)</f>
        <v>-474.18723999999986</v>
      </c>
      <c r="M67" s="117"/>
      <c r="N67" s="116">
        <f t="shared" ca="1" si="74"/>
        <v>27.62349480038597</v>
      </c>
      <c r="O67" s="118">
        <f t="shared" ca="1" si="75"/>
        <v>-8.2010466521158787E-2</v>
      </c>
      <c r="P67" s="123" t="str">
        <f t="shared" ca="1" si="2"/>
        <v>ì</v>
      </c>
      <c r="Q67" s="116">
        <f t="shared" ca="1" si="76"/>
        <v>-222.36441000000002</v>
      </c>
      <c r="R67" s="118" t="str">
        <f t="shared" ca="1" si="77"/>
        <v>-</v>
      </c>
      <c r="S67" s="123" t="str">
        <f t="shared" ca="1" si="41"/>
        <v>î</v>
      </c>
      <c r="T67" s="116">
        <f t="shared" ca="1" si="78"/>
        <v>164.98183999999986</v>
      </c>
      <c r="U67" s="118">
        <f t="shared" ca="1" si="79"/>
        <v>-0.34792551566760826</v>
      </c>
      <c r="V67" s="119" t="str">
        <f t="shared" ca="1" si="42"/>
        <v>ì</v>
      </c>
    </row>
    <row r="68" spans="2:22" ht="22.5" hidden="1" customHeight="1">
      <c r="B68" s="132" t="s">
        <v>70</v>
      </c>
      <c r="C68" s="60" t="str">
        <f ca="1">_xll.DBRA(Server&amp;$C$20,$B68,$G$17)</f>
        <v>Frais de personnel (GR)</v>
      </c>
      <c r="D68" s="79"/>
      <c r="E68" s="79"/>
      <c r="F68" s="139" t="str">
        <f ca="1">_xll.DBRA(Server&amp;$C$20,$B68,"Attribut " &amp;$G$17)</f>
        <v>Gestion du risque</v>
      </c>
      <c r="G68" s="139"/>
      <c r="H68" s="115"/>
      <c r="I68" s="116">
        <f ca="1">_xll.DBRW(Server&amp;Cube1,$G$13,$G$14,$G$15,$G$16,$G$11,$G$12,I$18,I$1,$B68)</f>
        <v>-1100.83106</v>
      </c>
      <c r="J68" s="116">
        <f ca="1">_xll.DBRW(Server&amp;Cube1,$G$13,$G$14,$G$15,$G$16,$G$11,$G$12,J$18,J$1,$B68)</f>
        <v>-138.64150138666668</v>
      </c>
      <c r="K68" s="116">
        <f ca="1">_xll.DBRW(Server&amp;Cube1,$G$13,$G$14,$G$15,$G$16,$G$11,$G$12,K$18,K$1,$B68)</f>
        <v>-239.11567000000002</v>
      </c>
      <c r="L68" s="116">
        <f ca="1">_xll.DBRW(Server&amp;Cube1,$G$13,$G$14,$G$15,$G$16,$G$11,$G$12,L$18,L$1,$B68)</f>
        <v>-361.56148710595249</v>
      </c>
      <c r="M68" s="117"/>
      <c r="N68" s="116">
        <f t="shared" ca="1" si="74"/>
        <v>-962.18955861333325</v>
      </c>
      <c r="O68" s="118" t="str">
        <f t="shared" ca="1" si="75"/>
        <v>-</v>
      </c>
      <c r="P68" s="123" t="str">
        <f t="shared" ca="1" si="2"/>
        <v>î</v>
      </c>
      <c r="Q68" s="116">
        <f t="shared" ca="1" si="76"/>
        <v>-861.71538999999996</v>
      </c>
      <c r="R68" s="118" t="str">
        <f t="shared" ca="1" si="77"/>
        <v>-</v>
      </c>
      <c r="S68" s="123" t="str">
        <f t="shared" ca="1" si="41"/>
        <v>î</v>
      </c>
      <c r="T68" s="116">
        <f t="shared" ca="1" si="78"/>
        <v>-739.26957289404754</v>
      </c>
      <c r="U68" s="118" t="str">
        <f t="shared" ca="1" si="79"/>
        <v>-</v>
      </c>
      <c r="V68" s="119" t="str">
        <f t="shared" ca="1" si="42"/>
        <v>î</v>
      </c>
    </row>
    <row r="69" spans="2:22" ht="22.5" hidden="1" customHeight="1">
      <c r="B69" s="132" t="s">
        <v>99</v>
      </c>
      <c r="C69" s="60" t="str">
        <f ca="1">_xll.DBRA(Server&amp;$C$20,$B69,$G$17)</f>
        <v>Coûts d'assurance maladie (GR)</v>
      </c>
      <c r="D69" s="79"/>
      <c r="E69" s="79"/>
      <c r="F69" s="139" t="str">
        <f ca="1">_xll.DBRA(Server&amp;$C$20,$B69,"Attribut " &amp;$G$17)</f>
        <v>Gestion du risque</v>
      </c>
      <c r="G69" s="139"/>
      <c r="H69" s="115"/>
      <c r="I69" s="116">
        <f ca="1">_xll.DBRW(Server&amp;Cube1,$G$13,$G$14,$G$15,$G$16,$G$11,$G$12,I$18,I$1,$B69)</f>
        <v>0</v>
      </c>
      <c r="J69" s="116">
        <f ca="1">_xll.DBRW(Server&amp;Cube1,$G$13,$G$14,$G$15,$G$16,$G$11,$G$12,J$18,J$1,$B69)</f>
        <v>-5.131982456140352</v>
      </c>
      <c r="K69" s="116">
        <f ca="1">_xll.DBRW(Server&amp;Cube1,$G$13,$G$14,$G$15,$G$16,$G$11,$G$12,K$18,K$1,$B69)</f>
        <v>0</v>
      </c>
      <c r="L69" s="116">
        <f ca="1">_xll.DBRW(Server&amp;Cube1,$G$13,$G$14,$G$15,$G$16,$G$11,$G$12,L$18,L$1,$B69)</f>
        <v>-4.8769477273805357</v>
      </c>
      <c r="M69" s="117"/>
      <c r="N69" s="116">
        <f t="shared" ca="1" si="74"/>
        <v>5.131982456140352</v>
      </c>
      <c r="O69" s="118">
        <f t="shared" ca="1" si="75"/>
        <v>-1</v>
      </c>
      <c r="P69" s="123" t="str">
        <f t="shared" ca="1" si="2"/>
        <v>ì</v>
      </c>
      <c r="Q69" s="116">
        <f t="shared" ca="1" si="76"/>
        <v>0</v>
      </c>
      <c r="R69" s="118" t="str">
        <f t="shared" ca="1" si="77"/>
        <v>-</v>
      </c>
      <c r="S69" s="123" t="str">
        <f t="shared" ca="1" si="41"/>
        <v>è</v>
      </c>
      <c r="T69" s="116">
        <f t="shared" ca="1" si="78"/>
        <v>4.8769477273805357</v>
      </c>
      <c r="U69" s="118">
        <f t="shared" ca="1" si="79"/>
        <v>-1</v>
      </c>
      <c r="V69" s="119" t="str">
        <f t="shared" ca="1" si="42"/>
        <v>ì</v>
      </c>
    </row>
    <row r="70" spans="2:22" ht="22.5" customHeight="1">
      <c r="B70" s="133" t="str">
        <f>B68&amp;"+"&amp;B69</f>
        <v>PL1310_RM_10+PL1310_RM_20</v>
      </c>
      <c r="C70" s="60"/>
      <c r="D70" s="79"/>
      <c r="E70" s="79"/>
      <c r="F70" s="131" t="str">
        <f ca="1">F69</f>
        <v>Gestion du risque</v>
      </c>
      <c r="G70" s="131"/>
      <c r="H70" s="115"/>
      <c r="I70" s="116">
        <f ca="1">SUM(I68:I69)</f>
        <v>-1100.83106</v>
      </c>
      <c r="J70" s="116">
        <f t="shared" ref="J70" ca="1" si="89">SUM(J68:J69)</f>
        <v>-143.77348384280702</v>
      </c>
      <c r="K70" s="116">
        <f t="shared" ref="K70" ca="1" si="90">SUM(K68:K69)</f>
        <v>-239.11567000000002</v>
      </c>
      <c r="L70" s="116">
        <f t="shared" ref="L70" ca="1" si="91">SUM(L68:L69)</f>
        <v>-366.43843483333302</v>
      </c>
      <c r="M70" s="117"/>
      <c r="N70" s="116">
        <f t="shared" ca="1" si="74"/>
        <v>-957.0575761571929</v>
      </c>
      <c r="O70" s="118" t="str">
        <f t="shared" ca="1" si="75"/>
        <v>-</v>
      </c>
      <c r="P70" s="123" t="str">
        <f t="shared" ca="1" si="2"/>
        <v>î</v>
      </c>
      <c r="Q70" s="116">
        <f t="shared" ca="1" si="76"/>
        <v>-861.71538999999996</v>
      </c>
      <c r="R70" s="118" t="str">
        <f t="shared" ca="1" si="77"/>
        <v>-</v>
      </c>
      <c r="S70" s="123" t="str">
        <f t="shared" ca="1" si="41"/>
        <v>î</v>
      </c>
      <c r="T70" s="116">
        <f t="shared" ca="1" si="78"/>
        <v>-734.3926251666669</v>
      </c>
      <c r="U70" s="118" t="str">
        <f t="shared" ca="1" si="79"/>
        <v>-</v>
      </c>
      <c r="V70" s="119" t="str">
        <f t="shared" ca="1" si="42"/>
        <v>î</v>
      </c>
    </row>
    <row r="71" spans="2:22" ht="22.5" hidden="1" customHeight="1">
      <c r="B71" s="132" t="s">
        <v>73</v>
      </c>
      <c r="C71" s="60" t="str">
        <f ca="1">_xll.DBRA(Server&amp;$C$20,$B71,$G$17)</f>
        <v>Frais de personnel (SE)</v>
      </c>
      <c r="D71" s="79"/>
      <c r="E71" s="79"/>
      <c r="F71" s="139" t="str">
        <f ca="1">_xll.DBRA(Server&amp;$C$20,$B71,"Attribut " &amp;$G$17)</f>
        <v>QHSE</v>
      </c>
      <c r="G71" s="139"/>
      <c r="H71" s="115"/>
      <c r="I71" s="116">
        <f ca="1">_xll.DBRW(Server&amp;Cube1,$G$13,$G$14,$G$15,$G$16,$G$11,$G$12,I$18,I$1,$B71)</f>
        <v>-704.56765825034688</v>
      </c>
      <c r="J71" s="116">
        <f ca="1">_xll.DBRW(Server&amp;Cube1,$G$13,$G$14,$G$15,$G$16,$G$11,$G$12,J$18,J$1,$B71)</f>
        <v>-996.13959784749545</v>
      </c>
      <c r="K71" s="116">
        <f ca="1">_xll.DBRW(Server&amp;Cube1,$G$13,$G$14,$G$15,$G$16,$G$11,$G$12,K$18,K$1,$B71)</f>
        <v>0</v>
      </c>
      <c r="L71" s="116">
        <f ca="1">_xll.DBRW(Server&amp;Cube1,$G$13,$G$14,$G$15,$G$16,$G$11,$G$12,L$18,L$1,$B71)</f>
        <v>-1036.9239427789921</v>
      </c>
      <c r="M71" s="117"/>
      <c r="N71" s="116">
        <f t="shared" ca="1" si="74"/>
        <v>291.57193959714857</v>
      </c>
      <c r="O71" s="118">
        <f t="shared" ca="1" si="75"/>
        <v>-0.29270188659018348</v>
      </c>
      <c r="P71" s="123" t="str">
        <f t="shared" ca="1" si="2"/>
        <v>ì</v>
      </c>
      <c r="Q71" s="116">
        <f t="shared" ca="1" si="76"/>
        <v>-704.56765825034688</v>
      </c>
      <c r="R71" s="118" t="str">
        <f t="shared" ca="1" si="77"/>
        <v>-</v>
      </c>
      <c r="S71" s="123" t="str">
        <f t="shared" ca="1" si="41"/>
        <v>î</v>
      </c>
      <c r="T71" s="116">
        <f t="shared" ca="1" si="78"/>
        <v>332.35628452864523</v>
      </c>
      <c r="U71" s="118">
        <f t="shared" ca="1" si="79"/>
        <v>-0.32052137173910639</v>
      </c>
      <c r="V71" s="119" t="str">
        <f t="shared" ca="1" si="42"/>
        <v>ì</v>
      </c>
    </row>
    <row r="72" spans="2:22" ht="22.5" hidden="1" customHeight="1">
      <c r="B72" s="132" t="s">
        <v>100</v>
      </c>
      <c r="C72" s="60" t="str">
        <f ca="1">_xll.DBRA(Server&amp;$C$20,$B72,$G$17)</f>
        <v>Coûts d'assurance maladie (SE)</v>
      </c>
      <c r="F72" s="139" t="str">
        <f ca="1">_xll.DBRA(Server&amp;$C$20,$B72,"Attribut " &amp;$G$17)</f>
        <v>QHSE</v>
      </c>
      <c r="G72" s="139"/>
      <c r="H72" s="115"/>
      <c r="I72" s="116">
        <f ca="1">_xll.DBRW(Server&amp;Cube1,$G$13,$G$14,$G$15,$G$16,$G$11,$G$12,I$18,I$1,$B72)</f>
        <v>0</v>
      </c>
      <c r="J72" s="116">
        <f ca="1">_xll.DBRW(Server&amp;Cube1,$G$13,$G$14,$G$15,$G$16,$G$11,$G$12,J$18,J$1,$B72)</f>
        <v>-2.7120701754385959</v>
      </c>
      <c r="K72" s="116">
        <f ca="1">_xll.DBRW(Server&amp;Cube1,$G$13,$G$14,$G$15,$G$16,$G$11,$G$12,K$18,K$1,$B72)</f>
        <v>0</v>
      </c>
      <c r="L72" s="116">
        <f ca="1">_xll.DBRW(Server&amp;Cube1,$G$13,$G$14,$G$15,$G$16,$G$11,$G$12,L$18,L$1,$B72)</f>
        <v>-9.170170189515261</v>
      </c>
      <c r="M72" s="117"/>
      <c r="N72" s="116">
        <f t="shared" ca="1" si="74"/>
        <v>2.7120701754385959</v>
      </c>
      <c r="O72" s="118">
        <f t="shared" ca="1" si="75"/>
        <v>-1</v>
      </c>
      <c r="P72" s="123" t="str">
        <f t="shared" ca="1" si="2"/>
        <v>ì</v>
      </c>
      <c r="Q72" s="116">
        <f t="shared" ca="1" si="76"/>
        <v>0</v>
      </c>
      <c r="R72" s="118" t="str">
        <f t="shared" ca="1" si="77"/>
        <v>-</v>
      </c>
      <c r="S72" s="123" t="str">
        <f t="shared" ca="1" si="41"/>
        <v>è</v>
      </c>
      <c r="T72" s="116">
        <f t="shared" ca="1" si="78"/>
        <v>9.170170189515261</v>
      </c>
      <c r="U72" s="118">
        <f t="shared" ca="1" si="79"/>
        <v>-1</v>
      </c>
      <c r="V72" s="119" t="str">
        <f t="shared" ca="1" si="42"/>
        <v>ì</v>
      </c>
    </row>
    <row r="73" spans="2:22" ht="22.5" customHeight="1">
      <c r="B73" s="133" t="str">
        <f>B71&amp;"+"&amp;B72</f>
        <v>PL1310_SE_10+PL1310_SE_20</v>
      </c>
      <c r="C73" s="60"/>
      <c r="F73" s="131" t="str">
        <f ca="1">F72</f>
        <v>QHSE</v>
      </c>
      <c r="G73" s="131"/>
      <c r="H73" s="115"/>
      <c r="I73" s="116">
        <f ca="1">SUM(I71:I72)</f>
        <v>-704.56765825034688</v>
      </c>
      <c r="J73" s="116">
        <f t="shared" ref="J73" ca="1" si="92">SUM(J71:J72)</f>
        <v>-998.85166802293406</v>
      </c>
      <c r="K73" s="116">
        <f t="shared" ref="K73" ca="1" si="93">SUM(K71:K72)</f>
        <v>0</v>
      </c>
      <c r="L73" s="116">
        <f t="shared" ref="L73" ca="1" si="94">SUM(L71:L72)</f>
        <v>-1046.0941129685075</v>
      </c>
      <c r="M73" s="117"/>
      <c r="N73" s="116">
        <f t="shared" ca="1" si="74"/>
        <v>294.28400977258718</v>
      </c>
      <c r="O73" s="118">
        <f t="shared" ca="1" si="75"/>
        <v>-0.29462233401990001</v>
      </c>
      <c r="P73" s="123" t="str">
        <f t="shared" ca="1" si="2"/>
        <v>ì</v>
      </c>
      <c r="Q73" s="116">
        <f t="shared" ca="1" si="76"/>
        <v>-704.56765825034688</v>
      </c>
      <c r="R73" s="118" t="str">
        <f t="shared" ca="1" si="77"/>
        <v>-</v>
      </c>
      <c r="S73" s="123" t="str">
        <f t="shared" ca="1" si="41"/>
        <v>î</v>
      </c>
      <c r="T73" s="116">
        <f t="shared" ca="1" si="78"/>
        <v>341.52645471816061</v>
      </c>
      <c r="U73" s="118">
        <f t="shared" ca="1" si="79"/>
        <v>-0.32647775232097326</v>
      </c>
      <c r="V73" s="119" t="str">
        <f t="shared" ca="1" si="42"/>
        <v>ì</v>
      </c>
    </row>
    <row r="74" spans="2:22" ht="22.5" hidden="1" customHeight="1">
      <c r="B74" s="132" t="s">
        <v>64</v>
      </c>
      <c r="C74" s="60" t="str">
        <f ca="1">_xll.DBRA(Server&amp;$C$20,$B74,$G$17)</f>
        <v>Frais de personnel (DT)</v>
      </c>
      <c r="F74" s="139" t="str">
        <f ca="1">_xll.DBRA(Server&amp;$C$20,$B74,"Attribut " &amp;$G$17)</f>
        <v>Direction Technique</v>
      </c>
      <c r="G74" s="139"/>
      <c r="H74" s="115"/>
      <c r="I74" s="116">
        <f ca="1">_xll.DBRW(Server&amp;Cube1,$G$13,$G$14,$G$15,$G$16,$G$11,$G$12,I$18,I$1,$B74)</f>
        <v>-37.673180000000002</v>
      </c>
      <c r="J74" s="116">
        <f ca="1">_xll.DBRW(Server&amp;Cube1,$G$13,$G$14,$G$15,$G$16,$G$11,$G$12,J$18,J$1,$B74)</f>
        <v>-695.4622786202533</v>
      </c>
      <c r="K74" s="116">
        <f ca="1">_xll.DBRW(Server&amp;Cube1,$G$13,$G$14,$G$15,$G$16,$G$11,$G$12,K$18,K$1,$B74)</f>
        <v>0</v>
      </c>
      <c r="L74" s="116">
        <f ca="1">_xll.DBRW(Server&amp;Cube1,$G$13,$G$14,$G$15,$G$16,$G$11,$G$12,L$18,L$1,$B74)</f>
        <v>-666.32693502677625</v>
      </c>
      <c r="M74" s="117"/>
      <c r="N74" s="116">
        <f t="shared" ca="1" si="74"/>
        <v>657.7890986202533</v>
      </c>
      <c r="O74" s="118">
        <f t="shared" ca="1" si="75"/>
        <v>-0.945830016726801</v>
      </c>
      <c r="P74" s="123" t="str">
        <f t="shared" ca="1" si="2"/>
        <v>ì</v>
      </c>
      <c r="Q74" s="116">
        <f t="shared" ca="1" si="76"/>
        <v>-37.673180000000002</v>
      </c>
      <c r="R74" s="118" t="str">
        <f t="shared" ca="1" si="77"/>
        <v>-</v>
      </c>
      <c r="S74" s="123" t="str">
        <f t="shared" ca="1" si="41"/>
        <v>î</v>
      </c>
      <c r="T74" s="116">
        <f t="shared" ca="1" si="78"/>
        <v>628.65375502677625</v>
      </c>
      <c r="U74" s="118">
        <f t="shared" ca="1" si="79"/>
        <v>-0.94346141808227202</v>
      </c>
      <c r="V74" s="119" t="str">
        <f t="shared" ca="1" si="42"/>
        <v>ì</v>
      </c>
    </row>
    <row r="75" spans="2:22" ht="22.5" hidden="1" customHeight="1">
      <c r="B75" s="132" t="s">
        <v>101</v>
      </c>
      <c r="C75" s="60" t="str">
        <f ca="1">_xll.DBRA(Server&amp;$C$20,$B75,$G$17)</f>
        <v>Coûts d'assurance maladie (DT)</v>
      </c>
      <c r="F75" s="139" t="str">
        <f ca="1">_xll.DBRA(Server&amp;$C$20,$B75,"Attribut " &amp;$G$17)</f>
        <v>Direction Technique</v>
      </c>
      <c r="G75" s="139"/>
      <c r="H75" s="115"/>
      <c r="I75" s="116">
        <f ca="1">_xll.DBRW(Server&amp;Cube1,$G$13,$G$14,$G$15,$G$16,$G$11,$G$12,I$18,I$1,$B75)</f>
        <v>0</v>
      </c>
      <c r="J75" s="116">
        <f ca="1">_xll.DBRW(Server&amp;Cube1,$G$13,$G$14,$G$15,$G$16,$G$11,$G$12,J$18,J$1,$B75)</f>
        <v>-20.531824561403511</v>
      </c>
      <c r="K75" s="116">
        <f ca="1">_xll.DBRW(Server&amp;Cube1,$G$13,$G$14,$G$15,$G$16,$G$11,$G$12,K$18,K$1,$B75)</f>
        <v>0</v>
      </c>
      <c r="L75" s="116">
        <f ca="1">_xll.DBRW(Server&amp;Cube1,$G$13,$G$14,$G$15,$G$16,$G$11,$G$12,L$18,L$1,$B75)</f>
        <v>-21.53995421555933</v>
      </c>
      <c r="M75" s="117"/>
      <c r="N75" s="116">
        <f t="shared" ca="1" si="74"/>
        <v>20.531824561403511</v>
      </c>
      <c r="O75" s="118">
        <f t="shared" ca="1" si="75"/>
        <v>-1</v>
      </c>
      <c r="P75" s="123" t="str">
        <f t="shared" ca="1" si="2"/>
        <v>ì</v>
      </c>
      <c r="Q75" s="116">
        <f t="shared" ca="1" si="76"/>
        <v>0</v>
      </c>
      <c r="R75" s="118" t="str">
        <f t="shared" ca="1" si="77"/>
        <v>-</v>
      </c>
      <c r="S75" s="123" t="str">
        <f t="shared" ca="1" si="41"/>
        <v>è</v>
      </c>
      <c r="T75" s="116">
        <f t="shared" ca="1" si="78"/>
        <v>21.53995421555933</v>
      </c>
      <c r="U75" s="118">
        <f t="shared" ca="1" si="79"/>
        <v>-1</v>
      </c>
      <c r="V75" s="119" t="str">
        <f t="shared" ca="1" si="42"/>
        <v>ì</v>
      </c>
    </row>
    <row r="76" spans="2:22" ht="22.5" customHeight="1">
      <c r="B76" s="133" t="str">
        <f>B74&amp;"+"&amp;B75</f>
        <v>PL1310_TD_10+PL1310_TD_20</v>
      </c>
      <c r="C76" s="60"/>
      <c r="F76" s="131" t="str">
        <f ca="1">F75</f>
        <v>Direction Technique</v>
      </c>
      <c r="G76" s="131"/>
      <c r="H76" s="115"/>
      <c r="I76" s="116">
        <f ca="1">SUM(I74:I75)</f>
        <v>-37.673180000000002</v>
      </c>
      <c r="J76" s="116">
        <f t="shared" ref="J76" ca="1" si="95">SUM(J74:J75)</f>
        <v>-715.99410318165678</v>
      </c>
      <c r="K76" s="116">
        <f t="shared" ref="K76" ca="1" si="96">SUM(K74:K75)</f>
        <v>0</v>
      </c>
      <c r="L76" s="116">
        <f t="shared" ref="L76" ca="1" si="97">SUM(L74:L75)</f>
        <v>-687.86688924233556</v>
      </c>
      <c r="M76" s="117"/>
      <c r="N76" s="116">
        <f t="shared" ca="1" si="74"/>
        <v>678.32092318165678</v>
      </c>
      <c r="O76" s="118">
        <f t="shared" ca="1" si="75"/>
        <v>-0.94738339347685685</v>
      </c>
      <c r="P76" s="123" t="str">
        <f t="shared" ca="1" si="2"/>
        <v>ì</v>
      </c>
      <c r="Q76" s="116">
        <f t="shared" ca="1" si="76"/>
        <v>-37.673180000000002</v>
      </c>
      <c r="R76" s="118" t="str">
        <f t="shared" ca="1" si="77"/>
        <v>-</v>
      </c>
      <c r="S76" s="123" t="str">
        <f t="shared" ca="1" si="41"/>
        <v>î</v>
      </c>
      <c r="T76" s="116">
        <f t="shared" ca="1" si="78"/>
        <v>650.19370924233556</v>
      </c>
      <c r="U76" s="118">
        <f t="shared" ca="1" si="79"/>
        <v>-0.94523187467055458</v>
      </c>
      <c r="V76" s="119" t="str">
        <f t="shared" ca="1" si="42"/>
        <v>ì</v>
      </c>
    </row>
    <row r="77" spans="2:22" ht="22.5" hidden="1" customHeight="1">
      <c r="B77" s="132" t="s">
        <v>68</v>
      </c>
      <c r="C77" s="60" t="str">
        <f ca="1">_xll.DBRA(Server&amp;$C$20,$B77,$G$17)</f>
        <v>Frais de personnel (FIS)</v>
      </c>
      <c r="F77" s="139" t="str">
        <f ca="1">_xll.DBRA(Server&amp;$C$20,$B77,"Attribut " &amp;$G$17)</f>
        <v>Fiscalité</v>
      </c>
      <c r="G77" s="139"/>
      <c r="H77" s="115"/>
      <c r="I77" s="116">
        <f ca="1">_xll.DBRW(Server&amp;Cube1,$G$13,$G$14,$G$15,$G$16,$G$11,$G$12,I$18,I$1,$B77)</f>
        <v>0</v>
      </c>
      <c r="J77" s="116">
        <f ca="1">_xll.DBRW(Server&amp;Cube1,$G$13,$G$14,$G$15,$G$16,$G$11,$G$12,J$18,J$1,$B77)</f>
        <v>0</v>
      </c>
      <c r="K77" s="116">
        <f ca="1">_xll.DBRW(Server&amp;Cube1,$G$13,$G$14,$G$15,$G$16,$G$11,$G$12,K$18,K$1,$B77)</f>
        <v>0</v>
      </c>
      <c r="L77" s="116">
        <f ca="1">_xll.DBRW(Server&amp;Cube1,$G$13,$G$14,$G$15,$G$16,$G$11,$G$12,L$18,L$1,$B77)</f>
        <v>0</v>
      </c>
      <c r="M77" s="117"/>
      <c r="N77" s="116">
        <f t="shared" ca="1" si="74"/>
        <v>0</v>
      </c>
      <c r="O77" s="118" t="str">
        <f t="shared" ca="1" si="75"/>
        <v>-</v>
      </c>
      <c r="P77" s="123" t="str">
        <f t="shared" ca="1" si="2"/>
        <v>è</v>
      </c>
      <c r="Q77" s="116">
        <f t="shared" ca="1" si="76"/>
        <v>0</v>
      </c>
      <c r="R77" s="118" t="str">
        <f t="shared" ca="1" si="77"/>
        <v>-</v>
      </c>
      <c r="S77" s="123" t="str">
        <f t="shared" ca="1" si="41"/>
        <v>è</v>
      </c>
      <c r="T77" s="116">
        <f t="shared" ca="1" si="78"/>
        <v>0</v>
      </c>
      <c r="U77" s="118" t="str">
        <f t="shared" ca="1" si="79"/>
        <v>-</v>
      </c>
      <c r="V77" s="119" t="str">
        <f t="shared" ca="1" si="42"/>
        <v>è</v>
      </c>
    </row>
    <row r="78" spans="2:22" ht="22.5" hidden="1" customHeight="1">
      <c r="B78" s="132" t="s">
        <v>102</v>
      </c>
      <c r="C78" s="60" t="str">
        <f ca="1">_xll.DBRA(Server&amp;$C$20,$B78,$G$17)</f>
        <v>Coûts d'assurance maladie (FIS)</v>
      </c>
      <c r="F78" s="139" t="str">
        <f ca="1">_xll.DBRA(Server&amp;$C$20,$B78,"Attribut " &amp;$G$17)</f>
        <v>Fiscalité</v>
      </c>
      <c r="G78" s="139"/>
      <c r="H78" s="115"/>
      <c r="I78" s="116">
        <f ca="1">_xll.DBRW(Server&amp;Cube1,$G$13,$G$14,$G$15,$G$16,$G$11,$G$12,I$18,I$1,$B78)</f>
        <v>0</v>
      </c>
      <c r="J78" s="116">
        <f ca="1">_xll.DBRW(Server&amp;Cube1,$G$13,$G$14,$G$15,$G$16,$G$11,$G$12,J$18,J$1,$B78)</f>
        <v>0</v>
      </c>
      <c r="K78" s="116">
        <f ca="1">_xll.DBRW(Server&amp;Cube1,$G$13,$G$14,$G$15,$G$16,$G$11,$G$12,K$18,K$1,$B78)</f>
        <v>0</v>
      </c>
      <c r="L78" s="116">
        <f ca="1">_xll.DBRW(Server&amp;Cube1,$G$13,$G$14,$G$15,$G$16,$G$11,$G$12,L$18,L$1,$B78)</f>
        <v>0</v>
      </c>
      <c r="M78" s="117"/>
      <c r="N78" s="116">
        <f t="shared" ca="1" si="74"/>
        <v>0</v>
      </c>
      <c r="O78" s="118" t="str">
        <f t="shared" ca="1" si="75"/>
        <v>-</v>
      </c>
      <c r="P78" s="123" t="str">
        <f t="shared" ca="1" si="2"/>
        <v>è</v>
      </c>
      <c r="Q78" s="116">
        <f t="shared" ca="1" si="76"/>
        <v>0</v>
      </c>
      <c r="R78" s="118" t="str">
        <f t="shared" ca="1" si="77"/>
        <v>-</v>
      </c>
      <c r="S78" s="123" t="str">
        <f t="shared" ca="1" si="41"/>
        <v>è</v>
      </c>
      <c r="T78" s="116">
        <f t="shared" ca="1" si="78"/>
        <v>0</v>
      </c>
      <c r="U78" s="118" t="str">
        <f t="shared" ca="1" si="79"/>
        <v>-</v>
      </c>
      <c r="V78" s="119" t="str">
        <f t="shared" ca="1" si="42"/>
        <v>è</v>
      </c>
    </row>
    <row r="79" spans="2:22" ht="22.5" customHeight="1">
      <c r="B79" s="133" t="str">
        <f>B77&amp;"+"&amp;B78</f>
        <v>PL1310_TM_10+PL1310_TM_20</v>
      </c>
      <c r="C79" s="60"/>
      <c r="F79" s="131" t="str">
        <f ca="1">F78</f>
        <v>Fiscalité</v>
      </c>
      <c r="G79" s="131"/>
      <c r="H79" s="115"/>
      <c r="I79" s="116">
        <f ca="1">SUM(I77:I78)</f>
        <v>0</v>
      </c>
      <c r="J79" s="116">
        <f t="shared" ref="J79" ca="1" si="98">SUM(J77:J78)</f>
        <v>0</v>
      </c>
      <c r="K79" s="116">
        <f t="shared" ref="K79" ca="1" si="99">SUM(K77:K78)</f>
        <v>0</v>
      </c>
      <c r="L79" s="116">
        <f t="shared" ref="L79" ca="1" si="100">SUM(L77:L78)</f>
        <v>0</v>
      </c>
      <c r="M79" s="117"/>
      <c r="N79" s="116">
        <f t="shared" ca="1" si="74"/>
        <v>0</v>
      </c>
      <c r="O79" s="118" t="str">
        <f t="shared" ca="1" si="75"/>
        <v>-</v>
      </c>
      <c r="P79" s="123" t="str">
        <f t="shared" ca="1" si="2"/>
        <v>è</v>
      </c>
      <c r="Q79" s="116">
        <f t="shared" ca="1" si="76"/>
        <v>0</v>
      </c>
      <c r="R79" s="118" t="str">
        <f t="shared" ca="1" si="77"/>
        <v>-</v>
      </c>
      <c r="S79" s="123" t="str">
        <f t="shared" ca="1" si="41"/>
        <v>è</v>
      </c>
      <c r="T79" s="116">
        <f t="shared" ca="1" si="78"/>
        <v>0</v>
      </c>
      <c r="U79" s="118" t="str">
        <f t="shared" ca="1" si="79"/>
        <v>-</v>
      </c>
      <c r="V79" s="119" t="str">
        <f t="shared" ca="1" si="42"/>
        <v>è</v>
      </c>
    </row>
    <row r="80" spans="2:22" ht="22.5" customHeight="1">
      <c r="B80" s="132" t="s">
        <v>86</v>
      </c>
      <c r="C80" s="60" t="str">
        <f ca="1">_xll.DBRA(Server&amp;$C$20,$B80,$G$17)</f>
        <v>Réconciliation Vector (TPL13) - Frais de personnel - Cash</v>
      </c>
      <c r="F80" s="139" t="str">
        <f ca="1">C80</f>
        <v>Réconciliation Vector (TPL13) - Frais de personnel - Cash</v>
      </c>
      <c r="G80" s="139"/>
      <c r="H80" s="115"/>
      <c r="I80" s="116">
        <f ca="1">_xll.DBRW(Server&amp;Cube1,$G$13,$G$14,$G$15,$G$16,$G$11,$G$12,I$18,I$1,$B80)</f>
        <v>-22754.979939941237</v>
      </c>
      <c r="J80" s="116">
        <f ca="1">_xll.DBRW(Server&amp;Cube1,$G$13,$G$14,$G$15,$G$16,$G$11,$G$12,J$18,J$1,$B80)</f>
        <v>-18122.591705641084</v>
      </c>
      <c r="K80" s="116">
        <f ca="1">_xll.DBRW(Server&amp;Cube1,$G$13,$G$14,$G$15,$G$16,$G$11,$G$12,K$18,K$1,$B80)</f>
        <v>5201.6830600000003</v>
      </c>
      <c r="L80" s="116">
        <f ca="1">_xll.DBRW(Server&amp;Cube1,$G$13,$G$14,$G$15,$G$16,$G$11,$G$12,L$18,L$1,$B80)</f>
        <v>-7837.0322975006575</v>
      </c>
      <c r="M80" s="117"/>
      <c r="N80" s="116">
        <f t="shared" ca="1" si="74"/>
        <v>-4632.3882343001533</v>
      </c>
      <c r="O80" s="118">
        <f t="shared" ca="1" si="75"/>
        <v>0.25561400430702269</v>
      </c>
      <c r="P80" s="123"/>
      <c r="Q80" s="116">
        <f t="shared" ca="1" si="76"/>
        <v>-27956.662999941236</v>
      </c>
      <c r="R80" s="118" t="str">
        <f t="shared" ca="1" si="77"/>
        <v>-</v>
      </c>
      <c r="S80" s="123"/>
      <c r="T80" s="116">
        <f t="shared" ca="1" si="78"/>
        <v>-14917.94764244058</v>
      </c>
      <c r="U80" s="118">
        <f t="shared" ca="1" si="79"/>
        <v>1.9035199902389235</v>
      </c>
      <c r="V80" s="119"/>
    </row>
    <row r="81" spans="2:22" ht="22.5" customHeight="1">
      <c r="B81" s="127"/>
      <c r="C81" s="60" t="str">
        <f ca="1">_xll.DBRA(Server&amp;$C$20,$B81,$G$17)</f>
        <v/>
      </c>
    </row>
    <row r="82" spans="2:22" ht="22.5" customHeight="1">
      <c r="B82" s="128" t="s">
        <v>76</v>
      </c>
      <c r="C82" s="60" t="str">
        <f ca="1">_xll.DBRA(Server&amp;$C$20,$B82,$G$17)</f>
        <v/>
      </c>
      <c r="F82" s="146" t="str">
        <f ca="1">_xll.DBRA(Server&amp;$Z$15,"total_staff_costs",$G$17)</f>
        <v>Total Frais de personnel</v>
      </c>
      <c r="G82" s="146"/>
      <c r="H82" s="71"/>
      <c r="I82" s="134">
        <f ca="1">I21+I32+I37</f>
        <v>-699498.06366400036</v>
      </c>
      <c r="J82" s="134">
        <f ca="1">J21+J32+J37</f>
        <v>-681550.27327503904</v>
      </c>
      <c r="K82" s="134">
        <f ca="1">K21+K32+K37</f>
        <v>9.3132257461547854E-13</v>
      </c>
      <c r="L82" s="134">
        <f ca="1">L21+L32+L37</f>
        <v>-637485.00729500013</v>
      </c>
      <c r="M82" s="61"/>
      <c r="N82" s="134">
        <f ca="1">N21+N32+N37</f>
        <v>-17947.790388961352</v>
      </c>
      <c r="O82" s="135">
        <f ca="1">IF(OR($J82=0,N82=0),"-",IF(ABS(N82/$J82)&gt;2,"-",N82/$J82))</f>
        <v>2.6333773299975681E-2</v>
      </c>
      <c r="P82" s="136" t="str">
        <f t="shared" ca="1" si="2"/>
        <v>î</v>
      </c>
      <c r="Q82" s="134">
        <f ca="1">Q21+Q32+Q37</f>
        <v>-699498.06366400036</v>
      </c>
      <c r="R82" s="135" t="str">
        <f ca="1">IF(OR($K82=0,Q82=0),"-",IF(ABS(Q82/$K82)&gt;2,"-",Q82/$K82))</f>
        <v>-</v>
      </c>
      <c r="S82" s="136" t="str">
        <f ca="1">IF(OR(AND(R82&gt;0.01,Q82&lt;0),AND(R82&lt;-0.01,Q82&lt;0)),"î",IF(OR(AND(R82&lt;-0.01,Q82&gt;0),AND(R82&gt;0.01,Q82&gt;0)),"ì","è"))</f>
        <v>î</v>
      </c>
      <c r="T82" s="134">
        <f ca="1">T21+T32+T37</f>
        <v>-62013.056369000267</v>
      </c>
      <c r="U82" s="135">
        <f ca="1">IF(OR($L82=0,T82=0),"-",IF(ABS(T82/$L82)&gt;2,"-",T82/$L82))</f>
        <v>9.7277670312806805E-2</v>
      </c>
      <c r="V82" s="136" t="str">
        <f ca="1">IF(OR(AND(U82&gt;0.01,T82&lt;0),AND(U82&lt;-0.01,T82&lt;0)),"î",IF(OR(AND(U82&lt;-0.01,T82&gt;0),AND(U82&gt;0.01,T82&gt;0)),"ì","è"))</f>
        <v>î</v>
      </c>
    </row>
    <row r="83" spans="2:22" ht="22.5" customHeight="1">
      <c r="B83" s="127"/>
      <c r="C83" s="60" t="str">
        <f ca="1">_xll.DBRA(Server&amp;$C$20,$B83,$G$17)</f>
        <v/>
      </c>
    </row>
    <row r="84" spans="2:22" ht="22.5" customHeight="1">
      <c r="B84" s="125" t="s">
        <v>81</v>
      </c>
      <c r="C84" s="60" t="str">
        <f ca="1">_xll.DBRA(Server&amp;$C$20,$B84,$G$17)</f>
        <v>CDV - Personnel intérimaire</v>
      </c>
      <c r="F84" s="140" t="str">
        <f ca="1">_xll.DBRA(Server&amp;$C$20,$B84,$G$17)</f>
        <v>CDV - Personnel intérimaire</v>
      </c>
      <c r="G84" s="140"/>
      <c r="H84" s="71"/>
      <c r="I84" s="120">
        <f ca="1">_xll.DBRW(Server&amp;Cube1,$G$13,$G$14,$G$15,$G$16,$G$11,$G$12,I$18,I$1,$B84)</f>
        <v>-13.436869313754761</v>
      </c>
      <c r="J84" s="120">
        <f ca="1">_xll.DBRW(Server&amp;Cube1,$G$13,$G$14,$G$15,$G$16,$G$11,$G$12,J$18,J$1,$B84)</f>
        <v>-5849.2288561827372</v>
      </c>
      <c r="K84" s="120">
        <f ca="1">_xll.DBRW(Server&amp;Cube1,$G$13,$G$14,$G$15,$G$16,$G$11,$G$12,K$18,K$1,$B84)</f>
        <v>0</v>
      </c>
      <c r="L84" s="120">
        <f ca="1">_xll.DBRW(Server&amp;Cube1,$G$13,$G$14,$G$15,$G$16,$G$11,$G$12,L$18,L$1,$B84)</f>
        <v>-8069.7506068666989</v>
      </c>
      <c r="M84" s="61"/>
      <c r="N84" s="120">
        <f ca="1">IF(OR($I84="",J84=""),"-",IFERROR(($I84-J84),""))</f>
        <v>5835.7919868689823</v>
      </c>
      <c r="O84" s="121">
        <f ca="1">IF(OR($J84=0,N84=0),"-",IF(ABS(N84/$J84)&gt;2,"-",N84/$J84))</f>
        <v>-0.99770279644648341</v>
      </c>
      <c r="P84" s="122" t="str">
        <f t="shared" ca="1" si="2"/>
        <v>ì</v>
      </c>
      <c r="Q84" s="120">
        <f ca="1">IF(OR($I84="",K84=""),"-",IFERROR(($I84-K84),""))</f>
        <v>-13.436869313754761</v>
      </c>
      <c r="R84" s="121" t="str">
        <f ca="1">IF(OR($K84=0,Q84=0),"-",IF(ABS(Q84/$K84)&gt;2,"-",Q84/$K84))</f>
        <v>-</v>
      </c>
      <c r="S84" s="122" t="str">
        <f ca="1">IF(OR(AND(R84&gt;0.01,Q84&lt;0),AND(R84&lt;-0.01,Q84&lt;0)),"î",IF(OR(AND(R84&lt;-0.01,Q84&gt;0),AND(R84&gt;0.01,Q84&gt;0)),"ì","è"))</f>
        <v>î</v>
      </c>
      <c r="T84" s="120">
        <f ca="1">IF(OR($I84="",L84=""),"-",IFERROR(($I84-L84),""))</f>
        <v>8056.3137375529441</v>
      </c>
      <c r="U84" s="121">
        <f ca="1">IF(OR($L84=0,T84=0),"-",IF(ABS(T84/$L84)&gt;2,"-",T84/$L84))</f>
        <v>-0.99833490897447053</v>
      </c>
      <c r="V84" s="72" t="str">
        <f ca="1">IF(OR(AND(U84&gt;0.01,T84&lt;0),AND(U84&lt;-0.01,T84&lt;0)),"î",IF(OR(AND(U84&lt;-0.01,T84&gt;0),AND(U84&gt;0.01,T84&gt;0)),"ì","è"))</f>
        <v>ì</v>
      </c>
    </row>
    <row r="85" spans="2:22" ht="22.5" customHeight="1">
      <c r="B85" s="126"/>
      <c r="C85" s="60" t="str">
        <f ca="1">_xll.DBRA(Server&amp;$C$20,$B85,$G$17)</f>
        <v/>
      </c>
    </row>
    <row r="86" spans="2:22" ht="22.5" customHeight="1">
      <c r="B86" s="129" t="s">
        <v>56</v>
      </c>
      <c r="C86" s="60" t="str">
        <f ca="1">_xll.DBRA(Server&amp;$C$20,$B86,$G$17)</f>
        <v>Personnel intérimaire (DD)</v>
      </c>
      <c r="F86" s="140" t="str">
        <f ca="1">_xll.DBRA(Server&amp;$C$20,$B86,$G$17)</f>
        <v>Personnel intérimaire (DD)</v>
      </c>
      <c r="G86" s="140"/>
      <c r="H86" s="71"/>
      <c r="I86" s="120">
        <f ca="1">_xll.DBRW(Server&amp;Cube1,$G$13,$G$14,$G$15,$G$16,$G$11,$G$12,I$18,I$1,$B86)</f>
        <v>-8.242049999999999</v>
      </c>
      <c r="J86" s="120">
        <f ca="1">_xll.DBRW(Server&amp;Cube1,$G$13,$G$14,$G$15,$G$16,$G$11,$G$12,J$18,J$1,$B86)</f>
        <v>0</v>
      </c>
      <c r="K86" s="120">
        <f ca="1">_xll.DBRW(Server&amp;Cube1,$G$13,$G$14,$G$15,$G$16,$G$11,$G$12,K$18,K$1,$B86)</f>
        <v>-8.242049999999999</v>
      </c>
      <c r="L86" s="120">
        <f ca="1">_xll.DBRW(Server&amp;Cube1,$G$13,$G$14,$G$15,$G$16,$G$11,$G$12,L$18,L$1,$B86)</f>
        <v>-23.939099999999989</v>
      </c>
      <c r="M86" s="61"/>
      <c r="N86" s="120">
        <f ca="1">IF(OR($I86="",J86=""),"-",IFERROR(($I86-J86),""))</f>
        <v>-8.242049999999999</v>
      </c>
      <c r="O86" s="121" t="str">
        <f ca="1">IF(OR($J86=0,N86=0),"-",IF(ABS(N86/$J86)&gt;2,"-",N86/$J86))</f>
        <v>-</v>
      </c>
      <c r="P86" s="122" t="str">
        <f t="shared" ca="1" si="2"/>
        <v>î</v>
      </c>
      <c r="Q86" s="120">
        <f ca="1">IF(OR($I86="",K86=""),"-",IFERROR(($I86-K86),""))</f>
        <v>0</v>
      </c>
      <c r="R86" s="121" t="str">
        <f ca="1">IF(OR($K86=0,Q86=0),"-",IF(ABS(Q86/$K86)&gt;2,"-",Q86/$K86))</f>
        <v>-</v>
      </c>
      <c r="S86" s="122" t="str">
        <f ca="1">IF(OR(AND(R86&gt;0.01,Q86&lt;0),AND(R86&lt;-0.01,Q86&lt;0)),"î",IF(OR(AND(R86&lt;-0.01,Q86&gt;0),AND(R86&gt;0.01,Q86&gt;0)),"ì","è"))</f>
        <v>è</v>
      </c>
      <c r="T86" s="120">
        <f ca="1">IF(OR($I86="",L86=""),"-",IFERROR(($I86-L86),""))</f>
        <v>15.69704999999999</v>
      </c>
      <c r="U86" s="121">
        <f ca="1">IF(OR($L86=0,T86=0),"-",IF(ABS(T86/$L86)&gt;2,"-",T86/$L86))</f>
        <v>-0.65570760805544059</v>
      </c>
      <c r="V86" s="72" t="str">
        <f ca="1">IF(OR(AND(U86&gt;0.01,T86&lt;0),AND(U86&lt;-0.01,T86&lt;0)),"î",IF(OR(AND(U86&lt;-0.01,T86&gt;0),AND(U86&gt;0.01,T86&gt;0)),"ì","è"))</f>
        <v>ì</v>
      </c>
    </row>
    <row r="87" spans="2:22" ht="22.5" customHeight="1">
      <c r="B87" s="130"/>
      <c r="C87" s="60" t="str">
        <f ca="1">_xll.DBRA(Server&amp;$C$20,$B87,$G$17)</f>
        <v/>
      </c>
    </row>
    <row r="88" spans="2:22" ht="22.5" customHeight="1">
      <c r="B88" s="125" t="s">
        <v>82</v>
      </c>
      <c r="C88" s="60" t="str">
        <f ca="1">_xll.DBRA(Server&amp;$C$20,$B88,$G$17)</f>
        <v>G&amp;A - Personnel intérimaire</v>
      </c>
      <c r="F88" s="140" t="str">
        <f ca="1">_xll.DBRA(Server&amp;$C$20,$B88,$G$17)</f>
        <v>G&amp;A - Personnel intérimaire</v>
      </c>
      <c r="G88" s="140"/>
      <c r="H88" s="71"/>
      <c r="I88" s="120">
        <f ca="1">_xll.DBRW(Server&amp;Cube1,$G$13,$G$14,$G$15,$G$16,$G$11,$G$12,I$18,I$1,$B88)</f>
        <v>-487.26036605122783</v>
      </c>
      <c r="J88" s="120">
        <f ca="1">_xll.DBRW(Server&amp;Cube1,$G$13,$G$14,$G$15,$G$16,$G$11,$G$12,J$18,J$1,$B88)</f>
        <v>-1203.4933144717629</v>
      </c>
      <c r="K88" s="120">
        <f ca="1">_xll.DBRW(Server&amp;Cube1,$G$13,$G$14,$G$15,$G$16,$G$11,$G$12,K$18,K$1,$B88)</f>
        <v>-46.844990000000003</v>
      </c>
      <c r="L88" s="120">
        <f ca="1">_xll.DBRW(Server&amp;Cube1,$G$13,$G$14,$G$15,$G$16,$G$11,$G$12,L$18,L$1,$B88)</f>
        <v>-2046.9775965835317</v>
      </c>
      <c r="M88" s="61"/>
      <c r="N88" s="120">
        <f ca="1">IF(OR($I88="",J88=""),"-",IFERROR(($I88-J88),""))</f>
        <v>716.23294842053508</v>
      </c>
      <c r="O88" s="121">
        <f ca="1">IF(OR($J88=0,N88=0),"-",IF(ABS(N88/$J88)&gt;2,"-",N88/$J88))</f>
        <v>-0.59512831505416708</v>
      </c>
      <c r="P88" s="122" t="str">
        <f t="shared" ca="1" si="2"/>
        <v>ì</v>
      </c>
      <c r="Q88" s="120">
        <f ca="1">IF(OR($I88="",K88=""),"-",IFERROR(($I88-K88),""))</f>
        <v>-440.41537605122784</v>
      </c>
      <c r="R88" s="121" t="str">
        <f ca="1">IF(OR($K88=0,Q88=0),"-",IF(ABS(Q88/$K88)&gt;2,"-",Q88/$K88))</f>
        <v>-</v>
      </c>
      <c r="S88" s="122" t="str">
        <f ca="1">IF(OR(AND(R88&gt;0.01,Q88&lt;0),AND(R88&lt;-0.01,Q88&lt;0)),"î",IF(OR(AND(R88&lt;-0.01,Q88&gt;0),AND(R88&gt;0.01,Q88&gt;0)),"ì","è"))</f>
        <v>î</v>
      </c>
      <c r="T88" s="120">
        <f ca="1">IF(OR($I88="",L88=""),"-",IFERROR(($I88-L88),""))</f>
        <v>1559.7172305323038</v>
      </c>
      <c r="U88" s="121">
        <f ca="1">IF(OR($L88=0,T88=0),"-",IF(ABS(T88/$L88)&gt;2,"-",T88/$L88))</f>
        <v>-0.76196106549261677</v>
      </c>
      <c r="V88" s="72" t="str">
        <f ca="1">IF(OR(AND(U88&gt;0.01,T88&lt;0),AND(U88&lt;-0.01,T88&lt;0)),"î",IF(OR(AND(U88&lt;-0.01,T88&gt;0),AND(U88&gt;0.01,T88&gt;0)),"ì","è"))</f>
        <v>ì</v>
      </c>
    </row>
    <row r="89" spans="2:22" ht="22.5" customHeight="1">
      <c r="B89" s="127"/>
      <c r="C89" s="60" t="str">
        <f ca="1">_xll.DBRA(Server&amp;$C$20,$B89,$G$17)</f>
        <v/>
      </c>
    </row>
    <row r="90" spans="2:22" ht="22.5" customHeight="1">
      <c r="B90" s="128" t="s">
        <v>77</v>
      </c>
      <c r="C90" s="60" t="str">
        <f ca="1">_xll.DBRA(Server&amp;$C$20,$B90,$G$17)</f>
        <v/>
      </c>
      <c r="F90" s="146" t="str">
        <f ca="1">_xll.DBRA(Server&amp;$Z$15,"total_interim_staff_costs",$G$17)</f>
        <v>Total Frais de personnel intérimaire</v>
      </c>
      <c r="G90" s="146"/>
      <c r="H90" s="71"/>
      <c r="I90" s="134">
        <f ca="1">I84+I86+I88</f>
        <v>-508.9392853649826</v>
      </c>
      <c r="J90" s="134">
        <f ca="1">J84+J86+J88</f>
        <v>-7052.7221706545006</v>
      </c>
      <c r="K90" s="134">
        <f ca="1">K84+K86+K88</f>
        <v>-55.087040000000002</v>
      </c>
      <c r="L90" s="134">
        <f ca="1">L84+L86+L88</f>
        <v>-10140.667303450231</v>
      </c>
      <c r="M90" s="61"/>
      <c r="N90" s="134">
        <f ca="1">N84+N86+N88</f>
        <v>6543.7828852895173</v>
      </c>
      <c r="O90" s="135">
        <f ca="1">IF(OR($J90=0,N90=0),"-",IF(ABS(N90/$J90)&gt;2,"-",N90/$J90))</f>
        <v>-0.92783789392943672</v>
      </c>
      <c r="P90" s="136" t="str">
        <f t="shared" ca="1" si="2"/>
        <v>ì</v>
      </c>
      <c r="Q90" s="134">
        <f ca="1">Q84+Q86+Q88</f>
        <v>-453.85224536498259</v>
      </c>
      <c r="R90" s="135" t="str">
        <f ca="1">IF(OR($K90=0,Q90=0),"-",IF(ABS(Q90/$K90)&gt;2,"-",Q90/$K90))</f>
        <v>-</v>
      </c>
      <c r="S90" s="136" t="str">
        <f ca="1">IF(OR(AND(R90&gt;0.01,Q90&lt;0),AND(R90&lt;-0.01,Q90&lt;0)),"î",IF(OR(AND(R90&lt;-0.01,Q90&gt;0),AND(R90&gt;0.01,Q90&gt;0)),"ì","è"))</f>
        <v>î</v>
      </c>
      <c r="T90" s="134">
        <f ca="1">T84+T86+T88</f>
        <v>9631.7280180852467</v>
      </c>
      <c r="U90" s="135">
        <f ca="1">IF(OR($L90=0,T90=0),"-",IF(ABS(T90/$L90)&gt;2,"-",T90/$L90))</f>
        <v>-0.949812051797437</v>
      </c>
      <c r="V90" s="136" t="str">
        <f ca="1">IF(OR(AND(U90&gt;0.01,T90&lt;0),AND(U90&lt;-0.01,T90&lt;0)),"î",IF(OR(AND(U90&lt;-0.01,T90&gt;0),AND(U90&gt;0.01,T90&gt;0)),"ì","è"))</f>
        <v>ì</v>
      </c>
    </row>
  </sheetData>
  <sheetProtection password="D70F" sheet="1" objects="1" scenarios="1" formatColumns="0" formatRows="0"/>
  <mergeCells count="54">
    <mergeCell ref="F53:G53"/>
    <mergeCell ref="F54:G54"/>
    <mergeCell ref="F56:G56"/>
    <mergeCell ref="F57:G57"/>
    <mergeCell ref="F59:G59"/>
    <mergeCell ref="F45:G45"/>
    <mergeCell ref="F47:G47"/>
    <mergeCell ref="F48:G48"/>
    <mergeCell ref="F50:G50"/>
    <mergeCell ref="F51:G51"/>
    <mergeCell ref="F38:G38"/>
    <mergeCell ref="F39:G39"/>
    <mergeCell ref="F41:G41"/>
    <mergeCell ref="F42:G42"/>
    <mergeCell ref="F44:G44"/>
    <mergeCell ref="F84:G84"/>
    <mergeCell ref="F86:G86"/>
    <mergeCell ref="F88:G88"/>
    <mergeCell ref="F82:G82"/>
    <mergeCell ref="F90:G90"/>
    <mergeCell ref="N19:P19"/>
    <mergeCell ref="Q19:S19"/>
    <mergeCell ref="T19:V19"/>
    <mergeCell ref="N18:V18"/>
    <mergeCell ref="F7:V8"/>
    <mergeCell ref="F21:G21"/>
    <mergeCell ref="F29:G29"/>
    <mergeCell ref="F37:G37"/>
    <mergeCell ref="F32:G32"/>
    <mergeCell ref="F35:G35"/>
    <mergeCell ref="F22:G22"/>
    <mergeCell ref="F23:G23"/>
    <mergeCell ref="F25:G25"/>
    <mergeCell ref="F26:G26"/>
    <mergeCell ref="F27:G27"/>
    <mergeCell ref="F28:G28"/>
    <mergeCell ref="F33:G33"/>
    <mergeCell ref="F30:G30"/>
    <mergeCell ref="F34:G34"/>
    <mergeCell ref="F24:G24"/>
    <mergeCell ref="F80:G80"/>
    <mergeCell ref="F60:G60"/>
    <mergeCell ref="F62:G62"/>
    <mergeCell ref="F63:G63"/>
    <mergeCell ref="F65:G65"/>
    <mergeCell ref="F66:G66"/>
    <mergeCell ref="F68:G68"/>
    <mergeCell ref="F69:G69"/>
    <mergeCell ref="F71:G71"/>
    <mergeCell ref="F72:G72"/>
    <mergeCell ref="F74:G74"/>
    <mergeCell ref="F75:G75"/>
    <mergeCell ref="F77:G77"/>
    <mergeCell ref="F78:G78"/>
  </mergeCells>
  <conditionalFormatting sqref="P21">
    <cfRule type="cellIs" dxfId="233" priority="520" stopIfTrue="1" operator="equal">
      <formula>"ì"</formula>
    </cfRule>
    <cfRule type="cellIs" dxfId="232" priority="521" stopIfTrue="1" operator="equal">
      <formula>"î"</formula>
    </cfRule>
    <cfRule type="cellIs" dxfId="231" priority="522" stopIfTrue="1" operator="equal">
      <formula>"è"</formula>
    </cfRule>
  </conditionalFormatting>
  <conditionalFormatting sqref="V22 S22 S29 V29 S25:S27 V25:V27">
    <cfRule type="cellIs" dxfId="230" priority="544" stopIfTrue="1" operator="equal">
      <formula>"ì"</formula>
    </cfRule>
    <cfRule type="cellIs" dxfId="229" priority="545" stopIfTrue="1" operator="equal">
      <formula>"î"</formula>
    </cfRule>
    <cfRule type="cellIs" dxfId="228" priority="546" stopIfTrue="1" operator="equal">
      <formula>"è"</formula>
    </cfRule>
  </conditionalFormatting>
  <conditionalFormatting sqref="P22 P29 P25:P27">
    <cfRule type="cellIs" dxfId="227" priority="502" stopIfTrue="1" operator="equal">
      <formula>"ì"</formula>
    </cfRule>
    <cfRule type="cellIs" dxfId="226" priority="503" stopIfTrue="1" operator="equal">
      <formula>"î"</formula>
    </cfRule>
    <cfRule type="cellIs" dxfId="225" priority="504" stopIfTrue="1" operator="equal">
      <formula>"è"</formula>
    </cfRule>
  </conditionalFormatting>
  <conditionalFormatting sqref="S31">
    <cfRule type="cellIs" dxfId="224" priority="331" stopIfTrue="1" operator="equal">
      <formula>"ì"</formula>
    </cfRule>
    <cfRule type="cellIs" dxfId="223" priority="332" stopIfTrue="1" operator="equal">
      <formula>"î"</formula>
    </cfRule>
    <cfRule type="cellIs" dxfId="222" priority="333" stopIfTrue="1" operator="equal">
      <formula>"è"</formula>
    </cfRule>
  </conditionalFormatting>
  <conditionalFormatting sqref="V31">
    <cfRule type="cellIs" dxfId="221" priority="328" stopIfTrue="1" operator="equal">
      <formula>"ì"</formula>
    </cfRule>
    <cfRule type="cellIs" dxfId="220" priority="329" stopIfTrue="1" operator="equal">
      <formula>"î"</formula>
    </cfRule>
    <cfRule type="cellIs" dxfId="219" priority="330" stopIfTrue="1" operator="equal">
      <formula>"è"</formula>
    </cfRule>
  </conditionalFormatting>
  <conditionalFormatting sqref="P31">
    <cfRule type="cellIs" dxfId="218" priority="325" stopIfTrue="1" operator="equal">
      <formula>"ì"</formula>
    </cfRule>
    <cfRule type="cellIs" dxfId="217" priority="326" stopIfTrue="1" operator="equal">
      <formula>"î"</formula>
    </cfRule>
    <cfRule type="cellIs" dxfId="216" priority="327" stopIfTrue="1" operator="equal">
      <formula>"è"</formula>
    </cfRule>
  </conditionalFormatting>
  <conditionalFormatting sqref="S36">
    <cfRule type="cellIs" dxfId="215" priority="253" stopIfTrue="1" operator="equal">
      <formula>"ì"</formula>
    </cfRule>
    <cfRule type="cellIs" dxfId="214" priority="254" stopIfTrue="1" operator="equal">
      <formula>"î"</formula>
    </cfRule>
    <cfRule type="cellIs" dxfId="213" priority="255" stopIfTrue="1" operator="equal">
      <formula>"è"</formula>
    </cfRule>
  </conditionalFormatting>
  <conditionalFormatting sqref="V36">
    <cfRule type="cellIs" dxfId="212" priority="250" stopIfTrue="1" operator="equal">
      <formula>"ì"</formula>
    </cfRule>
    <cfRule type="cellIs" dxfId="211" priority="251" stopIfTrue="1" operator="equal">
      <formula>"î"</formula>
    </cfRule>
    <cfRule type="cellIs" dxfId="210" priority="252" stopIfTrue="1" operator="equal">
      <formula>"è"</formula>
    </cfRule>
  </conditionalFormatting>
  <conditionalFormatting sqref="P36">
    <cfRule type="cellIs" dxfId="209" priority="247" stopIfTrue="1" operator="equal">
      <formula>"ì"</formula>
    </cfRule>
    <cfRule type="cellIs" dxfId="208" priority="248" stopIfTrue="1" operator="equal">
      <formula>"î"</formula>
    </cfRule>
    <cfRule type="cellIs" dxfId="207" priority="249" stopIfTrue="1" operator="equal">
      <formula>"è"</formula>
    </cfRule>
  </conditionalFormatting>
  <conditionalFormatting sqref="S32">
    <cfRule type="cellIs" dxfId="206" priority="244" stopIfTrue="1" operator="equal">
      <formula>"ì"</formula>
    </cfRule>
    <cfRule type="cellIs" dxfId="205" priority="245" stopIfTrue="1" operator="equal">
      <formula>"î"</formula>
    </cfRule>
    <cfRule type="cellIs" dxfId="204" priority="246" stopIfTrue="1" operator="equal">
      <formula>"è"</formula>
    </cfRule>
  </conditionalFormatting>
  <conditionalFormatting sqref="V32">
    <cfRule type="cellIs" dxfId="203" priority="241" stopIfTrue="1" operator="equal">
      <formula>"ì"</formula>
    </cfRule>
    <cfRule type="cellIs" dxfId="202" priority="242" stopIfTrue="1" operator="equal">
      <formula>"î"</formula>
    </cfRule>
    <cfRule type="cellIs" dxfId="201" priority="243" stopIfTrue="1" operator="equal">
      <formula>"è"</formula>
    </cfRule>
  </conditionalFormatting>
  <conditionalFormatting sqref="P32">
    <cfRule type="cellIs" dxfId="200" priority="238" stopIfTrue="1" operator="equal">
      <formula>"ì"</formula>
    </cfRule>
    <cfRule type="cellIs" dxfId="199" priority="239" stopIfTrue="1" operator="equal">
      <formula>"î"</formula>
    </cfRule>
    <cfRule type="cellIs" dxfId="198" priority="240" stopIfTrue="1" operator="equal">
      <formula>"è"</formula>
    </cfRule>
  </conditionalFormatting>
  <conditionalFormatting sqref="V33 S33">
    <cfRule type="cellIs" dxfId="197" priority="235" stopIfTrue="1" operator="equal">
      <formula>"ì"</formula>
    </cfRule>
    <cfRule type="cellIs" dxfId="196" priority="236" stopIfTrue="1" operator="equal">
      <formula>"î"</formula>
    </cfRule>
    <cfRule type="cellIs" dxfId="195" priority="237" stopIfTrue="1" operator="equal">
      <formula>"è"</formula>
    </cfRule>
  </conditionalFormatting>
  <conditionalFormatting sqref="P33">
    <cfRule type="cellIs" dxfId="194" priority="232" stopIfTrue="1" operator="equal">
      <formula>"ì"</formula>
    </cfRule>
    <cfRule type="cellIs" dxfId="193" priority="233" stopIfTrue="1" operator="equal">
      <formula>"î"</formula>
    </cfRule>
    <cfRule type="cellIs" dxfId="192" priority="234" stopIfTrue="1" operator="equal">
      <formula>"è"</formula>
    </cfRule>
  </conditionalFormatting>
  <conditionalFormatting sqref="S37">
    <cfRule type="cellIs" dxfId="191" priority="220" stopIfTrue="1" operator="equal">
      <formula>"ì"</formula>
    </cfRule>
    <cfRule type="cellIs" dxfId="190" priority="221" stopIfTrue="1" operator="equal">
      <formula>"î"</formula>
    </cfRule>
    <cfRule type="cellIs" dxfId="189" priority="222" stopIfTrue="1" operator="equal">
      <formula>"è"</formula>
    </cfRule>
  </conditionalFormatting>
  <conditionalFormatting sqref="V37">
    <cfRule type="cellIs" dxfId="188" priority="217" stopIfTrue="1" operator="equal">
      <formula>"ì"</formula>
    </cfRule>
    <cfRule type="cellIs" dxfId="187" priority="218" stopIfTrue="1" operator="equal">
      <formula>"î"</formula>
    </cfRule>
    <cfRule type="cellIs" dxfId="186" priority="219" stopIfTrue="1" operator="equal">
      <formula>"è"</formula>
    </cfRule>
  </conditionalFormatting>
  <conditionalFormatting sqref="P37">
    <cfRule type="cellIs" dxfId="185" priority="214" stopIfTrue="1" operator="equal">
      <formula>"ì"</formula>
    </cfRule>
    <cfRule type="cellIs" dxfId="184" priority="215" stopIfTrue="1" operator="equal">
      <formula>"î"</formula>
    </cfRule>
    <cfRule type="cellIs" dxfId="183" priority="216" stopIfTrue="1" operator="equal">
      <formula>"è"</formula>
    </cfRule>
  </conditionalFormatting>
  <conditionalFormatting sqref="S84">
    <cfRule type="cellIs" dxfId="182" priority="211" stopIfTrue="1" operator="equal">
      <formula>"ì"</formula>
    </cfRule>
    <cfRule type="cellIs" dxfId="181" priority="212" stopIfTrue="1" operator="equal">
      <formula>"î"</formula>
    </cfRule>
    <cfRule type="cellIs" dxfId="180" priority="213" stopIfTrue="1" operator="equal">
      <formula>"è"</formula>
    </cfRule>
  </conditionalFormatting>
  <conditionalFormatting sqref="V84">
    <cfRule type="cellIs" dxfId="179" priority="208" stopIfTrue="1" operator="equal">
      <formula>"ì"</formula>
    </cfRule>
    <cfRule type="cellIs" dxfId="178" priority="209" stopIfTrue="1" operator="equal">
      <formula>"î"</formula>
    </cfRule>
    <cfRule type="cellIs" dxfId="177" priority="210" stopIfTrue="1" operator="equal">
      <formula>"è"</formula>
    </cfRule>
  </conditionalFormatting>
  <conditionalFormatting sqref="P84">
    <cfRule type="cellIs" dxfId="176" priority="205" stopIfTrue="1" operator="equal">
      <formula>"ì"</formula>
    </cfRule>
    <cfRule type="cellIs" dxfId="175" priority="206" stopIfTrue="1" operator="equal">
      <formula>"î"</formula>
    </cfRule>
    <cfRule type="cellIs" dxfId="174" priority="207" stopIfTrue="1" operator="equal">
      <formula>"è"</formula>
    </cfRule>
  </conditionalFormatting>
  <conditionalFormatting sqref="S86">
    <cfRule type="cellIs" dxfId="173" priority="202" stopIfTrue="1" operator="equal">
      <formula>"ì"</formula>
    </cfRule>
    <cfRule type="cellIs" dxfId="172" priority="203" stopIfTrue="1" operator="equal">
      <formula>"î"</formula>
    </cfRule>
    <cfRule type="cellIs" dxfId="171" priority="204" stopIfTrue="1" operator="equal">
      <formula>"è"</formula>
    </cfRule>
  </conditionalFormatting>
  <conditionalFormatting sqref="V86">
    <cfRule type="cellIs" dxfId="170" priority="199" stopIfTrue="1" operator="equal">
      <formula>"ì"</formula>
    </cfRule>
    <cfRule type="cellIs" dxfId="169" priority="200" stopIfTrue="1" operator="equal">
      <formula>"î"</formula>
    </cfRule>
    <cfRule type="cellIs" dxfId="168" priority="201" stopIfTrue="1" operator="equal">
      <formula>"è"</formula>
    </cfRule>
  </conditionalFormatting>
  <conditionalFormatting sqref="P86">
    <cfRule type="cellIs" dxfId="167" priority="196" stopIfTrue="1" operator="equal">
      <formula>"ì"</formula>
    </cfRule>
    <cfRule type="cellIs" dxfId="166" priority="197" stopIfTrue="1" operator="equal">
      <formula>"î"</formula>
    </cfRule>
    <cfRule type="cellIs" dxfId="165" priority="198" stopIfTrue="1" operator="equal">
      <formula>"è"</formula>
    </cfRule>
  </conditionalFormatting>
  <conditionalFormatting sqref="S88">
    <cfRule type="cellIs" dxfId="164" priority="193" stopIfTrue="1" operator="equal">
      <formula>"ì"</formula>
    </cfRule>
    <cfRule type="cellIs" dxfId="163" priority="194" stopIfTrue="1" operator="equal">
      <formula>"î"</formula>
    </cfRule>
    <cfRule type="cellIs" dxfId="162" priority="195" stopIfTrue="1" operator="equal">
      <formula>"è"</formula>
    </cfRule>
  </conditionalFormatting>
  <conditionalFormatting sqref="V88">
    <cfRule type="cellIs" dxfId="161" priority="190" stopIfTrue="1" operator="equal">
      <formula>"ì"</formula>
    </cfRule>
    <cfRule type="cellIs" dxfId="160" priority="191" stopIfTrue="1" operator="equal">
      <formula>"î"</formula>
    </cfRule>
    <cfRule type="cellIs" dxfId="159" priority="192" stopIfTrue="1" operator="equal">
      <formula>"è"</formula>
    </cfRule>
  </conditionalFormatting>
  <conditionalFormatting sqref="P88">
    <cfRule type="cellIs" dxfId="158" priority="187" stopIfTrue="1" operator="equal">
      <formula>"ì"</formula>
    </cfRule>
    <cfRule type="cellIs" dxfId="157" priority="188" stopIfTrue="1" operator="equal">
      <formula>"î"</formula>
    </cfRule>
    <cfRule type="cellIs" dxfId="156" priority="189" stopIfTrue="1" operator="equal">
      <formula>"è"</formula>
    </cfRule>
  </conditionalFormatting>
  <conditionalFormatting sqref="V35 S35">
    <cfRule type="cellIs" dxfId="155" priority="184" stopIfTrue="1" operator="equal">
      <formula>"ì"</formula>
    </cfRule>
    <cfRule type="cellIs" dxfId="154" priority="185" stopIfTrue="1" operator="equal">
      <formula>"î"</formula>
    </cfRule>
    <cfRule type="cellIs" dxfId="153" priority="186" stopIfTrue="1" operator="equal">
      <formula>"è"</formula>
    </cfRule>
  </conditionalFormatting>
  <conditionalFormatting sqref="P35">
    <cfRule type="cellIs" dxfId="152" priority="181" stopIfTrue="1" operator="equal">
      <formula>"ì"</formula>
    </cfRule>
    <cfRule type="cellIs" dxfId="151" priority="182" stopIfTrue="1" operator="equal">
      <formula>"î"</formula>
    </cfRule>
    <cfRule type="cellIs" dxfId="150" priority="183" stopIfTrue="1" operator="equal">
      <formula>"è"</formula>
    </cfRule>
  </conditionalFormatting>
  <conditionalFormatting sqref="V28 S28">
    <cfRule type="cellIs" dxfId="149" priority="178" stopIfTrue="1" operator="equal">
      <formula>"ì"</formula>
    </cfRule>
    <cfRule type="cellIs" dxfId="148" priority="179" stopIfTrue="1" operator="equal">
      <formula>"î"</formula>
    </cfRule>
    <cfRule type="cellIs" dxfId="147" priority="180" stopIfTrue="1" operator="equal">
      <formula>"è"</formula>
    </cfRule>
  </conditionalFormatting>
  <conditionalFormatting sqref="P28">
    <cfRule type="cellIs" dxfId="146" priority="175" stopIfTrue="1" operator="equal">
      <formula>"ì"</formula>
    </cfRule>
    <cfRule type="cellIs" dxfId="145" priority="176" stopIfTrue="1" operator="equal">
      <formula>"î"</formula>
    </cfRule>
    <cfRule type="cellIs" dxfId="144" priority="177" stopIfTrue="1" operator="equal">
      <formula>"è"</formula>
    </cfRule>
  </conditionalFormatting>
  <conditionalFormatting sqref="V23 S23">
    <cfRule type="cellIs" dxfId="143" priority="172" stopIfTrue="1" operator="equal">
      <formula>"ì"</formula>
    </cfRule>
    <cfRule type="cellIs" dxfId="142" priority="173" stopIfTrue="1" operator="equal">
      <formula>"î"</formula>
    </cfRule>
    <cfRule type="cellIs" dxfId="141" priority="174" stopIfTrue="1" operator="equal">
      <formula>"è"</formula>
    </cfRule>
  </conditionalFormatting>
  <conditionalFormatting sqref="P23">
    <cfRule type="cellIs" dxfId="140" priority="169" stopIfTrue="1" operator="equal">
      <formula>"ì"</formula>
    </cfRule>
    <cfRule type="cellIs" dxfId="139" priority="170" stopIfTrue="1" operator="equal">
      <formula>"î"</formula>
    </cfRule>
    <cfRule type="cellIs" dxfId="138" priority="171" stopIfTrue="1" operator="equal">
      <formula>"è"</formula>
    </cfRule>
  </conditionalFormatting>
  <conditionalFormatting sqref="V60 S60 S62:S63 V62:V63 V65:V66 S65:S66 S68:S69 V68:V69 V71:V72 S71:S72 S74:S75 V74:V75 V77:V78 S77:S78 S80 V80">
    <cfRule type="cellIs" dxfId="137" priority="166" stopIfTrue="1" operator="equal">
      <formula>"ì"</formula>
    </cfRule>
    <cfRule type="cellIs" dxfId="136" priority="167" stopIfTrue="1" operator="equal">
      <formula>"î"</formula>
    </cfRule>
    <cfRule type="cellIs" dxfId="135" priority="168" stopIfTrue="1" operator="equal">
      <formula>"è"</formula>
    </cfRule>
  </conditionalFormatting>
  <conditionalFormatting sqref="P60 P62:P63 P65:P66 P68:P69 P71:P72 P74:P75 P77:P78 P80">
    <cfRule type="cellIs" dxfId="134" priority="163" stopIfTrue="1" operator="equal">
      <formula>"ì"</formula>
    </cfRule>
    <cfRule type="cellIs" dxfId="133" priority="164" stopIfTrue="1" operator="equal">
      <formula>"î"</formula>
    </cfRule>
    <cfRule type="cellIs" dxfId="132" priority="165" stopIfTrue="1" operator="equal">
      <formula>"è"</formula>
    </cfRule>
  </conditionalFormatting>
  <conditionalFormatting sqref="S30 V30">
    <cfRule type="cellIs" dxfId="131" priority="130" stopIfTrue="1" operator="equal">
      <formula>"ì"</formula>
    </cfRule>
    <cfRule type="cellIs" dxfId="130" priority="131" stopIfTrue="1" operator="equal">
      <formula>"î"</formula>
    </cfRule>
    <cfRule type="cellIs" dxfId="129" priority="132" stopIfTrue="1" operator="equal">
      <formula>"è"</formula>
    </cfRule>
  </conditionalFormatting>
  <conditionalFormatting sqref="P30">
    <cfRule type="cellIs" dxfId="128" priority="127" stopIfTrue="1" operator="equal">
      <formula>"ì"</formula>
    </cfRule>
    <cfRule type="cellIs" dxfId="127" priority="128" stopIfTrue="1" operator="equal">
      <formula>"î"</formula>
    </cfRule>
    <cfRule type="cellIs" dxfId="126" priority="129" stopIfTrue="1" operator="equal">
      <formula>"è"</formula>
    </cfRule>
  </conditionalFormatting>
  <conditionalFormatting sqref="V34 S34">
    <cfRule type="cellIs" dxfId="125" priority="124" stopIfTrue="1" operator="equal">
      <formula>"ì"</formula>
    </cfRule>
    <cfRule type="cellIs" dxfId="124" priority="125" stopIfTrue="1" operator="equal">
      <formula>"î"</formula>
    </cfRule>
    <cfRule type="cellIs" dxfId="123" priority="126" stopIfTrue="1" operator="equal">
      <formula>"è"</formula>
    </cfRule>
  </conditionalFormatting>
  <conditionalFormatting sqref="P34">
    <cfRule type="cellIs" dxfId="122" priority="121" stopIfTrue="1" operator="equal">
      <formula>"ì"</formula>
    </cfRule>
    <cfRule type="cellIs" dxfId="121" priority="122" stopIfTrue="1" operator="equal">
      <formula>"î"</formula>
    </cfRule>
    <cfRule type="cellIs" dxfId="120" priority="123" stopIfTrue="1" operator="equal">
      <formula>"è"</formula>
    </cfRule>
  </conditionalFormatting>
  <conditionalFormatting sqref="V38:V39 S38:S39 S41:S42 V41:V42 V44:V45 S44:S45 S47:S48 V47:V48 V50:V51 S50:S51 S53:S54 V53:V54 V56:V57 S56:S57 S59 V59">
    <cfRule type="cellIs" dxfId="119" priority="118" stopIfTrue="1" operator="equal">
      <formula>"ì"</formula>
    </cfRule>
    <cfRule type="cellIs" dxfId="118" priority="119" stopIfTrue="1" operator="equal">
      <formula>"î"</formula>
    </cfRule>
    <cfRule type="cellIs" dxfId="117" priority="120" stopIfTrue="1" operator="equal">
      <formula>"è"</formula>
    </cfRule>
  </conditionalFormatting>
  <conditionalFormatting sqref="P38:P39 P41:P42 P44:P45 P47:P48 P50:P51 P53:P54 P56:P57 P59">
    <cfRule type="cellIs" dxfId="116" priority="115" stopIfTrue="1" operator="equal">
      <formula>"ì"</formula>
    </cfRule>
    <cfRule type="cellIs" dxfId="115" priority="116" stopIfTrue="1" operator="equal">
      <formula>"î"</formula>
    </cfRule>
    <cfRule type="cellIs" dxfId="114" priority="117" stopIfTrue="1" operator="equal">
      <formula>"è"</formula>
    </cfRule>
  </conditionalFormatting>
  <conditionalFormatting sqref="V40 S40">
    <cfRule type="cellIs" dxfId="113" priority="112" stopIfTrue="1" operator="equal">
      <formula>"ì"</formula>
    </cfRule>
    <cfRule type="cellIs" dxfId="112" priority="113" stopIfTrue="1" operator="equal">
      <formula>"î"</formula>
    </cfRule>
    <cfRule type="cellIs" dxfId="111" priority="114" stopIfTrue="1" operator="equal">
      <formula>"è"</formula>
    </cfRule>
  </conditionalFormatting>
  <conditionalFormatting sqref="P40">
    <cfRule type="cellIs" dxfId="110" priority="109" stopIfTrue="1" operator="equal">
      <formula>"ì"</formula>
    </cfRule>
    <cfRule type="cellIs" dxfId="109" priority="110" stopIfTrue="1" operator="equal">
      <formula>"î"</formula>
    </cfRule>
    <cfRule type="cellIs" dxfId="108" priority="111" stopIfTrue="1" operator="equal">
      <formula>"è"</formula>
    </cfRule>
  </conditionalFormatting>
  <conditionalFormatting sqref="V43 S43">
    <cfRule type="cellIs" dxfId="107" priority="106" stopIfTrue="1" operator="equal">
      <formula>"ì"</formula>
    </cfRule>
    <cfRule type="cellIs" dxfId="106" priority="107" stopIfTrue="1" operator="equal">
      <formula>"î"</formula>
    </cfRule>
    <cfRule type="cellIs" dxfId="105" priority="108" stopIfTrue="1" operator="equal">
      <formula>"è"</formula>
    </cfRule>
  </conditionalFormatting>
  <conditionalFormatting sqref="P43">
    <cfRule type="cellIs" dxfId="104" priority="103" stopIfTrue="1" operator="equal">
      <formula>"ì"</formula>
    </cfRule>
    <cfRule type="cellIs" dxfId="103" priority="104" stopIfTrue="1" operator="equal">
      <formula>"î"</formula>
    </cfRule>
    <cfRule type="cellIs" dxfId="102" priority="105" stopIfTrue="1" operator="equal">
      <formula>"è"</formula>
    </cfRule>
  </conditionalFormatting>
  <conditionalFormatting sqref="V46 S46">
    <cfRule type="cellIs" dxfId="101" priority="100" stopIfTrue="1" operator="equal">
      <formula>"ì"</formula>
    </cfRule>
    <cfRule type="cellIs" dxfId="100" priority="101" stopIfTrue="1" operator="equal">
      <formula>"î"</formula>
    </cfRule>
    <cfRule type="cellIs" dxfId="99" priority="102" stopIfTrue="1" operator="equal">
      <formula>"è"</formula>
    </cfRule>
  </conditionalFormatting>
  <conditionalFormatting sqref="P46">
    <cfRule type="cellIs" dxfId="98" priority="97" stopIfTrue="1" operator="equal">
      <formula>"ì"</formula>
    </cfRule>
    <cfRule type="cellIs" dxfId="97" priority="98" stopIfTrue="1" operator="equal">
      <formula>"î"</formula>
    </cfRule>
    <cfRule type="cellIs" dxfId="96" priority="99" stopIfTrue="1" operator="equal">
      <formula>"è"</formula>
    </cfRule>
  </conditionalFormatting>
  <conditionalFormatting sqref="V49 S49">
    <cfRule type="cellIs" dxfId="95" priority="94" stopIfTrue="1" operator="equal">
      <formula>"ì"</formula>
    </cfRule>
    <cfRule type="cellIs" dxfId="94" priority="95" stopIfTrue="1" operator="equal">
      <formula>"î"</formula>
    </cfRule>
    <cfRule type="cellIs" dxfId="93" priority="96" stopIfTrue="1" operator="equal">
      <formula>"è"</formula>
    </cfRule>
  </conditionalFormatting>
  <conditionalFormatting sqref="P49">
    <cfRule type="cellIs" dxfId="92" priority="91" stopIfTrue="1" operator="equal">
      <formula>"ì"</formula>
    </cfRule>
    <cfRule type="cellIs" dxfId="91" priority="92" stopIfTrue="1" operator="equal">
      <formula>"î"</formula>
    </cfRule>
    <cfRule type="cellIs" dxfId="90" priority="93" stopIfTrue="1" operator="equal">
      <formula>"è"</formula>
    </cfRule>
  </conditionalFormatting>
  <conditionalFormatting sqref="V52 S52">
    <cfRule type="cellIs" dxfId="89" priority="88" stopIfTrue="1" operator="equal">
      <formula>"ì"</formula>
    </cfRule>
    <cfRule type="cellIs" dxfId="88" priority="89" stopIfTrue="1" operator="equal">
      <formula>"î"</formula>
    </cfRule>
    <cfRule type="cellIs" dxfId="87" priority="90" stopIfTrue="1" operator="equal">
      <formula>"è"</formula>
    </cfRule>
  </conditionalFormatting>
  <conditionalFormatting sqref="P52">
    <cfRule type="cellIs" dxfId="86" priority="85" stopIfTrue="1" operator="equal">
      <formula>"ì"</formula>
    </cfRule>
    <cfRule type="cellIs" dxfId="85" priority="86" stopIfTrue="1" operator="equal">
      <formula>"î"</formula>
    </cfRule>
    <cfRule type="cellIs" dxfId="84" priority="87" stopIfTrue="1" operator="equal">
      <formula>"è"</formula>
    </cfRule>
  </conditionalFormatting>
  <conditionalFormatting sqref="V55 S55">
    <cfRule type="cellIs" dxfId="83" priority="82" stopIfTrue="1" operator="equal">
      <formula>"ì"</formula>
    </cfRule>
    <cfRule type="cellIs" dxfId="82" priority="83" stopIfTrue="1" operator="equal">
      <formula>"î"</formula>
    </cfRule>
    <cfRule type="cellIs" dxfId="81" priority="84" stopIfTrue="1" operator="equal">
      <formula>"è"</formula>
    </cfRule>
  </conditionalFormatting>
  <conditionalFormatting sqref="P55">
    <cfRule type="cellIs" dxfId="80" priority="79" stopIfTrue="1" operator="equal">
      <formula>"ì"</formula>
    </cfRule>
    <cfRule type="cellIs" dxfId="79" priority="80" stopIfTrue="1" operator="equal">
      <formula>"î"</formula>
    </cfRule>
    <cfRule type="cellIs" dxfId="78" priority="81" stopIfTrue="1" operator="equal">
      <formula>"è"</formula>
    </cfRule>
  </conditionalFormatting>
  <conditionalFormatting sqref="V58 S58">
    <cfRule type="cellIs" dxfId="77" priority="76" stopIfTrue="1" operator="equal">
      <formula>"ì"</formula>
    </cfRule>
    <cfRule type="cellIs" dxfId="76" priority="77" stopIfTrue="1" operator="equal">
      <formula>"î"</formula>
    </cfRule>
    <cfRule type="cellIs" dxfId="75" priority="78" stopIfTrue="1" operator="equal">
      <formula>"è"</formula>
    </cfRule>
  </conditionalFormatting>
  <conditionalFormatting sqref="P58">
    <cfRule type="cellIs" dxfId="74" priority="73" stopIfTrue="1" operator="equal">
      <formula>"ì"</formula>
    </cfRule>
    <cfRule type="cellIs" dxfId="73" priority="74" stopIfTrue="1" operator="equal">
      <formula>"î"</formula>
    </cfRule>
    <cfRule type="cellIs" dxfId="72" priority="75" stopIfTrue="1" operator="equal">
      <formula>"è"</formula>
    </cfRule>
  </conditionalFormatting>
  <conditionalFormatting sqref="V61 S61">
    <cfRule type="cellIs" dxfId="71" priority="70" stopIfTrue="1" operator="equal">
      <formula>"ì"</formula>
    </cfRule>
    <cfRule type="cellIs" dxfId="70" priority="71" stopIfTrue="1" operator="equal">
      <formula>"î"</formula>
    </cfRule>
    <cfRule type="cellIs" dxfId="69" priority="72" stopIfTrue="1" operator="equal">
      <formula>"è"</formula>
    </cfRule>
  </conditionalFormatting>
  <conditionalFormatting sqref="P61">
    <cfRule type="cellIs" dxfId="68" priority="67" stopIfTrue="1" operator="equal">
      <formula>"ì"</formula>
    </cfRule>
    <cfRule type="cellIs" dxfId="67" priority="68" stopIfTrue="1" operator="equal">
      <formula>"î"</formula>
    </cfRule>
    <cfRule type="cellIs" dxfId="66" priority="69" stopIfTrue="1" operator="equal">
      <formula>"è"</formula>
    </cfRule>
  </conditionalFormatting>
  <conditionalFormatting sqref="V64 S64">
    <cfRule type="cellIs" dxfId="65" priority="64" stopIfTrue="1" operator="equal">
      <formula>"ì"</formula>
    </cfRule>
    <cfRule type="cellIs" dxfId="64" priority="65" stopIfTrue="1" operator="equal">
      <formula>"î"</formula>
    </cfRule>
    <cfRule type="cellIs" dxfId="63" priority="66" stopIfTrue="1" operator="equal">
      <formula>"è"</formula>
    </cfRule>
  </conditionalFormatting>
  <conditionalFormatting sqref="P64">
    <cfRule type="cellIs" dxfId="62" priority="61" stopIfTrue="1" operator="equal">
      <formula>"ì"</formula>
    </cfRule>
    <cfRule type="cellIs" dxfId="61" priority="62" stopIfTrue="1" operator="equal">
      <formula>"î"</formula>
    </cfRule>
    <cfRule type="cellIs" dxfId="60" priority="63" stopIfTrue="1" operator="equal">
      <formula>"è"</formula>
    </cfRule>
  </conditionalFormatting>
  <conditionalFormatting sqref="V67 S67">
    <cfRule type="cellIs" dxfId="59" priority="58" stopIfTrue="1" operator="equal">
      <formula>"ì"</formula>
    </cfRule>
    <cfRule type="cellIs" dxfId="58" priority="59" stopIfTrue="1" operator="equal">
      <formula>"î"</formula>
    </cfRule>
    <cfRule type="cellIs" dxfId="57" priority="60" stopIfTrue="1" operator="equal">
      <formula>"è"</formula>
    </cfRule>
  </conditionalFormatting>
  <conditionalFormatting sqref="P67">
    <cfRule type="cellIs" dxfId="56" priority="55" stopIfTrue="1" operator="equal">
      <formula>"ì"</formula>
    </cfRule>
    <cfRule type="cellIs" dxfId="55" priority="56" stopIfTrue="1" operator="equal">
      <formula>"î"</formula>
    </cfRule>
    <cfRule type="cellIs" dxfId="54" priority="57" stopIfTrue="1" operator="equal">
      <formula>"è"</formula>
    </cfRule>
  </conditionalFormatting>
  <conditionalFormatting sqref="V70 S70">
    <cfRule type="cellIs" dxfId="53" priority="52" stopIfTrue="1" operator="equal">
      <formula>"ì"</formula>
    </cfRule>
    <cfRule type="cellIs" dxfId="52" priority="53" stopIfTrue="1" operator="equal">
      <formula>"î"</formula>
    </cfRule>
    <cfRule type="cellIs" dxfId="51" priority="54" stopIfTrue="1" operator="equal">
      <formula>"è"</formula>
    </cfRule>
  </conditionalFormatting>
  <conditionalFormatting sqref="P70">
    <cfRule type="cellIs" dxfId="50" priority="49" stopIfTrue="1" operator="equal">
      <formula>"ì"</formula>
    </cfRule>
    <cfRule type="cellIs" dxfId="49" priority="50" stopIfTrue="1" operator="equal">
      <formula>"î"</formula>
    </cfRule>
    <cfRule type="cellIs" dxfId="48" priority="51" stopIfTrue="1" operator="equal">
      <formula>"è"</formula>
    </cfRule>
  </conditionalFormatting>
  <conditionalFormatting sqref="V73 S73">
    <cfRule type="cellIs" dxfId="47" priority="46" stopIfTrue="1" operator="equal">
      <formula>"ì"</formula>
    </cfRule>
    <cfRule type="cellIs" dxfId="46" priority="47" stopIfTrue="1" operator="equal">
      <formula>"î"</formula>
    </cfRule>
    <cfRule type="cellIs" dxfId="45" priority="48" stopIfTrue="1" operator="equal">
      <formula>"è"</formula>
    </cfRule>
  </conditionalFormatting>
  <conditionalFormatting sqref="P73">
    <cfRule type="cellIs" dxfId="44" priority="43" stopIfTrue="1" operator="equal">
      <formula>"ì"</formula>
    </cfRule>
    <cfRule type="cellIs" dxfId="43" priority="44" stopIfTrue="1" operator="equal">
      <formula>"î"</formula>
    </cfRule>
    <cfRule type="cellIs" dxfId="42" priority="45" stopIfTrue="1" operator="equal">
      <formula>"è"</formula>
    </cfRule>
  </conditionalFormatting>
  <conditionalFormatting sqref="V76 S76">
    <cfRule type="cellIs" dxfId="41" priority="40" stopIfTrue="1" operator="equal">
      <formula>"ì"</formula>
    </cfRule>
    <cfRule type="cellIs" dxfId="40" priority="41" stopIfTrue="1" operator="equal">
      <formula>"î"</formula>
    </cfRule>
    <cfRule type="cellIs" dxfId="39" priority="42" stopIfTrue="1" operator="equal">
      <formula>"è"</formula>
    </cfRule>
  </conditionalFormatting>
  <conditionalFormatting sqref="P76">
    <cfRule type="cellIs" dxfId="38" priority="37" stopIfTrue="1" operator="equal">
      <formula>"ì"</formula>
    </cfRule>
    <cfRule type="cellIs" dxfId="37" priority="38" stopIfTrue="1" operator="equal">
      <formula>"î"</formula>
    </cfRule>
    <cfRule type="cellIs" dxfId="36" priority="39" stopIfTrue="1" operator="equal">
      <formula>"è"</formula>
    </cfRule>
  </conditionalFormatting>
  <conditionalFormatting sqref="V79 S79">
    <cfRule type="cellIs" dxfId="35" priority="34" stopIfTrue="1" operator="equal">
      <formula>"ì"</formula>
    </cfRule>
    <cfRule type="cellIs" dxfId="34" priority="35" stopIfTrue="1" operator="equal">
      <formula>"î"</formula>
    </cfRule>
    <cfRule type="cellIs" dxfId="33" priority="36" stopIfTrue="1" operator="equal">
      <formula>"è"</formula>
    </cfRule>
  </conditionalFormatting>
  <conditionalFormatting sqref="P79">
    <cfRule type="cellIs" dxfId="32" priority="31" stopIfTrue="1" operator="equal">
      <formula>"ì"</formula>
    </cfRule>
    <cfRule type="cellIs" dxfId="31" priority="32" stopIfTrue="1" operator="equal">
      <formula>"î"</formula>
    </cfRule>
    <cfRule type="cellIs" dxfId="30" priority="33" stopIfTrue="1" operator="equal">
      <formula>"è"</formula>
    </cfRule>
  </conditionalFormatting>
  <conditionalFormatting sqref="P82">
    <cfRule type="cellIs" dxfId="29" priority="28" stopIfTrue="1" operator="equal">
      <formula>"ì"</formula>
    </cfRule>
    <cfRule type="cellIs" dxfId="28" priority="29" stopIfTrue="1" operator="equal">
      <formula>"î"</formula>
    </cfRule>
    <cfRule type="cellIs" dxfId="27" priority="30" stopIfTrue="1" operator="equal">
      <formula>"è"</formula>
    </cfRule>
  </conditionalFormatting>
  <conditionalFormatting sqref="S82">
    <cfRule type="cellIs" dxfId="26" priority="25" stopIfTrue="1" operator="equal">
      <formula>"ì"</formula>
    </cfRule>
    <cfRule type="cellIs" dxfId="25" priority="26" stopIfTrue="1" operator="equal">
      <formula>"î"</formula>
    </cfRule>
    <cfRule type="cellIs" dxfId="24" priority="27" stopIfTrue="1" operator="equal">
      <formula>"è"</formula>
    </cfRule>
  </conditionalFormatting>
  <conditionalFormatting sqref="V82">
    <cfRule type="cellIs" dxfId="23" priority="22" stopIfTrue="1" operator="equal">
      <formula>"ì"</formula>
    </cfRule>
    <cfRule type="cellIs" dxfId="22" priority="23" stopIfTrue="1" operator="equal">
      <formula>"î"</formula>
    </cfRule>
    <cfRule type="cellIs" dxfId="21" priority="24" stopIfTrue="1" operator="equal">
      <formula>"è"</formula>
    </cfRule>
  </conditionalFormatting>
  <conditionalFormatting sqref="P90">
    <cfRule type="cellIs" dxfId="20" priority="19" stopIfTrue="1" operator="equal">
      <formula>"ì"</formula>
    </cfRule>
    <cfRule type="cellIs" dxfId="19" priority="20" stopIfTrue="1" operator="equal">
      <formula>"î"</formula>
    </cfRule>
    <cfRule type="cellIs" dxfId="18" priority="21" stopIfTrue="1" operator="equal">
      <formula>"è"</formula>
    </cfRule>
  </conditionalFormatting>
  <conditionalFormatting sqref="S90">
    <cfRule type="cellIs" dxfId="17" priority="16" stopIfTrue="1" operator="equal">
      <formula>"ì"</formula>
    </cfRule>
    <cfRule type="cellIs" dxfId="16" priority="17" stopIfTrue="1" operator="equal">
      <formula>"î"</formula>
    </cfRule>
    <cfRule type="cellIs" dxfId="15" priority="18" stopIfTrue="1" operator="equal">
      <formula>"è"</formula>
    </cfRule>
  </conditionalFormatting>
  <conditionalFormatting sqref="V90">
    <cfRule type="cellIs" dxfId="14" priority="13" stopIfTrue="1" operator="equal">
      <formula>"ì"</formula>
    </cfRule>
    <cfRule type="cellIs" dxfId="13" priority="14" stopIfTrue="1" operator="equal">
      <formula>"î"</formula>
    </cfRule>
    <cfRule type="cellIs" dxfId="12" priority="15" stopIfTrue="1" operator="equal">
      <formula>"è"</formula>
    </cfRule>
  </conditionalFormatting>
  <conditionalFormatting sqref="S24 V24">
    <cfRule type="cellIs" dxfId="11" priority="10" stopIfTrue="1" operator="equal">
      <formula>"ì"</formula>
    </cfRule>
    <cfRule type="cellIs" dxfId="10" priority="11" stopIfTrue="1" operator="equal">
      <formula>"î"</formula>
    </cfRule>
    <cfRule type="cellIs" dxfId="9" priority="12" stopIfTrue="1" operator="equal">
      <formula>"è"</formula>
    </cfRule>
  </conditionalFormatting>
  <conditionalFormatting sqref="P24">
    <cfRule type="cellIs" dxfId="8" priority="7" stopIfTrue="1" operator="equal">
      <formula>"ì"</formula>
    </cfRule>
    <cfRule type="cellIs" dxfId="7" priority="8" stopIfTrue="1" operator="equal">
      <formula>"î"</formula>
    </cfRule>
    <cfRule type="cellIs" dxfId="6" priority="9" stopIfTrue="1" operator="equal">
      <formula>"è"</formula>
    </cfRule>
  </conditionalFormatting>
  <conditionalFormatting sqref="S21">
    <cfRule type="cellIs" dxfId="5" priority="4" stopIfTrue="1" operator="equal">
      <formula>"ì"</formula>
    </cfRule>
    <cfRule type="cellIs" dxfId="4" priority="5" stopIfTrue="1" operator="equal">
      <formula>"î"</formula>
    </cfRule>
    <cfRule type="cellIs" dxfId="3" priority="6" stopIfTrue="1" operator="equal">
      <formula>"è"</formula>
    </cfRule>
  </conditionalFormatting>
  <conditionalFormatting sqref="V21">
    <cfRule type="cellIs" dxfId="2" priority="1" stopIfTrue="1" operator="equal">
      <formula>"ì"</formula>
    </cfRule>
    <cfRule type="cellIs" dxfId="1" priority="2" stopIfTrue="1" operator="equal">
      <formula>"î"</formula>
    </cfRule>
    <cfRule type="cellIs" dxfId="0" priority="3" stopIfTrue="1" operator="equal">
      <formula>"è"</formula>
    </cfRule>
  </conditionalFormatting>
  <dataValidations count="1">
    <dataValidation type="list" allowBlank="1" showInputMessage="1" showErrorMessage="1" sqref="G17">
      <formula1>Language</formula1>
    </dataValidation>
  </dataValidations>
  <printOptions horizontalCentered="1"/>
  <pageMargins left="0.15748031496062992" right="0.11811023622047245" top="0.39370078740157483" bottom="0.39370078740157483" header="0.19685039370078741" footer="0.19685039370078741"/>
  <pageSetup paperSize="9" scale="44" orientation="landscape" r:id="rId1"/>
  <headerFooter alignWithMargins="0">
    <oddFooter>&amp;C&amp;D&amp;RPage &amp;P</oddFooter>
  </headerFooter>
  <drawing r:id="rId2"/>
  <legacyDrawing r:id="rId3"/>
  <controls>
    <mc:AlternateContent xmlns:mc="http://schemas.openxmlformats.org/markup-compatibility/2006">
      <mc:Choice Requires="x14">
        <control shapeId="2049" r:id="rId4" name="CommandButton1">
          <controlPr defaultSize="0" print="0" autoLine="0" r:id="rId5">
            <anchor moveWithCells="1">
              <from>
                <xdr:col>9</xdr:col>
                <xdr:colOff>1419225</xdr:colOff>
                <xdr:row>12</xdr:row>
                <xdr:rowOff>66675</xdr:rowOff>
              </from>
              <to>
                <xdr:col>11</xdr:col>
                <xdr:colOff>47625</xdr:colOff>
                <xdr:row>15</xdr:row>
                <xdr:rowOff>28575</xdr:rowOff>
              </to>
            </anchor>
          </controlPr>
        </control>
      </mc:Choice>
      <mc:Fallback>
        <control shapeId="2049" r:id="rId4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A2"/>
  <sheetViews>
    <sheetView workbookViewId="0"/>
  </sheetViews>
  <sheetFormatPr baseColWidth="10" defaultColWidth="11.42578125" defaultRowHeight="15"/>
  <sheetData>
    <row r="1" spans="1:1">
      <c r="A1" t="s">
        <v>50</v>
      </c>
    </row>
    <row r="2" spans="1:1">
      <c r="A2" t="s">
        <v>51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18</vt:i4>
      </vt:variant>
    </vt:vector>
  </HeadingPairs>
  <TitlesOfParts>
    <vt:vector size="21" baseType="lpstr">
      <vt:lpstr>Context</vt:lpstr>
      <vt:lpstr>Staff &amp; Interim costs</vt:lpstr>
      <vt:lpstr>{PL}PickLst</vt:lpstr>
      <vt:lpstr>ActualBudget</vt:lpstr>
      <vt:lpstr>ActualForecast</vt:lpstr>
      <vt:lpstr>ActualMonth</vt:lpstr>
      <vt:lpstr>ActualYear</vt:lpstr>
      <vt:lpstr>AutoFit</vt:lpstr>
      <vt:lpstr>'Staff &amp; Interim costs'!AutoRefresh_PL</vt:lpstr>
      <vt:lpstr>AutoRefresh_PL_aggregated</vt:lpstr>
      <vt:lpstr>Cube1</vt:lpstr>
      <vt:lpstr>Cube2</vt:lpstr>
      <vt:lpstr>Flag_Send_Comment</vt:lpstr>
      <vt:lpstr>Flag_Send_Data</vt:lpstr>
      <vt:lpstr>Language</vt:lpstr>
      <vt:lpstr>LocalLanguage</vt:lpstr>
      <vt:lpstr>'Staff &amp; Interim costs'!Print_Area</vt:lpstr>
      <vt:lpstr>'Staff &amp; Interim costs'!Print_Titles</vt:lpstr>
      <vt:lpstr>PriorYear</vt:lpstr>
      <vt:lpstr>Server</vt:lpstr>
      <vt:lpstr>xServer</vt:lpstr>
    </vt:vector>
  </TitlesOfParts>
  <Company>Transdev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TABOUMENT, Bruno</dc:creator>
  <cp:lastModifiedBy>de LANGLOIS, Astrid</cp:lastModifiedBy>
  <cp:lastPrinted>2017-03-02T13:52:25Z</cp:lastPrinted>
  <dcterms:created xsi:type="dcterms:W3CDTF">2016-02-23T13:35:31Z</dcterms:created>
  <dcterms:modified xsi:type="dcterms:W3CDTF">2020-03-11T14:23:51Z</dcterms:modified>
</cp:coreProperties>
</file>