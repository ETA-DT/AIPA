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95" windowWidth="20610" windowHeight="9465" firstSheet="1" activeTab="1"/>
  </bookViews>
  <sheets>
    <sheet name="Context" sheetId="1" state="hidden" r:id="rId1"/>
    <sheet name="PL_aggregated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PL_aggregated!$H$19:$U$81</definedName>
    <definedName name="AutoRefresh_PL" localSheetId="1">PL_aggregated!$E$1</definedName>
    <definedName name="AutoRefresh_PL_aggregated">PL_aggregated!$F$3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PL_aggregated!$D$18:$U$81</definedName>
    <definedName name="Print_Titles" localSheetId="1">PL_aggregated!$7:$9</definedName>
    <definedName name="PriorYear">PL_aggregated!$H$2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F17" i="2"/>
  <c r="F13" i="2"/>
  <c r="F14" i="2"/>
  <c r="F15" i="2"/>
  <c r="F16" i="2"/>
  <c r="F11" i="2"/>
  <c r="F12" i="2"/>
  <c r="H3" i="2"/>
  <c r="B14" i="1"/>
  <c r="H18" i="2"/>
  <c r="H2" i="2"/>
  <c r="K18" i="2"/>
  <c r="K81" i="2"/>
  <c r="H19" i="2"/>
  <c r="H1" i="2"/>
  <c r="H81" i="2"/>
  <c r="S81" i="2"/>
  <c r="T81" i="2"/>
  <c r="U81" i="2"/>
  <c r="K80" i="2"/>
  <c r="H80" i="2"/>
  <c r="S80" i="2"/>
  <c r="T80" i="2"/>
  <c r="U80" i="2"/>
  <c r="K78" i="2"/>
  <c r="H78" i="2"/>
  <c r="S78" i="2"/>
  <c r="T78" i="2"/>
  <c r="U78" i="2"/>
  <c r="K77" i="2"/>
  <c r="H77" i="2"/>
  <c r="S77" i="2"/>
  <c r="T77" i="2"/>
  <c r="U77" i="2"/>
  <c r="K74" i="2"/>
  <c r="H74" i="2"/>
  <c r="S74" i="2"/>
  <c r="T74" i="2"/>
  <c r="U74" i="2"/>
  <c r="K73" i="2"/>
  <c r="H73" i="2"/>
  <c r="S73" i="2"/>
  <c r="T73" i="2"/>
  <c r="U73" i="2"/>
  <c r="K70" i="2"/>
  <c r="H70" i="2"/>
  <c r="S70" i="2"/>
  <c r="T70" i="2"/>
  <c r="U70" i="2"/>
  <c r="K69" i="2"/>
  <c r="H69" i="2"/>
  <c r="S69" i="2"/>
  <c r="T69" i="2"/>
  <c r="U69" i="2"/>
  <c r="K66" i="2"/>
  <c r="H66" i="2"/>
  <c r="S66" i="2"/>
  <c r="T66" i="2"/>
  <c r="U66" i="2"/>
  <c r="K65" i="2"/>
  <c r="H65" i="2"/>
  <c r="S65" i="2"/>
  <c r="T65" i="2"/>
  <c r="U65" i="2"/>
  <c r="K62" i="2"/>
  <c r="H62" i="2"/>
  <c r="S62" i="2"/>
  <c r="T62" i="2"/>
  <c r="U62" i="2"/>
  <c r="K61" i="2"/>
  <c r="H61" i="2"/>
  <c r="S61" i="2"/>
  <c r="T61" i="2"/>
  <c r="U61" i="2"/>
  <c r="K58" i="2"/>
  <c r="H58" i="2"/>
  <c r="S58" i="2"/>
  <c r="T58" i="2"/>
  <c r="U58" i="2"/>
  <c r="K57" i="2"/>
  <c r="H57" i="2"/>
  <c r="S57" i="2"/>
  <c r="T57" i="2"/>
  <c r="U57" i="2"/>
  <c r="K54" i="2"/>
  <c r="H54" i="2"/>
  <c r="S54" i="2"/>
  <c r="T54" i="2"/>
  <c r="U54" i="2"/>
  <c r="K51" i="2"/>
  <c r="H51" i="2"/>
  <c r="S51" i="2"/>
  <c r="T51" i="2"/>
  <c r="U51" i="2"/>
  <c r="K50" i="2"/>
  <c r="H50" i="2"/>
  <c r="S50" i="2"/>
  <c r="T50" i="2"/>
  <c r="U50" i="2"/>
  <c r="K49" i="2"/>
  <c r="H49" i="2"/>
  <c r="S49" i="2"/>
  <c r="T49" i="2"/>
  <c r="U49" i="2"/>
  <c r="K48" i="2"/>
  <c r="H48" i="2"/>
  <c r="S48" i="2"/>
  <c r="T48" i="2"/>
  <c r="U48" i="2"/>
  <c r="K47" i="2"/>
  <c r="H47" i="2"/>
  <c r="S47" i="2"/>
  <c r="T47" i="2"/>
  <c r="U47" i="2"/>
  <c r="K46" i="2"/>
  <c r="H46" i="2"/>
  <c r="S46" i="2"/>
  <c r="T46" i="2"/>
  <c r="U46" i="2"/>
  <c r="K45" i="2"/>
  <c r="H45" i="2"/>
  <c r="S45" i="2"/>
  <c r="T45" i="2"/>
  <c r="U45" i="2"/>
  <c r="K44" i="2"/>
  <c r="H44" i="2"/>
  <c r="S44" i="2"/>
  <c r="T44" i="2"/>
  <c r="U44" i="2"/>
  <c r="K43" i="2"/>
  <c r="H43" i="2"/>
  <c r="S43" i="2"/>
  <c r="T43" i="2"/>
  <c r="U43" i="2"/>
  <c r="K42" i="2"/>
  <c r="H42" i="2"/>
  <c r="S42" i="2"/>
  <c r="T42" i="2"/>
  <c r="U42" i="2"/>
  <c r="K41" i="2"/>
  <c r="H41" i="2"/>
  <c r="S41" i="2"/>
  <c r="T41" i="2"/>
  <c r="U41" i="2"/>
  <c r="K40" i="2"/>
  <c r="H40" i="2"/>
  <c r="S40" i="2"/>
  <c r="T40" i="2"/>
  <c r="U40" i="2"/>
  <c r="K37" i="2"/>
  <c r="H37" i="2"/>
  <c r="S37" i="2"/>
  <c r="T37" i="2"/>
  <c r="U37" i="2"/>
  <c r="K36" i="2"/>
  <c r="H36" i="2"/>
  <c r="S36" i="2"/>
  <c r="T36" i="2"/>
  <c r="U36" i="2"/>
  <c r="K35" i="2"/>
  <c r="H35" i="2"/>
  <c r="S35" i="2"/>
  <c r="T35" i="2"/>
  <c r="U35" i="2"/>
  <c r="K34" i="2"/>
  <c r="H34" i="2"/>
  <c r="S34" i="2"/>
  <c r="T34" i="2"/>
  <c r="U34" i="2"/>
  <c r="K33" i="2"/>
  <c r="H33" i="2"/>
  <c r="S33" i="2"/>
  <c r="T33" i="2"/>
  <c r="U33" i="2"/>
  <c r="K32" i="2"/>
  <c r="H32" i="2"/>
  <c r="S32" i="2"/>
  <c r="T32" i="2"/>
  <c r="U32" i="2"/>
  <c r="K31" i="2"/>
  <c r="H31" i="2"/>
  <c r="S31" i="2"/>
  <c r="T31" i="2"/>
  <c r="U31" i="2"/>
  <c r="K30" i="2"/>
  <c r="H30" i="2"/>
  <c r="S30" i="2"/>
  <c r="T30" i="2"/>
  <c r="U30" i="2"/>
  <c r="K29" i="2"/>
  <c r="H29" i="2"/>
  <c r="S29" i="2"/>
  <c r="T29" i="2"/>
  <c r="U29" i="2"/>
  <c r="K28" i="2"/>
  <c r="H28" i="2"/>
  <c r="S28" i="2"/>
  <c r="T28" i="2"/>
  <c r="U28" i="2"/>
  <c r="K27" i="2"/>
  <c r="H27" i="2"/>
  <c r="S27" i="2"/>
  <c r="T27" i="2"/>
  <c r="U27" i="2"/>
  <c r="K26" i="2"/>
  <c r="H26" i="2"/>
  <c r="S26" i="2"/>
  <c r="T26" i="2"/>
  <c r="U26" i="2"/>
  <c r="K25" i="2"/>
  <c r="H25" i="2"/>
  <c r="S25" i="2"/>
  <c r="T25" i="2"/>
  <c r="U25" i="2"/>
  <c r="K24" i="2"/>
  <c r="H24" i="2"/>
  <c r="S24" i="2"/>
  <c r="T24" i="2"/>
  <c r="U24" i="2"/>
  <c r="K23" i="2"/>
  <c r="H23" i="2"/>
  <c r="S23" i="2"/>
  <c r="T23" i="2"/>
  <c r="U23" i="2"/>
  <c r="K22" i="2"/>
  <c r="H22" i="2"/>
  <c r="S22" i="2"/>
  <c r="T22" i="2"/>
  <c r="U22" i="2"/>
  <c r="K21" i="2"/>
  <c r="H21" i="2"/>
  <c r="S21" i="2"/>
  <c r="T21" i="2"/>
  <c r="U21" i="2"/>
  <c r="J18" i="2"/>
  <c r="B16" i="1"/>
  <c r="J19" i="2"/>
  <c r="J1" i="2"/>
  <c r="J81" i="2"/>
  <c r="P81" i="2"/>
  <c r="Q81" i="2"/>
  <c r="R81" i="2"/>
  <c r="J80" i="2"/>
  <c r="P80" i="2"/>
  <c r="Q80" i="2"/>
  <c r="R80" i="2"/>
  <c r="J78" i="2"/>
  <c r="P78" i="2"/>
  <c r="Q78" i="2"/>
  <c r="R78" i="2"/>
  <c r="J77" i="2"/>
  <c r="P77" i="2"/>
  <c r="Q77" i="2"/>
  <c r="R77" i="2"/>
  <c r="J74" i="2"/>
  <c r="P74" i="2"/>
  <c r="Q74" i="2"/>
  <c r="R74" i="2"/>
  <c r="J73" i="2"/>
  <c r="P73" i="2"/>
  <c r="Q73" i="2"/>
  <c r="R73" i="2"/>
  <c r="J70" i="2"/>
  <c r="P70" i="2"/>
  <c r="Q70" i="2"/>
  <c r="R70" i="2"/>
  <c r="J69" i="2"/>
  <c r="P69" i="2"/>
  <c r="Q69" i="2"/>
  <c r="R69" i="2"/>
  <c r="J66" i="2"/>
  <c r="P66" i="2"/>
  <c r="Q66" i="2"/>
  <c r="R66" i="2"/>
  <c r="J65" i="2"/>
  <c r="P65" i="2"/>
  <c r="Q65" i="2"/>
  <c r="R65" i="2"/>
  <c r="J63" i="2"/>
  <c r="H63" i="2"/>
  <c r="P63" i="2"/>
  <c r="Q63" i="2"/>
  <c r="J62" i="2"/>
  <c r="P62" i="2"/>
  <c r="Q62" i="2"/>
  <c r="R62" i="2"/>
  <c r="J61" i="2"/>
  <c r="P61" i="2"/>
  <c r="Q61" i="2"/>
  <c r="R61" i="2"/>
  <c r="J58" i="2"/>
  <c r="P58" i="2"/>
  <c r="Q58" i="2"/>
  <c r="R58" i="2"/>
  <c r="J57" i="2"/>
  <c r="P57" i="2"/>
  <c r="Q57" i="2"/>
  <c r="R57" i="2"/>
  <c r="J54" i="2"/>
  <c r="P54" i="2"/>
  <c r="Q54" i="2"/>
  <c r="R54" i="2"/>
  <c r="J51" i="2"/>
  <c r="P51" i="2"/>
  <c r="Q51" i="2"/>
  <c r="R51" i="2"/>
  <c r="J50" i="2"/>
  <c r="P50" i="2"/>
  <c r="Q50" i="2"/>
  <c r="R50" i="2"/>
  <c r="J49" i="2"/>
  <c r="P49" i="2"/>
  <c r="Q49" i="2"/>
  <c r="R49" i="2"/>
  <c r="J48" i="2"/>
  <c r="P48" i="2"/>
  <c r="Q48" i="2"/>
  <c r="R48" i="2"/>
  <c r="J47" i="2"/>
  <c r="P47" i="2"/>
  <c r="Q47" i="2"/>
  <c r="R47" i="2"/>
  <c r="J46" i="2"/>
  <c r="P46" i="2"/>
  <c r="Q46" i="2"/>
  <c r="R46" i="2"/>
  <c r="J45" i="2"/>
  <c r="P45" i="2"/>
  <c r="Q45" i="2"/>
  <c r="R45" i="2"/>
  <c r="J44" i="2"/>
  <c r="P44" i="2"/>
  <c r="Q44" i="2"/>
  <c r="R44" i="2"/>
  <c r="J43" i="2"/>
  <c r="P43" i="2"/>
  <c r="Q43" i="2"/>
  <c r="R43" i="2"/>
  <c r="J42" i="2"/>
  <c r="P42" i="2"/>
  <c r="Q42" i="2"/>
  <c r="R42" i="2"/>
  <c r="J41" i="2"/>
  <c r="P41" i="2"/>
  <c r="Q41" i="2"/>
  <c r="R41" i="2"/>
  <c r="J40" i="2"/>
  <c r="P40" i="2"/>
  <c r="Q40" i="2"/>
  <c r="R40" i="2"/>
  <c r="J37" i="2"/>
  <c r="P37" i="2"/>
  <c r="Q37" i="2"/>
  <c r="R37" i="2"/>
  <c r="J36" i="2"/>
  <c r="P36" i="2"/>
  <c r="Q36" i="2"/>
  <c r="R36" i="2"/>
  <c r="J35" i="2"/>
  <c r="P35" i="2"/>
  <c r="Q35" i="2"/>
  <c r="R35" i="2"/>
  <c r="J34" i="2"/>
  <c r="P34" i="2"/>
  <c r="Q34" i="2"/>
  <c r="R34" i="2"/>
  <c r="J33" i="2"/>
  <c r="P33" i="2"/>
  <c r="Q33" i="2"/>
  <c r="R33" i="2"/>
  <c r="J32" i="2"/>
  <c r="P32" i="2"/>
  <c r="Q32" i="2"/>
  <c r="R32" i="2"/>
  <c r="J31" i="2"/>
  <c r="P31" i="2"/>
  <c r="Q31" i="2"/>
  <c r="R31" i="2"/>
  <c r="J30" i="2"/>
  <c r="P30" i="2"/>
  <c r="Q30" i="2"/>
  <c r="R30" i="2"/>
  <c r="J29" i="2"/>
  <c r="P29" i="2"/>
  <c r="Q29" i="2"/>
  <c r="R29" i="2"/>
  <c r="J28" i="2"/>
  <c r="P28" i="2"/>
  <c r="Q28" i="2"/>
  <c r="R28" i="2"/>
  <c r="J27" i="2"/>
  <c r="P27" i="2"/>
  <c r="Q27" i="2"/>
  <c r="R27" i="2"/>
  <c r="J26" i="2"/>
  <c r="P26" i="2"/>
  <c r="Q26" i="2"/>
  <c r="R26" i="2"/>
  <c r="J25" i="2"/>
  <c r="P25" i="2"/>
  <c r="Q25" i="2"/>
  <c r="R25" i="2"/>
  <c r="J24" i="2"/>
  <c r="P24" i="2"/>
  <c r="Q24" i="2"/>
  <c r="R24" i="2"/>
  <c r="J23" i="2"/>
  <c r="P23" i="2"/>
  <c r="Q23" i="2"/>
  <c r="R23" i="2"/>
  <c r="J22" i="2"/>
  <c r="P22" i="2"/>
  <c r="Q22" i="2"/>
  <c r="R22" i="2"/>
  <c r="J21" i="2"/>
  <c r="P21" i="2"/>
  <c r="Q21" i="2"/>
  <c r="R21" i="2"/>
  <c r="I18" i="2"/>
  <c r="B15" i="1"/>
  <c r="I19" i="2"/>
  <c r="I1" i="2"/>
  <c r="I21" i="2"/>
  <c r="M21" i="2"/>
  <c r="N21" i="2"/>
  <c r="O21" i="2"/>
  <c r="I81" i="2"/>
  <c r="M81" i="2"/>
  <c r="N81" i="2"/>
  <c r="O81" i="2"/>
  <c r="I80" i="2"/>
  <c r="M80" i="2"/>
  <c r="N80" i="2"/>
  <c r="O80" i="2"/>
  <c r="I78" i="2"/>
  <c r="M78" i="2"/>
  <c r="N78" i="2"/>
  <c r="O78" i="2"/>
  <c r="I77" i="2"/>
  <c r="M77" i="2"/>
  <c r="N77" i="2"/>
  <c r="O77" i="2"/>
  <c r="I74" i="2"/>
  <c r="M74" i="2"/>
  <c r="N74" i="2"/>
  <c r="O74" i="2"/>
  <c r="I73" i="2"/>
  <c r="M73" i="2"/>
  <c r="N73" i="2"/>
  <c r="O73" i="2"/>
  <c r="I70" i="2"/>
  <c r="M70" i="2"/>
  <c r="N70" i="2"/>
  <c r="O70" i="2"/>
  <c r="I69" i="2"/>
  <c r="M69" i="2"/>
  <c r="N69" i="2"/>
  <c r="O69" i="2"/>
  <c r="I66" i="2"/>
  <c r="M66" i="2"/>
  <c r="N66" i="2"/>
  <c r="O66" i="2"/>
  <c r="I65" i="2"/>
  <c r="M65" i="2"/>
  <c r="N65" i="2"/>
  <c r="O65" i="2"/>
  <c r="I62" i="2"/>
  <c r="M62" i="2"/>
  <c r="N62" i="2"/>
  <c r="O62" i="2"/>
  <c r="I61" i="2"/>
  <c r="M61" i="2"/>
  <c r="N61" i="2"/>
  <c r="O61" i="2"/>
  <c r="I58" i="2"/>
  <c r="M58" i="2"/>
  <c r="N58" i="2"/>
  <c r="O58" i="2"/>
  <c r="I57" i="2"/>
  <c r="M57" i="2"/>
  <c r="N57" i="2"/>
  <c r="O57" i="2"/>
  <c r="I54" i="2"/>
  <c r="M54" i="2"/>
  <c r="N54" i="2"/>
  <c r="O54" i="2"/>
  <c r="I51" i="2"/>
  <c r="M51" i="2"/>
  <c r="N51" i="2"/>
  <c r="O51" i="2"/>
  <c r="I50" i="2"/>
  <c r="M50" i="2"/>
  <c r="N50" i="2"/>
  <c r="O50" i="2"/>
  <c r="I49" i="2"/>
  <c r="M49" i="2"/>
  <c r="N49" i="2"/>
  <c r="O49" i="2"/>
  <c r="I48" i="2"/>
  <c r="M48" i="2"/>
  <c r="N48" i="2"/>
  <c r="O48" i="2"/>
  <c r="I47" i="2"/>
  <c r="M47" i="2"/>
  <c r="N47" i="2"/>
  <c r="O47" i="2"/>
  <c r="I46" i="2"/>
  <c r="M46" i="2"/>
  <c r="N46" i="2"/>
  <c r="O46" i="2"/>
  <c r="I45" i="2"/>
  <c r="M45" i="2"/>
  <c r="N45" i="2"/>
  <c r="O45" i="2"/>
  <c r="I44" i="2"/>
  <c r="M44" i="2"/>
  <c r="N44" i="2"/>
  <c r="O44" i="2"/>
  <c r="I43" i="2"/>
  <c r="M43" i="2"/>
  <c r="N43" i="2"/>
  <c r="O43" i="2"/>
  <c r="I42" i="2"/>
  <c r="M42" i="2"/>
  <c r="N42" i="2"/>
  <c r="O42" i="2"/>
  <c r="I41" i="2"/>
  <c r="M41" i="2"/>
  <c r="N41" i="2"/>
  <c r="O41" i="2"/>
  <c r="I40" i="2"/>
  <c r="M40" i="2"/>
  <c r="N40" i="2"/>
  <c r="O40" i="2"/>
  <c r="I37" i="2"/>
  <c r="M37" i="2"/>
  <c r="N37" i="2"/>
  <c r="O37" i="2"/>
  <c r="I36" i="2"/>
  <c r="M36" i="2"/>
  <c r="N36" i="2"/>
  <c r="O36" i="2"/>
  <c r="I35" i="2"/>
  <c r="M35" i="2"/>
  <c r="N35" i="2"/>
  <c r="O35" i="2"/>
  <c r="I34" i="2"/>
  <c r="M34" i="2"/>
  <c r="N34" i="2"/>
  <c r="O34" i="2"/>
  <c r="I33" i="2"/>
  <c r="M33" i="2"/>
  <c r="N33" i="2"/>
  <c r="O33" i="2"/>
  <c r="I32" i="2"/>
  <c r="M32" i="2"/>
  <c r="N32" i="2"/>
  <c r="O32" i="2"/>
  <c r="I31" i="2"/>
  <c r="M31" i="2"/>
  <c r="N31" i="2"/>
  <c r="O31" i="2"/>
  <c r="I30" i="2"/>
  <c r="M30" i="2"/>
  <c r="N30" i="2"/>
  <c r="O30" i="2"/>
  <c r="I29" i="2"/>
  <c r="M29" i="2"/>
  <c r="N29" i="2"/>
  <c r="O29" i="2"/>
  <c r="I28" i="2"/>
  <c r="M28" i="2"/>
  <c r="N28" i="2"/>
  <c r="O28" i="2"/>
  <c r="I27" i="2"/>
  <c r="M27" i="2"/>
  <c r="N27" i="2"/>
  <c r="O27" i="2"/>
  <c r="I26" i="2"/>
  <c r="M26" i="2"/>
  <c r="N26" i="2"/>
  <c r="O26" i="2"/>
  <c r="I25" i="2"/>
  <c r="M25" i="2"/>
  <c r="N25" i="2"/>
  <c r="O25" i="2"/>
  <c r="I24" i="2"/>
  <c r="M24" i="2"/>
  <c r="N24" i="2"/>
  <c r="O24" i="2"/>
  <c r="I23" i="2"/>
  <c r="M23" i="2"/>
  <c r="N23" i="2"/>
  <c r="O23" i="2"/>
  <c r="I22" i="2"/>
  <c r="M22" i="2"/>
  <c r="N22" i="2"/>
  <c r="O22" i="2"/>
  <c r="AE105" i="2"/>
  <c r="AB105" i="2"/>
  <c r="AM123" i="2"/>
  <c r="AA128" i="2"/>
  <c r="AM128" i="2"/>
  <c r="AL123" i="2"/>
  <c r="AL128" i="2"/>
  <c r="AK123" i="2"/>
  <c r="AK128" i="2"/>
  <c r="AJ123" i="2"/>
  <c r="AJ128" i="2"/>
  <c r="AI123" i="2"/>
  <c r="AI128" i="2"/>
  <c r="AH123" i="2"/>
  <c r="AH128" i="2"/>
  <c r="AG123" i="2"/>
  <c r="AG128" i="2"/>
  <c r="AF123" i="2"/>
  <c r="AF128" i="2"/>
  <c r="AE123" i="2"/>
  <c r="AE128" i="2"/>
  <c r="AD123" i="2"/>
  <c r="AD128" i="2"/>
  <c r="AC123" i="2"/>
  <c r="AC128" i="2"/>
  <c r="AB123" i="2"/>
  <c r="AB128" i="2"/>
  <c r="AA127" i="2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M107" i="2"/>
  <c r="AM130" i="2"/>
  <c r="AA126" i="2"/>
  <c r="AM126" i="2"/>
  <c r="AL107" i="2"/>
  <c r="AL130" i="2"/>
  <c r="AL126" i="2"/>
  <c r="AK107" i="2"/>
  <c r="AK130" i="2"/>
  <c r="AK126" i="2"/>
  <c r="AJ107" i="2"/>
  <c r="AJ130" i="2"/>
  <c r="AJ126" i="2"/>
  <c r="AI107" i="2"/>
  <c r="AI130" i="2"/>
  <c r="AI126" i="2"/>
  <c r="AH107" i="2"/>
  <c r="AH130" i="2"/>
  <c r="AH126" i="2"/>
  <c r="AG107" i="2"/>
  <c r="AG130" i="2"/>
  <c r="AG126" i="2"/>
  <c r="AF107" i="2"/>
  <c r="AF130" i="2"/>
  <c r="AF126" i="2"/>
  <c r="AE107" i="2"/>
  <c r="AE130" i="2"/>
  <c r="AE126" i="2"/>
  <c r="AD107" i="2"/>
  <c r="AD130" i="2"/>
  <c r="AD126" i="2"/>
  <c r="AC107" i="2"/>
  <c r="AC130" i="2"/>
  <c r="AC126" i="2"/>
  <c r="AB107" i="2"/>
  <c r="AB130" i="2"/>
  <c r="AB126" i="2"/>
  <c r="AA125" i="2"/>
  <c r="AM125" i="2"/>
  <c r="AL125" i="2"/>
  <c r="AK125" i="2"/>
  <c r="AJ125" i="2"/>
  <c r="AI125" i="2"/>
  <c r="AH125" i="2"/>
  <c r="AG125" i="2"/>
  <c r="AF125" i="2"/>
  <c r="AE125" i="2"/>
  <c r="AD125" i="2"/>
  <c r="AC125" i="2"/>
  <c r="AB125" i="2"/>
  <c r="AM115" i="2"/>
  <c r="AA120" i="2"/>
  <c r="AM120" i="2"/>
  <c r="AL115" i="2"/>
  <c r="AL120" i="2"/>
  <c r="AK115" i="2"/>
  <c r="AK120" i="2"/>
  <c r="AJ115" i="2"/>
  <c r="AJ120" i="2"/>
  <c r="AI115" i="2"/>
  <c r="AI120" i="2"/>
  <c r="AH115" i="2"/>
  <c r="AH120" i="2"/>
  <c r="AG115" i="2"/>
  <c r="AG120" i="2"/>
  <c r="AF115" i="2"/>
  <c r="AF120" i="2"/>
  <c r="AE115" i="2"/>
  <c r="AE120" i="2"/>
  <c r="AD115" i="2"/>
  <c r="AD120" i="2"/>
  <c r="AC115" i="2"/>
  <c r="AC120" i="2"/>
  <c r="AB115" i="2"/>
  <c r="AB120" i="2"/>
  <c r="AA119" i="2"/>
  <c r="AM119" i="2"/>
  <c r="AL119" i="2"/>
  <c r="AK119" i="2"/>
  <c r="AJ119" i="2"/>
  <c r="AI119" i="2"/>
  <c r="AH119" i="2"/>
  <c r="AG119" i="2"/>
  <c r="AF119" i="2"/>
  <c r="AE119" i="2"/>
  <c r="AD119" i="2"/>
  <c r="AC119" i="2"/>
  <c r="AB119" i="2"/>
  <c r="AA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K75" i="2"/>
  <c r="J75" i="2"/>
  <c r="I75" i="2"/>
  <c r="H75" i="2"/>
  <c r="K71" i="2"/>
  <c r="J71" i="2"/>
  <c r="I71" i="2"/>
  <c r="H71" i="2"/>
  <c r="K67" i="2"/>
  <c r="J67" i="2"/>
  <c r="I67" i="2"/>
  <c r="H67" i="2"/>
  <c r="K63" i="2"/>
  <c r="I63" i="2"/>
  <c r="K59" i="2"/>
  <c r="J59" i="2"/>
  <c r="I59" i="2"/>
  <c r="H59" i="2"/>
  <c r="K52" i="2"/>
  <c r="J52" i="2"/>
  <c r="I52" i="2"/>
  <c r="H52" i="2"/>
  <c r="K38" i="2"/>
  <c r="J38" i="2"/>
  <c r="I38" i="2"/>
  <c r="H38" i="2"/>
  <c r="K19" i="2"/>
  <c r="S19" i="2"/>
  <c r="P19" i="2"/>
  <c r="M19" i="2"/>
  <c r="I2" i="2"/>
  <c r="S75" i="2"/>
  <c r="T75" i="2"/>
  <c r="S71" i="2"/>
  <c r="T71" i="2"/>
  <c r="S67" i="2"/>
  <c r="T67" i="2"/>
  <c r="S63" i="2"/>
  <c r="T63" i="2"/>
  <c r="S59" i="2"/>
  <c r="T59" i="2"/>
  <c r="S52" i="2"/>
  <c r="T52" i="2"/>
  <c r="S38" i="2"/>
  <c r="T38" i="2"/>
  <c r="P75" i="2"/>
  <c r="Q75" i="2"/>
  <c r="P71" i="2"/>
  <c r="Q71" i="2"/>
  <c r="P67" i="2"/>
  <c r="Q67" i="2"/>
  <c r="P59" i="2"/>
  <c r="Q59" i="2"/>
  <c r="P52" i="2"/>
  <c r="Q52" i="2"/>
  <c r="P38" i="2"/>
  <c r="Q38" i="2"/>
  <c r="M75" i="2"/>
  <c r="N75" i="2"/>
  <c r="M71" i="2"/>
  <c r="N71" i="2"/>
  <c r="M67" i="2"/>
  <c r="N67" i="2"/>
  <c r="M63" i="2"/>
  <c r="N63" i="2"/>
  <c r="M59" i="2"/>
  <c r="N59" i="2"/>
  <c r="M52" i="2"/>
  <c r="N52" i="2"/>
  <c r="M38" i="2"/>
  <c r="N38" i="2"/>
  <c r="F19" i="2"/>
  <c r="E7" i="2"/>
  <c r="E19" i="2"/>
  <c r="E10" i="2"/>
  <c r="E75" i="2"/>
  <c r="E74" i="2"/>
  <c r="C73" i="2"/>
  <c r="E73" i="2"/>
  <c r="E71" i="2"/>
  <c r="E70" i="2"/>
  <c r="C69" i="2"/>
  <c r="E69" i="2"/>
  <c r="E31" i="2"/>
  <c r="E32" i="2"/>
  <c r="E28" i="2"/>
  <c r="E27" i="2"/>
  <c r="E26" i="2"/>
  <c r="E25" i="2"/>
  <c r="E24" i="2"/>
  <c r="K55" i="2"/>
  <c r="K79" i="2"/>
  <c r="H55" i="2"/>
  <c r="H79" i="2"/>
  <c r="J79" i="2"/>
  <c r="J55" i="2"/>
  <c r="I79" i="2"/>
  <c r="I55" i="2"/>
  <c r="C21" i="2"/>
  <c r="Z128" i="2"/>
  <c r="Z127" i="2"/>
  <c r="Z126" i="2"/>
  <c r="Z125" i="2"/>
  <c r="AA123" i="2"/>
  <c r="Z120" i="2"/>
  <c r="Z119" i="2"/>
  <c r="Z118" i="2"/>
  <c r="Z117" i="2"/>
  <c r="AA115" i="2"/>
  <c r="Z112" i="2"/>
  <c r="Z111" i="2"/>
  <c r="Z110" i="2"/>
  <c r="Z109" i="2"/>
  <c r="AA107" i="2"/>
  <c r="AM124" i="2"/>
  <c r="AL124" i="2"/>
  <c r="AK124" i="2"/>
  <c r="AJ124" i="2"/>
  <c r="AI124" i="2"/>
  <c r="AH124" i="2"/>
  <c r="AG124" i="2"/>
  <c r="AF124" i="2"/>
  <c r="AE124" i="2"/>
  <c r="AD124" i="2"/>
  <c r="AC124" i="2"/>
  <c r="AB124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E87" i="2"/>
  <c r="E86" i="2"/>
  <c r="E85" i="2"/>
  <c r="E84" i="2"/>
  <c r="E83" i="2"/>
  <c r="G2" i="2"/>
  <c r="E81" i="2"/>
  <c r="E80" i="2"/>
  <c r="E79" i="2"/>
  <c r="E78" i="2"/>
  <c r="C77" i="2"/>
  <c r="E77" i="2"/>
  <c r="E67" i="2"/>
  <c r="E66" i="2"/>
  <c r="C65" i="2"/>
  <c r="E65" i="2"/>
  <c r="E63" i="2"/>
  <c r="E62" i="2"/>
  <c r="C61" i="2"/>
  <c r="E61" i="2"/>
  <c r="E59" i="2"/>
  <c r="E58" i="2"/>
  <c r="C57" i="2"/>
  <c r="E57" i="2"/>
  <c r="E55" i="2"/>
  <c r="C54" i="2"/>
  <c r="E54" i="2"/>
  <c r="E52" i="2"/>
  <c r="E51" i="2"/>
  <c r="E50" i="2"/>
  <c r="E49" i="2"/>
  <c r="E48" i="2"/>
  <c r="E47" i="2"/>
  <c r="E46" i="2"/>
  <c r="E45" i="2"/>
  <c r="E44" i="2"/>
  <c r="E43" i="2"/>
  <c r="E42" i="2"/>
  <c r="E41" i="2"/>
  <c r="C40" i="2"/>
  <c r="E40" i="2"/>
  <c r="E38" i="2"/>
  <c r="E37" i="2"/>
  <c r="E36" i="2"/>
  <c r="E35" i="2"/>
  <c r="E30" i="2"/>
  <c r="E29" i="2"/>
  <c r="E34" i="2"/>
  <c r="E33" i="2"/>
  <c r="E23" i="2"/>
  <c r="E22" i="2"/>
  <c r="E21" i="2"/>
  <c r="U19" i="2"/>
  <c r="R19" i="2"/>
  <c r="M18" i="2"/>
  <c r="B13" i="1"/>
</calcChain>
</file>

<file path=xl/sharedStrings.xml><?xml version="1.0" encoding="utf-8"?>
<sst xmlns="http://schemas.openxmlformats.org/spreadsheetml/2006/main" count="155" uniqueCount="144">
  <si>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</si>
  <si>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</si>
  <si>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</si>
  <si>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</si>
  <si>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</si>
  <si>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</si>
  <si>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</si>
  <si>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</si>
  <si>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</si>
  <si>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</si>
  <si>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</si>
  <si>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</si>
  <si>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</si>
  <si>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</si>
  <si>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</si>
  <si>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</si>
  <si>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</si>
  <si>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</si>
  <si>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</si>
  <si>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</si>
  <si>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</si>
  <si>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</si>
  <si>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</si>
  <si>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</si>
  <si>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</si>
  <si>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</si>
  <si>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</si>
  <si>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</si>
  <si>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</si>
  <si>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</si>
  <si>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</si>
  <si>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</si>
  <si>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</si>
  <si>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</si>
  <si>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</si>
  <si>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</si>
  <si>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</si>
  <si>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</si>
  <si>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</si>
  <si>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</si>
  <si>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</si>
  <si>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</si>
  <si>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</si>
  <si>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Period_Year_Month</t>
  </si>
  <si>
    <t>Management_organization</t>
  </si>
  <si>
    <t>Language</t>
  </si>
  <si>
    <t>output</t>
  </si>
  <si>
    <t>Indicator</t>
  </si>
  <si>
    <t>Legal_organization</t>
  </si>
  <si>
    <t>TPL10_dest</t>
  </si>
  <si>
    <t>Activity</t>
  </si>
  <si>
    <t>PL0000_RC</t>
  </si>
  <si>
    <t>Currency</t>
  </si>
  <si>
    <t>PL1002_RC</t>
  </si>
  <si>
    <t>Gaap</t>
  </si>
  <si>
    <t>PL1003_RC_PR</t>
  </si>
  <si>
    <t>Integration_Rate</t>
  </si>
  <si>
    <t>PL1003_RC_30</t>
  </si>
  <si>
    <t>Variances</t>
  </si>
  <si>
    <t>PL1003_RC_SA</t>
  </si>
  <si>
    <t>Variance</t>
  </si>
  <si>
    <t>PL1003_RC_45</t>
  </si>
  <si>
    <t>Profit_Losses_aggregated</t>
  </si>
  <si>
    <t>PL1007_RC_OG</t>
  </si>
  <si>
    <t>Gross_Margin_percentage_ROA</t>
  </si>
  <si>
    <t>PL0000_RP</t>
  </si>
  <si>
    <t>Operating_profit_before_management_fees</t>
  </si>
  <si>
    <t>PL0000_AR</t>
  </si>
  <si>
    <t>Operating_profit_percentage_ROA</t>
  </si>
  <si>
    <t>PL0000_TPL10</t>
  </si>
  <si>
    <t>CAFOP_before_management_fees</t>
  </si>
  <si>
    <t>CAFOP_percentage_ROA</t>
  </si>
  <si>
    <t>TPL11_dest</t>
  </si>
  <si>
    <t>Comments</t>
  </si>
  <si>
    <t>PL0000_ST</t>
  </si>
  <si>
    <t>ROA</t>
  </si>
  <si>
    <t>PL0000_DO</t>
  </si>
  <si>
    <t>Gross_Margin</t>
  </si>
  <si>
    <t>PL0000_ET</t>
  </si>
  <si>
    <t>Operational_Profit</t>
  </si>
  <si>
    <t>PL0000_MF</t>
  </si>
  <si>
    <t>Ytd</t>
  </si>
  <si>
    <t>PL0000_MI</t>
  </si>
  <si>
    <t>Jan</t>
  </si>
  <si>
    <t>PL0000_CD</t>
  </si>
  <si>
    <t>Feb</t>
  </si>
  <si>
    <t>PL0000_CS</t>
  </si>
  <si>
    <t>Mar</t>
  </si>
  <si>
    <t>PL0000_DS</t>
  </si>
  <si>
    <t>Apr</t>
  </si>
  <si>
    <t>PL0000_FL</t>
  </si>
  <si>
    <t>May</t>
  </si>
  <si>
    <t>PL0000_IN</t>
  </si>
  <si>
    <t>Jun</t>
  </si>
  <si>
    <t>PL0000_AC</t>
  </si>
  <si>
    <t>Jul</t>
  </si>
  <si>
    <t>PL0000_TPL11</t>
  </si>
  <si>
    <t>Aug</t>
  </si>
  <si>
    <t>Sep</t>
  </si>
  <si>
    <t>GROSS_MARGIN_dest</t>
  </si>
  <si>
    <t>Oct</t>
  </si>
  <si>
    <t>Nov</t>
  </si>
  <si>
    <t>Dec</t>
  </si>
  <si>
    <t>TPL12_dest</t>
  </si>
  <si>
    <t>Prior_year</t>
  </si>
  <si>
    <t>PL0000_BD</t>
  </si>
  <si>
    <t>No_data_for_ROA</t>
  </si>
  <si>
    <t>PL0000_TPL12</t>
  </si>
  <si>
    <t>TPL13_dest</t>
  </si>
  <si>
    <t>TPL13_dest_GA</t>
  </si>
  <si>
    <t>PL0000_TPL13</t>
  </si>
  <si>
    <t>TPL14_dest</t>
  </si>
  <si>
    <t>PL0000_OO</t>
  </si>
  <si>
    <t>PL0000_TPL14</t>
  </si>
  <si>
    <t>TPL1_dest</t>
  </si>
  <si>
    <t>RESOP_bef_mgmt_fees</t>
  </si>
  <si>
    <t>Perc_RESOP_bef_mgmt_fees</t>
  </si>
  <si>
    <t>NFIOPE</t>
  </si>
  <si>
    <t>CAFOP_bef_mgmt_fees</t>
  </si>
  <si>
    <t>Comment_1</t>
  </si>
  <si>
    <t>Comment_2</t>
  </si>
  <si>
    <t>Comment_3</t>
  </si>
  <si>
    <t>Comment_4</t>
  </si>
  <si>
    <t>Year</t>
  </si>
  <si>
    <t>YearToDate</t>
  </si>
  <si>
    <t>Prior Year</t>
  </si>
  <si>
    <t>FC_ALL</t>
  </si>
  <si>
    <t>FC_1_TOT</t>
  </si>
  <si>
    <t>FC_2_TOT</t>
  </si>
  <si>
    <t>PL1002_FL_HG</t>
  </si>
  <si>
    <t>PL1002_MF_HG</t>
  </si>
  <si>
    <t>PL1003_MF_HG</t>
  </si>
  <si>
    <t>PL1006_FL</t>
  </si>
  <si>
    <t>PL1006_IN</t>
  </si>
  <si>
    <t>PL1006_RC</t>
  </si>
  <si>
    <t>PL1006</t>
  </si>
  <si>
    <t>TPL15_dest</t>
  </si>
  <si>
    <t>PL0000_TPL15</t>
  </si>
  <si>
    <t>TPL16_dest</t>
  </si>
  <si>
    <t>PL0000_TPL16</t>
  </si>
  <si>
    <t>PL0000_JV</t>
  </si>
  <si>
    <t>PL0000_AS</t>
  </si>
  <si>
    <t>Legal organization</t>
  </si>
  <si>
    <t>Integration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</si>
</sst>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.0"/>
    <numFmt numFmtId="165" formatCode="0.0%"/>
    <numFmt numFmtId="166" formatCode="0.0"/>
    <numFmt numFmtId="167" formatCode="_-* #,##0.00\ _F_-;\-* #,##0.00\ _F_-;_-* &quot;-&quot;??\ _F_-;_-@_-"/>
    <numFmt numFmtId="168" formatCode="_(* #,##0.00_);_(* \(#,##0.00\);_(* &quot;-&quot;??_);_(@_)"/>
    <numFmt numFmtId="169" formatCode="#,###,##0.00"/>
    <numFmt numFmtId="170" formatCode="#,###,##0.0"/>
    <numFmt numFmtId="171" formatCode="#,###,##0"/>
    <numFmt numFmtId="172" formatCode="0.00_)"/>
    <numFmt numFmtId="173" formatCode="#,###,##0.000"/>
    <numFmt numFmtId="174" formatCode="#,##0_);\(#,##0\)"/>
  </numFmts>
  <fonts count="12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8"/>
      <color indexed="9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name val="Calibri"/>
      <family val="2"/>
    </font>
    <font>
      <b/>
      <sz val="18"/>
      <color indexed="17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b/>
      <sz val="16"/>
      <color indexed="22"/>
      <name val="Wingdings"/>
      <charset val="2"/>
    </font>
    <font>
      <i/>
      <sz val="10"/>
      <name val="Calibri"/>
      <family val="2"/>
    </font>
    <font>
      <b/>
      <sz val="18"/>
      <color indexed="52"/>
      <name val="Wingdings"/>
      <charset val="2"/>
    </font>
    <font>
      <b/>
      <sz val="16"/>
      <color indexed="52"/>
      <name val="Wingdings"/>
      <charset val="2"/>
    </font>
    <font>
      <sz val="9"/>
      <name val="Calibri"/>
      <family val="2"/>
    </font>
    <font>
      <sz val="14"/>
      <color theme="1"/>
      <name val="Calibri"/>
      <family val="2"/>
    </font>
    <font>
      <sz val="12"/>
      <name val="Calibri"/>
      <family val="2"/>
    </font>
    <font>
      <sz val="11"/>
      <name val="Calibri"/>
      <family val="2"/>
    </font>
    <font>
      <sz val="10"/>
      <color indexed="9"/>
      <name val="Tahoma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sz val="15"/>
      <color indexed="63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6"/>
      <color indexed="23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6"/>
      <color indexed="23"/>
      <name val="Calibri"/>
      <family val="2"/>
      <scheme val="minor"/>
    </font>
    <font>
      <i/>
      <sz val="15"/>
      <color indexed="63"/>
      <name val="Calibri"/>
      <family val="2"/>
      <scheme val="minor"/>
    </font>
    <font>
      <i/>
      <sz val="15"/>
      <color indexed="61"/>
      <name val="Calibri"/>
      <family val="2"/>
      <scheme val="minor"/>
    </font>
    <font>
      <b/>
      <sz val="18"/>
      <color indexed="23"/>
      <name val="Calibri"/>
      <family val="2"/>
      <scheme val="minor"/>
    </font>
    <font>
      <sz val="10"/>
      <color indexed="61"/>
      <name val="Calibri"/>
      <family val="2"/>
      <scheme val="minor"/>
    </font>
    <font>
      <i/>
      <sz val="15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i/>
      <sz val="14"/>
      <color indexed="63"/>
      <name val="Calibri"/>
      <family val="2"/>
    </font>
    <font>
      <sz val="18"/>
      <color indexed="10"/>
      <name val="Calibri"/>
      <family val="2"/>
      <scheme val="minor"/>
    </font>
    <font>
      <i/>
      <sz val="15"/>
      <color indexed="17"/>
      <name val="Calibri"/>
      <family val="2"/>
      <scheme val="minor"/>
    </font>
    <font>
      <i/>
      <sz val="14"/>
      <color indexed="17"/>
      <name val="Calibri"/>
      <family val="2"/>
    </font>
    <font>
      <sz val="14"/>
      <color indexed="17"/>
      <name val="Calibri"/>
      <family val="2"/>
    </font>
    <font>
      <sz val="15"/>
      <color indexed="17"/>
      <name val="Calibri"/>
      <family val="2"/>
      <scheme val="minor"/>
    </font>
    <font>
      <sz val="11"/>
      <color indexed="17"/>
      <name val="Calibri"/>
      <family val="2"/>
      <scheme val="minor"/>
    </font>
    <font>
      <sz val="18"/>
      <color indexed="17"/>
      <name val="Calibri"/>
      <family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sz val="14"/>
      <color rgb="FFFF0000"/>
      <name val="Wingdings"/>
      <charset val="2"/>
    </font>
  </fonts>
  <fills count="4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 style="medium">
        <color indexed="63"/>
      </right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rgb="FFB5B8BF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</borders>
  <cellStyleXfs count="234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4" fillId="0" borderId="5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169" fontId="53" fillId="36" borderId="0" applyNumberFormat="0" applyBorder="0">
      <alignment horizontal="right"/>
      <protection locked="0"/>
    </xf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170" fontId="55" fillId="37" borderId="0" applyNumberFormat="0" applyBorder="0">
      <alignment horizontal="right" vertical="center"/>
      <protection locked="0"/>
    </xf>
    <xf numFmtId="171" fontId="55" fillId="38" borderId="0" applyNumberFormat="0" applyBorder="0">
      <alignment horizontal="right" vertical="center"/>
      <protection locked="0"/>
    </xf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56" fillId="7" borderId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6" fillId="7" borderId="0"/>
    <xf numFmtId="0" fontId="56" fillId="7" borderId="0"/>
    <xf numFmtId="172" fontId="58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56" fillId="7" borderId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173" fontId="61" fillId="41" borderId="0" applyNumberFormat="0" applyBorder="0">
      <alignment horizontal="left" vertical="center"/>
      <protection locked="0"/>
    </xf>
    <xf numFmtId="173" fontId="62" fillId="36" borderId="0" applyNumberFormat="0" applyBorder="0">
      <alignment horizontal="left"/>
      <protection locked="0"/>
    </xf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4" fontId="67" fillId="0" borderId="0"/>
  </cellStyleXfs>
  <cellXfs count="290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horizontal="center" vertical="center"/>
    </xf>
    <xf numFmtId="0" fontId="8" fillId="0" borderId="0" xfId="2" applyFont="1" applyFill="1" applyBorder="1" applyAlignment="1" applyProtection="1">
      <alignment vertical="center"/>
    </xf>
    <xf numFmtId="0" fontId="9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10" fillId="0" borderId="0" xfId="2" applyFont="1" applyFill="1" applyBorder="1" applyAlignment="1" applyProtection="1">
      <alignment vertical="center"/>
    </xf>
    <xf numFmtId="0" fontId="9" fillId="7" borderId="0" xfId="2" applyFont="1" applyFill="1" applyBorder="1" applyAlignment="1" applyProtection="1">
      <alignment vertical="center"/>
    </xf>
    <xf numFmtId="0" fontId="8" fillId="0" borderId="0" xfId="1" applyFont="1" applyFill="1" applyBorder="1" applyAlignment="1">
      <alignment vertical="center"/>
    </xf>
    <xf numFmtId="0" fontId="1" fillId="0" borderId="0" xfId="1" applyFill="1" applyAlignment="1"/>
    <xf numFmtId="0" fontId="17" fillId="0" borderId="0" xfId="1" applyFont="1" applyFill="1" applyBorder="1" applyAlignment="1">
      <alignment horizontal="center" vertical="center" wrapText="1"/>
    </xf>
    <xf numFmtId="0" fontId="8" fillId="0" borderId="0" xfId="2" applyFont="1" applyFill="1" applyAlignment="1" applyProtection="1">
      <alignment vertical="center"/>
    </xf>
    <xf numFmtId="0" fontId="8" fillId="0" borderId="8" xfId="2" applyFont="1" applyFill="1" applyBorder="1" applyAlignment="1" applyProtection="1">
      <alignment vertical="center"/>
    </xf>
    <xf numFmtId="0" fontId="8" fillId="0" borderId="9" xfId="2" applyFont="1" applyFill="1" applyBorder="1" applyAlignment="1" applyProtection="1">
      <alignment vertical="center"/>
    </xf>
    <xf numFmtId="0" fontId="21" fillId="0" borderId="0" xfId="2" applyFont="1" applyFill="1" applyBorder="1" applyAlignment="1" applyProtection="1">
      <alignment vertical="center"/>
    </xf>
    <xf numFmtId="0" fontId="23" fillId="0" borderId="0" xfId="4" applyFont="1" applyFill="1" applyBorder="1" applyAlignment="1">
      <alignment horizontal="center"/>
    </xf>
    <xf numFmtId="0" fontId="24" fillId="0" borderId="0" xfId="4" applyFont="1" applyFill="1" applyBorder="1" applyAlignment="1">
      <alignment horizontal="center" vertical="center"/>
    </xf>
    <xf numFmtId="0" fontId="25" fillId="0" borderId="0" xfId="2" applyFont="1" applyFill="1" applyBorder="1" applyAlignment="1" applyProtection="1">
      <alignment vertical="center"/>
    </xf>
    <xf numFmtId="0" fontId="27" fillId="0" borderId="0" xfId="4" applyFont="1" applyFill="1" applyBorder="1" applyAlignment="1">
      <alignment horizontal="center" vertical="center"/>
    </xf>
    <xf numFmtId="0" fontId="8" fillId="0" borderId="13" xfId="2" applyFont="1" applyFill="1" applyBorder="1" applyAlignment="1" applyProtection="1">
      <alignment vertical="center"/>
    </xf>
    <xf numFmtId="165" fontId="28" fillId="0" borderId="0" xfId="3" applyNumberFormat="1" applyFont="1" applyFill="1" applyBorder="1" applyAlignment="1">
      <alignment horizontal="center" vertical="center" wrapText="1"/>
    </xf>
    <xf numFmtId="0" fontId="29" fillId="0" borderId="0" xfId="2" applyFont="1" applyFill="1" applyBorder="1" applyAlignment="1" applyProtection="1">
      <alignment vertical="center"/>
    </xf>
    <xf numFmtId="0" fontId="8" fillId="0" borderId="0" xfId="3" applyFont="1" applyFill="1" applyBorder="1" applyAlignment="1">
      <alignment horizontal="left" vertical="center"/>
    </xf>
    <xf numFmtId="165" fontId="30" fillId="0" borderId="0" xfId="3" applyNumberFormat="1" applyFont="1" applyFill="1" applyBorder="1" applyAlignment="1">
      <alignment horizontal="center" vertical="center" wrapText="1"/>
    </xf>
    <xf numFmtId="0" fontId="8" fillId="0" borderId="5" xfId="2" applyFont="1" applyFill="1" applyBorder="1" applyAlignment="1" applyProtection="1">
      <alignment vertical="center"/>
    </xf>
    <xf numFmtId="165" fontId="31" fillId="0" borderId="0" xfId="3" applyNumberFormat="1" applyFont="1" applyFill="1" applyBorder="1" applyAlignment="1">
      <alignment horizontal="center" vertical="center" wrapText="1"/>
    </xf>
    <xf numFmtId="0" fontId="16" fillId="0" borderId="8" xfId="2" applyFont="1" applyFill="1" applyBorder="1" applyAlignment="1" applyProtection="1">
      <alignment vertical="center"/>
    </xf>
    <xf numFmtId="0" fontId="16" fillId="0" borderId="9" xfId="2" applyFont="1" applyFill="1" applyBorder="1" applyAlignment="1" applyProtection="1">
      <alignment vertical="center"/>
    </xf>
    <xf numFmtId="165" fontId="32" fillId="0" borderId="0" xfId="3" applyNumberFormat="1" applyFont="1" applyFill="1" applyBorder="1" applyAlignment="1" applyProtection="1">
      <alignment vertical="center"/>
    </xf>
    <xf numFmtId="0" fontId="8" fillId="0" borderId="0" xfId="3" applyFont="1" applyFill="1" applyBorder="1" applyAlignment="1">
      <alignment horizontal="left" vertical="center" wrapText="1" indent="1"/>
    </xf>
    <xf numFmtId="0" fontId="14" fillId="0" borderId="0" xfId="2" applyFont="1" applyFill="1" applyBorder="1" applyAlignment="1" applyProtection="1">
      <alignment vertical="center"/>
    </xf>
    <xf numFmtId="0" fontId="22" fillId="0" borderId="0" xfId="2" applyFont="1" applyFill="1" applyBorder="1" applyAlignment="1" applyProtection="1">
      <alignment vertical="center"/>
    </xf>
    <xf numFmtId="0" fontId="16" fillId="0" borderId="13" xfId="2" applyFont="1" applyFill="1" applyBorder="1" applyAlignment="1" applyProtection="1">
      <alignment vertical="center"/>
    </xf>
    <xf numFmtId="0" fontId="33" fillId="0" borderId="0" xfId="2" applyFont="1" applyFill="1" applyBorder="1" applyAlignment="1" applyProtection="1">
      <alignment vertical="center"/>
    </xf>
    <xf numFmtId="0" fontId="34" fillId="0" borderId="0" xfId="2" applyFont="1" applyFill="1" applyBorder="1" applyAlignment="1" applyProtection="1">
      <alignment vertical="center"/>
    </xf>
    <xf numFmtId="9" fontId="7" fillId="0" borderId="0" xfId="3" applyNumberFormat="1" applyFont="1" applyFill="1" applyBorder="1" applyAlignment="1" applyProtection="1">
      <alignment vertical="center"/>
    </xf>
    <xf numFmtId="0" fontId="8" fillId="0" borderId="0" xfId="1" applyFont="1"/>
    <xf numFmtId="165" fontId="9" fillId="7" borderId="0" xfId="2" applyNumberFormat="1" applyFont="1" applyFill="1" applyBorder="1" applyAlignment="1" applyProtection="1">
      <alignment vertical="center"/>
    </xf>
    <xf numFmtId="0" fontId="36" fillId="0" borderId="0" xfId="2" applyFont="1" applyFill="1" applyBorder="1" applyAlignment="1" applyProtection="1">
      <alignment vertical="center"/>
    </xf>
    <xf numFmtId="0" fontId="10" fillId="0" borderId="0" xfId="2" applyFont="1" applyFill="1" applyBorder="1" applyAlignment="1" applyProtection="1">
      <alignment horizontal="center" vertical="center"/>
    </xf>
    <xf numFmtId="0" fontId="8" fillId="14" borderId="0" xfId="2" applyFont="1" applyFill="1" applyBorder="1" applyAlignment="1" applyProtection="1">
      <alignment horizontal="left" vertical="center"/>
    </xf>
    <xf numFmtId="0" fontId="8" fillId="14" borderId="0" xfId="2" applyFont="1" applyFill="1" applyBorder="1" applyAlignment="1" applyProtection="1">
      <alignment vertical="center"/>
    </xf>
    <xf numFmtId="0" fontId="9" fillId="14" borderId="0" xfId="2" applyFont="1" applyFill="1" applyBorder="1" applyAlignment="1" applyProtection="1">
      <alignment vertical="center"/>
    </xf>
    <xf numFmtId="0" fontId="16" fillId="0" borderId="0" xfId="2" applyFont="1" applyFill="1" applyBorder="1" applyAlignment="1" applyProtection="1">
      <alignment vertical="center"/>
    </xf>
    <xf numFmtId="0" fontId="37" fillId="0" borderId="0" xfId="2" applyFont="1" applyFill="1" applyBorder="1" applyAlignment="1" applyProtection="1">
      <alignment horizontal="right" vertical="center"/>
    </xf>
    <xf numFmtId="0" fontId="38" fillId="0" borderId="0" xfId="2" applyFont="1" applyFill="1" applyBorder="1" applyAlignment="1" applyProtection="1">
      <alignment vertical="center"/>
    </xf>
    <xf numFmtId="0" fontId="3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horizontal="center" vertical="center"/>
    </xf>
    <xf numFmtId="0" fontId="7" fillId="0" borderId="0" xfId="2" applyFont="1" applyFill="1" applyBorder="1" applyAlignment="1" applyProtection="1">
      <alignment horizontal="left" vertical="center"/>
    </xf>
    <xf numFmtId="0" fontId="15" fillId="0" borderId="5" xfId="2" applyFont="1" applyFill="1" applyBorder="1" applyAlignment="1" applyProtection="1">
      <alignment horizontal="center" vertical="center"/>
    </xf>
    <xf numFmtId="0" fontId="7" fillId="14" borderId="0" xfId="2" applyFont="1" applyFill="1" applyBorder="1" applyAlignment="1" applyProtection="1">
      <alignment horizontal="center" vertical="center"/>
    </xf>
    <xf numFmtId="4" fontId="8" fillId="0" borderId="0" xfId="2" applyNumberFormat="1" applyFont="1" applyFill="1" applyBorder="1" applyAlignment="1" applyProtection="1">
      <alignment vertical="center"/>
    </xf>
    <xf numFmtId="0" fontId="37" fillId="16" borderId="0" xfId="2" applyFont="1" applyFill="1" applyBorder="1" applyAlignment="1" applyProtection="1">
      <alignment horizontal="right" vertical="center"/>
    </xf>
    <xf numFmtId="17" fontId="10" fillId="0" borderId="0" xfId="2" quotePrefix="1" applyNumberFormat="1" applyFont="1" applyFill="1" applyBorder="1" applyAlignment="1" applyProtection="1">
      <alignment vertical="center"/>
    </xf>
    <xf numFmtId="0" fontId="35" fillId="0" borderId="0" xfId="2" applyFont="1" applyFill="1" applyBorder="1" applyAlignment="1" applyProtection="1">
      <alignment vertical="center"/>
    </xf>
    <xf numFmtId="0" fontId="66" fillId="0" borderId="0" xfId="4" applyFont="1" applyFill="1" applyBorder="1" applyAlignment="1">
      <alignment horizontal="center" vertical="center"/>
    </xf>
    <xf numFmtId="0" fontId="40" fillId="0" borderId="0" xfId="2" applyFont="1" applyFill="1" applyBorder="1" applyAlignment="1" applyProtection="1">
      <alignment vertical="center"/>
    </xf>
    <xf numFmtId="0" fontId="35" fillId="0" borderId="13" xfId="2" applyFont="1" applyFill="1" applyBorder="1" applyAlignment="1" applyProtection="1">
      <alignment vertical="center"/>
    </xf>
    <xf numFmtId="0" fontId="35" fillId="0" borderId="8" xfId="2" applyFont="1" applyFill="1" applyBorder="1" applyAlignment="1" applyProtection="1">
      <alignment vertical="center"/>
    </xf>
    <xf numFmtId="0" fontId="70" fillId="0" borderId="0" xfId="2" applyFont="1" applyFill="1" applyBorder="1" applyAlignment="1" applyProtection="1">
      <alignment vertical="center"/>
    </xf>
    <xf numFmtId="0" fontId="71" fillId="0" borderId="0" xfId="2" applyFont="1" applyFill="1" applyBorder="1" applyAlignment="1" applyProtection="1">
      <alignment horizontal="center" vertical="center"/>
    </xf>
    <xf numFmtId="0" fontId="69" fillId="0" borderId="0" xfId="1" applyFont="1" applyFill="1" applyBorder="1" applyAlignment="1" applyProtection="1">
      <alignment horizontal="center"/>
    </xf>
    <xf numFmtId="0" fontId="72" fillId="0" borderId="0" xfId="1" applyFont="1" applyFill="1" applyBorder="1" applyAlignment="1" applyProtection="1">
      <alignment horizontal="right"/>
    </xf>
    <xf numFmtId="0" fontId="70" fillId="5" borderId="5" xfId="1" applyFont="1" applyFill="1" applyBorder="1" applyProtection="1"/>
    <xf numFmtId="0" fontId="70" fillId="2" borderId="5" xfId="1" applyFont="1" applyFill="1" applyBorder="1" applyProtection="1">
      <protection locked="0"/>
    </xf>
    <xf numFmtId="0" fontId="73" fillId="0" borderId="0" xfId="2" applyFont="1" applyFill="1" applyBorder="1" applyAlignment="1" applyProtection="1">
      <alignment vertical="center"/>
    </xf>
    <xf numFmtId="0" fontId="70" fillId="0" borderId="0" xfId="2" applyFont="1" applyFill="1" applyBorder="1" applyAlignment="1" applyProtection="1">
      <alignment horizontal="left" vertical="center"/>
    </xf>
    <xf numFmtId="0" fontId="72" fillId="0" borderId="0" xfId="0" applyFont="1" applyAlignment="1" applyProtection="1">
      <alignment horizontal="right"/>
    </xf>
    <xf numFmtId="0" fontId="65" fillId="0" borderId="0" xfId="0" applyFont="1" applyProtection="1"/>
    <xf numFmtId="0" fontId="65" fillId="0" borderId="6" xfId="0" applyFont="1" applyFill="1" applyBorder="1" applyProtection="1"/>
    <xf numFmtId="0" fontId="71" fillId="0" borderId="0" xfId="2" applyFont="1" applyFill="1" applyBorder="1" applyAlignment="1" applyProtection="1">
      <alignment vertical="center"/>
    </xf>
    <xf numFmtId="0" fontId="70" fillId="0" borderId="0" xfId="3" applyFont="1" applyFill="1" applyBorder="1" applyAlignment="1" applyProtection="1">
      <alignment vertical="center"/>
    </xf>
    <xf numFmtId="0" fontId="74" fillId="0" borderId="0" xfId="2" applyFont="1" applyFill="1" applyBorder="1" applyAlignment="1" applyProtection="1">
      <alignment vertical="center"/>
    </xf>
    <xf numFmtId="0" fontId="69" fillId="4" borderId="5" xfId="0" applyFont="1" applyFill="1" applyBorder="1" applyAlignment="1" applyProtection="1">
      <alignment horizontal="center"/>
    </xf>
    <xf numFmtId="0" fontId="75" fillId="0" borderId="0" xfId="3" applyFont="1" applyFill="1" applyBorder="1" applyAlignment="1" applyProtection="1">
      <alignment horizontal="right" vertical="center"/>
    </xf>
    <xf numFmtId="164" fontId="75" fillId="0" borderId="0" xfId="3" applyNumberFormat="1" applyFont="1" applyFill="1" applyBorder="1" applyAlignment="1" applyProtection="1">
      <alignment horizontal="right" vertical="center"/>
    </xf>
    <xf numFmtId="2" fontId="76" fillId="0" borderId="0" xfId="3" applyNumberFormat="1" applyFont="1" applyFill="1" applyBorder="1" applyAlignment="1" applyProtection="1">
      <alignment vertical="center"/>
    </xf>
    <xf numFmtId="0" fontId="77" fillId="0" borderId="0" xfId="2" applyFont="1" applyFill="1" applyBorder="1" applyAlignment="1" applyProtection="1">
      <alignment horizontal="left" vertical="center"/>
    </xf>
    <xf numFmtId="0" fontId="70" fillId="0" borderId="0" xfId="1" applyFont="1" applyFill="1" applyBorder="1" applyAlignment="1">
      <alignment vertical="center"/>
    </xf>
    <xf numFmtId="0" fontId="70" fillId="0" borderId="0" xfId="1" applyFont="1" applyFill="1" applyAlignment="1">
      <alignment horizontal="left" indent="1"/>
    </xf>
    <xf numFmtId="0" fontId="70" fillId="0" borderId="0" xfId="1" applyFont="1" applyFill="1" applyAlignment="1"/>
    <xf numFmtId="0" fontId="78" fillId="9" borderId="0" xfId="1" applyFont="1" applyFill="1" applyBorder="1" applyAlignment="1">
      <alignment horizontal="left" vertical="center"/>
    </xf>
    <xf numFmtId="0" fontId="79" fillId="0" borderId="0" xfId="2" applyFont="1" applyFill="1" applyBorder="1" applyAlignment="1" applyProtection="1">
      <alignment horizontal="center" vertical="center"/>
    </xf>
    <xf numFmtId="0" fontId="70" fillId="0" borderId="0" xfId="2" applyFont="1" applyFill="1" applyAlignment="1" applyProtection="1">
      <alignment vertical="center"/>
    </xf>
    <xf numFmtId="0" fontId="80" fillId="0" borderId="0" xfId="4" applyFont="1" applyFill="1" applyBorder="1" applyAlignment="1">
      <alignment horizontal="center" vertical="center" wrapText="1"/>
    </xf>
    <xf numFmtId="0" fontId="72" fillId="0" borderId="0" xfId="1" applyFont="1" applyFill="1" applyBorder="1" applyAlignment="1" applyProtection="1">
      <alignment horizontal="left"/>
    </xf>
    <xf numFmtId="0" fontId="70" fillId="0" borderId="0" xfId="1" applyFont="1" applyFill="1" applyBorder="1" applyAlignment="1">
      <alignment vertical="center" wrapText="1"/>
    </xf>
    <xf numFmtId="0" fontId="81" fillId="0" borderId="0" xfId="1" applyFont="1" applyFill="1" applyBorder="1" applyAlignment="1">
      <alignment horizontal="center" vertical="center" wrapText="1"/>
    </xf>
    <xf numFmtId="0" fontId="82" fillId="0" borderId="0" xfId="1" applyFont="1" applyFill="1" applyBorder="1" applyAlignment="1">
      <alignment horizontal="center" vertical="center" wrapText="1"/>
    </xf>
    <xf numFmtId="0" fontId="83" fillId="0" borderId="0" xfId="2" applyFont="1" applyFill="1" applyBorder="1" applyAlignment="1" applyProtection="1">
      <alignment vertical="center"/>
    </xf>
    <xf numFmtId="0" fontId="83" fillId="0" borderId="0" xfId="2" applyFont="1" applyFill="1" applyBorder="1" applyAlignment="1" applyProtection="1">
      <alignment horizontal="left" vertical="center"/>
    </xf>
    <xf numFmtId="0" fontId="84" fillId="0" borderId="0" xfId="3" applyFont="1" applyFill="1" applyBorder="1" applyAlignment="1" applyProtection="1">
      <alignment horizontal="left" vertical="center"/>
    </xf>
    <xf numFmtId="164" fontId="83" fillId="0" borderId="0" xfId="2" applyNumberFormat="1" applyFont="1" applyFill="1" applyBorder="1" applyAlignment="1" applyProtection="1">
      <alignment horizontal="right" vertical="center" indent="1"/>
    </xf>
    <xf numFmtId="0" fontId="71" fillId="0" borderId="0" xfId="3" applyFont="1" applyFill="1" applyBorder="1" applyAlignment="1" applyProtection="1">
      <alignment horizontal="left" vertical="center"/>
    </xf>
    <xf numFmtId="0" fontId="86" fillId="0" borderId="7" xfId="4" applyFont="1" applyFill="1" applyBorder="1" applyAlignment="1">
      <alignment horizontal="center"/>
    </xf>
    <xf numFmtId="164" fontId="87" fillId="0" borderId="0" xfId="2" applyNumberFormat="1" applyFont="1" applyFill="1" applyBorder="1" applyAlignment="1" applyProtection="1">
      <alignment horizontal="right" vertical="center" indent="1"/>
    </xf>
    <xf numFmtId="0" fontId="86" fillId="0" borderId="0" xfId="4" applyFont="1" applyFill="1" applyBorder="1" applyAlignment="1">
      <alignment horizontal="center"/>
    </xf>
    <xf numFmtId="164" fontId="87" fillId="0" borderId="0" xfId="3" applyNumberFormat="1" applyFont="1" applyFill="1" applyBorder="1" applyAlignment="1">
      <alignment horizontal="right" vertical="center" wrapText="1" indent="1"/>
    </xf>
    <xf numFmtId="165" fontId="87" fillId="0" borderId="0" xfId="3" applyNumberFormat="1" applyFont="1" applyFill="1" applyBorder="1" applyAlignment="1">
      <alignment horizontal="right" vertical="center" wrapText="1" indent="1"/>
    </xf>
    <xf numFmtId="0" fontId="88" fillId="0" borderId="0" xfId="2" applyFont="1" applyFill="1" applyBorder="1" applyAlignment="1" applyProtection="1">
      <alignment vertical="center"/>
    </xf>
    <xf numFmtId="0" fontId="88" fillId="0" borderId="0" xfId="2" applyFont="1" applyFill="1" applyBorder="1" applyAlignment="1" applyProtection="1">
      <alignment horizontal="left" vertical="center"/>
    </xf>
    <xf numFmtId="0" fontId="89" fillId="0" borderId="0" xfId="2" applyFont="1" applyFill="1" applyBorder="1" applyAlignment="1" applyProtection="1">
      <alignment horizontal="center" vertical="center"/>
    </xf>
    <xf numFmtId="0" fontId="89" fillId="0" borderId="0" xfId="3" applyFont="1" applyFill="1" applyBorder="1" applyAlignment="1" applyProtection="1">
      <alignment horizontal="left" vertical="center"/>
    </xf>
    <xf numFmtId="0" fontId="90" fillId="0" borderId="0" xfId="4" applyFont="1" applyFill="1" applyBorder="1" applyAlignment="1">
      <alignment horizontal="center"/>
    </xf>
    <xf numFmtId="164" fontId="88" fillId="0" borderId="0" xfId="3" applyNumberFormat="1" applyFont="1" applyFill="1" applyBorder="1" applyAlignment="1">
      <alignment horizontal="right" vertical="center" wrapText="1" indent="1"/>
    </xf>
    <xf numFmtId="164" fontId="88" fillId="0" borderId="0" xfId="2" applyNumberFormat="1" applyFont="1" applyFill="1" applyBorder="1" applyAlignment="1" applyProtection="1">
      <alignment horizontal="right" vertical="center" indent="1"/>
    </xf>
    <xf numFmtId="165" fontId="88" fillId="0" borderId="0" xfId="3" applyNumberFormat="1" applyFont="1" applyFill="1" applyBorder="1" applyAlignment="1">
      <alignment horizontal="right" vertical="center" wrapText="1" indent="1"/>
    </xf>
    <xf numFmtId="0" fontId="91" fillId="0" borderId="0" xfId="3" applyFont="1" applyFill="1" applyBorder="1" applyAlignment="1" applyProtection="1">
      <alignment horizontal="center" vertical="center" textRotation="90"/>
    </xf>
    <xf numFmtId="0" fontId="86" fillId="0" borderId="14" xfId="4" applyFont="1" applyFill="1" applyBorder="1" applyAlignment="1">
      <alignment horizontal="center"/>
    </xf>
    <xf numFmtId="0" fontId="92" fillId="0" borderId="0" xfId="2" applyFont="1" applyFill="1" applyBorder="1" applyAlignment="1" applyProtection="1">
      <alignment vertical="center"/>
    </xf>
    <xf numFmtId="0" fontId="93" fillId="0" borderId="0" xfId="3" applyFont="1" applyFill="1" applyBorder="1" applyAlignment="1" applyProtection="1">
      <alignment horizontal="center" vertical="center" textRotation="90"/>
    </xf>
    <xf numFmtId="0" fontId="95" fillId="0" borderId="0" xfId="4" applyFont="1" applyFill="1" applyBorder="1" applyAlignment="1">
      <alignment horizontal="center"/>
    </xf>
    <xf numFmtId="0" fontId="70" fillId="0" borderId="0" xfId="3" applyFont="1" applyFill="1" applyBorder="1" applyAlignment="1">
      <alignment horizontal="left" vertical="center"/>
    </xf>
    <xf numFmtId="164" fontId="70" fillId="0" borderId="0" xfId="3" applyNumberFormat="1" applyFont="1" applyFill="1" applyBorder="1" applyAlignment="1">
      <alignment horizontal="left" vertical="center"/>
    </xf>
    <xf numFmtId="165" fontId="70" fillId="0" borderId="0" xfId="3" applyNumberFormat="1" applyFont="1" applyFill="1" applyBorder="1" applyAlignment="1">
      <alignment horizontal="left" vertical="center"/>
    </xf>
    <xf numFmtId="0" fontId="96" fillId="0" borderId="0" xfId="3" applyFont="1" applyFill="1" applyBorder="1" applyAlignment="1" applyProtection="1">
      <alignment horizontal="center" vertical="center" textRotation="90"/>
    </xf>
    <xf numFmtId="0" fontId="86" fillId="0" borderId="15" xfId="4" applyFont="1" applyFill="1" applyBorder="1" applyAlignment="1">
      <alignment horizontal="center"/>
    </xf>
    <xf numFmtId="165" fontId="87" fillId="0" borderId="0" xfId="3" applyNumberFormat="1" applyFont="1" applyFill="1" applyBorder="1" applyAlignment="1" applyProtection="1">
      <alignment horizontal="right" vertical="center" indent="1"/>
    </xf>
    <xf numFmtId="0" fontId="70" fillId="0" borderId="0" xfId="3" applyFont="1" applyFill="1" applyBorder="1" applyAlignment="1">
      <alignment horizontal="left" vertical="center" wrapText="1" indent="1"/>
    </xf>
    <xf numFmtId="164" fontId="74" fillId="0" borderId="0" xfId="2" applyNumberFormat="1" applyFont="1" applyFill="1" applyBorder="1" applyAlignment="1" applyProtection="1">
      <alignment vertical="center"/>
    </xf>
    <xf numFmtId="165" fontId="74" fillId="0" borderId="0" xfId="2" applyNumberFormat="1" applyFont="1" applyFill="1" applyBorder="1" applyAlignment="1" applyProtection="1">
      <alignment vertical="center"/>
    </xf>
    <xf numFmtId="0" fontId="84" fillId="0" borderId="0" xfId="2" applyFont="1" applyFill="1" applyBorder="1" applyAlignment="1" applyProtection="1">
      <alignment vertical="center"/>
    </xf>
    <xf numFmtId="0" fontId="98" fillId="0" borderId="0" xfId="3" applyFont="1" applyFill="1" applyBorder="1" applyAlignment="1" applyProtection="1">
      <alignment horizontal="left" vertical="center"/>
    </xf>
    <xf numFmtId="165" fontId="98" fillId="0" borderId="0" xfId="3" applyNumberFormat="1" applyFont="1" applyFill="1" applyBorder="1" applyAlignment="1" applyProtection="1">
      <alignment horizontal="right" vertical="center"/>
    </xf>
    <xf numFmtId="166" fontId="70" fillId="0" borderId="0" xfId="3" applyNumberFormat="1" applyFont="1" applyFill="1" applyBorder="1" applyAlignment="1">
      <alignment horizontal="left" vertical="center" wrapText="1" indent="1"/>
    </xf>
    <xf numFmtId="165" fontId="70" fillId="0" borderId="0" xfId="3" applyNumberFormat="1" applyFont="1" applyFill="1" applyBorder="1" applyAlignment="1">
      <alignment horizontal="left" vertical="center" wrapText="1" indent="1"/>
    </xf>
    <xf numFmtId="164" fontId="70" fillId="0" borderId="0" xfId="3" applyNumberFormat="1" applyFont="1" applyFill="1" applyBorder="1" applyAlignment="1">
      <alignment horizontal="left" vertical="center" wrapText="1" indent="1"/>
    </xf>
    <xf numFmtId="0" fontId="79" fillId="0" borderId="0" xfId="3" applyFont="1" applyFill="1" applyBorder="1" applyAlignment="1" applyProtection="1">
      <alignment horizontal="center" vertical="center"/>
    </xf>
    <xf numFmtId="0" fontId="88" fillId="0" borderId="0" xfId="3" applyFont="1" applyFill="1" applyBorder="1" applyAlignment="1" applyProtection="1">
      <alignment horizontal="left" vertical="center"/>
    </xf>
    <xf numFmtId="9" fontId="88" fillId="0" borderId="0" xfId="3" applyNumberFormat="1" applyFont="1" applyFill="1" applyBorder="1" applyAlignment="1" applyProtection="1">
      <alignment horizontal="right" vertical="center" indent="1"/>
    </xf>
    <xf numFmtId="0" fontId="70" fillId="0" borderId="0" xfId="1" applyFont="1"/>
    <xf numFmtId="0" fontId="74" fillId="7" borderId="0" xfId="1" applyFont="1" applyFill="1"/>
    <xf numFmtId="0" fontId="70" fillId="0" borderId="0" xfId="3" applyFont="1" applyAlignment="1" applyProtection="1">
      <alignment horizontal="right" indent="1"/>
    </xf>
    <xf numFmtId="0" fontId="70" fillId="0" borderId="0" xfId="2" applyFont="1" applyFill="1" applyBorder="1" applyAlignment="1" applyProtection="1">
      <alignment horizontal="right" vertical="center" indent="1"/>
    </xf>
    <xf numFmtId="0" fontId="74" fillId="0" borderId="0" xfId="2" applyFont="1" applyFill="1" applyBorder="1" applyAlignment="1" applyProtection="1">
      <alignment horizontal="right" vertical="center" indent="1"/>
    </xf>
    <xf numFmtId="0" fontId="73" fillId="0" borderId="0" xfId="2" applyFont="1" applyFill="1" applyBorder="1" applyAlignment="1" applyProtection="1">
      <alignment horizontal="right" vertical="center" indent="1"/>
    </xf>
    <xf numFmtId="0" fontId="70" fillId="7" borderId="0" xfId="1" applyFont="1" applyFill="1"/>
    <xf numFmtId="9" fontId="88" fillId="0" borderId="0" xfId="3" applyNumberFormat="1" applyFont="1" applyFill="1" applyBorder="1" applyAlignment="1" applyProtection="1">
      <alignment vertical="center"/>
    </xf>
    <xf numFmtId="0" fontId="70" fillId="14" borderId="0" xfId="2" applyFont="1" applyFill="1" applyBorder="1" applyAlignment="1" applyProtection="1">
      <alignment horizontal="left" vertical="center"/>
    </xf>
    <xf numFmtId="0" fontId="70" fillId="14" borderId="0" xfId="2" applyFont="1" applyFill="1" applyBorder="1" applyAlignment="1" applyProtection="1">
      <alignment vertical="center"/>
    </xf>
    <xf numFmtId="0" fontId="73" fillId="14" borderId="0" xfId="2" applyFont="1" applyFill="1" applyBorder="1" applyAlignment="1" applyProtection="1">
      <alignment vertical="center"/>
    </xf>
    <xf numFmtId="0" fontId="73" fillId="7" borderId="0" xfId="2" applyFont="1" applyFill="1" applyBorder="1" applyAlignment="1" applyProtection="1">
      <alignment vertical="center"/>
    </xf>
    <xf numFmtId="0" fontId="99" fillId="0" borderId="0" xfId="1" applyFont="1" applyFill="1" applyBorder="1" applyAlignment="1">
      <alignment horizontal="center" vertical="center" wrapText="1"/>
    </xf>
    <xf numFmtId="0" fontId="74" fillId="14" borderId="0" xfId="2" applyFont="1" applyFill="1" applyBorder="1" applyAlignment="1" applyProtection="1">
      <alignment vertical="center"/>
    </xf>
    <xf numFmtId="0" fontId="20" fillId="0" borderId="0" xfId="3" applyFont="1" applyFill="1" applyBorder="1" applyAlignment="1">
      <alignment horizontal="left" vertical="center"/>
    </xf>
    <xf numFmtId="0" fontId="19" fillId="0" borderId="0" xfId="2" applyFont="1" applyFill="1" applyBorder="1" applyAlignment="1" applyProtection="1">
      <alignment vertical="center"/>
    </xf>
    <xf numFmtId="0" fontId="20" fillId="0" borderId="0" xfId="3" applyFont="1" applyFill="1" applyBorder="1" applyAlignment="1">
      <alignment horizontal="left" vertical="center" wrapText="1" indent="1"/>
    </xf>
    <xf numFmtId="0" fontId="100" fillId="0" borderId="0" xfId="1" applyFont="1" applyFill="1" applyBorder="1" applyProtection="1"/>
    <xf numFmtId="0" fontId="19" fillId="7" borderId="0" xfId="2" applyFont="1" applyFill="1" applyBorder="1" applyAlignment="1" applyProtection="1">
      <alignment vertical="center"/>
    </xf>
    <xf numFmtId="0" fontId="20" fillId="0" borderId="0" xfId="1" applyFont="1" applyFill="1" applyBorder="1" applyAlignment="1">
      <alignment vertical="center"/>
    </xf>
    <xf numFmtId="0" fontId="100" fillId="0" borderId="0" xfId="1" applyFont="1" applyFill="1" applyAlignment="1"/>
    <xf numFmtId="165" fontId="19" fillId="7" borderId="0" xfId="2" applyNumberFormat="1" applyFont="1" applyFill="1" applyBorder="1" applyAlignment="1" applyProtection="1">
      <alignment vertical="center"/>
    </xf>
    <xf numFmtId="0" fontId="20" fillId="0" borderId="0" xfId="1" applyFont="1"/>
    <xf numFmtId="0" fontId="19" fillId="14" borderId="0" xfId="2" applyFont="1" applyFill="1" applyBorder="1" applyAlignment="1" applyProtection="1">
      <alignment vertical="center"/>
    </xf>
    <xf numFmtId="0" fontId="11" fillId="0" borderId="0" xfId="2" applyFont="1" applyFill="1" applyBorder="1" applyAlignment="1" applyProtection="1">
      <alignment horizontal="center" vertical="center"/>
    </xf>
    <xf numFmtId="0" fontId="20" fillId="0" borderId="12" xfId="3" applyFont="1" applyFill="1" applyBorder="1" applyAlignment="1">
      <alignment horizontal="left" vertical="center"/>
    </xf>
    <xf numFmtId="0" fontId="20" fillId="0" borderId="12" xfId="3" applyFont="1" applyFill="1" applyBorder="1" applyAlignment="1">
      <alignment horizontal="left" vertical="center" wrapText="1" indent="1"/>
    </xf>
    <xf numFmtId="0" fontId="97" fillId="0" borderId="0" xfId="4" applyFont="1" applyFill="1" applyBorder="1" applyAlignment="1">
      <alignment horizontal="center"/>
    </xf>
    <xf numFmtId="0" fontId="68" fillId="42" borderId="0" xfId="233" applyNumberFormat="1" applyFont="1" applyFill="1" applyBorder="1" applyAlignment="1" applyProtection="1">
      <alignment horizontal="left" vertical="center"/>
    </xf>
    <xf numFmtId="0" fontId="101" fillId="0" borderId="0" xfId="4" applyFont="1" applyFill="1" applyBorder="1" applyAlignment="1">
      <alignment horizontal="center"/>
    </xf>
    <xf numFmtId="164" fontId="83" fillId="11" borderId="10" xfId="1" applyNumberFormat="1" applyFont="1" applyFill="1" applyBorder="1" applyAlignment="1">
      <alignment horizontal="right" vertical="center" wrapText="1" indent="1"/>
    </xf>
    <xf numFmtId="165" fontId="83" fillId="11" borderId="10" xfId="1" applyNumberFormat="1" applyFont="1" applyFill="1" applyBorder="1" applyAlignment="1">
      <alignment horizontal="right" vertical="center" wrapText="1" indent="1"/>
    </xf>
    <xf numFmtId="0" fontId="102" fillId="12" borderId="11" xfId="4" applyFont="1" applyFill="1" applyBorder="1" applyAlignment="1">
      <alignment horizontal="center" vertical="center"/>
    </xf>
    <xf numFmtId="164" fontId="87" fillId="10" borderId="0" xfId="3" applyNumberFormat="1" applyFont="1" applyFill="1" applyBorder="1" applyAlignment="1">
      <alignment horizontal="right" vertical="center" wrapText="1" indent="1"/>
    </xf>
    <xf numFmtId="165" fontId="87" fillId="10" borderId="0" xfId="3" applyNumberFormat="1" applyFont="1" applyFill="1" applyBorder="1" applyAlignment="1">
      <alignment horizontal="right" vertical="center" wrapText="1" indent="1"/>
    </xf>
    <xf numFmtId="0" fontId="102" fillId="12" borderId="0" xfId="4" applyFont="1" applyFill="1" applyBorder="1" applyAlignment="1">
      <alignment horizontal="center" vertical="center"/>
    </xf>
    <xf numFmtId="165" fontId="87" fillId="10" borderId="0" xfId="3" applyNumberFormat="1" applyFont="1" applyFill="1" applyBorder="1" applyAlignment="1" applyProtection="1">
      <alignment horizontal="right" vertical="center" indent="1"/>
    </xf>
    <xf numFmtId="0" fontId="102" fillId="13" borderId="12" xfId="4" applyFont="1" applyFill="1" applyBorder="1" applyAlignment="1">
      <alignment horizontal="center" vertical="center"/>
    </xf>
    <xf numFmtId="0" fontId="102" fillId="0" borderId="0" xfId="4" applyFont="1" applyFill="1" applyBorder="1" applyAlignment="1">
      <alignment horizontal="center" vertical="center"/>
    </xf>
    <xf numFmtId="0" fontId="102" fillId="0" borderId="12" xfId="4" applyFont="1" applyFill="1" applyBorder="1" applyAlignment="1">
      <alignment horizontal="center" vertical="center"/>
    </xf>
    <xf numFmtId="0" fontId="102" fillId="13" borderId="0" xfId="4" applyFont="1" applyFill="1" applyBorder="1" applyAlignment="1">
      <alignment horizontal="center" vertical="center"/>
    </xf>
    <xf numFmtId="164" fontId="94" fillId="10" borderId="0" xfId="3" applyNumberFormat="1" applyFont="1" applyFill="1" applyBorder="1" applyAlignment="1">
      <alignment horizontal="right" vertical="center" wrapText="1" indent="1"/>
    </xf>
    <xf numFmtId="164" fontId="94" fillId="0" borderId="0" xfId="2" applyNumberFormat="1" applyFont="1" applyFill="1" applyBorder="1" applyAlignment="1" applyProtection="1">
      <alignment horizontal="right" vertical="center" indent="1"/>
    </xf>
    <xf numFmtId="165" fontId="94" fillId="10" borderId="0" xfId="3" applyNumberFormat="1" applyFont="1" applyFill="1" applyBorder="1" applyAlignment="1">
      <alignment horizontal="right" vertical="center" wrapText="1" indent="1"/>
    </xf>
    <xf numFmtId="164" fontId="103" fillId="10" borderId="0" xfId="3" applyNumberFormat="1" applyFont="1" applyFill="1" applyBorder="1" applyAlignment="1">
      <alignment horizontal="right" vertical="center" wrapText="1" indent="1"/>
    </xf>
    <xf numFmtId="0" fontId="104" fillId="0" borderId="0" xfId="4" applyFont="1" applyFill="1" applyBorder="1" applyAlignment="1">
      <alignment horizontal="center"/>
    </xf>
    <xf numFmtId="164" fontId="94" fillId="0" borderId="0" xfId="3" applyNumberFormat="1" applyFont="1" applyFill="1" applyBorder="1" applyAlignment="1">
      <alignment horizontal="right" vertical="center" wrapText="1" indent="1"/>
    </xf>
    <xf numFmtId="165" fontId="94" fillId="0" borderId="0" xfId="3" applyNumberFormat="1" applyFont="1" applyFill="1" applyBorder="1" applyAlignment="1">
      <alignment horizontal="right" vertical="center" wrapText="1" indent="1"/>
    </xf>
    <xf numFmtId="164" fontId="103" fillId="0" borderId="0" xfId="3" applyNumberFormat="1" applyFont="1" applyFill="1" applyBorder="1" applyAlignment="1">
      <alignment horizontal="right" vertical="center" wrapText="1" indent="1"/>
    </xf>
    <xf numFmtId="164" fontId="83" fillId="11" borderId="33" xfId="3" applyNumberFormat="1" applyFont="1" applyFill="1" applyBorder="1" applyAlignment="1" applyProtection="1">
      <alignment horizontal="right" vertical="center" indent="1"/>
    </xf>
    <xf numFmtId="165" fontId="83" fillId="11" borderId="33" xfId="3" applyNumberFormat="1" applyFont="1" applyFill="1" applyBorder="1" applyAlignment="1" applyProtection="1">
      <alignment horizontal="right" vertical="center" indent="1"/>
    </xf>
    <xf numFmtId="0" fontId="105" fillId="0" borderId="0" xfId="4" applyFont="1" applyFill="1" applyBorder="1" applyAlignment="1">
      <alignment horizontal="center"/>
    </xf>
    <xf numFmtId="165" fontId="98" fillId="0" borderId="0" xfId="3" applyNumberFormat="1" applyFont="1" applyFill="1" applyBorder="1" applyAlignment="1" applyProtection="1">
      <alignment horizontal="right" vertical="center" indent="1"/>
    </xf>
    <xf numFmtId="0" fontId="94" fillId="0" borderId="0" xfId="2" applyFont="1" applyFill="1" applyBorder="1" applyAlignment="1" applyProtection="1">
      <alignment horizontal="right" vertical="center" indent="1"/>
    </xf>
    <xf numFmtId="166" fontId="98" fillId="0" borderId="0" xfId="3" applyNumberFormat="1" applyFont="1" applyFill="1" applyBorder="1" applyAlignment="1" applyProtection="1">
      <alignment horizontal="right" vertical="center" indent="1"/>
    </xf>
    <xf numFmtId="0" fontId="106" fillId="0" borderId="0" xfId="4" applyFont="1" applyFill="1" applyBorder="1" applyAlignment="1">
      <alignment horizontal="center"/>
    </xf>
    <xf numFmtId="0" fontId="107" fillId="0" borderId="12" xfId="4" applyFont="1" applyFill="1" applyBorder="1" applyAlignment="1">
      <alignment horizontal="center"/>
    </xf>
    <xf numFmtId="164" fontId="83" fillId="11" borderId="0" xfId="1" applyNumberFormat="1" applyFont="1" applyFill="1" applyBorder="1" applyAlignment="1">
      <alignment horizontal="right" vertical="center" wrapText="1" indent="1"/>
    </xf>
    <xf numFmtId="165" fontId="83" fillId="11" borderId="0" xfId="1" applyNumberFormat="1" applyFont="1" applyFill="1" applyBorder="1" applyAlignment="1">
      <alignment horizontal="right" vertical="center" wrapText="1" indent="1"/>
    </xf>
    <xf numFmtId="164" fontId="83" fillId="11" borderId="0" xfId="3" applyNumberFormat="1" applyFont="1" applyFill="1" applyBorder="1" applyAlignment="1" applyProtection="1">
      <alignment horizontal="right" vertical="center" indent="1"/>
    </xf>
    <xf numFmtId="165" fontId="83" fillId="11" borderId="0" xfId="3" applyNumberFormat="1" applyFont="1" applyFill="1" applyBorder="1" applyAlignment="1" applyProtection="1">
      <alignment horizontal="right" vertical="center" indent="1"/>
    </xf>
    <xf numFmtId="0" fontId="102" fillId="11" borderId="0" xfId="4" applyFont="1" applyFill="1" applyBorder="1" applyAlignment="1">
      <alignment horizontal="center" vertical="center"/>
    </xf>
    <xf numFmtId="0" fontId="108" fillId="0" borderId="0" xfId="4" applyFont="1" applyFill="1" applyBorder="1" applyAlignment="1">
      <alignment horizontal="center"/>
    </xf>
    <xf numFmtId="166" fontId="87" fillId="0" borderId="0" xfId="3" applyNumberFormat="1" applyFont="1" applyFill="1" applyBorder="1" applyAlignment="1" applyProtection="1">
      <alignment horizontal="right" vertical="center" indent="1"/>
    </xf>
    <xf numFmtId="0" fontId="109" fillId="0" borderId="0" xfId="4" applyFont="1" applyFill="1" applyBorder="1" applyAlignment="1">
      <alignment horizontal="center"/>
    </xf>
    <xf numFmtId="3" fontId="70" fillId="0" borderId="0" xfId="3" applyNumberFormat="1" applyFont="1" applyFill="1" applyBorder="1" applyAlignment="1" applyProtection="1">
      <alignment horizontal="right" vertical="center" indent="1"/>
    </xf>
    <xf numFmtId="9" fontId="70" fillId="0" borderId="0" xfId="3" applyNumberFormat="1" applyFont="1" applyFill="1" applyBorder="1" applyAlignment="1" applyProtection="1">
      <alignment horizontal="right" vertical="center" indent="1"/>
    </xf>
    <xf numFmtId="0" fontId="110" fillId="0" borderId="0" xfId="4" applyFont="1" applyFill="1" applyBorder="1" applyAlignment="1">
      <alignment horizontal="center"/>
    </xf>
    <xf numFmtId="0" fontId="107" fillId="0" borderId="0" xfId="4" applyFont="1" applyFill="1" applyBorder="1" applyAlignment="1">
      <alignment horizontal="center"/>
    </xf>
    <xf numFmtId="3" fontId="70" fillId="0" borderId="0" xfId="3" applyNumberFormat="1" applyFont="1" applyFill="1" applyBorder="1" applyAlignment="1" applyProtection="1">
      <alignment vertical="center"/>
    </xf>
    <xf numFmtId="9" fontId="70" fillId="0" borderId="0" xfId="3" applyNumberFormat="1" applyFont="1" applyFill="1" applyBorder="1" applyAlignment="1" applyProtection="1">
      <alignment vertical="center"/>
    </xf>
    <xf numFmtId="9" fontId="20" fillId="0" borderId="0" xfId="3" applyNumberFormat="1" applyFont="1" applyFill="1" applyBorder="1" applyAlignment="1" applyProtection="1">
      <alignment vertical="center"/>
    </xf>
    <xf numFmtId="0" fontId="82" fillId="0" borderId="0" xfId="3" applyFont="1" applyAlignment="1" applyProtection="1"/>
    <xf numFmtId="0" fontId="70" fillId="0" borderId="0" xfId="3" applyFont="1" applyProtection="1"/>
    <xf numFmtId="0" fontId="70" fillId="14" borderId="0" xfId="2" applyFont="1" applyFill="1" applyBorder="1" applyAlignment="1" applyProtection="1">
      <alignment horizontal="center" vertical="center"/>
    </xf>
    <xf numFmtId="0" fontId="70" fillId="0" borderId="0" xfId="2" applyFont="1" applyFill="1" applyBorder="1" applyAlignment="1" applyProtection="1">
      <alignment horizontal="center" vertical="center"/>
    </xf>
    <xf numFmtId="0" fontId="20" fillId="0" borderId="0" xfId="2" applyFont="1" applyFill="1" applyBorder="1" applyAlignment="1" applyProtection="1">
      <alignment horizontal="center" vertical="center"/>
    </xf>
    <xf numFmtId="0" fontId="111" fillId="0" borderId="0" xfId="2" applyFont="1" applyFill="1" applyBorder="1" applyAlignment="1" applyProtection="1">
      <alignment vertical="center"/>
    </xf>
    <xf numFmtId="0" fontId="69" fillId="0" borderId="0" xfId="1" applyFont="1" applyFill="1" applyBorder="1" applyAlignment="1">
      <alignment vertical="center" wrapText="1"/>
    </xf>
    <xf numFmtId="0" fontId="13" fillId="0" borderId="0" xfId="1" applyFont="1" applyFill="1" applyBorder="1" applyAlignment="1"/>
    <xf numFmtId="0" fontId="8" fillId="0" borderId="0" xfId="1" applyFont="1" applyFill="1"/>
    <xf numFmtId="0" fontId="70" fillId="0" borderId="0" xfId="2" applyFont="1" applyFill="1" applyAlignment="1" applyProtection="1">
      <alignment vertical="center" wrapText="1"/>
    </xf>
    <xf numFmtId="0" fontId="71" fillId="0" borderId="0" xfId="2" applyFont="1" applyFill="1" applyBorder="1" applyAlignment="1" applyProtection="1">
      <alignment horizontal="center" vertical="center" wrapText="1"/>
    </xf>
    <xf numFmtId="0" fontId="72" fillId="0" borderId="0" xfId="1" applyFont="1" applyFill="1" applyBorder="1" applyAlignment="1" applyProtection="1">
      <alignment horizontal="left" wrapText="1"/>
    </xf>
    <xf numFmtId="0" fontId="79" fillId="0" borderId="0" xfId="2" applyFont="1" applyFill="1" applyBorder="1" applyAlignment="1" applyProtection="1">
      <alignment horizontal="center" vertical="center" wrapText="1"/>
    </xf>
    <xf numFmtId="0" fontId="68" fillId="42" borderId="0" xfId="233" applyNumberFormat="1" applyFont="1" applyFill="1" applyBorder="1" applyAlignment="1" applyProtection="1">
      <alignment horizontal="center" vertical="center" wrapText="1"/>
    </xf>
    <xf numFmtId="0" fontId="68" fillId="43" borderId="0" xfId="233" applyNumberFormat="1" applyFont="1" applyFill="1" applyBorder="1" applyAlignment="1" applyProtection="1">
      <alignment horizontal="center" vertical="center" wrapText="1"/>
    </xf>
    <xf numFmtId="0" fontId="10" fillId="0" borderId="0" xfId="2" applyFont="1" applyFill="1" applyBorder="1" applyAlignment="1" applyProtection="1">
      <alignment vertical="center" wrapText="1"/>
    </xf>
    <xf numFmtId="0" fontId="8" fillId="0" borderId="9" xfId="2" applyFont="1" applyFill="1" applyBorder="1" applyAlignment="1" applyProtection="1">
      <alignment vertical="center" wrapText="1"/>
    </xf>
    <xf numFmtId="0" fontId="8" fillId="0" borderId="0" xfId="2" applyFont="1" applyFill="1" applyAlignment="1" applyProtection="1">
      <alignment vertical="center" wrapText="1"/>
    </xf>
    <xf numFmtId="0" fontId="113" fillId="0" borderId="0" xfId="2" applyFont="1" applyFill="1" applyBorder="1" applyAlignment="1" applyProtection="1">
      <alignment vertical="center" wrapText="1"/>
    </xf>
    <xf numFmtId="0" fontId="68" fillId="0" borderId="0" xfId="233" applyNumberFormat="1" applyFont="1" applyFill="1" applyBorder="1" applyAlignment="1" applyProtection="1">
      <alignment horizontal="right" vertical="center" wrapText="1"/>
    </xf>
    <xf numFmtId="0" fontId="112" fillId="0" borderId="0" xfId="2" applyFont="1" applyFill="1" applyBorder="1" applyAlignment="1" applyProtection="1">
      <alignment vertical="center"/>
    </xf>
    <xf numFmtId="0" fontId="69" fillId="0" borderId="0" xfId="2" applyFont="1" applyFill="1" applyBorder="1" applyAlignment="1" applyProtection="1">
      <alignment horizontal="center" vertical="center"/>
    </xf>
    <xf numFmtId="0" fontId="112" fillId="43" borderId="0" xfId="1" applyFont="1" applyFill="1" applyBorder="1" applyAlignment="1">
      <alignment horizontal="left" vertical="center"/>
    </xf>
    <xf numFmtId="0" fontId="112" fillId="0" borderId="0" xfId="1" applyFont="1" applyFill="1" applyAlignment="1">
      <alignment horizontal="left" indent="1"/>
    </xf>
    <xf numFmtId="0" fontId="112" fillId="0" borderId="0" xfId="1" applyFont="1" applyFill="1" applyAlignment="1"/>
    <xf numFmtId="0" fontId="114" fillId="7" borderId="0" xfId="2" applyFont="1" applyFill="1" applyBorder="1" applyAlignment="1" applyProtection="1">
      <alignment vertical="center"/>
    </xf>
    <xf numFmtId="0" fontId="111" fillId="7" borderId="0" xfId="2" applyFont="1" applyFill="1" applyBorder="1" applyAlignment="1" applyProtection="1">
      <alignment vertical="center"/>
    </xf>
    <xf numFmtId="0" fontId="114" fillId="0" borderId="0" xfId="2" applyFont="1" applyFill="1" applyBorder="1" applyAlignment="1" applyProtection="1">
      <alignment vertical="center"/>
    </xf>
    <xf numFmtId="0" fontId="115" fillId="0" borderId="0" xfId="2" applyNumberFormat="1" applyFont="1" applyFill="1" applyBorder="1" applyAlignment="1" applyProtection="1">
      <alignment vertical="center"/>
    </xf>
    <xf numFmtId="0" fontId="116" fillId="0" borderId="0" xfId="2" applyFont="1" applyFill="1" applyBorder="1" applyAlignment="1" applyProtection="1">
      <alignment horizontal="center" vertical="center"/>
    </xf>
    <xf numFmtId="0" fontId="117" fillId="0" borderId="0" xfId="2" applyNumberFormat="1" applyFont="1" applyFill="1" applyBorder="1" applyAlignment="1" applyProtection="1">
      <alignment vertical="center"/>
    </xf>
    <xf numFmtId="164" fontId="118" fillId="0" borderId="0" xfId="2" applyNumberFormat="1" applyFont="1" applyFill="1" applyBorder="1" applyAlignment="1" applyProtection="1">
      <alignment horizontal="left" vertical="center"/>
    </xf>
    <xf numFmtId="0" fontId="119" fillId="0" borderId="0" xfId="1" applyFont="1" applyFill="1" applyBorder="1" applyAlignment="1">
      <alignment horizontal="center" vertical="center" wrapText="1"/>
    </xf>
    <xf numFmtId="0" fontId="18" fillId="6" borderId="5" xfId="2" applyFont="1" applyFill="1" applyBorder="1" applyAlignment="1" applyProtection="1">
      <alignment horizontal="center" vertical="center"/>
    </xf>
    <xf numFmtId="0" fontId="120" fillId="0" borderId="0" xfId="2" applyFont="1" applyBorder="1" applyAlignment="1" applyProtection="1">
      <alignment vertical="center"/>
    </xf>
    <xf numFmtId="0" fontId="112" fillId="0" borderId="0" xfId="2" applyFont="1" applyFill="1" applyAlignment="1" applyProtection="1">
      <alignment vertical="center"/>
    </xf>
    <xf numFmtId="0" fontId="116" fillId="0" borderId="0" xfId="2" applyFont="1" applyBorder="1" applyAlignment="1" applyProtection="1">
      <alignment horizontal="center" vertical="center"/>
    </xf>
    <xf numFmtId="0" fontId="113" fillId="0" borderId="7" xfId="4" applyFont="1" applyFill="1" applyBorder="1" applyAlignment="1">
      <alignment horizontal="center" vertical="center" wrapText="1"/>
    </xf>
    <xf numFmtId="0" fontId="34" fillId="0" borderId="0" xfId="2" applyFont="1" applyFill="1" applyAlignment="1" applyProtection="1">
      <alignment vertical="center"/>
    </xf>
    <xf numFmtId="0" fontId="34" fillId="0" borderId="8" xfId="2" applyFont="1" applyFill="1" applyBorder="1" applyAlignment="1" applyProtection="1">
      <alignment vertical="center"/>
    </xf>
    <xf numFmtId="0" fontId="112" fillId="0" borderId="0" xfId="2" applyFont="1" applyFill="1" applyAlignment="1" applyProtection="1">
      <alignment vertical="center" wrapText="1"/>
    </xf>
    <xf numFmtId="0" fontId="69" fillId="0" borderId="0" xfId="2" applyFont="1" applyFill="1" applyBorder="1" applyAlignment="1" applyProtection="1">
      <alignment horizontal="center" vertical="center" wrapText="1"/>
    </xf>
    <xf numFmtId="0" fontId="116" fillId="0" borderId="0" xfId="2" applyFont="1" applyFill="1" applyBorder="1" applyAlignment="1" applyProtection="1">
      <alignment horizontal="center" vertical="center" wrapText="1"/>
    </xf>
    <xf numFmtId="0" fontId="112" fillId="43" borderId="0" xfId="4" applyFont="1" applyFill="1" applyBorder="1" applyAlignment="1">
      <alignment horizontal="left" vertical="center" wrapText="1"/>
    </xf>
    <xf numFmtId="0" fontId="113" fillId="0" borderId="0" xfId="4" applyFont="1" applyFill="1" applyBorder="1" applyAlignment="1">
      <alignment horizontal="center" vertical="center" wrapText="1"/>
    </xf>
    <xf numFmtId="0" fontId="114" fillId="0" borderId="0" xfId="2" applyFont="1" applyFill="1" applyBorder="1" applyAlignment="1" applyProtection="1">
      <alignment vertical="center" wrapText="1"/>
    </xf>
    <xf numFmtId="0" fontId="34" fillId="0" borderId="9" xfId="2" applyFont="1" applyFill="1" applyBorder="1" applyAlignment="1" applyProtection="1">
      <alignment vertical="center" wrapText="1"/>
    </xf>
    <xf numFmtId="0" fontId="34" fillId="0" borderId="0" xfId="2" applyFont="1" applyFill="1" applyAlignment="1" applyProtection="1">
      <alignment vertical="center" wrapText="1"/>
    </xf>
    <xf numFmtId="0" fontId="34" fillId="0" borderId="0" xfId="2" quotePrefix="1" applyFont="1" applyFill="1" applyAlignment="1" applyProtection="1">
      <alignment vertical="center"/>
    </xf>
    <xf numFmtId="0" fontId="68" fillId="42" borderId="0" xfId="233" applyNumberFormat="1" applyFont="1" applyFill="1" applyBorder="1" applyAlignment="1" applyProtection="1">
      <alignment horizontal="left" vertical="center" wrapText="1"/>
      <protection locked="0"/>
    </xf>
    <xf numFmtId="0" fontId="121" fillId="11" borderId="0" xfId="4" applyFont="1" applyFill="1" applyBorder="1" applyAlignment="1">
      <alignment horizontal="center" vertical="center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87" fillId="0" borderId="0" xfId="3" applyFont="1" applyFill="1" applyBorder="1" applyAlignment="1">
      <alignment horizontal="left" vertical="center" wrapText="1" indent="1"/>
    </xf>
    <xf numFmtId="0" fontId="88" fillId="0" borderId="0" xfId="3" applyFont="1" applyFill="1" applyBorder="1" applyAlignment="1">
      <alignment horizontal="left" vertical="center" wrapText="1" indent="1"/>
    </xf>
    <xf numFmtId="0" fontId="83" fillId="11" borderId="10" xfId="1" applyFont="1" applyFill="1" applyBorder="1" applyAlignment="1">
      <alignment horizontal="left" vertical="center"/>
    </xf>
    <xf numFmtId="0" fontId="85" fillId="10" borderId="0" xfId="3" applyFont="1" applyFill="1" applyBorder="1" applyAlignment="1">
      <alignment horizontal="left" vertical="center"/>
    </xf>
    <xf numFmtId="0" fontId="94" fillId="0" borderId="0" xfId="3" applyFont="1" applyFill="1" applyBorder="1" applyAlignment="1">
      <alignment horizontal="left" vertical="center"/>
    </xf>
    <xf numFmtId="0" fontId="26" fillId="15" borderId="19" xfId="2" applyFont="1" applyFill="1" applyBorder="1" applyAlignment="1" applyProtection="1">
      <alignment horizontal="left" vertical="center"/>
      <protection locked="0"/>
    </xf>
    <xf numFmtId="0" fontId="26" fillId="15" borderId="0" xfId="2" applyFont="1" applyFill="1" applyBorder="1" applyAlignment="1" applyProtection="1">
      <alignment horizontal="left" vertical="center"/>
      <protection locked="0"/>
    </xf>
    <xf numFmtId="0" fontId="26" fillId="15" borderId="20" xfId="2" applyFont="1" applyFill="1" applyBorder="1" applyAlignment="1" applyProtection="1">
      <alignment horizontal="left" vertical="center"/>
      <protection locked="0"/>
    </xf>
    <xf numFmtId="0" fontId="26" fillId="15" borderId="21" xfId="2" applyFont="1" applyFill="1" applyBorder="1" applyAlignment="1" applyProtection="1">
      <alignment horizontal="left" vertical="center"/>
      <protection locked="0"/>
    </xf>
    <xf numFmtId="0" fontId="26" fillId="15" borderId="22" xfId="2" applyFont="1" applyFill="1" applyBorder="1" applyAlignment="1" applyProtection="1">
      <alignment horizontal="left" vertical="center"/>
      <protection locked="0"/>
    </xf>
    <xf numFmtId="0" fontId="26" fillId="15" borderId="23" xfId="2" applyFont="1" applyFill="1" applyBorder="1" applyAlignment="1" applyProtection="1">
      <alignment horizontal="left" vertical="center"/>
      <protection locked="0"/>
    </xf>
    <xf numFmtId="0" fontId="87" fillId="0" borderId="0" xfId="3" applyFont="1" applyFill="1" applyBorder="1" applyAlignment="1" applyProtection="1">
      <alignment horizontal="left" vertical="center"/>
    </xf>
    <xf numFmtId="0" fontId="83" fillId="11" borderId="0" xfId="3" applyFont="1" applyFill="1" applyBorder="1" applyAlignment="1" applyProtection="1">
      <alignment horizontal="left" vertical="center"/>
    </xf>
    <xf numFmtId="0" fontId="26" fillId="15" borderId="16" xfId="2" applyFont="1" applyFill="1" applyBorder="1" applyAlignment="1" applyProtection="1">
      <alignment horizontal="left" vertical="center"/>
      <protection locked="0"/>
    </xf>
    <xf numFmtId="0" fontId="26" fillId="15" borderId="17" xfId="2" applyFont="1" applyFill="1" applyBorder="1" applyAlignment="1" applyProtection="1">
      <alignment horizontal="left" vertical="center"/>
      <protection locked="0"/>
    </xf>
    <xf numFmtId="0" fontId="26" fillId="15" borderId="18" xfId="2" applyFont="1" applyFill="1" applyBorder="1" applyAlignment="1" applyProtection="1">
      <alignment horizontal="left" vertical="center"/>
      <protection locked="0"/>
    </xf>
    <xf numFmtId="0" fontId="83" fillId="11" borderId="33" xfId="3" applyFont="1" applyFill="1" applyBorder="1" applyAlignment="1" applyProtection="1">
      <alignment horizontal="left" vertical="center"/>
    </xf>
    <xf numFmtId="0" fontId="83" fillId="11" borderId="0" xfId="1" applyFont="1" applyFill="1" applyBorder="1" applyAlignment="1">
      <alignment horizontal="left" vertical="center"/>
    </xf>
    <xf numFmtId="0" fontId="94" fillId="10" borderId="0" xfId="3" applyFont="1" applyFill="1" applyBorder="1" applyAlignment="1">
      <alignment horizontal="left" vertical="center"/>
    </xf>
    <xf numFmtId="0" fontId="12" fillId="8" borderId="0" xfId="1" applyFont="1" applyFill="1" applyAlignment="1">
      <alignment horizontal="center" vertical="center"/>
    </xf>
    <xf numFmtId="0" fontId="68" fillId="43" borderId="34" xfId="233" applyNumberFormat="1" applyFont="1" applyFill="1" applyBorder="1" applyAlignment="1" applyProtection="1">
      <alignment horizontal="center" vertical="center" wrapText="1"/>
    </xf>
    <xf numFmtId="0" fontId="68" fillId="43" borderId="35" xfId="233" applyNumberFormat="1" applyFont="1" applyFill="1" applyBorder="1" applyAlignment="1" applyProtection="1">
      <alignment horizontal="center" vertical="center" wrapText="1"/>
    </xf>
    <xf numFmtId="0" fontId="68" fillId="43" borderId="36" xfId="233" applyNumberFormat="1" applyFont="1" applyFill="1" applyBorder="1" applyAlignment="1" applyProtection="1">
      <alignment horizontal="center" vertical="center" wrapText="1"/>
    </xf>
    <xf numFmtId="0" fontId="68" fillId="43" borderId="37" xfId="233" applyNumberFormat="1" applyFont="1" applyFill="1" applyBorder="1" applyAlignment="1" applyProtection="1">
      <alignment horizontal="center" vertical="center" wrapText="1"/>
    </xf>
  </cellXfs>
  <cellStyles count="234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126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1409700</xdr:colOff>
          <xdr:row>12</xdr:row>
          <xdr:rowOff>66675</xdr:rowOff>
        </xdr:from>
        <xdr:to>
          <xdr:col>10</xdr:col>
          <xdr:colOff>57150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133350</xdr:colOff>
      <xdr:row>5</xdr:row>
      <xdr:rowOff>209551</xdr:rowOff>
    </xdr:from>
    <xdr:to>
      <xdr:col>4</xdr:col>
      <xdr:colOff>2609850</xdr:colOff>
      <xdr:row>7</xdr:row>
      <xdr:rowOff>191806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5</xdr:col>
      <xdr:colOff>2389909</xdr:colOff>
      <xdr:row>10</xdr:row>
      <xdr:rowOff>0</xdr:rowOff>
    </xdr:from>
    <xdr:to>
      <xdr:col>7</xdr:col>
      <xdr:colOff>121227</xdr:colOff>
      <xdr:row>16</xdr:row>
      <xdr:rowOff>294408</xdr:rowOff>
    </xdr:to>
    <xdr:sp macro="" textlink="">
      <xdr:nvSpPr>
        <xdr:cNvPr id="3" name="Accolade fermante 2"/>
        <xdr:cNvSpPr/>
      </xdr:nvSpPr>
      <xdr:spPr>
        <a:xfrm>
          <a:off x="6373091" y="2753589"/>
          <a:ext cx="588818" cy="207818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31172</xdr:colOff>
      <xdr:row>15</xdr:row>
      <xdr:rowOff>48485</xdr:rowOff>
    </xdr:from>
    <xdr:to>
      <xdr:col>9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173182</xdr:colOff>
      <xdr:row>12</xdr:row>
      <xdr:rowOff>103909</xdr:rowOff>
    </xdr:from>
    <xdr:to>
      <xdr:col>8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11" sqref="D11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126</v>
      </c>
      <c r="B1" s="2"/>
    </row>
    <row r="2" spans="1:2">
      <c r="A2" s="2" t="s">
        <v>127</v>
      </c>
      <c r="B2" s="2"/>
    </row>
    <row r="3" spans="1:2" ht="15.75">
      <c r="A3" s="4" t="s">
        <v>128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265" t="s">
        <v>16</v>
      </c>
      <c r="B18" s="9" t="s">
        <v>17</v>
      </c>
    </row>
    <row r="19" spans="1:2">
      <c r="A19" s="265"/>
      <c r="B19" s="9" t="s">
        <v>18</v>
      </c>
    </row>
    <row r="20" spans="1:2">
      <c r="A20" s="265"/>
      <c r="B20" s="9" t="s">
        <v>19</v>
      </c>
    </row>
    <row r="21" spans="1:2">
      <c r="A21" s="265"/>
      <c r="B21" s="9" t="s">
        <v>20</v>
      </c>
    </row>
    <row r="22" spans="1:2">
      <c r="A22" s="265"/>
      <c r="B22" s="9" t="s">
        <v>21</v>
      </c>
    </row>
    <row r="23" spans="1:2">
      <c r="A23" s="265" t="s">
        <v>22</v>
      </c>
      <c r="B23" s="9" t="s">
        <v>23</v>
      </c>
    </row>
    <row r="24" spans="1:2">
      <c r="A24" s="265"/>
      <c r="B24" s="9" t="s">
        <v>24</v>
      </c>
    </row>
    <row r="25" spans="1:2">
      <c r="A25" s="265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Y163"/>
  <sheetViews>
    <sheetView showGridLines="0" tabSelected="1" topLeftCell="D7" zoomScale="60" zoomScaleNormal="60" zoomScaleSheetLayoutView="40" workbookViewId="0">
      <selection activeCell="M18" sqref="M18:U18"/>
    </sheetView>
  </sheetViews>
  <sheetFormatPr baseColWidth="10" defaultColWidth="11.42578125" defaultRowHeight="18" customHeight="1" outlineLevelRow="1"/>
  <cols>
    <col min="1" max="1" width="9.140625" style="71" hidden="1" customWidth="1"/>
    <col min="2" max="2" width="19.5703125" style="72" hidden="1" customWidth="1"/>
    <col min="3" max="3" width="74.5703125" style="72" hidden="1" customWidth="1"/>
    <col min="4" max="4" width="2.5703125" style="72" customWidth="1"/>
    <col min="5" max="5" width="57.140625" style="78" customWidth="1"/>
    <col min="6" max="6" width="36.28515625" style="78" customWidth="1"/>
    <col min="7" max="7" width="6.42578125" style="71" customWidth="1"/>
    <col min="8" max="8" width="17.28515625" style="71" customWidth="1"/>
    <col min="9" max="9" width="24.7109375" style="71" customWidth="1"/>
    <col min="10" max="10" width="29.42578125" style="71" customWidth="1"/>
    <col min="11" max="11" width="26.85546875" style="71" customWidth="1"/>
    <col min="12" max="12" width="2.7109375" style="77" customWidth="1"/>
    <col min="13" max="13" width="17.28515625" style="77" customWidth="1"/>
    <col min="14" max="14" width="13.7109375" style="84" customWidth="1"/>
    <col min="15" max="15" width="5.42578125" style="19" customWidth="1"/>
    <col min="16" max="16" width="17.28515625" style="153" customWidth="1"/>
    <col min="17" max="17" width="4.7109375" style="153" customWidth="1"/>
    <col min="18" max="18" width="5.42578125" style="160" customWidth="1"/>
    <col min="19" max="19" width="17.28515625" style="84" customWidth="1"/>
    <col min="20" max="20" width="12.28515625" style="84" customWidth="1"/>
    <col min="21" max="21" width="5.42578125" style="157" customWidth="1"/>
    <col min="22" max="22" width="5" style="18" customWidth="1"/>
    <col min="23" max="23" width="7.140625" style="18" customWidth="1"/>
    <col min="24" max="24" width="29.7109375" style="18" customWidth="1"/>
    <col min="25" max="25" width="25.7109375" style="18" hidden="1" customWidth="1"/>
    <col min="26" max="26" width="16.5703125" style="18" customWidth="1"/>
    <col min="27" max="27" width="25.42578125" style="18" customWidth="1"/>
    <col min="28" max="38" width="9" style="18" customWidth="1"/>
    <col min="39" max="40" width="10.140625" style="15" customWidth="1"/>
    <col min="41" max="50" width="6.5703125" style="15" customWidth="1"/>
    <col min="51" max="52" width="6.42578125" style="15" customWidth="1"/>
    <col min="53" max="16384" width="11.42578125" style="15"/>
  </cols>
  <sheetData>
    <row r="1" spans="1:51" ht="18" hidden="1" customHeight="1">
      <c r="E1" s="73"/>
      <c r="F1" s="74" t="s">
        <v>31</v>
      </c>
      <c r="H1" s="75" t="str">
        <f ca="1">H19</f>
        <v>Actual</v>
      </c>
      <c r="I1" s="76" t="str">
        <f ca="1">I19</f>
        <v>Budget V current</v>
      </c>
      <c r="J1" s="76" t="str">
        <f ca="1">J19</f>
        <v>Forecast 2 V current</v>
      </c>
      <c r="K1" s="75" t="s">
        <v>32</v>
      </c>
      <c r="M1" s="75" t="s">
        <v>33</v>
      </c>
      <c r="N1" s="75" t="s">
        <v>34</v>
      </c>
      <c r="O1" s="17"/>
      <c r="P1" s="75" t="s">
        <v>35</v>
      </c>
      <c r="Q1" s="75" t="s">
        <v>36</v>
      </c>
      <c r="R1" s="159"/>
      <c r="S1" s="75" t="s">
        <v>37</v>
      </c>
      <c r="T1" s="75" t="s">
        <v>38</v>
      </c>
      <c r="U1" s="159"/>
    </row>
    <row r="2" spans="1:51" ht="18" hidden="1" customHeight="1">
      <c r="F2" s="79" t="s">
        <v>39</v>
      </c>
      <c r="G2" s="80" t="str">
        <f ca="1">_xll.SUBNM(Server&amp;"Period","",#REF!,"")</f>
        <v/>
      </c>
      <c r="H2" s="81" t="str">
        <f ca="1">_xll.DBRA(Server&amp;$F$2,H18,"Prior Year")</f>
        <v>2019.02_YTD</v>
      </c>
      <c r="I2" s="82" t="str">
        <f ca="1">SUBSTITUTE(ActualBudget,"_TOT","_VC")</f>
        <v>BUDG_VC</v>
      </c>
      <c r="J2" s="83"/>
      <c r="K2" s="83"/>
      <c r="O2" s="16"/>
      <c r="P2" s="77"/>
      <c r="Q2" s="77"/>
      <c r="R2" s="157"/>
    </row>
    <row r="3" spans="1:51" ht="18" hidden="1" customHeight="1">
      <c r="F3" s="85" t="s">
        <v>40</v>
      </c>
      <c r="G3" s="86"/>
      <c r="H3" s="71" t="str">
        <f ca="1">_xll.VIEW(Server&amp;Cube1,$F$13,$F$14,$F$15,$F$16,$F$11,$F$12,"!","!")</f>
        <v>tango_core_model:Report_PL</v>
      </c>
      <c r="I3" s="82"/>
      <c r="J3" s="83"/>
      <c r="K3" s="83"/>
      <c r="O3" s="16"/>
      <c r="P3" s="77"/>
      <c r="Q3" s="77"/>
      <c r="R3" s="157"/>
    </row>
    <row r="4" spans="1:51" ht="18" hidden="1" customHeight="1">
      <c r="G4" s="87"/>
      <c r="I4" s="82"/>
      <c r="J4" s="83"/>
      <c r="K4" s="88"/>
    </row>
    <row r="5" spans="1:51" ht="18" hidden="1" customHeight="1">
      <c r="F5" s="89"/>
      <c r="G5" s="86"/>
      <c r="H5" s="90"/>
      <c r="I5" s="82"/>
      <c r="J5" s="90"/>
      <c r="K5" s="90"/>
      <c r="L5" s="90"/>
      <c r="M5" s="90"/>
      <c r="N5" s="90"/>
      <c r="O5" s="20"/>
      <c r="P5" s="90"/>
      <c r="Q5" s="90"/>
      <c r="R5" s="161"/>
      <c r="S5" s="90"/>
      <c r="T5" s="90"/>
    </row>
    <row r="6" spans="1:51" ht="18" hidden="1" customHeight="1">
      <c r="F6" s="91"/>
    </row>
    <row r="7" spans="1:51" ht="51" customHeight="1">
      <c r="E7" s="285" t="str">
        <f ca="1">_xll.DBRA(Server&amp;$Y$15,$Y30,$F$17)&amp;" - "&amp;F11&amp;" - "&amp;F12&amp;" - "&amp;F13</f>
        <v>Compte de résultat (agrégé) - TRANSDEV All - TRANSDEV All - Total Activités</v>
      </c>
      <c r="F7" s="285"/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21"/>
    </row>
    <row r="8" spans="1:51" ht="18" customHeight="1"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21"/>
    </row>
    <row r="9" spans="1:51" ht="18" customHeight="1">
      <c r="E9" s="71"/>
      <c r="F9" s="91"/>
      <c r="G9" s="91"/>
      <c r="H9" s="92"/>
      <c r="I9" s="92"/>
      <c r="J9" s="92"/>
      <c r="K9" s="92"/>
      <c r="L9" s="92"/>
      <c r="M9" s="92"/>
      <c r="N9" s="92"/>
      <c r="O9" s="21"/>
      <c r="P9" s="92"/>
      <c r="Q9" s="92"/>
      <c r="R9" s="162"/>
      <c r="S9" s="92"/>
      <c r="T9" s="92"/>
      <c r="U9" s="162"/>
      <c r="V9" s="21"/>
    </row>
    <row r="10" spans="1:51" ht="23.25" customHeight="1">
      <c r="E10" s="93" t="str">
        <f ca="1">_xll.DBRA(Server&amp;$Y$15,$Y16,$F$17)</f>
        <v>Sélection du contexte</v>
      </c>
      <c r="G10" s="91"/>
      <c r="H10" s="92"/>
      <c r="I10" s="92"/>
      <c r="J10" s="92"/>
      <c r="K10" s="92"/>
      <c r="L10" s="92"/>
      <c r="M10" s="92"/>
      <c r="N10" s="92"/>
      <c r="O10" s="21"/>
      <c r="P10" s="92"/>
      <c r="Q10" s="92"/>
      <c r="R10" s="162"/>
      <c r="S10" s="92"/>
      <c r="T10" s="92"/>
      <c r="U10" s="162"/>
      <c r="V10" s="21"/>
    </row>
    <row r="11" spans="1:51" s="46" customFormat="1" ht="17.25" customHeight="1">
      <c r="A11" s="234"/>
      <c r="B11" s="235"/>
      <c r="C11" s="235"/>
      <c r="D11" s="235"/>
      <c r="E11" s="236" t="s">
        <v>142</v>
      </c>
      <c r="F11" s="170" t="str">
        <f ca="1">_xll.SUBNM(Server&amp;"Legal_Organization","default",_xll.DBR(Server&amp;"z_Client_Properties","Default_Legal_Organization",_xll.TM1USER(xServer)),F17)</f>
        <v>TRANSDEV All</v>
      </c>
      <c r="G11" s="237"/>
      <c r="H11" s="238"/>
      <c r="I11" s="234"/>
      <c r="J11" s="234"/>
      <c r="K11" s="234"/>
      <c r="L11" s="219"/>
      <c r="M11" s="219"/>
      <c r="N11" s="219"/>
      <c r="O11" s="239"/>
      <c r="P11" s="240"/>
      <c r="Q11" s="240"/>
      <c r="R11" s="239"/>
      <c r="S11" s="219"/>
      <c r="T11" s="219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</row>
    <row r="12" spans="1:51" s="46" customFormat="1" ht="17.25" customHeight="1">
      <c r="A12" s="234"/>
      <c r="B12" s="235"/>
      <c r="C12" s="235"/>
      <c r="D12" s="235"/>
      <c r="E12" s="236" t="s">
        <v>44</v>
      </c>
      <c r="F12" s="170" t="str">
        <f ca="1">_xll.SUBNM(Server&amp;"Management_Organization","default",_xll.DBR(Server&amp;"z_Client_Properties","Default_Management_Organization",_xll.TM1USER(xServer)),F17)</f>
        <v>TRANSDEV All</v>
      </c>
      <c r="G12" s="237"/>
      <c r="H12" s="238"/>
      <c r="I12" s="238"/>
      <c r="J12" s="238"/>
      <c r="K12" s="234"/>
      <c r="L12" s="219"/>
      <c r="M12" s="219"/>
      <c r="N12" s="219"/>
      <c r="O12" s="239"/>
      <c r="P12" s="240"/>
      <c r="Q12" s="240"/>
      <c r="R12" s="239"/>
      <c r="S12" s="219"/>
      <c r="T12" s="219"/>
      <c r="U12" s="241"/>
      <c r="V12" s="241"/>
      <c r="W12" s="241"/>
      <c r="X12" s="241"/>
      <c r="Y12" s="241"/>
      <c r="Z12" s="241"/>
      <c r="AA12" s="241"/>
      <c r="AB12" s="241"/>
      <c r="AC12" s="241"/>
      <c r="AD12" s="241"/>
      <c r="AE12" s="241"/>
      <c r="AF12" s="241"/>
      <c r="AG12" s="241"/>
      <c r="AH12" s="241"/>
      <c r="AI12" s="241"/>
      <c r="AJ12" s="241"/>
      <c r="AK12" s="241"/>
      <c r="AL12" s="241"/>
    </row>
    <row r="13" spans="1:51" s="46" customFormat="1" ht="17.25" customHeight="1">
      <c r="A13" s="234"/>
      <c r="B13" s="235"/>
      <c r="C13" s="235"/>
      <c r="D13" s="235"/>
      <c r="E13" s="236" t="s">
        <v>50</v>
      </c>
      <c r="F13" s="170" t="str">
        <f ca="1">_xll.SUBNM(Server&amp;"Activity","default","Tot_act",F17)</f>
        <v>Total Activités</v>
      </c>
      <c r="G13" s="234"/>
      <c r="H13" s="238"/>
      <c r="I13" s="238"/>
      <c r="J13" s="238"/>
      <c r="K13" s="234"/>
      <c r="L13" s="219"/>
      <c r="M13" s="219"/>
      <c r="N13" s="219"/>
      <c r="O13" s="239"/>
      <c r="P13" s="240"/>
      <c r="Q13" s="240"/>
      <c r="R13" s="239"/>
      <c r="S13" s="219"/>
      <c r="T13" s="219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</row>
    <row r="14" spans="1:51" s="46" customFormat="1" ht="17.25" customHeight="1">
      <c r="A14" s="234"/>
      <c r="B14" s="235"/>
      <c r="C14" s="235"/>
      <c r="D14" s="242"/>
      <c r="E14" s="236" t="s">
        <v>52</v>
      </c>
      <c r="F14" s="170" t="str">
        <f ca="1">_xll.SUBNM(Server&amp;"Currency","default","KEUR",F17)</f>
        <v>K€</v>
      </c>
      <c r="G14" s="234"/>
      <c r="H14" s="238"/>
      <c r="I14" s="238"/>
      <c r="J14" s="238"/>
      <c r="K14" s="234"/>
      <c r="L14" s="219"/>
      <c r="M14" s="219"/>
      <c r="N14" s="219"/>
      <c r="O14" s="239"/>
      <c r="P14" s="240"/>
      <c r="Q14" s="240"/>
      <c r="R14" s="239"/>
      <c r="S14" s="219"/>
      <c r="T14" s="219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</row>
    <row r="15" spans="1:51" s="46" customFormat="1" ht="17.25" customHeight="1">
      <c r="A15" s="234"/>
      <c r="B15" s="235"/>
      <c r="C15" s="243"/>
      <c r="D15" s="244"/>
      <c r="E15" s="236" t="s">
        <v>54</v>
      </c>
      <c r="F15" s="170" t="str">
        <f ca="1">_xll.SUBNM(Server&amp;"Gaap","default","Total_conso_wo_opt_dis")</f>
        <v>Total_conso_wo_opt_dis</v>
      </c>
      <c r="G15" s="245"/>
      <c r="H15" s="234"/>
      <c r="I15" s="234"/>
      <c r="J15" s="234"/>
      <c r="K15" s="234"/>
      <c r="L15" s="219"/>
      <c r="M15" s="219"/>
      <c r="N15" s="219"/>
      <c r="O15" s="239"/>
      <c r="P15" s="240"/>
      <c r="Q15" s="240"/>
      <c r="R15" s="239"/>
      <c r="S15" s="219"/>
      <c r="T15" s="219"/>
      <c r="U15" s="241"/>
      <c r="V15" s="246"/>
      <c r="W15" s="241"/>
      <c r="X15" s="241"/>
      <c r="Y15" s="247" t="s">
        <v>41</v>
      </c>
      <c r="Z15" s="241"/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41"/>
      <c r="AM15" s="248"/>
      <c r="AN15" s="248"/>
      <c r="AO15" s="248"/>
      <c r="AP15" s="248"/>
      <c r="AQ15" s="248"/>
      <c r="AR15" s="248"/>
      <c r="AS15" s="248"/>
      <c r="AT15" s="248"/>
      <c r="AU15" s="248"/>
      <c r="AV15" s="248"/>
      <c r="AW15" s="248"/>
      <c r="AX15" s="248"/>
      <c r="AY15" s="248"/>
    </row>
    <row r="16" spans="1:51" s="252" customFormat="1" ht="17.25" customHeight="1">
      <c r="A16" s="249"/>
      <c r="B16" s="235"/>
      <c r="C16" s="250"/>
      <c r="D16" s="243"/>
      <c r="E16" s="236" t="s">
        <v>143</v>
      </c>
      <c r="F16" s="170" t="str">
        <f ca="1">_xll.SUBNM(Server&amp;"Integration_Rate","default","APP")</f>
        <v>APP</v>
      </c>
      <c r="G16" s="251"/>
      <c r="N16" s="262"/>
      <c r="V16" s="246"/>
      <c r="W16" s="241"/>
      <c r="Y16" s="253" t="s">
        <v>42</v>
      </c>
      <c r="AK16" s="241"/>
      <c r="AL16" s="241"/>
    </row>
    <row r="17" spans="1:38" s="261" customFormat="1" ht="17.25" customHeight="1">
      <c r="A17" s="254"/>
      <c r="B17" s="255"/>
      <c r="C17" s="254"/>
      <c r="D17" s="256"/>
      <c r="E17" s="257" t="s">
        <v>45</v>
      </c>
      <c r="F17" s="263" t="str">
        <f ca="1">LocalLanguage</f>
        <v>French</v>
      </c>
      <c r="G17" s="258"/>
      <c r="H17" s="249"/>
      <c r="I17" s="249"/>
      <c r="J17" s="249"/>
      <c r="K17" s="249"/>
      <c r="L17" s="249"/>
      <c r="M17" s="249"/>
      <c r="N17" s="249"/>
      <c r="O17" s="252"/>
      <c r="P17" s="249"/>
      <c r="Q17" s="249"/>
      <c r="R17" s="252"/>
      <c r="S17" s="249"/>
      <c r="T17" s="249"/>
      <c r="U17" s="252"/>
      <c r="V17" s="246"/>
      <c r="W17" s="259"/>
      <c r="X17" s="259"/>
      <c r="Y17" s="260" t="s">
        <v>43</v>
      </c>
      <c r="Z17" s="259"/>
      <c r="AA17" s="259"/>
      <c r="AB17" s="259"/>
      <c r="AC17" s="259"/>
      <c r="AD17" s="259"/>
      <c r="AE17" s="259"/>
      <c r="AF17" s="259"/>
      <c r="AG17" s="259"/>
      <c r="AH17" s="259"/>
      <c r="AI17" s="259"/>
      <c r="AJ17" s="259"/>
      <c r="AK17" s="259"/>
      <c r="AL17" s="259"/>
    </row>
    <row r="18" spans="1:38" s="231" customFormat="1" ht="27.75" customHeight="1" thickBot="1">
      <c r="A18" s="223"/>
      <c r="B18" s="224"/>
      <c r="C18" s="223"/>
      <c r="D18" s="226"/>
      <c r="E18" s="223"/>
      <c r="G18" s="96"/>
      <c r="H18" s="227" t="str">
        <f ca="1">_xll.SUBNM(Server&amp;$F$2,"default",ActualMonth&amp;"_YTD","English")</f>
        <v>February 2020 YTD</v>
      </c>
      <c r="I18" s="227" t="str">
        <f ca="1">_xll.SUBNM(Server&amp;$F$2,"default",H18,"English")</f>
        <v>February 2020 YTD</v>
      </c>
      <c r="J18" s="227" t="str">
        <f ca="1">_xll.SUBNM(Server&amp;$F$2,"default",H18,"English")</f>
        <v>February 2020 YTD</v>
      </c>
      <c r="K18" s="228" t="str">
        <f ca="1">_xll.SUBNM(Server&amp;$F$2,"default",PriorYear,"English")</f>
        <v>February 2019 YTD</v>
      </c>
      <c r="L18" s="232"/>
      <c r="M18" s="289" t="str">
        <f ca="1">_xll.DBRA(Server&amp;$Y$15,$Y34,$F$17)</f>
        <v>Variances</v>
      </c>
      <c r="N18" s="289"/>
      <c r="O18" s="289"/>
      <c r="P18" s="289"/>
      <c r="Q18" s="289"/>
      <c r="R18" s="289"/>
      <c r="S18" s="289"/>
      <c r="T18" s="289"/>
      <c r="U18" s="289"/>
      <c r="V18" s="22"/>
      <c r="W18" s="229"/>
      <c r="X18" s="229"/>
      <c r="Y18" s="230"/>
      <c r="Z18" s="229"/>
      <c r="AA18" s="229"/>
      <c r="AB18" s="229"/>
      <c r="AC18" s="229"/>
      <c r="AD18" s="229"/>
      <c r="AE18" s="229"/>
      <c r="AF18" s="229"/>
      <c r="AG18" s="229"/>
      <c r="AH18" s="229"/>
      <c r="AI18" s="229"/>
      <c r="AJ18" s="229"/>
      <c r="AK18" s="229"/>
      <c r="AL18" s="229"/>
    </row>
    <row r="19" spans="1:38" s="231" customFormat="1" ht="27.75" customHeight="1" thickBot="1">
      <c r="A19" s="223"/>
      <c r="B19" s="224"/>
      <c r="C19" s="225"/>
      <c r="D19" s="226"/>
      <c r="E19" s="233" t="str">
        <f ca="1">F15</f>
        <v>Total_conso_wo_opt_dis</v>
      </c>
      <c r="F19" s="233" t="str">
        <f ca="1">F14</f>
        <v>K€</v>
      </c>
      <c r="G19" s="96"/>
      <c r="H19" s="227" t="str">
        <f ca="1">_xll.SUBNM(Server&amp;$F$1,"default","ACT_TOT","English")</f>
        <v>Actual</v>
      </c>
      <c r="I19" s="227" t="str">
        <f ca="1">_xll.SUBNM(Server&amp;$F$1,"default",SUBSTITUTE(ActualBudget,"_TOT","_VC_TOT"),"English")</f>
        <v>Budget V current</v>
      </c>
      <c r="J19" s="227" t="str">
        <f ca="1">_xll.SUBNM(Server&amp;$F$1,"default",SUBSTITUTE(ActualForecast,"_TOT","_VC_TOT"),"English")</f>
        <v>Forecast 2 V current</v>
      </c>
      <c r="K19" s="228" t="str">
        <f ca="1">_xll.DBRA(Server&amp;$Y$15,Y$57,$F$17)</f>
        <v>Année précédente</v>
      </c>
      <c r="L19" s="220"/>
      <c r="M19" s="286" t="str">
        <f ca="1">$H19&amp;" vs "&amp;I19</f>
        <v>Actual vs Budget V current</v>
      </c>
      <c r="N19" s="287"/>
      <c r="O19" s="288"/>
      <c r="P19" s="286" t="str">
        <f ca="1">$H19&amp;" vs "&amp;J19</f>
        <v>Actual vs Forecast 2 V current</v>
      </c>
      <c r="Q19" s="287"/>
      <c r="R19" s="288" t="str">
        <f ca="1">_xll.DBRA(Server&amp;$Y$15,$Y29,$F$17)</f>
        <v>Variance</v>
      </c>
      <c r="S19" s="286" t="str">
        <f ca="1">$H19&amp;" vs "&amp;K19</f>
        <v>Actual vs Année précédente</v>
      </c>
      <c r="T19" s="287"/>
      <c r="U19" s="288" t="str">
        <f ca="1">_xll.DBRA(Server&amp;$Y$15,$Y29,$F$17)</f>
        <v>Variance</v>
      </c>
      <c r="V19" s="22"/>
      <c r="W19" s="229"/>
      <c r="X19" s="229"/>
      <c r="Y19" s="230" t="s">
        <v>46</v>
      </c>
      <c r="Z19" s="229"/>
      <c r="AA19" s="229"/>
      <c r="AB19" s="229"/>
      <c r="AC19" s="229"/>
      <c r="AD19" s="229"/>
      <c r="AE19" s="229"/>
      <c r="AF19" s="229"/>
      <c r="AG19" s="229"/>
      <c r="AH19" s="229"/>
      <c r="AI19" s="229"/>
      <c r="AJ19" s="229"/>
      <c r="AK19" s="229"/>
      <c r="AL19" s="229"/>
    </row>
    <row r="20" spans="1:38" s="23" customFormat="1" ht="15.75" customHeight="1">
      <c r="A20" s="95"/>
      <c r="B20" s="95"/>
      <c r="C20" s="97" t="s">
        <v>47</v>
      </c>
      <c r="D20" s="94"/>
      <c r="E20" s="95"/>
      <c r="G20" s="96"/>
      <c r="H20" s="99"/>
      <c r="I20" s="99"/>
      <c r="J20" s="99"/>
      <c r="K20" s="99"/>
      <c r="L20" s="98"/>
      <c r="M20" s="99"/>
      <c r="N20" s="100"/>
      <c r="O20" s="22"/>
      <c r="P20" s="154"/>
      <c r="Q20" s="154"/>
      <c r="R20" s="22"/>
      <c r="S20" s="99"/>
      <c r="T20" s="100"/>
      <c r="U20" s="22"/>
      <c r="V20" s="22"/>
      <c r="W20" s="18"/>
      <c r="X20" s="18"/>
      <c r="Y20" s="25" t="s">
        <v>48</v>
      </c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</row>
    <row r="21" spans="1:38" s="26" customFormat="1" ht="24.95" customHeight="1">
      <c r="A21" s="101"/>
      <c r="B21" s="102" t="s">
        <v>49</v>
      </c>
      <c r="C21" s="101" t="str">
        <f ca="1">_xll.DBRA(Server&amp;$C$20,$B21,$F$17)</f>
        <v>PRODUIT DES ACTIVITES ORDINAIRES (par destination)</v>
      </c>
      <c r="D21" s="103"/>
      <c r="E21" s="268" t="str">
        <f ca="1">LEFT(C21,FIND("(",C21,1)-1)</f>
        <v xml:space="preserve">PRODUIT DES ACTIVITES ORDINAIRES </v>
      </c>
      <c r="F21" s="268"/>
      <c r="G21" s="171"/>
      <c r="H21" s="172">
        <f ca="1">_xll.DBRW($H$3,$F$13,$F$14,$F$15,$F$16,$F$11,$F$12,H$18,H$1,$B21)</f>
        <v>1251033.1639970001</v>
      </c>
      <c r="I21" s="172">
        <f ca="1">_xll.DBRW($H$3,$F$13,$F$14,$F$15,$F$16,$F$11,$F$12,I$18,I$1,$B21)</f>
        <v>1226192.0118719998</v>
      </c>
      <c r="J21" s="172">
        <f ca="1">_xll.DBRW($H$3,$F$13,$F$14,$F$15,$F$16,$F$11,$F$12,J$18,J$1,$B21)</f>
        <v>0</v>
      </c>
      <c r="K21" s="172">
        <f ca="1">_xll.DBRW($H$3,$F$13,$F$14,$F$15,$F$16,$F$11,$F$12,K$18,K$1,$B21)</f>
        <v>1151757.589469</v>
      </c>
      <c r="L21" s="104"/>
      <c r="M21" s="172">
        <f ca="1">IF(OR($H21="",I21=""),"-",IFERROR(($H21-I21),""))</f>
        <v>24841.152125000255</v>
      </c>
      <c r="N21" s="173">
        <f ca="1">IF(OR($I21=0,M21=0),"-",IF(ABS(M21/$I21)&gt;2,"-",M21/$I21))</f>
        <v>2.0258778302654105E-2</v>
      </c>
      <c r="O21" s="174" t="str">
        <f ca="1">IF(OR(AND(N21&gt;0.01,M21&lt;0),AND(N21&lt;-0.01,M21&lt;0)),"î",IF(OR(AND(N21&lt;-0.01,M21&gt;0),AND(N21&gt;0.01,M21&gt;0)),"ì","è"))</f>
        <v>ì</v>
      </c>
      <c r="P21" s="172">
        <f ca="1">IF(OR($H21="",J21=""),"-",IFERROR(($H21-J21),""))</f>
        <v>1251033.1639970001</v>
      </c>
      <c r="Q21" s="173" t="str">
        <f ca="1">IF(OR($J21=0,P21=0),"-",IF(ABS(P21/$J21)&gt;2,"-",P21/$J21))</f>
        <v>-</v>
      </c>
      <c r="R21" s="174" t="str">
        <f ca="1">IF(OR(AND(Q21&gt;0.01,P21&lt;0),AND(Q21&lt;-0.01,P21&lt;0)),"î",IF(OR(AND(Q21&lt;-0.01,P21&gt;0),AND(Q21&gt;0.01,P21&gt;0)),"ì","è"))</f>
        <v>ì</v>
      </c>
      <c r="S21" s="172">
        <f ca="1">IF(OR($H21="",K21=""),"-",IFERROR(($H21-K21),""))</f>
        <v>99275.574528000085</v>
      </c>
      <c r="T21" s="173">
        <f ca="1">IF(OR($K21=0,S21=0),"-",IF(ABS(S21/$K21)&gt;2,"-",S21/$K21))</f>
        <v>8.6194851621311699E-2</v>
      </c>
      <c r="U21" s="174" t="str">
        <f ca="1">IF(OR(AND(T21&gt;0.01,S21&lt;0),AND(T21&lt;-0.01,S21&lt;0)),"î",IF(OR(AND(T21&lt;-0.01,S21&gt;0),AND(T21&gt;0.01,S21&gt;0)),"ì","è"))</f>
        <v>ì</v>
      </c>
      <c r="V21" s="28"/>
      <c r="W21" s="29"/>
      <c r="X21" s="29"/>
      <c r="Y21" s="25" t="s">
        <v>50</v>
      </c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</row>
    <row r="22" spans="1:38" ht="20.25" customHeight="1">
      <c r="B22" s="78" t="s">
        <v>51</v>
      </c>
      <c r="D22" s="105"/>
      <c r="E22" s="269" t="str">
        <f ca="1">_xll.DBRA(Server&amp;$C$20,$B22,$F$17)</f>
        <v>PAO de l'année en cours</v>
      </c>
      <c r="F22" s="269"/>
      <c r="G22" s="106"/>
      <c r="H22" s="175">
        <f ca="1">_xll.DBRW($H$3,$F$13,$F$14,$F$15,$F$16,$F$11,$F$12,H$18,H$1,$B22)</f>
        <v>731748.69051699992</v>
      </c>
      <c r="I22" s="175">
        <f ca="1">_xll.DBRW($H$3,$F$13,$F$14,$F$15,$F$16,$F$11,$F$12,I$18,I$1,$B22)</f>
        <v>1025848.8878026514</v>
      </c>
      <c r="J22" s="175">
        <f ca="1">_xll.DBRW($H$3,$F$13,$F$14,$F$15,$F$16,$F$11,$F$12,J$18,J$1,$B22)</f>
        <v>735.44225000000006</v>
      </c>
      <c r="K22" s="175">
        <f ca="1">_xll.DBRW($H$3,$F$13,$F$14,$F$15,$F$16,$F$11,$F$12,K$18,K$1,$B22)</f>
        <v>1153524.352691506</v>
      </c>
      <c r="L22" s="107"/>
      <c r="M22" s="175">
        <f t="shared" ref="M22:M38" ca="1" si="0">IF(OR($H22="",I22=""),"-",IFERROR(($H22-I22),""))</f>
        <v>-294100.19728565146</v>
      </c>
      <c r="N22" s="176">
        <f t="shared" ref="N22:N38" ca="1" si="1">IF(OR($I22=0,M22=0),"-",IF(ABS(M22/$I22)&gt;2,"-",M22/$I22))</f>
        <v>-0.2866895902335172</v>
      </c>
      <c r="O22" s="177" t="str">
        <f t="shared" ref="O22:O37" ca="1" si="2">IF(OR(AND(N22&gt;0.01,M22&lt;0),AND(N22&lt;-0.01,M22&lt;0)),"î",IF(OR(AND(N22&lt;-0.01,M22&gt;0),AND(N22&gt;0.01,M22&gt;0)),"ì","è"))</f>
        <v>î</v>
      </c>
      <c r="P22" s="175">
        <f t="shared" ref="P22:P38" ca="1" si="3">IF(OR($H22="",J22=""),"-",IFERROR(($H22-J22),""))</f>
        <v>731013.24826699996</v>
      </c>
      <c r="Q22" s="176" t="str">
        <f t="shared" ref="Q22:Q38" ca="1" si="4">IF(OR($J22=0,P22=0),"-",IF(ABS(P22/$J22)&gt;2,"-",P22/$J22))</f>
        <v>-</v>
      </c>
      <c r="R22" s="177" t="str">
        <f t="shared" ref="R22:R37" ca="1" si="5">IF(OR(AND(Q22&gt;0.01,P22&lt;0),AND(Q22&lt;-0.01,P22&lt;0)),"î",IF(OR(AND(Q22&lt;-0.01,P22&gt;0),AND(Q22&gt;0.01,P22&gt;0)),"ì","è"))</f>
        <v>ì</v>
      </c>
      <c r="S22" s="175">
        <f t="shared" ref="S22:S38" ca="1" si="6">IF(OR($H22="",K22=""),"-",IFERROR(($H22-K22),""))</f>
        <v>-421775.66217450611</v>
      </c>
      <c r="T22" s="178">
        <f t="shared" ref="T22:T38" ca="1" si="7">IF(OR($K22=0,S22=0),"-",IF(ABS(S22/$K22)&gt;2,"-",S22/$K22))</f>
        <v>-0.36564088238829245</v>
      </c>
      <c r="U22" s="179" t="str">
        <f t="shared" ref="U22:U37" ca="1" si="8">IF(OR(AND(T22&gt;0.01,S22&lt;0),AND(T22&lt;-0.01,S22&lt;0)),"î",IF(OR(AND(T22&lt;-0.01,S22&gt;0),AND(T22&gt;0.01,S22&gt;0)),"ì","è"))</f>
        <v>î</v>
      </c>
      <c r="V22" s="30"/>
      <c r="Y22" s="25" t="s">
        <v>52</v>
      </c>
    </row>
    <row r="23" spans="1:38" ht="19.5" customHeight="1">
      <c r="B23" s="78" t="s">
        <v>129</v>
      </c>
      <c r="D23" s="105"/>
      <c r="E23" s="266" t="str">
        <f ca="1">LEFT(_xll.DBRA(Server&amp;$C$20,$B23,$F$17),LEN(_xll.DBRA(Server&amp;$C$20,$B23,$F$17))-4)</f>
        <v>Vente de carbu</v>
      </c>
      <c r="F23" s="266"/>
      <c r="G23" s="108"/>
      <c r="H23" s="109">
        <f ca="1">_xll.DBRW($H$3,$F$13,$F$14,$F$15,$F$16,$F$11,$F$12,H$18,H$1,$B23)</f>
        <v>321.42348000000004</v>
      </c>
      <c r="I23" s="109">
        <f ca="1">_xll.DBRW($H$3,$F$13,$F$14,$F$15,$F$16,$F$11,$F$12,I$18,I$1,$B23)</f>
        <v>307.69304999999997</v>
      </c>
      <c r="J23" s="109">
        <f ca="1">_xll.DBRW($H$3,$F$13,$F$14,$F$15,$F$16,$F$11,$F$12,J$18,J$1,$B23)</f>
        <v>0</v>
      </c>
      <c r="K23" s="109">
        <f ca="1">_xll.DBRW($H$3,$F$13,$F$14,$F$15,$F$16,$F$11,$F$12,K$18,K$1,$B23)</f>
        <v>412.01310999999998</v>
      </c>
      <c r="L23" s="107"/>
      <c r="M23" s="109">
        <f t="shared" ca="1" si="0"/>
        <v>13.730430000000069</v>
      </c>
      <c r="N23" s="110">
        <f t="shared" ca="1" si="1"/>
        <v>4.4623789845107231E-2</v>
      </c>
      <c r="O23" s="180" t="str">
        <f t="shared" ca="1" si="2"/>
        <v>ì</v>
      </c>
      <c r="P23" s="109">
        <f t="shared" ca="1" si="3"/>
        <v>321.42348000000004</v>
      </c>
      <c r="Q23" s="110" t="str">
        <f t="shared" ca="1" si="4"/>
        <v>-</v>
      </c>
      <c r="R23" s="180" t="str">
        <f t="shared" ca="1" si="5"/>
        <v>ì</v>
      </c>
      <c r="S23" s="109">
        <f t="shared" ca="1" si="6"/>
        <v>-90.589629999999943</v>
      </c>
      <c r="T23" s="110">
        <f t="shared" ca="1" si="7"/>
        <v>-0.21987074634591106</v>
      </c>
      <c r="U23" s="181" t="str">
        <f t="shared" ca="1" si="8"/>
        <v>î</v>
      </c>
      <c r="V23" s="30"/>
      <c r="Y23" s="25" t="s">
        <v>54</v>
      </c>
    </row>
    <row r="24" spans="1:38" ht="19.5" customHeight="1">
      <c r="B24" s="78" t="s">
        <v>130</v>
      </c>
      <c r="D24" s="105"/>
      <c r="E24" s="266" t="str">
        <f ca="1">_xll.DBRA(Server&amp;$C$20,$B24,$F$17)</f>
        <v>Vente de pièces détachées</v>
      </c>
      <c r="F24" s="266"/>
      <c r="G24" s="108"/>
      <c r="H24" s="109">
        <f ca="1">_xll.DBRW($H$3,$F$13,$F$14,$F$15,$F$16,$F$11,$F$12,H$18,H$1,$B24)</f>
        <v>69.227170000000001</v>
      </c>
      <c r="I24" s="109">
        <f ca="1">_xll.DBRW($H$3,$F$13,$F$14,$F$15,$F$16,$F$11,$F$12,I$18,I$1,$B24)</f>
        <v>38.5</v>
      </c>
      <c r="J24" s="109">
        <f ca="1">_xll.DBRW($H$3,$F$13,$F$14,$F$15,$F$16,$F$11,$F$12,J$18,J$1,$B24)</f>
        <v>0</v>
      </c>
      <c r="K24" s="109">
        <f ca="1">_xll.DBRW($H$3,$F$13,$F$14,$F$15,$F$16,$F$11,$F$12,K$18,K$1,$B24)</f>
        <v>156.85995494486693</v>
      </c>
      <c r="L24" s="107"/>
      <c r="M24" s="109">
        <f t="shared" ca="1" si="0"/>
        <v>30.727170000000001</v>
      </c>
      <c r="N24" s="110">
        <f t="shared" ca="1" si="1"/>
        <v>0.79810831168831176</v>
      </c>
      <c r="O24" s="180" t="str">
        <f t="shared" ca="1" si="2"/>
        <v>ì</v>
      </c>
      <c r="P24" s="109">
        <f t="shared" ca="1" si="3"/>
        <v>69.227170000000001</v>
      </c>
      <c r="Q24" s="110" t="str">
        <f t="shared" ca="1" si="4"/>
        <v>-</v>
      </c>
      <c r="R24" s="180" t="str">
        <f t="shared" ca="1" si="5"/>
        <v>ì</v>
      </c>
      <c r="S24" s="109">
        <f t="shared" ca="1" si="6"/>
        <v>-87.632784944866927</v>
      </c>
      <c r="T24" s="110">
        <f t="shared" ca="1" si="7"/>
        <v>-0.55866894119450727</v>
      </c>
      <c r="U24" s="181" t="str">
        <f t="shared" ca="1" si="8"/>
        <v>î</v>
      </c>
      <c r="V24" s="30"/>
      <c r="Y24" s="31" t="s">
        <v>56</v>
      </c>
    </row>
    <row r="25" spans="1:38" ht="19.5" customHeight="1">
      <c r="B25" s="78" t="s">
        <v>53</v>
      </c>
      <c r="D25" s="105"/>
      <c r="E25" s="266" t="str">
        <f ca="1">_xll.DBRA(Server&amp;$C$20,$B25,$F$17)</f>
        <v>Ventes de biens (RC)</v>
      </c>
      <c r="F25" s="266"/>
      <c r="G25" s="108"/>
      <c r="H25" s="109">
        <f ca="1">_xll.DBRW($H$3,$F$13,$F$14,$F$15,$F$16,$F$11,$F$12,H$18,H$1,$B25)</f>
        <v>2596.507842660812</v>
      </c>
      <c r="I25" s="109">
        <f ca="1">_xll.DBRW($H$3,$F$13,$F$14,$F$15,$F$16,$F$11,$F$12,I$18,I$1,$B25)</f>
        <v>3282.3713245827043</v>
      </c>
      <c r="J25" s="109">
        <f ca="1">_xll.DBRW($H$3,$F$13,$F$14,$F$15,$F$16,$F$11,$F$12,J$18,J$1,$B25)</f>
        <v>0</v>
      </c>
      <c r="K25" s="109">
        <f ca="1">_xll.DBRW($H$3,$F$13,$F$14,$F$15,$F$16,$F$11,$F$12,K$18,K$1,$B25)</f>
        <v>4380.3974259713686</v>
      </c>
      <c r="L25" s="107"/>
      <c r="M25" s="109">
        <f t="shared" ca="1" si="0"/>
        <v>-685.86348192189234</v>
      </c>
      <c r="N25" s="110">
        <f t="shared" ca="1" si="1"/>
        <v>-0.20895365395902848</v>
      </c>
      <c r="O25" s="180" t="str">
        <f t="shared" ca="1" si="2"/>
        <v>î</v>
      </c>
      <c r="P25" s="109">
        <f t="shared" ca="1" si="3"/>
        <v>2596.507842660812</v>
      </c>
      <c r="Q25" s="110" t="str">
        <f t="shared" ca="1" si="4"/>
        <v>-</v>
      </c>
      <c r="R25" s="180" t="str">
        <f t="shared" ca="1" si="5"/>
        <v>ì</v>
      </c>
      <c r="S25" s="109">
        <f t="shared" ca="1" si="6"/>
        <v>-1783.8895833105566</v>
      </c>
      <c r="T25" s="110">
        <f t="shared" ca="1" si="7"/>
        <v>-0.40724377489902591</v>
      </c>
      <c r="U25" s="181" t="str">
        <f t="shared" ca="1" si="8"/>
        <v>î</v>
      </c>
      <c r="V25" s="30"/>
      <c r="Y25" s="31" t="s">
        <v>56</v>
      </c>
    </row>
    <row r="26" spans="1:38" ht="19.5" customHeight="1">
      <c r="B26" s="78" t="s">
        <v>131</v>
      </c>
      <c r="D26" s="105"/>
      <c r="E26" s="266" t="str">
        <f ca="1">_xll.DBRA(Server&amp;$C$20,$B26,$F$17)</f>
        <v>Prestation atelier</v>
      </c>
      <c r="F26" s="266"/>
      <c r="G26" s="108"/>
      <c r="H26" s="109">
        <f ca="1">_xll.DBRW($H$3,$F$13,$F$14,$F$15,$F$16,$F$11,$F$12,H$18,H$1,$B26)</f>
        <v>78.888880000000029</v>
      </c>
      <c r="I26" s="109">
        <f ca="1">_xll.DBRW($H$3,$F$13,$F$14,$F$15,$F$16,$F$11,$F$12,I$18,I$1,$B26)</f>
        <v>461.91555555555561</v>
      </c>
      <c r="J26" s="109">
        <f ca="1">_xll.DBRW($H$3,$F$13,$F$14,$F$15,$F$16,$F$11,$F$12,J$18,J$1,$B26)</f>
        <v>0</v>
      </c>
      <c r="K26" s="109">
        <f ca="1">_xll.DBRW($H$3,$F$13,$F$14,$F$15,$F$16,$F$11,$F$12,K$18,K$1,$B26)</f>
        <v>172.45740366792967</v>
      </c>
      <c r="L26" s="107"/>
      <c r="M26" s="109">
        <f t="shared" ca="1" si="0"/>
        <v>-383.02667555555558</v>
      </c>
      <c r="N26" s="110">
        <f t="shared" ca="1" si="1"/>
        <v>-0.82921363212131116</v>
      </c>
      <c r="O26" s="180" t="str">
        <f t="shared" ca="1" si="2"/>
        <v>î</v>
      </c>
      <c r="P26" s="109">
        <f t="shared" ca="1" si="3"/>
        <v>78.888880000000029</v>
      </c>
      <c r="Q26" s="110" t="str">
        <f t="shared" ca="1" si="4"/>
        <v>-</v>
      </c>
      <c r="R26" s="180" t="str">
        <f t="shared" ca="1" si="5"/>
        <v>ì</v>
      </c>
      <c r="S26" s="109">
        <f t="shared" ca="1" si="6"/>
        <v>-93.568523667929639</v>
      </c>
      <c r="T26" s="110">
        <f t="shared" ca="1" si="7"/>
        <v>-0.54256020140543104</v>
      </c>
      <c r="U26" s="181" t="str">
        <f t="shared" ca="1" si="8"/>
        <v>î</v>
      </c>
      <c r="V26" s="30"/>
      <c r="Y26" s="31" t="s">
        <v>56</v>
      </c>
    </row>
    <row r="27" spans="1:38" ht="19.5" customHeight="1">
      <c r="B27" s="78" t="s">
        <v>57</v>
      </c>
      <c r="D27" s="105"/>
      <c r="E27" s="266" t="str">
        <f ca="1">_xll.DBRA(Server&amp;$C$20,$B27,$F$17)</f>
        <v>Autres revenus issus des activités de transport de voyageurs (y c. sous-traitance)</v>
      </c>
      <c r="F27" s="266"/>
      <c r="G27" s="108"/>
      <c r="H27" s="109">
        <f ca="1">_xll.DBRW($H$3,$F$13,$F$14,$F$15,$F$16,$F$11,$F$12,H$18,H$1,$B27)</f>
        <v>50567.087076631025</v>
      </c>
      <c r="I27" s="109">
        <f ca="1">_xll.DBRW($H$3,$F$13,$F$14,$F$15,$F$16,$F$11,$F$12,I$18,I$1,$B27)</f>
        <v>56188.234332256528</v>
      </c>
      <c r="J27" s="109">
        <f ca="1">_xll.DBRW($H$3,$F$13,$F$14,$F$15,$F$16,$F$11,$F$12,J$18,J$1,$B27)</f>
        <v>0</v>
      </c>
      <c r="K27" s="109">
        <f ca="1">_xll.DBRW($H$3,$F$13,$F$14,$F$15,$F$16,$F$11,$F$12,K$18,K$1,$B27)</f>
        <v>56253.215670131998</v>
      </c>
      <c r="L27" s="107"/>
      <c r="M27" s="109">
        <f t="shared" ca="1" si="0"/>
        <v>-5621.147255625503</v>
      </c>
      <c r="N27" s="110">
        <f t="shared" ca="1" si="1"/>
        <v>-0.10004135781142559</v>
      </c>
      <c r="O27" s="180" t="str">
        <f t="shared" ca="1" si="2"/>
        <v>î</v>
      </c>
      <c r="P27" s="109">
        <f t="shared" ca="1" si="3"/>
        <v>50567.087076631025</v>
      </c>
      <c r="Q27" s="110" t="str">
        <f t="shared" ca="1" si="4"/>
        <v>-</v>
      </c>
      <c r="R27" s="180" t="str">
        <f t="shared" ca="1" si="5"/>
        <v>ì</v>
      </c>
      <c r="S27" s="109">
        <f t="shared" ca="1" si="6"/>
        <v>-5686.1285935009728</v>
      </c>
      <c r="T27" s="110">
        <f t="shared" ca="1" si="7"/>
        <v>-0.1010809520089366</v>
      </c>
      <c r="U27" s="181" t="str">
        <f t="shared" ca="1" si="8"/>
        <v>î</v>
      </c>
      <c r="V27" s="30"/>
      <c r="Y27" s="31" t="s">
        <v>56</v>
      </c>
    </row>
    <row r="28" spans="1:38" ht="19.5" customHeight="1">
      <c r="B28" s="78" t="s">
        <v>61</v>
      </c>
      <c r="D28" s="105"/>
      <c r="E28" s="266" t="str">
        <f ca="1">_xll.DBRA(Server&amp;$C$20,$B28,$F$17)</f>
        <v>Bonus / Penalités</v>
      </c>
      <c r="F28" s="266"/>
      <c r="G28" s="108"/>
      <c r="H28" s="109">
        <f ca="1">_xll.DBRW($H$3,$F$13,$F$14,$F$15,$F$16,$F$11,$F$12,H$18,H$1,$B28)</f>
        <v>-210.76818563567448</v>
      </c>
      <c r="I28" s="109">
        <f ca="1">_xll.DBRW($H$3,$F$13,$F$14,$F$15,$F$16,$F$11,$F$12,I$18,I$1,$B28)</f>
        <v>6588.3957931903578</v>
      </c>
      <c r="J28" s="109">
        <f ca="1">_xll.DBRW($H$3,$F$13,$F$14,$F$15,$F$16,$F$11,$F$12,J$18,J$1,$B28)</f>
        <v>0</v>
      </c>
      <c r="K28" s="109">
        <f ca="1">_xll.DBRW($H$3,$F$13,$F$14,$F$15,$F$16,$F$11,$F$12,K$18,K$1,$B28)</f>
        <v>10577.224449089957</v>
      </c>
      <c r="L28" s="107"/>
      <c r="M28" s="109">
        <f t="shared" ca="1" si="0"/>
        <v>-6799.1639788260327</v>
      </c>
      <c r="N28" s="110">
        <f t="shared" ca="1" si="1"/>
        <v>-1.0319908202621222</v>
      </c>
      <c r="O28" s="180" t="str">
        <f t="shared" ca="1" si="2"/>
        <v>î</v>
      </c>
      <c r="P28" s="109">
        <f t="shared" ca="1" si="3"/>
        <v>-210.76818563567448</v>
      </c>
      <c r="Q28" s="110" t="str">
        <f t="shared" ca="1" si="4"/>
        <v>-</v>
      </c>
      <c r="R28" s="180" t="str">
        <f t="shared" ca="1" si="5"/>
        <v>î</v>
      </c>
      <c r="S28" s="109">
        <f t="shared" ca="1" si="6"/>
        <v>-10787.992634725631</v>
      </c>
      <c r="T28" s="110">
        <f t="shared" ca="1" si="7"/>
        <v>-1.0199266061385137</v>
      </c>
      <c r="U28" s="181" t="str">
        <f t="shared" ca="1" si="8"/>
        <v>î</v>
      </c>
      <c r="V28" s="30"/>
      <c r="Y28" s="31" t="s">
        <v>56</v>
      </c>
    </row>
    <row r="29" spans="1:38" ht="19.5" customHeight="1">
      <c r="B29" s="78" t="s">
        <v>55</v>
      </c>
      <c r="D29" s="105"/>
      <c r="E29" s="266" t="str">
        <f ca="1">_xll.DBRA(Server&amp;$C$20,$B29,$F$17)</f>
        <v>Recettes commerciales</v>
      </c>
      <c r="F29" s="266"/>
      <c r="G29" s="108"/>
      <c r="H29" s="109">
        <f ca="1">_xll.DBRW($H$3,$F$13,$F$14,$F$15,$F$16,$F$11,$F$12,H$18,H$1,$B29)</f>
        <v>274395.87230537168</v>
      </c>
      <c r="I29" s="109">
        <f ca="1">_xll.DBRW($H$3,$F$13,$F$14,$F$15,$F$16,$F$11,$F$12,I$18,I$1,$B29)</f>
        <v>517614.02844871883</v>
      </c>
      <c r="J29" s="109">
        <f ca="1">_xll.DBRW($H$3,$F$13,$F$14,$F$15,$F$16,$F$11,$F$12,J$18,J$1,$B29)</f>
        <v>0</v>
      </c>
      <c r="K29" s="109">
        <f ca="1">_xll.DBRW($H$3,$F$13,$F$14,$F$15,$F$16,$F$11,$F$12,K$18,K$1,$B29)</f>
        <v>582074.50479089818</v>
      </c>
      <c r="L29" s="107"/>
      <c r="M29" s="109">
        <f t="shared" ca="1" si="0"/>
        <v>-243218.15614334715</v>
      </c>
      <c r="N29" s="110">
        <f t="shared" ca="1" si="1"/>
        <v>-0.46988323881458194</v>
      </c>
      <c r="O29" s="180" t="str">
        <f t="shared" ca="1" si="2"/>
        <v>î</v>
      </c>
      <c r="P29" s="109">
        <f t="shared" ca="1" si="3"/>
        <v>274395.87230537168</v>
      </c>
      <c r="Q29" s="110" t="str">
        <f t="shared" ca="1" si="4"/>
        <v>-</v>
      </c>
      <c r="R29" s="180" t="str">
        <f t="shared" ca="1" si="5"/>
        <v>ì</v>
      </c>
      <c r="S29" s="109">
        <f t="shared" ca="1" si="6"/>
        <v>-307678.6324855265</v>
      </c>
      <c r="T29" s="110">
        <f t="shared" ca="1" si="7"/>
        <v>-0.52858977665763862</v>
      </c>
      <c r="U29" s="181" t="str">
        <f t="shared" ca="1" si="8"/>
        <v>î</v>
      </c>
      <c r="V29" s="30"/>
      <c r="Y29" s="25" t="s">
        <v>60</v>
      </c>
    </row>
    <row r="30" spans="1:38" ht="19.5" customHeight="1">
      <c r="B30" s="78" t="s">
        <v>59</v>
      </c>
      <c r="D30" s="105"/>
      <c r="E30" s="266" t="str">
        <f ca="1">_xll.DBRA(Server&amp;$C$20,$B30,$F$17)</f>
        <v>Autres prestations de services et publicité</v>
      </c>
      <c r="F30" s="266"/>
      <c r="G30" s="108"/>
      <c r="H30" s="109">
        <f ca="1">_xll.DBRW($H$3,$F$13,$F$14,$F$15,$F$16,$F$11,$F$12,H$18,H$1,$B30)</f>
        <v>26465.527521471078</v>
      </c>
      <c r="I30" s="109">
        <f ca="1">_xll.DBRW($H$3,$F$13,$F$14,$F$15,$F$16,$F$11,$F$12,I$18,I$1,$B30)</f>
        <v>56790.070458908558</v>
      </c>
      <c r="J30" s="109">
        <f ca="1">_xll.DBRW($H$3,$F$13,$F$14,$F$15,$F$16,$F$11,$F$12,J$18,J$1,$B30)</f>
        <v>-2.5997500000000002</v>
      </c>
      <c r="K30" s="109">
        <f ca="1">_xll.DBRW($H$3,$F$13,$F$14,$F$15,$F$16,$F$11,$F$12,K$18,K$1,$B30)</f>
        <v>72653.433691454004</v>
      </c>
      <c r="L30" s="107"/>
      <c r="M30" s="109">
        <f t="shared" ca="1" si="0"/>
        <v>-30324.54293743748</v>
      </c>
      <c r="N30" s="110">
        <f t="shared" ca="1" si="1"/>
        <v>-0.5339761456957397</v>
      </c>
      <c r="O30" s="180" t="str">
        <f t="shared" ca="1" si="2"/>
        <v>î</v>
      </c>
      <c r="P30" s="109">
        <f t="shared" ca="1" si="3"/>
        <v>26468.127271471079</v>
      </c>
      <c r="Q30" s="110" t="str">
        <f t="shared" ca="1" si="4"/>
        <v>-</v>
      </c>
      <c r="R30" s="180" t="str">
        <f t="shared" ca="1" si="5"/>
        <v>ì</v>
      </c>
      <c r="S30" s="109">
        <f t="shared" ca="1" si="6"/>
        <v>-46187.906169982925</v>
      </c>
      <c r="T30" s="110">
        <f t="shared" ca="1" si="7"/>
        <v>-0.63572915722241863</v>
      </c>
      <c r="U30" s="181" t="str">
        <f t="shared" ca="1" si="8"/>
        <v>î</v>
      </c>
      <c r="V30" s="30"/>
      <c r="Y30" s="31" t="s">
        <v>62</v>
      </c>
    </row>
    <row r="31" spans="1:38" ht="19.5" customHeight="1">
      <c r="B31" s="78" t="s">
        <v>135</v>
      </c>
      <c r="D31" s="105"/>
      <c r="E31" s="266" t="str">
        <f ca="1">_xll.DBRA(Server&amp;$C$20,$B31,$F$17)</f>
        <v>Refacturation de charges de loyers et revenus de location simple IFRS16</v>
      </c>
      <c r="F31" s="266"/>
      <c r="G31" s="108"/>
      <c r="H31" s="109">
        <f ca="1">SUM(H32:H34)</f>
        <v>-324.32983499999892</v>
      </c>
      <c r="I31" s="109">
        <f t="shared" ref="I31:K31" ca="1" si="9">SUM(I32:I34)</f>
        <v>8755.2911791109673</v>
      </c>
      <c r="J31" s="109">
        <f t="shared" ca="1" si="9"/>
        <v>738.04200000000003</v>
      </c>
      <c r="K31" s="109">
        <f t="shared" ca="1" si="9"/>
        <v>1307.7973614338844</v>
      </c>
      <c r="L31" s="107"/>
      <c r="M31" s="109">
        <f t="shared" ca="1" si="0"/>
        <v>-9079.6210141109659</v>
      </c>
      <c r="N31" s="110">
        <f t="shared" ca="1" si="1"/>
        <v>-1.0370438662021668</v>
      </c>
      <c r="O31" s="180" t="str">
        <f t="shared" ca="1" si="2"/>
        <v>î</v>
      </c>
      <c r="P31" s="109">
        <f t="shared" ca="1" si="3"/>
        <v>-1062.371834999999</v>
      </c>
      <c r="Q31" s="110">
        <f t="shared" ca="1" si="4"/>
        <v>-1.4394463119985028</v>
      </c>
      <c r="R31" s="180" t="str">
        <f t="shared" ca="1" si="5"/>
        <v>î</v>
      </c>
      <c r="S31" s="109">
        <f t="shared" ca="1" si="6"/>
        <v>-1632.1271964338832</v>
      </c>
      <c r="T31" s="110">
        <f t="shared" ca="1" si="7"/>
        <v>-1.2479970097541715</v>
      </c>
      <c r="U31" s="181" t="str">
        <f t="shared" ca="1" si="8"/>
        <v>î</v>
      </c>
      <c r="V31" s="30"/>
      <c r="Y31" s="31"/>
    </row>
    <row r="32" spans="1:38" s="66" customFormat="1" ht="19.5" hidden="1" customHeight="1" outlineLevel="1">
      <c r="A32" s="111"/>
      <c r="B32" s="112" t="s">
        <v>132</v>
      </c>
      <c r="C32" s="113"/>
      <c r="D32" s="114"/>
      <c r="E32" s="267" t="str">
        <f ca="1">_xll.DBRA(Server&amp;$C$20,$B32,$F$17)</f>
        <v>Revenu des locations (ou sous-locations) de matériel roulant passagers</v>
      </c>
      <c r="F32" s="267"/>
      <c r="G32" s="115"/>
      <c r="H32" s="116">
        <f ca="1">_xll.DBRW($H$3,$F$13,$F$14,$F$15,$F$16,$F$11,$F$12,H$18,H$1,$B32)</f>
        <v>-453.87360499999875</v>
      </c>
      <c r="I32" s="116">
        <f ca="1">_xll.DBRW($H$3,$F$13,$F$14,$F$15,$F$16,$F$11,$F$12,I$18,I$1,$B32)</f>
        <v>7068.1003323878795</v>
      </c>
      <c r="J32" s="116">
        <f ca="1">_xll.DBRW($H$3,$F$13,$F$14,$F$15,$F$16,$F$11,$F$12,J$18,J$1,$B32)</f>
        <v>0</v>
      </c>
      <c r="K32" s="116">
        <f ca="1">_xll.DBRW($H$3,$F$13,$F$14,$F$15,$F$16,$F$11,$F$12,K$18,K$1,$B32)</f>
        <v>203.38016499999861</v>
      </c>
      <c r="L32" s="117"/>
      <c r="M32" s="116">
        <f t="shared" ca="1" si="0"/>
        <v>-7521.9739373878783</v>
      </c>
      <c r="N32" s="118">
        <f t="shared" ca="1" si="1"/>
        <v>-1.0642143693009325</v>
      </c>
      <c r="O32" s="180" t="str">
        <f t="shared" ca="1" si="2"/>
        <v>î</v>
      </c>
      <c r="P32" s="116">
        <f t="shared" ca="1" si="3"/>
        <v>-453.87360499999875</v>
      </c>
      <c r="Q32" s="118" t="str">
        <f t="shared" ca="1" si="4"/>
        <v>-</v>
      </c>
      <c r="R32" s="180" t="str">
        <f t="shared" ca="1" si="5"/>
        <v>î</v>
      </c>
      <c r="S32" s="116">
        <f t="shared" ca="1" si="6"/>
        <v>-657.2537699999973</v>
      </c>
      <c r="T32" s="118" t="str">
        <f t="shared" ca="1" si="7"/>
        <v>-</v>
      </c>
      <c r="U32" s="181" t="str">
        <f t="shared" ca="1" si="8"/>
        <v>î</v>
      </c>
      <c r="V32" s="67"/>
      <c r="W32" s="68"/>
      <c r="X32" s="68"/>
      <c r="Y32" s="69" t="s">
        <v>56</v>
      </c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</row>
    <row r="33" spans="1:38" s="66" customFormat="1" ht="19.5" hidden="1" customHeight="1" outlineLevel="1">
      <c r="A33" s="111"/>
      <c r="B33" s="112" t="s">
        <v>133</v>
      </c>
      <c r="C33" s="113"/>
      <c r="D33" s="114"/>
      <c r="E33" s="267" t="str">
        <f ca="1">_xll.DBRA(Server&amp;$C$20,$B33,$F$17)</f>
        <v>Refacturation des charges de loyer Infrastructure</v>
      </c>
      <c r="F33" s="267"/>
      <c r="G33" s="115"/>
      <c r="H33" s="116">
        <f ca="1">_xll.DBRW($H$3,$F$13,$F$14,$F$15,$F$16,$F$11,$F$12,H$18,H$1,$B33)</f>
        <v>129.54376999999982</v>
      </c>
      <c r="I33" s="116">
        <f ca="1">_xll.DBRW($H$3,$F$13,$F$14,$F$15,$F$16,$F$11,$F$12,I$18,I$1,$B33)</f>
        <v>844.39452770468347</v>
      </c>
      <c r="J33" s="116">
        <f ca="1">_xll.DBRW($H$3,$F$13,$F$14,$F$15,$F$16,$F$11,$F$12,J$18,J$1,$B33)</f>
        <v>0</v>
      </c>
      <c r="K33" s="116">
        <f ca="1">_xll.DBRW($H$3,$F$13,$F$14,$F$15,$F$16,$F$11,$F$12,K$18,K$1,$B33)</f>
        <v>124.78427000000008</v>
      </c>
      <c r="L33" s="117"/>
      <c r="M33" s="116">
        <f t="shared" ca="1" si="0"/>
        <v>-714.8507577046837</v>
      </c>
      <c r="N33" s="118">
        <f t="shared" ca="1" si="1"/>
        <v>-0.84658383522198044</v>
      </c>
      <c r="O33" s="180" t="str">
        <f t="shared" ca="1" si="2"/>
        <v>î</v>
      </c>
      <c r="P33" s="116">
        <f t="shared" ca="1" si="3"/>
        <v>129.54376999999982</v>
      </c>
      <c r="Q33" s="118" t="str">
        <f t="shared" ca="1" si="4"/>
        <v>-</v>
      </c>
      <c r="R33" s="180" t="str">
        <f t="shared" ca="1" si="5"/>
        <v>ì</v>
      </c>
      <c r="S33" s="116">
        <f t="shared" ca="1" si="6"/>
        <v>4.7594999999997469</v>
      </c>
      <c r="T33" s="118">
        <f t="shared" ca="1" si="7"/>
        <v>3.8141826690172922E-2</v>
      </c>
      <c r="U33" s="181" t="str">
        <f t="shared" ca="1" si="8"/>
        <v>ì</v>
      </c>
      <c r="V33" s="67"/>
      <c r="W33" s="68"/>
      <c r="X33" s="68"/>
      <c r="Y33" s="69" t="s">
        <v>56</v>
      </c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</row>
    <row r="34" spans="1:38" s="66" customFormat="1" ht="19.5" hidden="1" customHeight="1" outlineLevel="1">
      <c r="A34" s="111"/>
      <c r="B34" s="112" t="s">
        <v>134</v>
      </c>
      <c r="C34" s="113"/>
      <c r="D34" s="114"/>
      <c r="E34" s="267" t="str">
        <f ca="1">_xll.DBRA(Server&amp;$C$20,$B34,$F$17)</f>
        <v>Revenu des locations (ou sous-locations) des autres actifs</v>
      </c>
      <c r="F34" s="267"/>
      <c r="G34" s="115"/>
      <c r="H34" s="116">
        <f ca="1">_xll.DBRW($H$3,$F$13,$F$14,$F$15,$F$16,$F$11,$F$12,H$18,H$1,$B34)</f>
        <v>0</v>
      </c>
      <c r="I34" s="116">
        <f ca="1">_xll.DBRW($H$3,$F$13,$F$14,$F$15,$F$16,$F$11,$F$12,I$18,I$1,$B34)</f>
        <v>842.79631901840503</v>
      </c>
      <c r="J34" s="116">
        <f ca="1">_xll.DBRW($H$3,$F$13,$F$14,$F$15,$F$16,$F$11,$F$12,J$18,J$1,$B34)</f>
        <v>738.04200000000003</v>
      </c>
      <c r="K34" s="116">
        <f ca="1">_xll.DBRW($H$3,$F$13,$F$14,$F$15,$F$16,$F$11,$F$12,K$18,K$1,$B34)</f>
        <v>979.6329264338857</v>
      </c>
      <c r="L34" s="117"/>
      <c r="M34" s="116">
        <f t="shared" ca="1" si="0"/>
        <v>-842.79631901840503</v>
      </c>
      <c r="N34" s="118">
        <f t="shared" ca="1" si="1"/>
        <v>-1</v>
      </c>
      <c r="O34" s="180" t="str">
        <f t="shared" ca="1" si="2"/>
        <v>î</v>
      </c>
      <c r="P34" s="116">
        <f t="shared" ca="1" si="3"/>
        <v>-738.04200000000003</v>
      </c>
      <c r="Q34" s="118">
        <f t="shared" ca="1" si="4"/>
        <v>-1</v>
      </c>
      <c r="R34" s="180" t="str">
        <f t="shared" ca="1" si="5"/>
        <v>î</v>
      </c>
      <c r="S34" s="116">
        <f t="shared" ca="1" si="6"/>
        <v>-979.6329264338857</v>
      </c>
      <c r="T34" s="118">
        <f t="shared" ca="1" si="7"/>
        <v>-1</v>
      </c>
      <c r="U34" s="181" t="str">
        <f t="shared" ca="1" si="8"/>
        <v>î</v>
      </c>
      <c r="V34" s="67"/>
      <c r="W34" s="68"/>
      <c r="X34" s="68"/>
      <c r="Y34" s="70" t="s">
        <v>58</v>
      </c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</row>
    <row r="35" spans="1:38" ht="19.5" customHeight="1" collapsed="1">
      <c r="B35" s="78" t="s">
        <v>63</v>
      </c>
      <c r="D35" s="105"/>
      <c r="E35" s="266" t="str">
        <f ca="1">_xll.DBRA(Server&amp;$C$20,$B35,$F$17)</f>
        <v>Subventions d'exploitation (garanties et variables)</v>
      </c>
      <c r="F35" s="266"/>
      <c r="G35" s="108"/>
      <c r="H35" s="109">
        <f ca="1">_xll.DBRW($H$3,$F$13,$F$14,$F$15,$F$16,$F$11,$F$12,H$18,H$1,$B35)</f>
        <v>378416.26532150095</v>
      </c>
      <c r="I35" s="109">
        <f ca="1">_xll.DBRW($H$3,$F$13,$F$14,$F$15,$F$16,$F$11,$F$12,I$18,I$1,$B35)</f>
        <v>375822.38766032807</v>
      </c>
      <c r="J35" s="109">
        <f ca="1">_xll.DBRW($H$3,$F$13,$F$14,$F$15,$F$16,$F$11,$F$12,J$18,J$1,$B35)</f>
        <v>0</v>
      </c>
      <c r="K35" s="109">
        <f ca="1">_xll.DBRW($H$3,$F$13,$F$14,$F$15,$F$16,$F$11,$F$12,K$18,K$1,$B35)</f>
        <v>425536.4488339136</v>
      </c>
      <c r="L35" s="107"/>
      <c r="M35" s="109">
        <f t="shared" ca="1" si="0"/>
        <v>2593.8776611728827</v>
      </c>
      <c r="N35" s="110">
        <f t="shared" ca="1" si="1"/>
        <v>6.9018710602127692E-3</v>
      </c>
      <c r="O35" s="180" t="str">
        <f t="shared" ca="1" si="2"/>
        <v>è</v>
      </c>
      <c r="P35" s="109">
        <f t="shared" ca="1" si="3"/>
        <v>378416.26532150095</v>
      </c>
      <c r="Q35" s="110" t="str">
        <f t="shared" ca="1" si="4"/>
        <v>-</v>
      </c>
      <c r="R35" s="180" t="str">
        <f t="shared" ca="1" si="5"/>
        <v>ì</v>
      </c>
      <c r="S35" s="109">
        <f t="shared" ca="1" si="6"/>
        <v>-47120.183512412652</v>
      </c>
      <c r="T35" s="110">
        <f t="shared" ca="1" si="7"/>
        <v>-0.1107312514392947</v>
      </c>
      <c r="U35" s="181" t="str">
        <f t="shared" ca="1" si="8"/>
        <v>î</v>
      </c>
      <c r="V35" s="30"/>
      <c r="Y35" s="24" t="s">
        <v>64</v>
      </c>
    </row>
    <row r="36" spans="1:38" ht="24" customHeight="1">
      <c r="B36" s="78" t="s">
        <v>65</v>
      </c>
      <c r="D36" s="119"/>
      <c r="E36" s="269" t="str">
        <f ca="1">_xll.DBRA(Server&amp;$C$20,$B36,$F$17)</f>
        <v>Revenus ajustés sur l'année antérieure</v>
      </c>
      <c r="F36" s="269"/>
      <c r="G36" s="120"/>
      <c r="H36" s="175">
        <f ca="1">_xll.DBRW($H$3,$F$13,$F$14,$F$15,$F$16,$F$11,$F$12,H$18,H$1,$B36)</f>
        <v>0</v>
      </c>
      <c r="I36" s="175">
        <f ca="1">_xll.DBRW($H$3,$F$13,$F$14,$F$15,$F$16,$F$11,$F$12,I$18,I$1,$B36)</f>
        <v>0</v>
      </c>
      <c r="J36" s="175">
        <f ca="1">_xll.DBRW($H$3,$F$13,$F$14,$F$15,$F$16,$F$11,$F$12,J$18,J$1,$B36)</f>
        <v>0</v>
      </c>
      <c r="K36" s="175">
        <f ca="1">_xll.DBRW($H$3,$F$13,$F$14,$F$15,$F$16,$F$11,$F$12,K$18,K$1,$B36)</f>
        <v>-0.84947999999999979</v>
      </c>
      <c r="L36" s="107"/>
      <c r="M36" s="175">
        <f t="shared" ca="1" si="0"/>
        <v>0</v>
      </c>
      <c r="N36" s="178" t="str">
        <f t="shared" ca="1" si="1"/>
        <v>-</v>
      </c>
      <c r="O36" s="182" t="str">
        <f t="shared" ca="1" si="2"/>
        <v>è</v>
      </c>
      <c r="P36" s="175">
        <f t="shared" ca="1" si="3"/>
        <v>0</v>
      </c>
      <c r="Q36" s="178" t="str">
        <f t="shared" ca="1" si="4"/>
        <v>-</v>
      </c>
      <c r="R36" s="182" t="str">
        <f t="shared" ca="1" si="5"/>
        <v>è</v>
      </c>
      <c r="S36" s="175">
        <f t="shared" ca="1" si="6"/>
        <v>0.84947999999999979</v>
      </c>
      <c r="T36" s="178">
        <f t="shared" ca="1" si="7"/>
        <v>-1</v>
      </c>
      <c r="U36" s="179" t="str">
        <f t="shared" ca="1" si="8"/>
        <v>ì</v>
      </c>
      <c r="V36" s="30"/>
      <c r="Y36" s="25" t="s">
        <v>66</v>
      </c>
    </row>
    <row r="37" spans="1:38" ht="18" customHeight="1">
      <c r="B37" s="71" t="s">
        <v>67</v>
      </c>
      <c r="D37" s="119"/>
      <c r="E37" s="269" t="str">
        <f ca="1">_xll.DBRA(Server&amp;$C$20,$B37,$F$17)</f>
        <v>Revenus supplémentaires</v>
      </c>
      <c r="F37" s="269"/>
      <c r="G37" s="108"/>
      <c r="H37" s="175">
        <f ca="1">_xll.DBRW($H$3,$F$13,$F$14,$F$15,$F$16,$F$11,$F$12,H$18,H$1,$B37)</f>
        <v>580.56131485008552</v>
      </c>
      <c r="I37" s="175">
        <f ca="1">_xll.DBRW($H$3,$F$13,$F$14,$F$15,$F$16,$F$11,$F$12,I$18,I$1,$B37)</f>
        <v>645.98382173194909</v>
      </c>
      <c r="J37" s="175">
        <f ca="1">_xll.DBRW($H$3,$F$13,$F$14,$F$15,$F$16,$F$11,$F$12,J$18,J$1,$B37)</f>
        <v>0</v>
      </c>
      <c r="K37" s="175">
        <f ca="1">_xll.DBRW($H$3,$F$13,$F$14,$F$15,$F$16,$F$11,$F$12,K$18,K$1,$B37)</f>
        <v>688.99163946803208</v>
      </c>
      <c r="L37" s="107"/>
      <c r="M37" s="175">
        <f t="shared" ca="1" si="0"/>
        <v>-65.422506881863569</v>
      </c>
      <c r="N37" s="176">
        <f t="shared" ca="1" si="1"/>
        <v>-0.10127576679313594</v>
      </c>
      <c r="O37" s="182" t="str">
        <f t="shared" ca="1" si="2"/>
        <v>î</v>
      </c>
      <c r="P37" s="175">
        <f t="shared" ca="1" si="3"/>
        <v>580.56131485008552</v>
      </c>
      <c r="Q37" s="176" t="str">
        <f t="shared" ca="1" si="4"/>
        <v>-</v>
      </c>
      <c r="R37" s="182" t="str">
        <f t="shared" ca="1" si="5"/>
        <v>ì</v>
      </c>
      <c r="S37" s="175">
        <f t="shared" ca="1" si="6"/>
        <v>-108.43032461794655</v>
      </c>
      <c r="T37" s="176">
        <f t="shared" ca="1" si="7"/>
        <v>-0.15737538513771401</v>
      </c>
      <c r="U37" s="179" t="str">
        <f t="shared" ca="1" si="8"/>
        <v>î</v>
      </c>
      <c r="V37" s="30"/>
      <c r="Y37" s="25" t="s">
        <v>68</v>
      </c>
    </row>
    <row r="38" spans="1:38" s="33" customFormat="1" ht="18" customHeight="1">
      <c r="A38" s="121"/>
      <c r="B38" s="78" t="s">
        <v>69</v>
      </c>
      <c r="C38" s="121"/>
      <c r="D38" s="122"/>
      <c r="E38" s="284" t="str">
        <f ca="1">_xll.DBRA(Server&amp;$C$20,$B38,$F$17)</f>
        <v>Produit des activités ordinaires - Réconciliation Vector</v>
      </c>
      <c r="F38" s="284"/>
      <c r="G38" s="123"/>
      <c r="H38" s="183">
        <f ca="1">_xll.DBRW($H$3,$F$13,$F$14,$F$15,$F$16,$F$11,$F$12,H$18,H$1,$B38)</f>
        <v>518703.91216515005</v>
      </c>
      <c r="I38" s="183">
        <f ca="1">_xll.DBRW($H$3,$F$13,$F$14,$F$15,$F$16,$F$11,$F$12,I$18,I$1,$B38)</f>
        <v>199697.14024761665</v>
      </c>
      <c r="J38" s="183">
        <f ca="1">_xll.DBRW($H$3,$F$13,$F$14,$F$15,$F$16,$F$11,$F$12,J$18,J$1,$B38)</f>
        <v>-735.44225000000006</v>
      </c>
      <c r="K38" s="183">
        <f ca="1">_xll.DBRW($H$3,$F$13,$F$14,$F$15,$F$16,$F$11,$F$12,K$18,K$1,$B38)</f>
        <v>-2454.9053819738619</v>
      </c>
      <c r="L38" s="184"/>
      <c r="M38" s="183">
        <f t="shared" ca="1" si="0"/>
        <v>319006.77191753336</v>
      </c>
      <c r="N38" s="185">
        <f t="shared" ca="1" si="1"/>
        <v>1.5974528805068386</v>
      </c>
      <c r="O38" s="186"/>
      <c r="P38" s="183">
        <f t="shared" ca="1" si="3"/>
        <v>519439.35441515007</v>
      </c>
      <c r="Q38" s="185" t="str">
        <f t="shared" ca="1" si="4"/>
        <v>-</v>
      </c>
      <c r="R38" s="186"/>
      <c r="S38" s="183">
        <f t="shared" ca="1" si="6"/>
        <v>521158.81754712388</v>
      </c>
      <c r="T38" s="185" t="str">
        <f t="shared" ca="1" si="7"/>
        <v>-</v>
      </c>
      <c r="U38" s="186"/>
      <c r="V38" s="32"/>
      <c r="W38" s="18"/>
      <c r="X38" s="18"/>
      <c r="Y38" s="25" t="s">
        <v>70</v>
      </c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</row>
    <row r="39" spans="1:38" ht="9.75" customHeight="1">
      <c r="C39" s="78"/>
      <c r="D39" s="105"/>
      <c r="E39" s="124"/>
      <c r="F39" s="124"/>
      <c r="G39" s="124"/>
      <c r="H39" s="125"/>
      <c r="I39" s="125"/>
      <c r="J39" s="125"/>
      <c r="K39" s="125"/>
      <c r="L39" s="125"/>
      <c r="M39" s="125"/>
      <c r="N39" s="126"/>
      <c r="O39" s="156"/>
      <c r="P39" s="125"/>
      <c r="Q39" s="126"/>
      <c r="R39" s="156"/>
      <c r="S39" s="125"/>
      <c r="T39" s="126"/>
      <c r="U39" s="167"/>
      <c r="V39" s="34"/>
      <c r="W39" s="34"/>
      <c r="Y39" s="31" t="s">
        <v>71</v>
      </c>
    </row>
    <row r="40" spans="1:38" s="26" customFormat="1" ht="24.95" customHeight="1">
      <c r="A40" s="101"/>
      <c r="B40" s="102" t="s">
        <v>72</v>
      </c>
      <c r="C40" s="101" t="str">
        <f ca="1">_xll.DBRA(Server&amp;$C$20,$B40,$F$17)</f>
        <v>COUT DES VENTES (CDV) (par destination)</v>
      </c>
      <c r="D40" s="127"/>
      <c r="E40" s="268" t="str">
        <f ca="1">LEFT(C40,FIND("(",C40,1)-1)</f>
        <v xml:space="preserve">COUT DES VENTES </v>
      </c>
      <c r="F40" s="268"/>
      <c r="G40" s="187"/>
      <c r="H40" s="172">
        <f ca="1">_xll.DBRW($H$3,$F$13,$F$14,$F$15,$F$16,$F$11,$F$12,H$18,H$1,$B40)</f>
        <v>-1131079.2950746862</v>
      </c>
      <c r="I40" s="172">
        <f ca="1">_xll.DBRW($H$3,$F$13,$F$14,$F$15,$F$16,$F$11,$F$12,I$18,I$1,$B40)</f>
        <v>-1106043.2732198562</v>
      </c>
      <c r="J40" s="172">
        <f ca="1">_xll.DBRW($H$3,$F$13,$F$14,$F$15,$F$16,$F$11,$F$12,J$18,J$1,$B40)</f>
        <v>0</v>
      </c>
      <c r="K40" s="172">
        <f ca="1">_xll.DBRW($H$3,$F$13,$F$14,$F$15,$F$16,$F$11,$F$12,K$18,K$1,$B40)</f>
        <v>-1035180.8920361331</v>
      </c>
      <c r="L40" s="104"/>
      <c r="M40" s="172">
        <f t="shared" ref="M40:M52" ca="1" si="10">IF(OR($H40="",I40=""),"-",IFERROR(($H40-I40),""))</f>
        <v>-25036.021854829974</v>
      </c>
      <c r="N40" s="173">
        <f t="shared" ref="N40:N52" ca="1" si="11">IF(OR($I40=0,M40=0),"-",IF(ABS(M40/$I40)&gt;2,"-",M40/$I40))</f>
        <v>2.26356621490463E-2</v>
      </c>
      <c r="O40" s="174" t="str">
        <f t="shared" ref="O40:O51" ca="1" si="12">IF(OR(AND(N40&gt;0.01,M40&lt;0),AND(N40&lt;-0.01,M40&lt;0)),"î",IF(OR(AND(N40&lt;-0.01,M40&gt;0),AND(N40&gt;0.01,M40&gt;0)),"ì","è"))</f>
        <v>î</v>
      </c>
      <c r="P40" s="172">
        <f t="shared" ref="P40:P52" ca="1" si="13">IF(OR($H40="",J40=""),"-",IFERROR(($H40-J40),""))</f>
        <v>-1131079.2950746862</v>
      </c>
      <c r="Q40" s="173" t="str">
        <f t="shared" ref="Q40:Q52" ca="1" si="14">IF(OR($J40=0,P40=0),"-",IF(ABS(P40/$J40)&gt;2,"-",P40/$J40))</f>
        <v>-</v>
      </c>
      <c r="R40" s="174" t="str">
        <f t="shared" ref="R40:R51" ca="1" si="15">IF(OR(AND(Q40&gt;0.01,P40&lt;0),AND(Q40&lt;-0.01,P40&lt;0)),"î",IF(OR(AND(Q40&lt;-0.01,P40&gt;0),AND(Q40&gt;0.01,P40&gt;0)),"ì","è"))</f>
        <v>î</v>
      </c>
      <c r="S40" s="172">
        <f t="shared" ref="S40:S52" ca="1" si="16">IF(OR($H40="",K40=""),"-",IFERROR(($H40-K40),""))</f>
        <v>-95898.403038553079</v>
      </c>
      <c r="T40" s="173">
        <f t="shared" ref="T40:T52" ca="1" si="17">IF(OR($K40=0,S40=0),"-",IF(ABS(S40/$K40)&gt;2,"-",S40/$K40))</f>
        <v>9.2639270852389086E-2</v>
      </c>
      <c r="U40" s="174" t="str">
        <f t="shared" ref="U40:U51" ca="1" si="18">IF(OR(AND(T40&gt;0.01,S40&lt;0),AND(T40&lt;-0.01,S40&lt;0)),"î",IF(OR(AND(T40&lt;-0.01,S40&gt;0),AND(T40&gt;0.01,S40&gt;0)),"ì","è"))</f>
        <v>î</v>
      </c>
      <c r="V40" s="35"/>
      <c r="W40" s="29"/>
      <c r="X40" s="29"/>
      <c r="Y40" s="36" t="s">
        <v>73</v>
      </c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</row>
    <row r="41" spans="1:38" ht="19.5">
      <c r="B41" s="78" t="s">
        <v>74</v>
      </c>
      <c r="D41" s="119"/>
      <c r="E41" s="266" t="str">
        <f ca="1">_xll.DBRA(Server&amp;$C$20,$B41,$F$17)</f>
        <v>Sous-traitance transport</v>
      </c>
      <c r="F41" s="266"/>
      <c r="G41" s="106"/>
      <c r="H41" s="109">
        <f ca="1">_xll.DBRW($H$3,$F$13,$F$14,$F$15,$F$16,$F$11,$F$12,H$18,H$1,$B41)</f>
        <v>-49418.033663425755</v>
      </c>
      <c r="I41" s="109">
        <f ca="1">_xll.DBRW($H$3,$F$13,$F$14,$F$15,$F$16,$F$11,$F$12,I$18,I$1,$B41)</f>
        <v>-58460.958404863297</v>
      </c>
      <c r="J41" s="109">
        <f ca="1">_xll.DBRW($H$3,$F$13,$F$14,$F$15,$F$16,$F$11,$F$12,J$18,J$1,$B41)</f>
        <v>0</v>
      </c>
      <c r="K41" s="109">
        <f ca="1">_xll.DBRW($H$3,$F$13,$F$14,$F$15,$F$16,$F$11,$F$12,K$18,K$1,$B41)</f>
        <v>-82209.867758555672</v>
      </c>
      <c r="L41" s="107"/>
      <c r="M41" s="109">
        <f t="shared" ca="1" si="10"/>
        <v>9042.9247414375423</v>
      </c>
      <c r="N41" s="110">
        <f t="shared" ca="1" si="11"/>
        <v>-0.15468314218887783</v>
      </c>
      <c r="O41" s="180" t="str">
        <f t="shared" ca="1" si="12"/>
        <v>ì</v>
      </c>
      <c r="P41" s="109">
        <f t="shared" ca="1" si="13"/>
        <v>-49418.033663425755</v>
      </c>
      <c r="Q41" s="110" t="str">
        <f t="shared" ca="1" si="14"/>
        <v>-</v>
      </c>
      <c r="R41" s="180" t="str">
        <f t="shared" ca="1" si="15"/>
        <v>î</v>
      </c>
      <c r="S41" s="109">
        <f t="shared" ca="1" si="16"/>
        <v>32791.834095129918</v>
      </c>
      <c r="T41" s="110">
        <f t="shared" ca="1" si="17"/>
        <v>-0.3988795382987006</v>
      </c>
      <c r="U41" s="181" t="str">
        <f t="shared" ca="1" si="18"/>
        <v>ì</v>
      </c>
      <c r="V41" s="37"/>
      <c r="X41" s="15"/>
      <c r="Y41" s="24" t="s">
        <v>75</v>
      </c>
    </row>
    <row r="42" spans="1:38" ht="19.5">
      <c r="B42" s="78" t="s">
        <v>76</v>
      </c>
      <c r="D42" s="119"/>
      <c r="E42" s="266" t="str">
        <f ca="1">_xll.DBRA(Server&amp;$C$20,$B42,$F$17)</f>
        <v>Conduite / Opérations (RESOP)</v>
      </c>
      <c r="F42" s="266"/>
      <c r="G42" s="128"/>
      <c r="H42" s="109">
        <f ca="1">_xll.DBRW($H$3,$F$13,$F$14,$F$15,$F$16,$F$11,$F$12,H$18,H$1,$B42)</f>
        <v>-291501.67688035121</v>
      </c>
      <c r="I42" s="109">
        <f ca="1">_xll.DBRW($H$3,$F$13,$F$14,$F$15,$F$16,$F$11,$F$12,I$18,I$1,$B42)</f>
        <v>-402070.22106299532</v>
      </c>
      <c r="J42" s="109">
        <f ca="1">_xll.DBRW($H$3,$F$13,$F$14,$F$15,$F$16,$F$11,$F$12,J$18,J$1,$B42)</f>
        <v>0</v>
      </c>
      <c r="K42" s="109">
        <f ca="1">_xll.DBRW($H$3,$F$13,$F$14,$F$15,$F$16,$F$11,$F$12,K$18,K$1,$B42)</f>
        <v>-426285.63846657047</v>
      </c>
      <c r="L42" s="107"/>
      <c r="M42" s="109">
        <f t="shared" ca="1" si="10"/>
        <v>110568.54418264411</v>
      </c>
      <c r="N42" s="110">
        <f t="shared" ca="1" si="11"/>
        <v>-0.27499809334380054</v>
      </c>
      <c r="O42" s="180" t="str">
        <f t="shared" ca="1" si="12"/>
        <v>ì</v>
      </c>
      <c r="P42" s="109">
        <f t="shared" ca="1" si="13"/>
        <v>-291501.67688035121</v>
      </c>
      <c r="Q42" s="110" t="str">
        <f t="shared" ca="1" si="14"/>
        <v>-</v>
      </c>
      <c r="R42" s="180" t="str">
        <f t="shared" ca="1" si="15"/>
        <v>î</v>
      </c>
      <c r="S42" s="109">
        <f t="shared" ca="1" si="16"/>
        <v>134783.96158621926</v>
      </c>
      <c r="T42" s="110">
        <f t="shared" ca="1" si="17"/>
        <v>-0.3161822717534245</v>
      </c>
      <c r="U42" s="181" t="str">
        <f t="shared" ca="1" si="18"/>
        <v>ì</v>
      </c>
      <c r="V42" s="37"/>
      <c r="Y42" s="25" t="s">
        <v>77</v>
      </c>
    </row>
    <row r="43" spans="1:38" ht="19.5">
      <c r="B43" s="78" t="s">
        <v>78</v>
      </c>
      <c r="D43" s="119"/>
      <c r="E43" s="266" t="str">
        <f ca="1">_xll.DBRA(Server&amp;$C$20,$B43,$F$17)</f>
        <v>Energie</v>
      </c>
      <c r="F43" s="266"/>
      <c r="G43" s="128"/>
      <c r="H43" s="109">
        <f ca="1">_xll.DBRW($H$3,$F$13,$F$14,$F$15,$F$16,$F$11,$F$12,H$18,H$1,$B43)</f>
        <v>-61620.654627967786</v>
      </c>
      <c r="I43" s="109">
        <f ca="1">_xll.DBRW($H$3,$F$13,$F$14,$F$15,$F$16,$F$11,$F$12,I$18,I$1,$B43)</f>
        <v>-73379.993870473059</v>
      </c>
      <c r="J43" s="109">
        <f ca="1">_xll.DBRW($H$3,$F$13,$F$14,$F$15,$F$16,$F$11,$F$12,J$18,J$1,$B43)</f>
        <v>0</v>
      </c>
      <c r="K43" s="109">
        <f ca="1">_xll.DBRW($H$3,$F$13,$F$14,$F$15,$F$16,$F$11,$F$12,K$18,K$1,$B43)</f>
        <v>-83916.088903405005</v>
      </c>
      <c r="L43" s="107"/>
      <c r="M43" s="109">
        <f t="shared" ca="1" si="10"/>
        <v>11759.339242505273</v>
      </c>
      <c r="N43" s="110">
        <f t="shared" ca="1" si="11"/>
        <v>-0.16025266046304543</v>
      </c>
      <c r="O43" s="180" t="str">
        <f t="shared" ca="1" si="12"/>
        <v>ì</v>
      </c>
      <c r="P43" s="109">
        <f t="shared" ca="1" si="13"/>
        <v>-61620.654627967786</v>
      </c>
      <c r="Q43" s="110" t="str">
        <f t="shared" ca="1" si="14"/>
        <v>-</v>
      </c>
      <c r="R43" s="180" t="str">
        <f t="shared" ca="1" si="15"/>
        <v>î</v>
      </c>
      <c r="S43" s="109">
        <f t="shared" ca="1" si="16"/>
        <v>22295.434275437219</v>
      </c>
      <c r="T43" s="110">
        <f t="shared" ca="1" si="17"/>
        <v>-0.26568724265857141</v>
      </c>
      <c r="U43" s="181" t="str">
        <f t="shared" ca="1" si="18"/>
        <v>ì</v>
      </c>
      <c r="V43" s="37"/>
      <c r="Y43" s="31" t="s">
        <v>79</v>
      </c>
    </row>
    <row r="44" spans="1:38" ht="19.5">
      <c r="B44" s="78" t="s">
        <v>80</v>
      </c>
      <c r="D44" s="119"/>
      <c r="E44" s="266" t="str">
        <f ca="1">_xll.DBRA(Server&amp;$C$20,$B44,$F$17)</f>
        <v>Maintenance &amp; Nettoyage de la flotte (RESOP)</v>
      </c>
      <c r="F44" s="266"/>
      <c r="G44" s="128"/>
      <c r="H44" s="109">
        <f ca="1">_xll.DBRW($H$3,$F$13,$F$14,$F$15,$F$16,$F$11,$F$12,H$18,H$1,$B44)</f>
        <v>-72515.220217866008</v>
      </c>
      <c r="I44" s="109">
        <f ca="1">_xll.DBRW($H$3,$F$13,$F$14,$F$15,$F$16,$F$11,$F$12,I$18,I$1,$B44)</f>
        <v>-110349.15887479563</v>
      </c>
      <c r="J44" s="109">
        <f ca="1">_xll.DBRW($H$3,$F$13,$F$14,$F$15,$F$16,$F$11,$F$12,J$18,J$1,$B44)</f>
        <v>0</v>
      </c>
      <c r="K44" s="109">
        <f ca="1">_xll.DBRW($H$3,$F$13,$F$14,$F$15,$F$16,$F$11,$F$12,K$18,K$1,$B44)</f>
        <v>-118408.167839994</v>
      </c>
      <c r="L44" s="107"/>
      <c r="M44" s="109">
        <f t="shared" ca="1" si="10"/>
        <v>37833.938656929618</v>
      </c>
      <c r="N44" s="110">
        <f t="shared" ca="1" si="11"/>
        <v>-0.34285661116689403</v>
      </c>
      <c r="O44" s="180" t="str">
        <f t="shared" ca="1" si="12"/>
        <v>ì</v>
      </c>
      <c r="P44" s="109">
        <f t="shared" ca="1" si="13"/>
        <v>-72515.220217866008</v>
      </c>
      <c r="Q44" s="110" t="str">
        <f t="shared" ca="1" si="14"/>
        <v>-</v>
      </c>
      <c r="R44" s="180" t="str">
        <f t="shared" ca="1" si="15"/>
        <v>î</v>
      </c>
      <c r="S44" s="109">
        <f t="shared" ca="1" si="16"/>
        <v>45892.947622127991</v>
      </c>
      <c r="T44" s="110">
        <f t="shared" ca="1" si="17"/>
        <v>-0.38758261747739847</v>
      </c>
      <c r="U44" s="181" t="str">
        <f t="shared" ca="1" si="18"/>
        <v>ì</v>
      </c>
      <c r="V44" s="37"/>
      <c r="Y44" s="38" t="s">
        <v>81</v>
      </c>
    </row>
    <row r="45" spans="1:38" ht="19.5">
      <c r="B45" s="78" t="s">
        <v>82</v>
      </c>
      <c r="D45" s="119"/>
      <c r="E45" s="266" t="str">
        <f ca="1">_xll.DBRA(Server&amp;$C$20,$B45,$F$17)</f>
        <v>Maintenance &amp; Nettoyage de l'infrastructure (RESOP)</v>
      </c>
      <c r="F45" s="266"/>
      <c r="G45" s="128"/>
      <c r="H45" s="109">
        <f ca="1">_xll.DBRW($H$3,$F$13,$F$14,$F$15,$F$16,$F$11,$F$12,H$18,H$1,$B45)</f>
        <v>-11565.262326959912</v>
      </c>
      <c r="I45" s="109">
        <f ca="1">_xll.DBRW($H$3,$F$13,$F$14,$F$15,$F$16,$F$11,$F$12,I$18,I$1,$B45)</f>
        <v>-25699.47113759481</v>
      </c>
      <c r="J45" s="109">
        <f ca="1">_xll.DBRW($H$3,$F$13,$F$14,$F$15,$F$16,$F$11,$F$12,J$18,J$1,$B45)</f>
        <v>0</v>
      </c>
      <c r="K45" s="109">
        <f ca="1">_xll.DBRW($H$3,$F$13,$F$14,$F$15,$F$16,$F$11,$F$12,K$18,K$1,$B45)</f>
        <v>-20432.369074467457</v>
      </c>
      <c r="L45" s="107"/>
      <c r="M45" s="109">
        <f t="shared" ca="1" si="10"/>
        <v>14134.208810634898</v>
      </c>
      <c r="N45" s="110">
        <f t="shared" ca="1" si="11"/>
        <v>-0.5499805320880119</v>
      </c>
      <c r="O45" s="180" t="str">
        <f t="shared" ca="1" si="12"/>
        <v>ì</v>
      </c>
      <c r="P45" s="109">
        <f t="shared" ca="1" si="13"/>
        <v>-11565.262326959912</v>
      </c>
      <c r="Q45" s="110" t="str">
        <f t="shared" ca="1" si="14"/>
        <v>-</v>
      </c>
      <c r="R45" s="180" t="str">
        <f t="shared" ca="1" si="15"/>
        <v>î</v>
      </c>
      <c r="S45" s="109">
        <f t="shared" ca="1" si="16"/>
        <v>8867.1067475075452</v>
      </c>
      <c r="T45" s="110">
        <f t="shared" ca="1" si="17"/>
        <v>-0.43397350131992241</v>
      </c>
      <c r="U45" s="181" t="str">
        <f t="shared" ca="1" si="18"/>
        <v>ì</v>
      </c>
      <c r="V45" s="37"/>
      <c r="Y45" s="39" t="s">
        <v>83</v>
      </c>
    </row>
    <row r="46" spans="1:38" ht="19.5">
      <c r="B46" s="78" t="s">
        <v>84</v>
      </c>
      <c r="D46" s="119"/>
      <c r="E46" s="266" t="str">
        <f ca="1">_xll.DBRA(Server&amp;$C$20,$B46,$F$17)</f>
        <v>Coût du risque (RESOP)</v>
      </c>
      <c r="F46" s="266"/>
      <c r="G46" s="120"/>
      <c r="H46" s="109">
        <f ca="1">_xll.DBRW($H$3,$F$13,$F$14,$F$15,$F$16,$F$11,$F$12,H$18,H$1,$B46)</f>
        <v>-5963.6086929913754</v>
      </c>
      <c r="I46" s="109">
        <f ca="1">_xll.DBRW($H$3,$F$13,$F$14,$F$15,$F$16,$F$11,$F$12,I$18,I$1,$B46)</f>
        <v>-21021.695650251975</v>
      </c>
      <c r="J46" s="109">
        <f ca="1">_xll.DBRW($H$3,$F$13,$F$14,$F$15,$F$16,$F$11,$F$12,J$18,J$1,$B46)</f>
        <v>0</v>
      </c>
      <c r="K46" s="109">
        <f ca="1">_xll.DBRW($H$3,$F$13,$F$14,$F$15,$F$16,$F$11,$F$12,K$18,K$1,$B46)</f>
        <v>-29895.893169074832</v>
      </c>
      <c r="L46" s="107"/>
      <c r="M46" s="109">
        <f t="shared" ca="1" si="10"/>
        <v>15058.086957260599</v>
      </c>
      <c r="N46" s="110">
        <f t="shared" ca="1" si="11"/>
        <v>-0.71631171946303518</v>
      </c>
      <c r="O46" s="180" t="str">
        <f t="shared" ca="1" si="12"/>
        <v>ì</v>
      </c>
      <c r="P46" s="109">
        <f t="shared" ca="1" si="13"/>
        <v>-5963.6086929913754</v>
      </c>
      <c r="Q46" s="110" t="str">
        <f t="shared" ca="1" si="14"/>
        <v>-</v>
      </c>
      <c r="R46" s="180" t="str">
        <f t="shared" ca="1" si="15"/>
        <v>î</v>
      </c>
      <c r="S46" s="109">
        <f t="shared" ca="1" si="16"/>
        <v>23932.284476083456</v>
      </c>
      <c r="T46" s="110">
        <f t="shared" ca="1" si="17"/>
        <v>-0.80052080534057091</v>
      </c>
      <c r="U46" s="181" t="str">
        <f t="shared" ca="1" si="18"/>
        <v>ì</v>
      </c>
      <c r="V46" s="37"/>
      <c r="Y46" s="39" t="s">
        <v>85</v>
      </c>
    </row>
    <row r="47" spans="1:38" ht="19.5">
      <c r="B47" s="78" t="s">
        <v>86</v>
      </c>
      <c r="D47" s="119"/>
      <c r="E47" s="266" t="str">
        <f ca="1">_xll.DBRA(Server&amp;$C$20,$B47,$F$17)</f>
        <v>Service Clients (RESOP)</v>
      </c>
      <c r="F47" s="266"/>
      <c r="G47" s="108"/>
      <c r="H47" s="109">
        <f ca="1">_xll.DBRW($H$3,$F$13,$F$14,$F$15,$F$16,$F$11,$F$12,H$18,H$1,$B47)</f>
        <v>-19568.766818224904</v>
      </c>
      <c r="I47" s="109">
        <f ca="1">_xll.DBRW($H$3,$F$13,$F$14,$F$15,$F$16,$F$11,$F$12,I$18,I$1,$B47)</f>
        <v>-21644.708243436606</v>
      </c>
      <c r="J47" s="109">
        <f ca="1">_xll.DBRW($H$3,$F$13,$F$14,$F$15,$F$16,$F$11,$F$12,J$18,J$1,$B47)</f>
        <v>0</v>
      </c>
      <c r="K47" s="109">
        <f ca="1">_xll.DBRW($H$3,$F$13,$F$14,$F$15,$F$16,$F$11,$F$12,K$18,K$1,$B47)</f>
        <v>-23877.86559258843</v>
      </c>
      <c r="L47" s="107"/>
      <c r="M47" s="109">
        <f t="shared" ca="1" si="10"/>
        <v>2075.9414252117022</v>
      </c>
      <c r="N47" s="110">
        <f t="shared" ca="1" si="11"/>
        <v>-9.5909882538666072E-2</v>
      </c>
      <c r="O47" s="180" t="str">
        <f t="shared" ca="1" si="12"/>
        <v>ì</v>
      </c>
      <c r="P47" s="109">
        <f t="shared" ca="1" si="13"/>
        <v>-19568.766818224904</v>
      </c>
      <c r="Q47" s="110" t="str">
        <f t="shared" ca="1" si="14"/>
        <v>-</v>
      </c>
      <c r="R47" s="180" t="str">
        <f t="shared" ca="1" si="15"/>
        <v>î</v>
      </c>
      <c r="S47" s="109">
        <f t="shared" ca="1" si="16"/>
        <v>4309.0987743635269</v>
      </c>
      <c r="T47" s="110">
        <f t="shared" ca="1" si="17"/>
        <v>-0.18046415236130023</v>
      </c>
      <c r="U47" s="181" t="str">
        <f t="shared" ca="1" si="18"/>
        <v>ì</v>
      </c>
      <c r="V47" s="37"/>
      <c r="Y47" s="39" t="s">
        <v>87</v>
      </c>
    </row>
    <row r="48" spans="1:38" ht="19.5">
      <c r="B48" s="78" t="s">
        <v>88</v>
      </c>
      <c r="D48" s="119"/>
      <c r="E48" s="266" t="str">
        <f ca="1">_xll.DBRA(Server&amp;$C$20,$B48,$F$17)</f>
        <v>Support aux opérations (RESOP)</v>
      </c>
      <c r="F48" s="266"/>
      <c r="G48" s="106"/>
      <c r="H48" s="109">
        <f ca="1">_xll.DBRW($H$3,$F$13,$F$14,$F$15,$F$16,$F$11,$F$12,H$18,H$1,$B48)</f>
        <v>-77907.051039287559</v>
      </c>
      <c r="I48" s="109">
        <f ca="1">_xll.DBRW($H$3,$F$13,$F$14,$F$15,$F$16,$F$11,$F$12,I$18,I$1,$B48)</f>
        <v>-103990.31019352928</v>
      </c>
      <c r="J48" s="109">
        <f ca="1">_xll.DBRW($H$3,$F$13,$F$14,$F$15,$F$16,$F$11,$F$12,J$18,J$1,$B48)</f>
        <v>-66.49897999999996</v>
      </c>
      <c r="K48" s="109">
        <f ca="1">_xll.DBRW($H$3,$F$13,$F$14,$F$15,$F$16,$F$11,$F$12,K$18,K$1,$B48)</f>
        <v>-113465.10670606964</v>
      </c>
      <c r="L48" s="107"/>
      <c r="M48" s="109">
        <f t="shared" ca="1" si="10"/>
        <v>26083.259154241721</v>
      </c>
      <c r="N48" s="110">
        <f t="shared" ca="1" si="11"/>
        <v>-0.25082393836214112</v>
      </c>
      <c r="O48" s="180" t="str">
        <f t="shared" ca="1" si="12"/>
        <v>ì</v>
      </c>
      <c r="P48" s="109">
        <f t="shared" ca="1" si="13"/>
        <v>-77840.552059287555</v>
      </c>
      <c r="Q48" s="110" t="str">
        <f t="shared" ca="1" si="14"/>
        <v>-</v>
      </c>
      <c r="R48" s="180" t="str">
        <f t="shared" ca="1" si="15"/>
        <v>î</v>
      </c>
      <c r="S48" s="109">
        <f t="shared" ca="1" si="16"/>
        <v>35558.055666782078</v>
      </c>
      <c r="T48" s="110">
        <f t="shared" ca="1" si="17"/>
        <v>-0.31338317742823713</v>
      </c>
      <c r="U48" s="181" t="str">
        <f t="shared" ca="1" si="18"/>
        <v>ì</v>
      </c>
      <c r="V48" s="37"/>
      <c r="Y48" s="39" t="s">
        <v>89</v>
      </c>
    </row>
    <row r="49" spans="1:38" ht="19.5">
      <c r="B49" s="78" t="s">
        <v>90</v>
      </c>
      <c r="D49" s="119"/>
      <c r="E49" s="266" t="str">
        <f ca="1">_xll.DBRA(Server&amp;$C$20,$B49,$F$17)</f>
        <v>Flotte (RESOP)</v>
      </c>
      <c r="F49" s="266"/>
      <c r="G49" s="128"/>
      <c r="H49" s="109">
        <f ca="1">_xll.DBRW($H$3,$F$13,$F$14,$F$15,$F$16,$F$11,$F$12,H$18,H$1,$B49)</f>
        <v>-45144.046156899145</v>
      </c>
      <c r="I49" s="109">
        <f ca="1">_xll.DBRW($H$3,$F$13,$F$14,$F$15,$F$16,$F$11,$F$12,I$18,I$1,$B49)</f>
        <v>-52997.044091717282</v>
      </c>
      <c r="J49" s="109">
        <f ca="1">_xll.DBRW($H$3,$F$13,$F$14,$F$15,$F$16,$F$11,$F$12,J$18,J$1,$B49)</f>
        <v>0</v>
      </c>
      <c r="K49" s="109">
        <f ca="1">_xll.DBRW($H$3,$F$13,$F$14,$F$15,$F$16,$F$11,$F$12,K$18,K$1,$B49)</f>
        <v>-73790.392745051242</v>
      </c>
      <c r="L49" s="107"/>
      <c r="M49" s="109">
        <f t="shared" ca="1" si="10"/>
        <v>7852.9979348181369</v>
      </c>
      <c r="N49" s="110">
        <f t="shared" ca="1" si="11"/>
        <v>-0.14817803651893585</v>
      </c>
      <c r="O49" s="180" t="str">
        <f t="shared" ca="1" si="12"/>
        <v>ì</v>
      </c>
      <c r="P49" s="109">
        <f t="shared" ca="1" si="13"/>
        <v>-45144.046156899145</v>
      </c>
      <c r="Q49" s="110" t="str">
        <f t="shared" ca="1" si="14"/>
        <v>-</v>
      </c>
      <c r="R49" s="180" t="str">
        <f t="shared" ca="1" si="15"/>
        <v>î</v>
      </c>
      <c r="S49" s="109">
        <f t="shared" ca="1" si="16"/>
        <v>28646.346588152097</v>
      </c>
      <c r="T49" s="110">
        <f t="shared" ca="1" si="17"/>
        <v>-0.388212415227635</v>
      </c>
      <c r="U49" s="181" t="str">
        <f t="shared" ca="1" si="18"/>
        <v>ì</v>
      </c>
      <c r="V49" s="37"/>
      <c r="X49" s="15"/>
      <c r="Y49" s="39" t="s">
        <v>91</v>
      </c>
    </row>
    <row r="50" spans="1:38" ht="19.5">
      <c r="B50" s="78" t="s">
        <v>92</v>
      </c>
      <c r="D50" s="119"/>
      <c r="E50" s="266" t="str">
        <f ca="1">_xll.DBRA(Server&amp;$C$20,$B50,$F$17)</f>
        <v>Infrastructure (RESOP)</v>
      </c>
      <c r="F50" s="266"/>
      <c r="G50" s="128"/>
      <c r="H50" s="109">
        <f ca="1">_xll.DBRW($H$3,$F$13,$F$14,$F$15,$F$16,$F$11,$F$12,H$18,H$1,$B50)</f>
        <v>-18950.895114278253</v>
      </c>
      <c r="I50" s="109">
        <f ca="1">_xll.DBRW($H$3,$F$13,$F$14,$F$15,$F$16,$F$11,$F$12,I$18,I$1,$B50)</f>
        <v>-24120.973420102448</v>
      </c>
      <c r="J50" s="109">
        <f ca="1">_xll.DBRW($H$3,$F$13,$F$14,$F$15,$F$16,$F$11,$F$12,J$18,J$1,$B50)</f>
        <v>0</v>
      </c>
      <c r="K50" s="109">
        <f ca="1">_xll.DBRW($H$3,$F$13,$F$14,$F$15,$F$16,$F$11,$F$12,K$18,K$1,$B50)</f>
        <v>-74102.026480379107</v>
      </c>
      <c r="L50" s="107"/>
      <c r="M50" s="109">
        <f t="shared" ca="1" si="10"/>
        <v>5170.0783058241941</v>
      </c>
      <c r="N50" s="129">
        <f t="shared" ca="1" si="11"/>
        <v>-0.21433953828395022</v>
      </c>
      <c r="O50" s="180" t="str">
        <f t="shared" ca="1" si="12"/>
        <v>ì</v>
      </c>
      <c r="P50" s="109">
        <f t="shared" ca="1" si="13"/>
        <v>-18950.895114278253</v>
      </c>
      <c r="Q50" s="129" t="str">
        <f t="shared" ca="1" si="14"/>
        <v>-</v>
      </c>
      <c r="R50" s="180" t="str">
        <f t="shared" ca="1" si="15"/>
        <v>î</v>
      </c>
      <c r="S50" s="109">
        <f t="shared" ca="1" si="16"/>
        <v>55151.131366100853</v>
      </c>
      <c r="T50" s="129">
        <f t="shared" ca="1" si="17"/>
        <v>-0.74425942157875924</v>
      </c>
      <c r="U50" s="181" t="str">
        <f t="shared" ca="1" si="18"/>
        <v>ì</v>
      </c>
      <c r="V50" s="37"/>
      <c r="Y50" s="39" t="s">
        <v>93</v>
      </c>
    </row>
    <row r="51" spans="1:38" ht="19.5">
      <c r="B51" s="78" t="s">
        <v>94</v>
      </c>
      <c r="D51" s="119"/>
      <c r="E51" s="266" t="str">
        <f ca="1">_xll.DBRA(Server&amp;$C$20,$B51,$F$17)</f>
        <v>Coûts de transport additionnels (RESOP)</v>
      </c>
      <c r="F51" s="266"/>
      <c r="G51" s="120"/>
      <c r="H51" s="109">
        <f ca="1">_xll.DBRW($H$3,$F$13,$F$14,$F$15,$F$16,$F$11,$F$12,H$18,H$1,$B51)</f>
        <v>-6485.2149474032785</v>
      </c>
      <c r="I51" s="109">
        <f ca="1">_xll.DBRW($H$3,$F$13,$F$14,$F$15,$F$16,$F$11,$F$12,I$18,I$1,$B51)</f>
        <v>-31116.953359049414</v>
      </c>
      <c r="J51" s="109">
        <f ca="1">_xll.DBRW($H$3,$F$13,$F$14,$F$15,$F$16,$F$11,$F$12,J$18,J$1,$B51)</f>
        <v>0</v>
      </c>
      <c r="K51" s="109">
        <f ca="1">_xll.DBRW($H$3,$F$13,$F$14,$F$15,$F$16,$F$11,$F$12,K$18,K$1,$B51)</f>
        <v>-17719.006907264182</v>
      </c>
      <c r="L51" s="107"/>
      <c r="M51" s="109">
        <f t="shared" ca="1" si="10"/>
        <v>24631.738411646136</v>
      </c>
      <c r="N51" s="110">
        <f t="shared" ca="1" si="11"/>
        <v>-0.79158579978662169</v>
      </c>
      <c r="O51" s="180" t="str">
        <f t="shared" ca="1" si="12"/>
        <v>ì</v>
      </c>
      <c r="P51" s="109">
        <f t="shared" ca="1" si="13"/>
        <v>-6485.2149474032785</v>
      </c>
      <c r="Q51" s="110" t="str">
        <f t="shared" ca="1" si="14"/>
        <v>-</v>
      </c>
      <c r="R51" s="180" t="str">
        <f t="shared" ca="1" si="15"/>
        <v>î</v>
      </c>
      <c r="S51" s="109">
        <f t="shared" ca="1" si="16"/>
        <v>11233.791959860904</v>
      </c>
      <c r="T51" s="110">
        <f t="shared" ca="1" si="17"/>
        <v>-0.63399670301248301</v>
      </c>
      <c r="U51" s="181" t="str">
        <f t="shared" ca="1" si="18"/>
        <v>ì</v>
      </c>
      <c r="V51" s="37"/>
      <c r="Y51" s="39" t="s">
        <v>95</v>
      </c>
    </row>
    <row r="52" spans="1:38" ht="18.75" customHeight="1">
      <c r="B52" s="78" t="s">
        <v>96</v>
      </c>
      <c r="D52" s="119"/>
      <c r="E52" s="270" t="str">
        <f ca="1">_xll.DBRA(Server&amp;$C$20,$B52,$F$17)</f>
        <v>Coût des ventes (CDV) - Réconciliation Vector</v>
      </c>
      <c r="F52" s="270"/>
      <c r="G52" s="123"/>
      <c r="H52" s="188">
        <f ca="1">_xll.DBRW($H$3,$F$13,$F$14,$F$15,$F$16,$F$11,$F$12,H$18,H$1,$B52)</f>
        <v>-470438.86458903097</v>
      </c>
      <c r="I52" s="188">
        <f ca="1">_xll.DBRW($H$3,$F$13,$F$14,$F$15,$F$16,$F$11,$F$12,I$18,I$1,$B52)</f>
        <v>-181191.78491104741</v>
      </c>
      <c r="J52" s="188">
        <f ca="1">_xll.DBRW($H$3,$F$13,$F$14,$F$15,$F$16,$F$11,$F$12,J$18,J$1,$B52)</f>
        <v>66.49897999999996</v>
      </c>
      <c r="K52" s="188">
        <f ca="1">_xll.DBRW($H$3,$F$13,$F$14,$F$15,$F$16,$F$11,$F$12,K$18,K$1,$B52)</f>
        <v>28921.531607286743</v>
      </c>
      <c r="L52" s="184"/>
      <c r="M52" s="188">
        <f t="shared" ca="1" si="10"/>
        <v>-289247.07967798354</v>
      </c>
      <c r="N52" s="189">
        <f t="shared" ca="1" si="11"/>
        <v>1.5963586860187053</v>
      </c>
      <c r="O52" s="190"/>
      <c r="P52" s="188">
        <f t="shared" ca="1" si="13"/>
        <v>-470505.36356903095</v>
      </c>
      <c r="Q52" s="189" t="str">
        <f t="shared" ca="1" si="14"/>
        <v>-</v>
      </c>
      <c r="R52" s="190"/>
      <c r="S52" s="188">
        <f t="shared" ca="1" si="16"/>
        <v>-499360.39619631774</v>
      </c>
      <c r="T52" s="189" t="str">
        <f t="shared" ca="1" si="17"/>
        <v>-</v>
      </c>
      <c r="U52" s="190"/>
      <c r="V52" s="40"/>
      <c r="Y52" s="55" t="s">
        <v>97</v>
      </c>
    </row>
    <row r="53" spans="1:38" ht="9.75" customHeight="1">
      <c r="C53" s="78"/>
      <c r="D53" s="105"/>
      <c r="E53" s="124"/>
      <c r="F53" s="130"/>
      <c r="G53" s="169"/>
      <c r="H53" s="131"/>
      <c r="I53" s="131"/>
      <c r="J53" s="131"/>
      <c r="K53" s="131"/>
      <c r="L53" s="184"/>
      <c r="M53" s="131"/>
      <c r="N53" s="132"/>
      <c r="O53" s="157"/>
      <c r="P53" s="131"/>
      <c r="Q53" s="132"/>
      <c r="R53" s="157"/>
      <c r="S53" s="131"/>
      <c r="T53" s="132"/>
      <c r="Y53" s="55" t="s">
        <v>98</v>
      </c>
    </row>
    <row r="54" spans="1:38" s="43" customFormat="1" ht="24.95" customHeight="1" thickBot="1">
      <c r="A54" s="133"/>
      <c r="B54" s="102" t="s">
        <v>99</v>
      </c>
      <c r="C54" s="101" t="str">
        <f ca="1">_xll.DBRA(Server&amp;$C$20,$B54,$F$17)</f>
        <v>MARGE BRUTE (par destination)</v>
      </c>
      <c r="D54" s="127"/>
      <c r="E54" s="282" t="str">
        <f ca="1">LEFT(C54,FIND("(",C54,1)-1)</f>
        <v xml:space="preserve">MARGE BRUTE </v>
      </c>
      <c r="F54" s="282"/>
      <c r="G54" s="171"/>
      <c r="H54" s="191">
        <f ca="1">_xll.DBRW($H$3,$F$13,$F$14,$F$15,$F$16,$F$11,$F$12,H$18,H$1,$B54)</f>
        <v>119953.86892231452</v>
      </c>
      <c r="I54" s="191">
        <f ca="1">_xll.DBRW($H$3,$F$13,$F$14,$F$15,$F$16,$F$11,$F$12,I$18,I$1,$B54)</f>
        <v>120148.73865214395</v>
      </c>
      <c r="J54" s="191">
        <f ca="1">_xll.DBRW($H$3,$F$13,$F$14,$F$15,$F$16,$F$11,$F$12,J$18,J$1,$B54)</f>
        <v>0</v>
      </c>
      <c r="K54" s="191">
        <f ca="1">_xll.DBRW($H$3,$F$13,$F$14,$F$15,$F$16,$F$11,$F$12,K$18,K$1,$B54)</f>
        <v>116576.69743286657</v>
      </c>
      <c r="L54" s="184"/>
      <c r="M54" s="191">
        <f ca="1">IF(OR($H54="",I54=""),"-",IFERROR(($H54-I54),""))</f>
        <v>-194.86972982942825</v>
      </c>
      <c r="N54" s="192">
        <f ca="1">IF(OR($I54=0,M54=0),"-",IF(ABS(M54/$I54)&gt;2,"-",M54/$I54))</f>
        <v>-1.6219040833513651E-3</v>
      </c>
      <c r="O54" s="174" t="str">
        <f ca="1">IF(OR(AND(N54&gt;0.01,M54&lt;0),AND(N54&lt;-0.01,M54&lt;0)),"î",IF(OR(AND(N54&lt;-0.01,M54&gt;0),AND(N54&gt;0.01,M54&gt;0)),"ì","è"))</f>
        <v>è</v>
      </c>
      <c r="P54" s="191">
        <f ca="1">IF(OR($H54="",J54=""),"-",IFERROR(($H54-J54),""))</f>
        <v>119953.86892231452</v>
      </c>
      <c r="Q54" s="192" t="str">
        <f ca="1">IF(OR($J54=0,P54=0),"-",IF(ABS(P54/$J54)&gt;2,"-",P54/$J54))</f>
        <v>-</v>
      </c>
      <c r="R54" s="174" t="str">
        <f ca="1">IF(OR(AND(Q54&gt;0.01,P54&lt;0),AND(Q54&lt;-0.01,P54&lt;0)),"î",IF(OR(AND(Q54&lt;-0.01,P54&gt;0),AND(Q54&gt;0.01,P54&gt;0)),"ì","è"))</f>
        <v>ì</v>
      </c>
      <c r="S54" s="191">
        <f ca="1">IF(OR($H54="",K54=""),"-",IFERROR(($H54-K54),""))</f>
        <v>3377.1714894479519</v>
      </c>
      <c r="T54" s="192">
        <f ca="1">IF(OR($K54=0,S54=0),"-",IF(ABS(S54/$K54)&gt;2,"-",S54/$K54))</f>
        <v>2.8969524474587002E-2</v>
      </c>
      <c r="U54" s="174" t="str">
        <f ca="1">IF(OR(AND(T54&gt;0.01,S54&lt;0),AND(T54&lt;-0.01,S54&lt;0)),"î",IF(OR(AND(T54&lt;-0.01,S54&gt;0),AND(T54&gt;0.01,S54&gt;0)),"ì","è"))</f>
        <v>ì</v>
      </c>
      <c r="V54" s="28"/>
      <c r="W54" s="42"/>
      <c r="X54" s="42"/>
      <c r="Y54" s="39" t="s">
        <v>100</v>
      </c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</row>
    <row r="55" spans="1:38" ht="18.75" customHeight="1">
      <c r="C55" s="78"/>
      <c r="D55" s="119"/>
      <c r="E55" s="134" t="str">
        <f ca="1">_xll.DBRA(Server&amp;$Y$15,$Y35,$F$17)</f>
        <v>Marge brute (en pourcentage du PAO)</v>
      </c>
      <c r="F55" s="134"/>
      <c r="G55" s="193"/>
      <c r="H55" s="194">
        <f ca="1">IF(H$21=0,_xll.DBRA(Server&amp;$Y$15,Y$58,$F$17),H54/H$21)</f>
        <v>9.5883844149316388E-2</v>
      </c>
      <c r="I55" s="135">
        <f ca="1">IF(I$21=0,_xll.DBRA(Server&amp;$Y$15,Z$58,$F$17),I54/I$21)</f>
        <v>9.7985256378171612E-2</v>
      </c>
      <c r="J55" s="135" t="str">
        <f ca="1">IF(J$21=0,_xll.DBRA(Server&amp;$Y$15,AA$58,$F$17),J54/J$21)</f>
        <v/>
      </c>
      <c r="K55" s="135">
        <f ca="1">IF(K$21=0,_xll.DBRA(Server&amp;$Y$15,AB$58,$F$17),K54/K$21)</f>
        <v>0.10121634838682717</v>
      </c>
      <c r="L55" s="195"/>
      <c r="M55" s="196"/>
      <c r="N55" s="194"/>
      <c r="O55" s="197"/>
      <c r="P55" s="196"/>
      <c r="Q55" s="194"/>
      <c r="R55" s="197"/>
      <c r="S55" s="196"/>
      <c r="T55" s="194"/>
      <c r="U55" s="198"/>
      <c r="V55" s="27"/>
      <c r="Y55" s="39" t="s">
        <v>101</v>
      </c>
    </row>
    <row r="56" spans="1:38" ht="9.75" customHeight="1">
      <c r="C56" s="78"/>
      <c r="D56" s="105"/>
      <c r="E56" s="124"/>
      <c r="F56" s="130"/>
      <c r="G56" s="130"/>
      <c r="H56" s="136"/>
      <c r="I56" s="136"/>
      <c r="J56" s="136"/>
      <c r="K56" s="136"/>
      <c r="L56" s="130"/>
      <c r="M56" s="136"/>
      <c r="N56" s="137"/>
      <c r="O56" s="158"/>
      <c r="P56" s="136"/>
      <c r="Q56" s="137"/>
      <c r="R56" s="158"/>
      <c r="S56" s="136"/>
      <c r="T56" s="137"/>
      <c r="U56" s="168"/>
      <c r="V56" s="41"/>
      <c r="Y56" s="44" t="s">
        <v>102</v>
      </c>
    </row>
    <row r="57" spans="1:38" s="26" customFormat="1" ht="24.95" customHeight="1">
      <c r="A57" s="101"/>
      <c r="B57" s="102" t="s">
        <v>103</v>
      </c>
      <c r="C57" s="101" t="str">
        <f ca="1">_xll.DBRA(Server&amp;$C$20,$B57,$F$17)</f>
        <v>COUTS COMMERCIAUX (par destination)</v>
      </c>
      <c r="D57" s="127"/>
      <c r="E57" s="268" t="str">
        <f ca="1">LEFT(C57,FIND("(",C57,1)-1)</f>
        <v xml:space="preserve">COUTS COMMERCIAUX </v>
      </c>
      <c r="F57" s="268"/>
      <c r="G57" s="171"/>
      <c r="H57" s="172">
        <f ca="1">_xll.DBRW($H$3,$F$13,$F$14,$F$15,$F$16,$F$11,$F$12,H$18,H$1,$B57)</f>
        <v>-7981.9384419999997</v>
      </c>
      <c r="I57" s="172">
        <f ca="1">_xll.DBRW($H$3,$F$13,$F$14,$F$15,$F$16,$F$11,$F$12,I$18,I$1,$B57)</f>
        <v>-8169.2980720000014</v>
      </c>
      <c r="J57" s="172">
        <f ca="1">_xll.DBRW($H$3,$F$13,$F$14,$F$15,$F$16,$F$11,$F$12,J$18,J$1,$B57)</f>
        <v>-1.1368683772161603E-13</v>
      </c>
      <c r="K57" s="172">
        <f ca="1">_xll.DBRW($H$3,$F$13,$F$14,$F$15,$F$16,$F$11,$F$12,K$18,K$1,$B57)</f>
        <v>-13405.722721000002</v>
      </c>
      <c r="L57" s="104"/>
      <c r="M57" s="172">
        <f t="shared" ref="M57:M59" ca="1" si="19">IF(OR($H57="",I57=""),"-",IFERROR(($H57-I57),""))</f>
        <v>187.35963000000174</v>
      </c>
      <c r="N57" s="173">
        <f t="shared" ref="N57:N59" ca="1" si="20">IF(OR($I57=0,M57=0),"-",IF(ABS(M57/$I57)&gt;2,"-",M57/$I57))</f>
        <v>-2.2934605684443155E-2</v>
      </c>
      <c r="O57" s="174" t="str">
        <f ca="1">IF(OR(AND(N57&gt;0.01,M57&lt;0),AND(N57&lt;-0.01,M57&lt;0)),"î",IF(OR(AND(N57&lt;-0.01,M57&gt;0),AND(N57&gt;0.01,M57&gt;0)),"ì","è"))</f>
        <v>ì</v>
      </c>
      <c r="P57" s="172">
        <f t="shared" ref="P57:P59" ca="1" si="21">IF(OR($H57="",J57=""),"-",IFERROR(($H57-J57),""))</f>
        <v>-7981.9384419999997</v>
      </c>
      <c r="Q57" s="173" t="str">
        <f t="shared" ref="Q57:Q59" ca="1" si="22">IF(OR($J57=0,P57=0),"-",IF(ABS(P57/$J57)&gt;2,"-",P57/$J57))</f>
        <v>-</v>
      </c>
      <c r="R57" s="174" t="str">
        <f ca="1">IF(OR(AND(Q57&gt;0.01,P57&lt;0),AND(Q57&lt;-0.01,P57&lt;0)),"î",IF(OR(AND(Q57&lt;-0.01,P57&gt;0),AND(Q57&gt;0.01,P57&gt;0)),"ì","è"))</f>
        <v>î</v>
      </c>
      <c r="S57" s="172">
        <f t="shared" ref="S57:S59" ca="1" si="23">IF(OR($H57="",K57=""),"-",IFERROR(($H57-K57),""))</f>
        <v>5423.7842790000022</v>
      </c>
      <c r="T57" s="173">
        <f t="shared" ref="T57:T59" ca="1" si="24">IF(OR($K57=0,S57=0),"-",IF(ABS(S57/$K57)&gt;2,"-",S57/$K57))</f>
        <v>-0.40458723426404081</v>
      </c>
      <c r="U57" s="174" t="str">
        <f t="shared" ref="U57:U58" ca="1" si="25">IF(OR(AND(T57&gt;0.01,S57&lt;0),AND(T57&lt;-0.01,S57&lt;0)),"î",IF(OR(AND(T57&lt;-0.01,S57&gt;0),AND(T57&gt;0.01,S57&gt;0)),"ì","è"))</f>
        <v>ì</v>
      </c>
      <c r="V57" s="28"/>
      <c r="W57" s="29"/>
      <c r="X57" s="29"/>
      <c r="Y57" s="45" t="s">
        <v>104</v>
      </c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</row>
    <row r="58" spans="1:38" ht="20.25" customHeight="1">
      <c r="B58" s="78" t="s">
        <v>105</v>
      </c>
      <c r="D58" s="105"/>
      <c r="E58" s="269" t="str">
        <f ca="1">_xll.DBRA(Server&amp;$C$20,$B58,$F$17)</f>
        <v>Dépenses de développement (RESOP)</v>
      </c>
      <c r="F58" s="269"/>
      <c r="G58" s="106"/>
      <c r="H58" s="175">
        <f ca="1">_xll.DBRW($H$3,$F$13,$F$14,$F$15,$F$16,$F$11,$F$12,H$18,H$1,$B58)</f>
        <v>-6460.0191696586953</v>
      </c>
      <c r="I58" s="175">
        <f ca="1">_xll.DBRW($H$3,$F$13,$F$14,$F$15,$F$16,$F$11,$F$12,I$18,I$1,$B58)</f>
        <v>-4866.0667097117248</v>
      </c>
      <c r="J58" s="175">
        <f ca="1">_xll.DBRW($H$3,$F$13,$F$14,$F$15,$F$16,$F$11,$F$12,J$18,J$1,$B58)</f>
        <v>-3466.9564999999998</v>
      </c>
      <c r="K58" s="175">
        <f ca="1">_xll.DBRW($H$3,$F$13,$F$14,$F$15,$F$16,$F$11,$F$12,K$18,K$1,$B58)</f>
        <v>-9151.4462676758048</v>
      </c>
      <c r="L58" s="107"/>
      <c r="M58" s="175">
        <f t="shared" ca="1" si="19"/>
        <v>-1593.9524599469705</v>
      </c>
      <c r="N58" s="176">
        <f t="shared" ca="1" si="20"/>
        <v>0.32756485988277778</v>
      </c>
      <c r="O58" s="177" t="str">
        <f ca="1">IF(OR(AND(N58&gt;0.01,M58&lt;0),AND(N58&lt;-0.01,M58&lt;0)),"î",IF(OR(AND(N58&lt;-0.01,M58&gt;0),AND(N58&gt;0.01,M58&gt;0)),"ì","è"))</f>
        <v>î</v>
      </c>
      <c r="P58" s="175">
        <f t="shared" ca="1" si="21"/>
        <v>-2993.0626696586955</v>
      </c>
      <c r="Q58" s="176">
        <f t="shared" ca="1" si="22"/>
        <v>0.8633112845975125</v>
      </c>
      <c r="R58" s="177" t="str">
        <f ca="1">IF(OR(AND(Q58&gt;0.01,P58&lt;0),AND(Q58&lt;-0.01,P58&lt;0)),"î",IF(OR(AND(Q58&lt;-0.01,P58&gt;0),AND(Q58&gt;0.01,P58&gt;0)),"ì","è"))</f>
        <v>î</v>
      </c>
      <c r="S58" s="175">
        <f t="shared" ca="1" si="23"/>
        <v>2691.4270980171095</v>
      </c>
      <c r="T58" s="178">
        <f t="shared" ca="1" si="24"/>
        <v>-0.29409855221721715</v>
      </c>
      <c r="U58" s="179" t="str">
        <f t="shared" ca="1" si="25"/>
        <v>ì</v>
      </c>
      <c r="V58" s="30"/>
      <c r="Y58" s="25" t="s">
        <v>106</v>
      </c>
    </row>
    <row r="59" spans="1:38" ht="18.75" customHeight="1">
      <c r="B59" s="78" t="s">
        <v>107</v>
      </c>
      <c r="D59" s="119"/>
      <c r="E59" s="270" t="str">
        <f ca="1">_xll.DBRA(Server&amp;$C$20,$B59,$F$17)</f>
        <v>Dépenses de développement - Réconciliation Vector</v>
      </c>
      <c r="F59" s="270"/>
      <c r="G59" s="123"/>
      <c r="H59" s="188">
        <f ca="1">_xll.DBRW($H$3,$F$13,$F$14,$F$15,$F$16,$F$11,$F$12,H$18,H$1,$B59)</f>
        <v>-1521.919272341303</v>
      </c>
      <c r="I59" s="188">
        <f ca="1">_xll.DBRW($H$3,$F$13,$F$14,$F$15,$F$16,$F$11,$F$12,I$18,I$1,$B59)</f>
        <v>-3303.2313622882766</v>
      </c>
      <c r="J59" s="188">
        <f ca="1">_xll.DBRW($H$3,$F$13,$F$14,$F$15,$F$16,$F$11,$F$12,J$18,J$1,$B59)</f>
        <v>3466.9564999999993</v>
      </c>
      <c r="K59" s="188">
        <f ca="1">_xll.DBRW($H$3,$F$13,$F$14,$F$15,$F$16,$F$11,$F$12,K$18,K$1,$B59)</f>
        <v>-4254.2764533241971</v>
      </c>
      <c r="L59" s="184"/>
      <c r="M59" s="188">
        <f t="shared" ca="1" si="19"/>
        <v>1781.3120899469736</v>
      </c>
      <c r="N59" s="189">
        <f t="shared" ca="1" si="20"/>
        <v>-0.53926349521972017</v>
      </c>
      <c r="O59" s="190"/>
      <c r="P59" s="188">
        <f t="shared" ca="1" si="21"/>
        <v>-4988.8757723413019</v>
      </c>
      <c r="Q59" s="189">
        <f t="shared" ca="1" si="22"/>
        <v>-1.4389784735808779</v>
      </c>
      <c r="R59" s="190"/>
      <c r="S59" s="188">
        <f t="shared" ca="1" si="23"/>
        <v>2732.3571809828941</v>
      </c>
      <c r="T59" s="189">
        <f t="shared" ca="1" si="24"/>
        <v>-0.64226131304840117</v>
      </c>
      <c r="U59" s="190"/>
      <c r="V59" s="40"/>
    </row>
    <row r="60" spans="1:38" ht="9.75" customHeight="1">
      <c r="C60" s="78"/>
      <c r="D60" s="105"/>
      <c r="E60" s="124"/>
      <c r="F60" s="130"/>
      <c r="G60" s="130"/>
      <c r="H60" s="138"/>
      <c r="I60" s="138"/>
      <c r="J60" s="138"/>
      <c r="K60" s="138"/>
      <c r="L60" s="138"/>
      <c r="M60" s="138"/>
      <c r="N60" s="137"/>
      <c r="O60" s="158"/>
      <c r="P60" s="138"/>
      <c r="Q60" s="137"/>
      <c r="R60" s="158"/>
      <c r="S60" s="138"/>
      <c r="T60" s="137"/>
      <c r="U60" s="168"/>
      <c r="V60" s="41"/>
      <c r="W60" s="41"/>
    </row>
    <row r="61" spans="1:38" s="26" customFormat="1" ht="24.95" customHeight="1">
      <c r="A61" s="101"/>
      <c r="B61" s="102" t="s">
        <v>108</v>
      </c>
      <c r="C61" s="101" t="str">
        <f ca="1">_xll.DBRA(Server&amp;$C$20,$B61,$F$17)</f>
        <v>COUTS GENERAUX ET ADMINISTRATIFS (par destination)</v>
      </c>
      <c r="D61" s="127"/>
      <c r="E61" s="268" t="str">
        <f ca="1">LEFT(C61,FIND("(",C61,1)-1)</f>
        <v xml:space="preserve">COUTS GENERAUX ET ADMINISTRATIFS </v>
      </c>
      <c r="F61" s="268"/>
      <c r="G61" s="187"/>
      <c r="H61" s="172">
        <f ca="1">_xll.DBRW($H$3,$F$13,$F$14,$F$15,$F$16,$F$11,$F$12,H$18,H$1,$B61)</f>
        <v>-109771.15303099997</v>
      </c>
      <c r="I61" s="172">
        <f ca="1">_xll.DBRW($H$3,$F$13,$F$14,$F$15,$F$16,$F$11,$F$12,I$18,I$1,$B61)</f>
        <v>-109974.98947700007</v>
      </c>
      <c r="J61" s="172">
        <f ca="1">_xll.DBRW($H$3,$F$13,$F$14,$F$15,$F$16,$F$11,$F$12,J$18,J$1,$B61)</f>
        <v>0</v>
      </c>
      <c r="K61" s="172">
        <f ca="1">_xll.DBRW($H$3,$F$13,$F$14,$F$15,$F$16,$F$11,$F$12,K$18,K$1,$B61)</f>
        <v>-101421.42873600002</v>
      </c>
      <c r="L61" s="104"/>
      <c r="M61" s="172">
        <f t="shared" ref="M61:M63" ca="1" si="26">IF(OR($H61="",I61=""),"-",IFERROR(($H61-I61),""))</f>
        <v>203.83644600010302</v>
      </c>
      <c r="N61" s="173">
        <f t="shared" ref="N61:N63" ca="1" si="27">IF(OR($I61=0,M61=0),"-",IF(ABS(M61/$I61)&gt;2,"-",M61/$I61))</f>
        <v>-1.8534800227712951E-3</v>
      </c>
      <c r="O61" s="174" t="str">
        <f ca="1">IF(OR(AND(N61&gt;0.01,M61&lt;0),AND(N61&lt;-0.01,M61&lt;0)),"î",IF(OR(AND(N61&lt;-0.01,M61&gt;0),AND(N61&gt;0.01,M61&gt;0)),"ì","è"))</f>
        <v>è</v>
      </c>
      <c r="P61" s="172">
        <f t="shared" ref="P61:P63" ca="1" si="28">IF(OR($H61="",J61=""),"-",IFERROR(($H61-J61),""))</f>
        <v>-109771.15303099997</v>
      </c>
      <c r="Q61" s="173" t="str">
        <f t="shared" ref="Q61:Q63" ca="1" si="29">IF(OR($J61=0,P61=0),"-",IF(ABS(P61/$J61)&gt;2,"-",P61/$J61))</f>
        <v>-</v>
      </c>
      <c r="R61" s="174" t="str">
        <f ca="1">IF(OR(AND(Q61&gt;0.01,P61&lt;0),AND(Q61&lt;-0.01,P61&lt;0)),"î",IF(OR(AND(Q61&lt;-0.01,P61&gt;0),AND(Q61&gt;0.01,P61&gt;0)),"ì","è"))</f>
        <v>î</v>
      </c>
      <c r="S61" s="172">
        <f t="shared" ref="S61:S63" ca="1" si="30">IF(OR($H61="",K61=""),"-",IFERROR(($H61-K61),""))</f>
        <v>-8349.7242949999491</v>
      </c>
      <c r="T61" s="173">
        <f t="shared" ref="T61:T63" ca="1" si="31">IF(OR($K61=0,S61=0),"-",IF(ABS(S61/$K61)&gt;2,"-",S61/$K61))</f>
        <v>8.2327022987758153E-2</v>
      </c>
      <c r="U61" s="174" t="str">
        <f t="shared" ref="U61:U62" ca="1" si="32">IF(OR(AND(T61&gt;0.01,S61&lt;0),AND(T61&lt;-0.01,S61&lt;0)),"î",IF(OR(AND(T61&lt;-0.01,S61&gt;0),AND(T61&gt;0.01,S61&gt;0)),"ì","è"))</f>
        <v>î</v>
      </c>
      <c r="V61" s="28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</row>
    <row r="62" spans="1:38" ht="20.25" customHeight="1">
      <c r="B62" s="78" t="s">
        <v>109</v>
      </c>
      <c r="D62" s="105"/>
      <c r="E62" s="269" t="str">
        <f ca="1">_xll.DBRA(Server&amp;$C$20,$B62,$F$17)</f>
        <v>G&amp;A (coûts de structure + management fees)</v>
      </c>
      <c r="F62" s="269"/>
      <c r="G62" s="106"/>
      <c r="H62" s="175">
        <f ca="1">_xll.DBRW($H$3,$F$13,$F$14,$F$15,$F$16,$F$11,$F$12,H$18,H$1,$B62)</f>
        <v>-62485.009627362757</v>
      </c>
      <c r="I62" s="175">
        <f ca="1">_xll.DBRW($H$3,$F$13,$F$14,$F$15,$F$16,$F$11,$F$12,I$18,I$1,$B62)</f>
        <v>-74718.507046499202</v>
      </c>
      <c r="J62" s="175">
        <f ca="1">_xll.DBRW($H$3,$F$13,$F$14,$F$15,$F$16,$F$11,$F$12,J$18,J$1,$B62)</f>
        <v>2736.9196400000001</v>
      </c>
      <c r="K62" s="175">
        <f ca="1">_xll.DBRW($H$3,$F$13,$F$14,$F$15,$F$16,$F$11,$F$12,K$18,K$1,$B62)</f>
        <v>-89692.317197487122</v>
      </c>
      <c r="L62" s="107"/>
      <c r="M62" s="175">
        <f t="shared" ca="1" si="26"/>
        <v>12233.497419136445</v>
      </c>
      <c r="N62" s="176">
        <f t="shared" ca="1" si="27"/>
        <v>-0.16372780858058678</v>
      </c>
      <c r="O62" s="177" t="str">
        <f ca="1">IF(OR(AND(N62&gt;0.01,M62&lt;0),AND(N62&lt;-0.01,M62&lt;0)),"î",IF(OR(AND(N62&lt;-0.01,M62&gt;0),AND(N62&gt;0.01,M62&gt;0)),"ì","è"))</f>
        <v>ì</v>
      </c>
      <c r="P62" s="175">
        <f t="shared" ca="1" si="28"/>
        <v>-65221.929267362757</v>
      </c>
      <c r="Q62" s="176" t="str">
        <f t="shared" ca="1" si="29"/>
        <v>-</v>
      </c>
      <c r="R62" s="177" t="str">
        <f ca="1">IF(OR(AND(Q62&gt;0.01,P62&lt;0),AND(Q62&lt;-0.01,P62&lt;0)),"î",IF(OR(AND(Q62&lt;-0.01,P62&gt;0),AND(Q62&gt;0.01,P62&gt;0)),"ì","è"))</f>
        <v>î</v>
      </c>
      <c r="S62" s="175">
        <f t="shared" ca="1" si="30"/>
        <v>27207.307570124365</v>
      </c>
      <c r="T62" s="178">
        <f t="shared" ca="1" si="31"/>
        <v>-0.30334044676556338</v>
      </c>
      <c r="U62" s="179" t="str">
        <f t="shared" ca="1" si="32"/>
        <v>ì</v>
      </c>
      <c r="V62" s="30"/>
      <c r="Y62" s="25"/>
    </row>
    <row r="63" spans="1:38" ht="18.75" customHeight="1">
      <c r="B63" s="78" t="s">
        <v>110</v>
      </c>
      <c r="D63" s="119"/>
      <c r="E63" s="270" t="str">
        <f ca="1">_xll.DBRA(Server&amp;$C$20,$B63,$F$17)</f>
        <v>G&amp;A Coûts de structure - Réconciliation Vector</v>
      </c>
      <c r="F63" s="270"/>
      <c r="G63" s="123"/>
      <c r="H63" s="188">
        <f ca="1">_xll.DBRW($H$3,$F$13,$F$14,$F$15,$F$16,$F$11,$F$12,H$18,H$1,$B63)</f>
        <v>-47286.143403637208</v>
      </c>
      <c r="I63" s="188">
        <f ca="1">_xll.DBRW($H$3,$F$13,$F$14,$F$15,$F$16,$F$11,$F$12,I$18,I$1,$B63)</f>
        <v>-35256.482430500866</v>
      </c>
      <c r="J63" s="188">
        <f ca="1">_xll.DBRW($H$3,$F$13,$F$14,$F$15,$F$16,$F$11,$F$12,J$18,J$1,$B63)</f>
        <v>-2736.9196400000001</v>
      </c>
      <c r="K63" s="188">
        <f ca="1">_xll.DBRW($H$3,$F$13,$F$14,$F$15,$F$16,$F$11,$F$12,K$18,K$1,$B63)</f>
        <v>-11729.111538512905</v>
      </c>
      <c r="L63" s="184"/>
      <c r="M63" s="188">
        <f t="shared" ca="1" si="26"/>
        <v>-12029.660973136342</v>
      </c>
      <c r="N63" s="189">
        <f t="shared" ca="1" si="27"/>
        <v>0.34120423093397761</v>
      </c>
      <c r="O63" s="190"/>
      <c r="P63" s="188">
        <f t="shared" ca="1" si="28"/>
        <v>-44549.223763637208</v>
      </c>
      <c r="Q63" s="189" t="str">
        <f t="shared" ca="1" si="29"/>
        <v>-</v>
      </c>
      <c r="R63" s="190"/>
      <c r="S63" s="188">
        <f t="shared" ca="1" si="30"/>
        <v>-35557.0318651243</v>
      </c>
      <c r="T63" s="189" t="str">
        <f t="shared" ca="1" si="31"/>
        <v>-</v>
      </c>
      <c r="U63" s="190"/>
      <c r="V63" s="40"/>
    </row>
    <row r="64" spans="1:38" ht="6.75" customHeight="1">
      <c r="C64" s="78"/>
      <c r="D64" s="105"/>
      <c r="E64" s="124"/>
      <c r="F64" s="130"/>
      <c r="G64" s="130"/>
      <c r="H64" s="138"/>
      <c r="I64" s="138"/>
      <c r="J64" s="138"/>
      <c r="K64" s="138"/>
      <c r="L64" s="138"/>
      <c r="M64" s="138"/>
      <c r="N64" s="137"/>
      <c r="O64" s="158"/>
      <c r="P64" s="138"/>
      <c r="Q64" s="137"/>
      <c r="R64" s="158"/>
      <c r="S64" s="138"/>
      <c r="T64" s="137"/>
      <c r="U64" s="168"/>
      <c r="V64" s="41"/>
      <c r="W64" s="41"/>
    </row>
    <row r="65" spans="1:51" s="43" customFormat="1" ht="24.95" customHeight="1">
      <c r="A65" s="133"/>
      <c r="B65" s="102" t="s">
        <v>111</v>
      </c>
      <c r="C65" s="101" t="str">
        <f ca="1">_xll.DBRA(Server&amp;$C$20,$B65,$F$17)</f>
        <v>AUTRES CHARGES ET PRODUITS OPERATIONNELS (par destination)</v>
      </c>
      <c r="D65" s="127"/>
      <c r="E65" s="268" t="str">
        <f ca="1">LEFT(C65,FIND("(",C65,1)-1)</f>
        <v xml:space="preserve">AUTRES CHARGES ET PRODUITS OPERATIONNELS </v>
      </c>
      <c r="F65" s="268"/>
      <c r="G65" s="187"/>
      <c r="H65" s="172">
        <f ca="1">_xll.DBRW($H$3,$F$13,$F$14,$F$15,$F$16,$F$11,$F$12,H$18,H$1,$B65)</f>
        <v>-9.9996896096854471E-7</v>
      </c>
      <c r="I65" s="172">
        <f ca="1">_xll.DBRW($H$3,$F$13,$F$14,$F$15,$F$16,$F$11,$F$12,I$18,I$1,$B65)</f>
        <v>-7.0370390000163354</v>
      </c>
      <c r="J65" s="172">
        <f ca="1">_xll.DBRW($H$3,$F$13,$F$14,$F$15,$F$16,$F$11,$F$12,J$18,J$1,$B65)</f>
        <v>0</v>
      </c>
      <c r="K65" s="172">
        <f ca="1">_xll.DBRW($H$3,$F$13,$F$14,$F$15,$F$16,$F$11,$F$12,K$18,K$1,$B65)</f>
        <v>-1394.2658979999878</v>
      </c>
      <c r="L65" s="104"/>
      <c r="M65" s="172">
        <f t="shared" ref="M65:M67" ca="1" si="33">IF(OR($H65="",I65=""),"-",IFERROR(($H65-I65),""))</f>
        <v>7.0370380000473745</v>
      </c>
      <c r="N65" s="173">
        <f t="shared" ref="N65:N67" ca="1" si="34">IF(OR($I65=0,M65=0),"-",IF(ABS(M65/$I65)&gt;2,"-",M65/$I65))</f>
        <v>-0.99999985789918733</v>
      </c>
      <c r="O65" s="174" t="str">
        <f ca="1">IF(OR(AND(N65&gt;0.01,M65&lt;0),AND(N65&lt;-0.01,M65&lt;0)),"î",IF(OR(AND(N65&lt;-0.01,M65&gt;0),AND(N65&gt;0.01,M65&gt;0)),"ì","è"))</f>
        <v>ì</v>
      </c>
      <c r="P65" s="172">
        <f t="shared" ref="P65:P67" ca="1" si="35">IF(OR($H65="",J65=""),"-",IFERROR(($H65-J65),""))</f>
        <v>-9.9996896096854471E-7</v>
      </c>
      <c r="Q65" s="173" t="str">
        <f t="shared" ref="Q65:Q67" ca="1" si="36">IF(OR($J65=0,P65=0),"-",IF(ABS(P65/$J65)&gt;2,"-",P65/$J65))</f>
        <v>-</v>
      </c>
      <c r="R65" s="174" t="str">
        <f ca="1">IF(OR(AND(Q65&gt;0.01,P65&lt;0),AND(Q65&lt;-0.01,P65&lt;0)),"î",IF(OR(AND(Q65&lt;-0.01,P65&gt;0),AND(Q65&gt;0.01,P65&gt;0)),"ì","è"))</f>
        <v>î</v>
      </c>
      <c r="S65" s="172">
        <f t="shared" ref="S65:S67" ca="1" si="37">IF(OR($H65="",K65=""),"-",IFERROR(($H65-K65),""))</f>
        <v>1394.2658970000189</v>
      </c>
      <c r="T65" s="173">
        <f t="shared" ref="T65:T67" ca="1" si="38">IF(OR($K65=0,S65=0),"-",IF(ABS(S65/$K65)&gt;2,"-",S65/$K65))</f>
        <v>-0.99999999928279892</v>
      </c>
      <c r="U65" s="174" t="str">
        <f t="shared" ref="U65:U66" ca="1" si="39">IF(OR(AND(T65&gt;0.01,S65&lt;0),AND(T65&lt;-0.01,S65&lt;0)),"î",IF(OR(AND(T65&lt;-0.01,S65&gt;0),AND(T65&gt;0.01,S65&gt;0)),"ì","è"))</f>
        <v>ì</v>
      </c>
      <c r="V65" s="28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</row>
    <row r="66" spans="1:51" ht="20.25" customHeight="1">
      <c r="B66" s="78" t="s">
        <v>112</v>
      </c>
      <c r="D66" s="105"/>
      <c r="E66" s="269" t="str">
        <f ca="1">_xll.DBRA(Server&amp;$C$20,$B66,$F$17)</f>
        <v>Autres charges et produits op.</v>
      </c>
      <c r="F66" s="269"/>
      <c r="G66" s="106"/>
      <c r="H66" s="175">
        <f ca="1">_xll.DBRW($H$3,$F$13,$F$14,$F$15,$F$16,$F$11,$F$12,H$18,H$1,$B66)</f>
        <v>-45773.631150139146</v>
      </c>
      <c r="I66" s="175">
        <f ca="1">_xll.DBRW($H$3,$F$13,$F$14,$F$15,$F$16,$F$11,$F$12,I$18,I$1,$B66)</f>
        <v>-66947.598553392207</v>
      </c>
      <c r="J66" s="175">
        <f ca="1">_xll.DBRW($H$3,$F$13,$F$14,$F$15,$F$16,$F$11,$F$12,J$18,J$1,$B66)</f>
        <v>0</v>
      </c>
      <c r="K66" s="175">
        <f ca="1">_xll.DBRW($H$3,$F$13,$F$14,$F$15,$F$16,$F$11,$F$12,K$18,K$1,$B66)</f>
        <v>-49691.384936350012</v>
      </c>
      <c r="L66" s="107"/>
      <c r="M66" s="175">
        <f t="shared" ca="1" si="33"/>
        <v>21173.96740325306</v>
      </c>
      <c r="N66" s="176">
        <f t="shared" ca="1" si="34"/>
        <v>-0.31627672778085308</v>
      </c>
      <c r="O66" s="177" t="str">
        <f ca="1">IF(OR(AND(N66&gt;0.01,M66&lt;0),AND(N66&lt;-0.01,M66&lt;0)),"î",IF(OR(AND(N66&lt;-0.01,M66&gt;0),AND(N66&gt;0.01,M66&gt;0)),"ì","è"))</f>
        <v>ì</v>
      </c>
      <c r="P66" s="175">
        <f t="shared" ca="1" si="35"/>
        <v>-45773.631150139146</v>
      </c>
      <c r="Q66" s="176" t="str">
        <f t="shared" ca="1" si="36"/>
        <v>-</v>
      </c>
      <c r="R66" s="177" t="str">
        <f ca="1">IF(OR(AND(Q66&gt;0.01,P66&lt;0),AND(Q66&lt;-0.01,P66&lt;0)),"î",IF(OR(AND(Q66&lt;-0.01,P66&gt;0),AND(Q66&gt;0.01,P66&gt;0)),"ì","è"))</f>
        <v>î</v>
      </c>
      <c r="S66" s="175">
        <f t="shared" ca="1" si="37"/>
        <v>3917.7537862108657</v>
      </c>
      <c r="T66" s="178">
        <f t="shared" ca="1" si="38"/>
        <v>-7.8841710514390761E-2</v>
      </c>
      <c r="U66" s="179" t="str">
        <f t="shared" ca="1" si="39"/>
        <v>ì</v>
      </c>
      <c r="V66" s="30"/>
      <c r="Y66" s="25"/>
    </row>
    <row r="67" spans="1:51" ht="18.75" customHeight="1">
      <c r="B67" s="78" t="s">
        <v>113</v>
      </c>
      <c r="D67" s="119"/>
      <c r="E67" s="270" t="str">
        <f ca="1">_xll.DBRA(Server&amp;$C$20,$B67,$F$17)</f>
        <v>Autres charges et produits op. - Réconciliation Vector</v>
      </c>
      <c r="F67" s="270"/>
      <c r="G67" s="123"/>
      <c r="H67" s="188">
        <f ca="1">_xll.DBRW($H$3,$F$13,$F$14,$F$15,$F$16,$F$11,$F$12,H$18,H$1,$B67)</f>
        <v>45773.631149139168</v>
      </c>
      <c r="I67" s="188">
        <f ca="1">_xll.DBRW($H$3,$F$13,$F$14,$F$15,$F$16,$F$11,$F$12,I$18,I$1,$B67)</f>
        <v>66940.561514392204</v>
      </c>
      <c r="J67" s="188">
        <f ca="1">_xll.DBRW($H$3,$F$13,$F$14,$F$15,$F$16,$F$11,$F$12,J$18,J$1,$B67)</f>
        <v>0</v>
      </c>
      <c r="K67" s="188">
        <f ca="1">_xll.DBRW($H$3,$F$13,$F$14,$F$15,$F$16,$F$11,$F$12,K$18,K$1,$B67)</f>
        <v>48297.119038350022</v>
      </c>
      <c r="L67" s="184"/>
      <c r="M67" s="188">
        <f t="shared" ca="1" si="33"/>
        <v>-21166.930365253036</v>
      </c>
      <c r="N67" s="189">
        <f t="shared" ca="1" si="34"/>
        <v>-0.31620485228081258</v>
      </c>
      <c r="O67" s="190"/>
      <c r="P67" s="188">
        <f t="shared" ca="1" si="35"/>
        <v>45773.631149139168</v>
      </c>
      <c r="Q67" s="189" t="str">
        <f t="shared" ca="1" si="36"/>
        <v>-</v>
      </c>
      <c r="R67" s="190"/>
      <c r="S67" s="188">
        <f t="shared" ca="1" si="37"/>
        <v>-2523.4878892108536</v>
      </c>
      <c r="T67" s="189">
        <f t="shared" ca="1" si="38"/>
        <v>-5.2249242593685435E-2</v>
      </c>
      <c r="U67" s="190"/>
      <c r="V67" s="40"/>
    </row>
    <row r="68" spans="1:51" ht="6.75" customHeight="1">
      <c r="C68" s="78"/>
      <c r="D68" s="105"/>
      <c r="E68" s="124"/>
      <c r="F68" s="130"/>
      <c r="G68" s="130"/>
      <c r="H68" s="138"/>
      <c r="I68" s="138"/>
      <c r="J68" s="138"/>
      <c r="K68" s="138"/>
      <c r="L68" s="138"/>
      <c r="M68" s="138"/>
      <c r="N68" s="137"/>
      <c r="O68" s="158"/>
      <c r="P68" s="138"/>
      <c r="Q68" s="137"/>
      <c r="R68" s="158"/>
      <c r="S68" s="138"/>
      <c r="T68" s="137"/>
      <c r="U68" s="168"/>
      <c r="V68" s="41"/>
      <c r="W68" s="41"/>
    </row>
    <row r="69" spans="1:51" s="43" customFormat="1" ht="24.95" customHeight="1">
      <c r="A69" s="133"/>
      <c r="B69" s="102" t="s">
        <v>136</v>
      </c>
      <c r="C69" s="101" t="str">
        <f ca="1">_xll.DBRA(Server&amp;$C$20,$B69,$F$17)</f>
        <v>RESULTAT DES CO-ENTREPRISES (à compter de 2013)  (par destination)</v>
      </c>
      <c r="D69" s="127"/>
      <c r="E69" s="268" t="str">
        <f ca="1">LEFT(C69,FIND("(",C69,1)-1)</f>
        <v xml:space="preserve">RESULTAT DES CO-ENTREPRISES </v>
      </c>
      <c r="F69" s="268"/>
      <c r="G69" s="187"/>
      <c r="H69" s="172">
        <f ca="1">_xll.DBRW($H$3,$F$13,$F$14,$F$15,$F$16,$F$11,$F$12,H$18,H$1,$B69)</f>
        <v>1085.1439780000001</v>
      </c>
      <c r="I69" s="172">
        <f ca="1">_xll.DBRW($H$3,$F$13,$F$14,$F$15,$F$16,$F$11,$F$12,I$18,I$1,$B69)</f>
        <v>697.28212499999995</v>
      </c>
      <c r="J69" s="172">
        <f ca="1">_xll.DBRW($H$3,$F$13,$F$14,$F$15,$F$16,$F$11,$F$12,J$18,J$1,$B69)</f>
        <v>0</v>
      </c>
      <c r="K69" s="172">
        <f ca="1">_xll.DBRW($H$3,$F$13,$F$14,$F$15,$F$16,$F$11,$F$12,K$18,K$1,$B69)</f>
        <v>100.14579999999933</v>
      </c>
      <c r="L69" s="104"/>
      <c r="M69" s="172">
        <f t="shared" ref="M69:M71" ca="1" si="40">IF(OR($H69="",I69=""),"-",IFERROR(($H69-I69),""))</f>
        <v>387.86185300000011</v>
      </c>
      <c r="N69" s="173">
        <f t="shared" ref="N69:N71" ca="1" si="41">IF(OR($I69=0,M69=0),"-",IF(ABS(M69/$I69)&gt;2,"-",M69/$I69))</f>
        <v>0.5562480939834793</v>
      </c>
      <c r="O69" s="174" t="str">
        <f ca="1">IF(OR(AND(N69&gt;0.01,M69&lt;0),AND(N69&lt;-0.01,M69&lt;0)),"î",IF(OR(AND(N69&lt;-0.01,M69&gt;0),AND(N69&gt;0.01,M69&gt;0)),"ì","è"))</f>
        <v>ì</v>
      </c>
      <c r="P69" s="172">
        <f t="shared" ref="P69:P71" ca="1" si="42">IF(OR($H69="",J69=""),"-",IFERROR(($H69-J69),""))</f>
        <v>1085.1439780000001</v>
      </c>
      <c r="Q69" s="173" t="str">
        <f t="shared" ref="Q69:Q71" ca="1" si="43">IF(OR($J69=0,P69=0),"-",IF(ABS(P69/$J69)&gt;2,"-",P69/$J69))</f>
        <v>-</v>
      </c>
      <c r="R69" s="174" t="str">
        <f ca="1">IF(OR(AND(Q69&gt;0.01,P69&lt;0),AND(Q69&lt;-0.01,P69&lt;0)),"î",IF(OR(AND(Q69&lt;-0.01,P69&gt;0),AND(Q69&gt;0.01,P69&gt;0)),"ì","è"))</f>
        <v>ì</v>
      </c>
      <c r="S69" s="172">
        <f t="shared" ref="S69:S71" ca="1" si="44">IF(OR($H69="",K69=""),"-",IFERROR(($H69-K69),""))</f>
        <v>984.99817800000073</v>
      </c>
      <c r="T69" s="173" t="str">
        <f t="shared" ref="T69:T71" ca="1" si="45">IF(OR($K69=0,S69=0),"-",IF(ABS(S69/$K69)&gt;2,"-",S69/$K69))</f>
        <v>-</v>
      </c>
      <c r="U69" s="174" t="str">
        <f t="shared" ref="U69:U70" ca="1" si="46">IF(OR(AND(T69&gt;0.01,S69&lt;0),AND(T69&lt;-0.01,S69&lt;0)),"î",IF(OR(AND(T69&lt;-0.01,S69&gt;0),AND(T69&gt;0.01,S69&gt;0)),"ì","è"))</f>
        <v>ì</v>
      </c>
      <c r="V69" s="28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</row>
    <row r="70" spans="1:51" ht="20.25" customHeight="1">
      <c r="B70" s="78" t="s">
        <v>140</v>
      </c>
      <c r="D70" s="105"/>
      <c r="E70" s="269" t="str">
        <f ca="1">_xll.DBRA(Server&amp;$C$20,$B70,$F$17)</f>
        <v>Resultat des co-entreprises (à compter de 2013)</v>
      </c>
      <c r="F70" s="269"/>
      <c r="G70" s="106"/>
      <c r="H70" s="175">
        <f ca="1">_xll.DBRW($H$3,$F$13,$F$14,$F$15,$F$16,$F$11,$F$12,H$18,H$1,$B70)</f>
        <v>546.20765947482755</v>
      </c>
      <c r="I70" s="175">
        <f ca="1">_xll.DBRW($H$3,$F$13,$F$14,$F$15,$F$16,$F$11,$F$12,I$18,I$1,$B70)</f>
        <v>-498.39577556994391</v>
      </c>
      <c r="J70" s="175">
        <f ca="1">_xll.DBRW($H$3,$F$13,$F$14,$F$15,$F$16,$F$11,$F$12,J$18,J$1,$B70)</f>
        <v>0</v>
      </c>
      <c r="K70" s="175">
        <f ca="1">_xll.DBRW($H$3,$F$13,$F$14,$F$15,$F$16,$F$11,$F$12,K$18,K$1,$B70)</f>
        <v>-2316.1498415744572</v>
      </c>
      <c r="L70" s="107"/>
      <c r="M70" s="175">
        <f t="shared" ca="1" si="40"/>
        <v>1044.6034350447715</v>
      </c>
      <c r="N70" s="176" t="str">
        <f t="shared" ca="1" si="41"/>
        <v>-</v>
      </c>
      <c r="O70" s="177" t="str">
        <f ca="1">IF(OR(AND(N70&gt;0.01,M70&lt;0),AND(N70&lt;-0.01,M70&lt;0)),"î",IF(OR(AND(N70&lt;-0.01,M70&gt;0),AND(N70&gt;0.01,M70&gt;0)),"ì","è"))</f>
        <v>ì</v>
      </c>
      <c r="P70" s="175">
        <f t="shared" ca="1" si="42"/>
        <v>546.20765947482755</v>
      </c>
      <c r="Q70" s="176" t="str">
        <f t="shared" ca="1" si="43"/>
        <v>-</v>
      </c>
      <c r="R70" s="177" t="str">
        <f ca="1">IF(OR(AND(Q70&gt;0.01,P70&lt;0),AND(Q70&lt;-0.01,P70&lt;0)),"î",IF(OR(AND(Q70&lt;-0.01,P70&gt;0),AND(Q70&gt;0.01,P70&gt;0)),"ì","è"))</f>
        <v>ì</v>
      </c>
      <c r="S70" s="175">
        <f t="shared" ca="1" si="44"/>
        <v>2862.357501049285</v>
      </c>
      <c r="T70" s="178">
        <f t="shared" ca="1" si="45"/>
        <v>-1.2358257007687941</v>
      </c>
      <c r="U70" s="179" t="str">
        <f t="shared" ca="1" si="46"/>
        <v>ì</v>
      </c>
      <c r="V70" s="30"/>
      <c r="Y70" s="25"/>
    </row>
    <row r="71" spans="1:51" ht="18.75" customHeight="1">
      <c r="B71" s="78" t="s">
        <v>137</v>
      </c>
      <c r="D71" s="119"/>
      <c r="E71" s="270" t="str">
        <f ca="1">_xll.DBRA(Server&amp;$C$20,$B71,$F$17)</f>
        <v>Resultat des co-entreprises (à compter de 2013) - Réconciliation Vector</v>
      </c>
      <c r="F71" s="270"/>
      <c r="G71" s="123"/>
      <c r="H71" s="188">
        <f ca="1">_xll.DBRW($H$3,$F$13,$F$14,$F$15,$F$16,$F$11,$F$12,H$18,H$1,$B71)</f>
        <v>538.93631852517251</v>
      </c>
      <c r="I71" s="188">
        <f ca="1">_xll.DBRW($H$3,$F$13,$F$14,$F$15,$F$16,$F$11,$F$12,I$18,I$1,$B71)</f>
        <v>1195.6779005699439</v>
      </c>
      <c r="J71" s="188">
        <f ca="1">_xll.DBRW($H$3,$F$13,$F$14,$F$15,$F$16,$F$11,$F$12,J$18,J$1,$B71)</f>
        <v>0</v>
      </c>
      <c r="K71" s="188">
        <f ca="1">_xll.DBRW($H$3,$F$13,$F$14,$F$15,$F$16,$F$11,$F$12,K$18,K$1,$B71)</f>
        <v>2416.2956415744566</v>
      </c>
      <c r="L71" s="184"/>
      <c r="M71" s="188">
        <f t="shared" ca="1" si="40"/>
        <v>-656.74158204477135</v>
      </c>
      <c r="N71" s="189">
        <f t="shared" ca="1" si="41"/>
        <v>-0.54926295930678515</v>
      </c>
      <c r="O71" s="190"/>
      <c r="P71" s="188">
        <f t="shared" ca="1" si="42"/>
        <v>538.93631852517251</v>
      </c>
      <c r="Q71" s="189" t="str">
        <f t="shared" ca="1" si="43"/>
        <v>-</v>
      </c>
      <c r="R71" s="190"/>
      <c r="S71" s="188">
        <f t="shared" ca="1" si="44"/>
        <v>-1877.3593230492841</v>
      </c>
      <c r="T71" s="189">
        <f t="shared" ca="1" si="45"/>
        <v>-0.77695762503051902</v>
      </c>
      <c r="U71" s="190"/>
      <c r="V71" s="40"/>
    </row>
    <row r="72" spans="1:51" ht="6.75" customHeight="1">
      <c r="C72" s="78"/>
      <c r="D72" s="105"/>
      <c r="E72" s="124"/>
      <c r="F72" s="130"/>
      <c r="G72" s="130"/>
      <c r="H72" s="138"/>
      <c r="I72" s="138"/>
      <c r="J72" s="138"/>
      <c r="K72" s="138"/>
      <c r="L72" s="138"/>
      <c r="M72" s="138"/>
      <c r="N72" s="137"/>
      <c r="O72" s="158"/>
      <c r="P72" s="138"/>
      <c r="Q72" s="137"/>
      <c r="R72" s="158"/>
      <c r="S72" s="138"/>
      <c r="T72" s="137"/>
      <c r="U72" s="168"/>
      <c r="V72" s="41"/>
      <c r="W72" s="41"/>
    </row>
    <row r="73" spans="1:51" s="43" customFormat="1" ht="24.95" customHeight="1">
      <c r="A73" s="133"/>
      <c r="B73" s="102" t="s">
        <v>138</v>
      </c>
      <c r="C73" s="101" t="str">
        <f ca="1">_xll.DBRA(Server&amp;$C$20,$B73,$F$17)</f>
        <v>RESULTAT DES ENTREPRISES ASSOCIEES (à compter de 2013)  (par destination)</v>
      </c>
      <c r="D73" s="127"/>
      <c r="E73" s="283" t="str">
        <f ca="1">LEFT(C73,FIND("(",C73,1)-1)</f>
        <v xml:space="preserve">RESULTAT DES ENTREPRISES ASSOCIEES </v>
      </c>
      <c r="F73" s="283"/>
      <c r="G73" s="187"/>
      <c r="H73" s="199">
        <f ca="1">_xll.DBRW($H$3,$F$13,$F$14,$F$15,$F$16,$F$11,$F$12,H$18,H$1,$B73)</f>
        <v>202.27745200000015</v>
      </c>
      <c r="I73" s="199">
        <f ca="1">_xll.DBRW($H$3,$F$13,$F$14,$F$15,$F$16,$F$11,$F$12,I$18,I$1,$B73)</f>
        <v>143.10731999999996</v>
      </c>
      <c r="J73" s="199">
        <f ca="1">_xll.DBRW($H$3,$F$13,$F$14,$F$15,$F$16,$F$11,$F$12,J$18,J$1,$B73)</f>
        <v>0</v>
      </c>
      <c r="K73" s="199">
        <f ca="1">_xll.DBRW($H$3,$F$13,$F$14,$F$15,$F$16,$F$11,$F$12,K$18,K$1,$B73)</f>
        <v>734.48882200000048</v>
      </c>
      <c r="L73" s="104"/>
      <c r="M73" s="199">
        <f t="shared" ref="M73:M75" ca="1" si="47">IF(OR($H73="",I73=""),"-",IFERROR(($H73-I73),""))</f>
        <v>59.170132000000194</v>
      </c>
      <c r="N73" s="200">
        <f t="shared" ref="N73:N75" ca="1" si="48">IF(OR($I73=0,M73=0),"-",IF(ABS(M73/$I73)&gt;2,"-",M73/$I73))</f>
        <v>0.4134668443235483</v>
      </c>
      <c r="O73" s="177" t="str">
        <f ca="1">IF(OR(AND(N73&gt;0.01,M73&lt;0),AND(N73&lt;-0.01,M73&lt;0)),"î",IF(OR(AND(N73&lt;-0.01,M73&gt;0),AND(N73&gt;0.01,M73&gt;0)),"ì","è"))</f>
        <v>ì</v>
      </c>
      <c r="P73" s="199">
        <f t="shared" ref="P73:P75" ca="1" si="49">IF(OR($H73="",J73=""),"-",IFERROR(($H73-J73),""))</f>
        <v>202.27745200000015</v>
      </c>
      <c r="Q73" s="200" t="str">
        <f t="shared" ref="Q73:Q75" ca="1" si="50">IF(OR($J73=0,P73=0),"-",IF(ABS(P73/$J73)&gt;2,"-",P73/$J73))</f>
        <v>-</v>
      </c>
      <c r="R73" s="177" t="str">
        <f ca="1">IF(OR(AND(Q73&gt;0.01,P73&lt;0),AND(Q73&lt;-0.01,P73&lt;0)),"î",IF(OR(AND(Q73&lt;-0.01,P73&gt;0),AND(Q73&gt;0.01,P73&gt;0)),"ì","è"))</f>
        <v>ì</v>
      </c>
      <c r="S73" s="199">
        <f t="shared" ref="S73:S75" ca="1" si="51">IF(OR($H73="",K73=""),"-",IFERROR(($H73-K73),""))</f>
        <v>-532.21137000000033</v>
      </c>
      <c r="T73" s="200">
        <f t="shared" ref="T73:T75" ca="1" si="52">IF(OR($K73=0,S73=0),"-",IF(ABS(S73/$K73)&gt;2,"-",S73/$K73))</f>
        <v>-0.72460104777469303</v>
      </c>
      <c r="U73" s="177" t="str">
        <f t="shared" ref="U73:U74" ca="1" si="53">IF(OR(AND(T73&gt;0.01,S73&lt;0),AND(T73&lt;-0.01,S73&lt;0)),"î",IF(OR(AND(T73&lt;-0.01,S73&gt;0),AND(T73&gt;0.01,S73&gt;0)),"ì","è"))</f>
        <v>î</v>
      </c>
      <c r="V73" s="28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</row>
    <row r="74" spans="1:51" ht="20.25" customHeight="1">
      <c r="B74" s="78" t="s">
        <v>141</v>
      </c>
      <c r="D74" s="105"/>
      <c r="E74" s="269" t="str">
        <f ca="1">_xll.DBRA(Server&amp;$C$20,$B74,$F$17)</f>
        <v>Resultat des entreprises associees (à compter de 2013)</v>
      </c>
      <c r="F74" s="269"/>
      <c r="G74" s="108"/>
      <c r="H74" s="175">
        <f ca="1">_xll.DBRW($H$3,$F$13,$F$14,$F$15,$F$16,$F$11,$F$12,H$18,H$1,$B74)</f>
        <v>-587.68644904689131</v>
      </c>
      <c r="I74" s="175">
        <f ca="1">_xll.DBRW($H$3,$F$13,$F$14,$F$15,$F$16,$F$11,$F$12,I$18,I$1,$B74)</f>
        <v>139.37865168539352</v>
      </c>
      <c r="J74" s="175">
        <f ca="1">_xll.DBRW($H$3,$F$13,$F$14,$F$15,$F$16,$F$11,$F$12,J$18,J$1,$B74)</f>
        <v>0</v>
      </c>
      <c r="K74" s="175">
        <f ca="1">_xll.DBRW($H$3,$F$13,$F$14,$F$15,$F$16,$F$11,$F$12,K$18,K$1,$B74)</f>
        <v>-350.03139306500208</v>
      </c>
      <c r="L74" s="107"/>
      <c r="M74" s="175">
        <f t="shared" ca="1" si="47"/>
        <v>-727.0651007322848</v>
      </c>
      <c r="N74" s="176" t="str">
        <f t="shared" ca="1" si="48"/>
        <v>-</v>
      </c>
      <c r="O74" s="177" t="str">
        <f ca="1">IF(OR(AND(N74&gt;0.01,M74&lt;0),AND(N74&lt;-0.01,M74&lt;0)),"î",IF(OR(AND(N74&lt;-0.01,M74&gt;0),AND(N74&gt;0.01,M74&gt;0)),"ì","è"))</f>
        <v>î</v>
      </c>
      <c r="P74" s="175">
        <f t="shared" ca="1" si="49"/>
        <v>-587.68644904689131</v>
      </c>
      <c r="Q74" s="176" t="str">
        <f t="shared" ca="1" si="50"/>
        <v>-</v>
      </c>
      <c r="R74" s="177" t="str">
        <f ca="1">IF(OR(AND(Q74&gt;0.01,P74&lt;0),AND(Q74&lt;-0.01,P74&lt;0)),"î",IF(OR(AND(Q74&lt;-0.01,P74&gt;0),AND(Q74&gt;0.01,P74&gt;0)),"ì","è"))</f>
        <v>î</v>
      </c>
      <c r="S74" s="175">
        <f t="shared" ca="1" si="51"/>
        <v>-237.65505598188923</v>
      </c>
      <c r="T74" s="178">
        <f t="shared" ca="1" si="52"/>
        <v>0.67895354728298851</v>
      </c>
      <c r="U74" s="182" t="str">
        <f t="shared" ca="1" si="53"/>
        <v>î</v>
      </c>
      <c r="V74" s="30"/>
      <c r="Y74" s="15"/>
    </row>
    <row r="75" spans="1:51" ht="18.75" customHeight="1">
      <c r="B75" s="78" t="s">
        <v>139</v>
      </c>
      <c r="D75" s="119"/>
      <c r="E75" s="270" t="str">
        <f ca="1">_xll.DBRA(Server&amp;$C$20,$B75,$F$17)</f>
        <v>Resultat des entreprises associees (à compter de 2013) - Réconciliation Vector</v>
      </c>
      <c r="F75" s="270"/>
      <c r="G75" s="123"/>
      <c r="H75" s="188">
        <f ca="1">_xll.DBRW($H$3,$F$13,$F$14,$F$15,$F$16,$F$11,$F$12,H$18,H$1,$B75)</f>
        <v>789.96390104689135</v>
      </c>
      <c r="I75" s="188">
        <f ca="1">_xll.DBRW($H$3,$F$13,$F$14,$F$15,$F$16,$F$11,$F$12,I$18,I$1,$B75)</f>
        <v>3.7286683146064448</v>
      </c>
      <c r="J75" s="188">
        <f ca="1">_xll.DBRW($H$3,$F$13,$F$14,$F$15,$F$16,$F$11,$F$12,J$18,J$1,$B75)</f>
        <v>0</v>
      </c>
      <c r="K75" s="188">
        <f ca="1">_xll.DBRW($H$3,$F$13,$F$14,$F$15,$F$16,$F$11,$F$12,K$18,K$1,$B75)</f>
        <v>1084.5202150650025</v>
      </c>
      <c r="L75" s="184"/>
      <c r="M75" s="188">
        <f t="shared" ca="1" si="47"/>
        <v>786.23523273228489</v>
      </c>
      <c r="N75" s="189" t="str">
        <f t="shared" ca="1" si="48"/>
        <v>-</v>
      </c>
      <c r="O75" s="190"/>
      <c r="P75" s="188">
        <f t="shared" ca="1" si="49"/>
        <v>789.96390104689135</v>
      </c>
      <c r="Q75" s="189" t="str">
        <f t="shared" ca="1" si="50"/>
        <v>-</v>
      </c>
      <c r="R75" s="190"/>
      <c r="S75" s="188">
        <f t="shared" ca="1" si="51"/>
        <v>-294.55631401811115</v>
      </c>
      <c r="T75" s="189">
        <f t="shared" ca="1" si="52"/>
        <v>-0.27160057500676132</v>
      </c>
      <c r="U75" s="190"/>
      <c r="V75" s="40"/>
    </row>
    <row r="76" spans="1:51" ht="9.75" customHeight="1">
      <c r="C76" s="78"/>
      <c r="D76" s="105"/>
      <c r="E76" s="124"/>
      <c r="F76" s="130"/>
      <c r="G76" s="130"/>
      <c r="H76" s="138"/>
      <c r="I76" s="138"/>
      <c r="J76" s="138"/>
      <c r="K76" s="138"/>
      <c r="L76" s="184"/>
      <c r="M76" s="138"/>
      <c r="N76" s="137"/>
      <c r="O76" s="158"/>
      <c r="P76" s="138"/>
      <c r="Q76" s="137"/>
      <c r="R76" s="158"/>
      <c r="S76" s="138"/>
      <c r="T76" s="137"/>
      <c r="U76" s="158"/>
      <c r="V76" s="41"/>
      <c r="W76" s="41"/>
    </row>
    <row r="77" spans="1:51" s="43" customFormat="1" ht="24.95" customHeight="1">
      <c r="A77" s="133"/>
      <c r="B77" s="102" t="s">
        <v>114</v>
      </c>
      <c r="C77" s="101" t="str">
        <f ca="1">_xll.DBRA(Server&amp;$C$20,$B77,$F$17)</f>
        <v>RESULTAT OPERATIONNEL (par destination)</v>
      </c>
      <c r="D77" s="127"/>
      <c r="E77" s="278" t="str">
        <f ca="1">LEFT(C77,FIND("(",C77,1)-1)</f>
        <v xml:space="preserve">RESULTAT OPERATIONNEL </v>
      </c>
      <c r="F77" s="278"/>
      <c r="G77" s="171"/>
      <c r="H77" s="201">
        <f ca="1">_xll.DBRW($H$3,$F$13,$F$14,$F$15,$F$16,$F$11,$F$12,H$18,H$1,$B77)</f>
        <v>3488.198878314397</v>
      </c>
      <c r="I77" s="201">
        <f ca="1">_xll.DBRW($H$3,$F$13,$F$14,$F$15,$F$16,$F$11,$F$12,I$18,I$1,$B77)</f>
        <v>2837.8035091438737</v>
      </c>
      <c r="J77" s="201">
        <f ca="1">_xll.DBRW($H$3,$F$13,$F$14,$F$15,$F$16,$F$11,$F$12,J$18,J$1,$B77)</f>
        <v>0</v>
      </c>
      <c r="K77" s="201">
        <f ca="1">_xll.DBRW($H$3,$F$13,$F$14,$F$15,$F$16,$F$11,$F$12,K$18,K$1,$B77)</f>
        <v>1189.9146998664771</v>
      </c>
      <c r="L77" s="184"/>
      <c r="M77" s="201">
        <f t="shared" ref="M77:M78" ca="1" si="54">IF(OR($H77="",I77=""),"-",IFERROR(($H77-I77),""))</f>
        <v>650.39536917052328</v>
      </c>
      <c r="N77" s="202">
        <f t="shared" ref="N77:N78" ca="1" si="55">IF(OR($I77=0,M77=0),"-",IF(ABS(M77/$I77)&gt;2,"-",M77/$I77))</f>
        <v>0.22918971206950781</v>
      </c>
      <c r="O77" s="203" t="str">
        <f ca="1">IF(OR(AND(N77&gt;0.01,M77&lt;0),AND(N77&lt;-0.01,M77&lt;0)),"î",IF(OR(AND(N77&lt;-0.01,M77&gt;0),AND(N77&gt;0.01,M77&gt;0)),"ì","è"))</f>
        <v>ì</v>
      </c>
      <c r="P77" s="201">
        <f t="shared" ref="P77:P78" ca="1" si="56">IF(OR($H77="",J77=""),"-",IFERROR(($H77-J77),""))</f>
        <v>3488.198878314397</v>
      </c>
      <c r="Q77" s="202" t="str">
        <f t="shared" ref="Q77:Q78" ca="1" si="57">IF(OR($J77=0,P77=0),"-",IF(ABS(P77/$J77)&gt;2,"-",P77/$J77))</f>
        <v>-</v>
      </c>
      <c r="R77" s="203" t="str">
        <f ca="1">IF(OR(AND(Q77&gt;0.01,P77&lt;0),AND(Q77&lt;-0.01,P77&lt;0)),"î",IF(OR(AND(Q77&lt;-0.01,P77&gt;0),AND(Q77&gt;0.01,P77&gt;0)),"ì","è"))</f>
        <v>ì</v>
      </c>
      <c r="S77" s="201">
        <f t="shared" ref="S77:S78" ca="1" si="58">IF(OR($H77="",K77=""),"-",IFERROR(($H77-K77),""))</f>
        <v>2298.2841784479197</v>
      </c>
      <c r="T77" s="202">
        <f t="shared" ref="T77:T78" ca="1" si="59">IF(OR($K77=0,S77=0),"-",IF(ABS(S77/$K77)&gt;2,"-",S77/$K77))</f>
        <v>1.9314696916558936</v>
      </c>
      <c r="U77" s="203" t="str">
        <f t="shared" ref="U77:U78" ca="1" si="60">IF(OR(AND(T77&gt;0.01,S77&lt;0),AND(T77&lt;-0.01,S77&lt;0)),"î",IF(OR(AND(T77&lt;-0.01,S77&gt;0),AND(T77&gt;0.01,S77&gt;0)),"ì","è"))</f>
        <v>ì</v>
      </c>
      <c r="V77" s="28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</row>
    <row r="78" spans="1:51" ht="20.25" customHeight="1">
      <c r="B78" s="78" t="s">
        <v>115</v>
      </c>
      <c r="D78" s="105"/>
      <c r="E78" s="269" t="str">
        <f ca="1">_xll.DBRA(Server&amp;$C$20,$B78,$F$17)</f>
        <v>RESULTAT OPERATIONNEL avt. Frais de gestion et marque</v>
      </c>
      <c r="F78" s="269"/>
      <c r="G78" s="108"/>
      <c r="H78" s="175">
        <f ca="1">_xll.DBRW($H$3,$F$13,$F$14,$F$15,$F$16,$F$11,$F$12,H$18,H$1,$B78)</f>
        <v>3487.8134153133069</v>
      </c>
      <c r="I78" s="175">
        <f ca="1">_xll.DBRW($H$3,$F$13,$F$14,$F$15,$F$16,$F$11,$F$12,I$18,I$1,$B78)</f>
        <v>2935.8035091438846</v>
      </c>
      <c r="J78" s="175">
        <f ca="1">_xll.DBRW($H$3,$F$13,$F$14,$F$15,$F$16,$F$11,$F$12,J$18,J$1,$B78)</f>
        <v>-3.5242919693700969E-12</v>
      </c>
      <c r="K78" s="175">
        <f ca="1">_xll.DBRW($H$3,$F$13,$F$14,$F$15,$F$16,$F$11,$F$12,K$18,K$1,$B78)</f>
        <v>1186.9146998668175</v>
      </c>
      <c r="L78" s="107"/>
      <c r="M78" s="175">
        <f t="shared" ca="1" si="54"/>
        <v>552.00990616942227</v>
      </c>
      <c r="N78" s="176">
        <f t="shared" ca="1" si="55"/>
        <v>0.18802685685541501</v>
      </c>
      <c r="O78" s="177" t="str">
        <f ca="1">IF(OR(AND(N78&gt;0.01,M78&lt;0),AND(N78&lt;-0.01,M78&lt;0)),"î",IF(OR(AND(N78&lt;-0.01,M78&gt;0),AND(N78&gt;0.01,M78&gt;0)),"ì","è"))</f>
        <v>ì</v>
      </c>
      <c r="P78" s="175">
        <f t="shared" ca="1" si="56"/>
        <v>3487.8134153133105</v>
      </c>
      <c r="Q78" s="176" t="str">
        <f t="shared" ca="1" si="57"/>
        <v>-</v>
      </c>
      <c r="R78" s="177" t="str">
        <f ca="1">IF(OR(AND(Q78&gt;0.01,P78&lt;0),AND(Q78&lt;-0.01,P78&lt;0)),"î",IF(OR(AND(Q78&lt;-0.01,P78&gt;0),AND(Q78&gt;0.01,P78&gt;0)),"ì","è"))</f>
        <v>ì</v>
      </c>
      <c r="S78" s="175">
        <f t="shared" ca="1" si="58"/>
        <v>2300.8987154464894</v>
      </c>
      <c r="T78" s="178">
        <f t="shared" ca="1" si="59"/>
        <v>1.9385544013438125</v>
      </c>
      <c r="U78" s="182" t="str">
        <f t="shared" ca="1" si="60"/>
        <v>ì</v>
      </c>
      <c r="V78" s="30"/>
      <c r="Y78" s="15"/>
    </row>
    <row r="79" spans="1:51" s="18" customFormat="1" ht="19.5">
      <c r="A79" s="84"/>
      <c r="B79" s="78" t="s">
        <v>116</v>
      </c>
      <c r="C79" s="84"/>
      <c r="D79" s="139"/>
      <c r="E79" s="277" t="str">
        <f ca="1">_xll.DBRA(Server&amp;$C$20,$B79,$F$17)</f>
        <v>RESOP avt. Frais de gestion et marque (% du PAO)</v>
      </c>
      <c r="F79" s="277"/>
      <c r="G79" s="204"/>
      <c r="H79" s="129">
        <f ca="1">IF(H$21=0,_xll.DBRA(Server&amp;$Y$15,Y$58,$F$17),H78/H$21)</f>
        <v>2.7879464075675538E-3</v>
      </c>
      <c r="I79" s="129">
        <f ca="1">IF(I$21=0,_xll.DBRA(Server&amp;$Y$15,Z$58,$F$17),I78/I$21)</f>
        <v>2.3942445234672988E-3</v>
      </c>
      <c r="J79" s="129" t="str">
        <f ca="1">IF(J$21=0,_xll.DBRA(Server&amp;$Y$15,AA$58,$F$17),J78/J$21)</f>
        <v/>
      </c>
      <c r="K79" s="129">
        <f ca="1">IF(K$21=0,_xll.DBRA(Server&amp;$Y$15,AB$58,$F$17),K78/K$21)</f>
        <v>1.0305247481929129E-3</v>
      </c>
      <c r="L79" s="195"/>
      <c r="M79" s="205"/>
      <c r="N79" s="129"/>
      <c r="O79" s="180"/>
      <c r="P79" s="205"/>
      <c r="Q79" s="129"/>
      <c r="R79" s="180"/>
      <c r="S79" s="205"/>
      <c r="T79" s="129"/>
      <c r="U79" s="180"/>
      <c r="V79" s="30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</row>
    <row r="80" spans="1:51" s="43" customFormat="1" ht="24.95" customHeight="1">
      <c r="A80" s="133"/>
      <c r="B80" s="102" t="s">
        <v>117</v>
      </c>
      <c r="C80" s="133"/>
      <c r="D80" s="127"/>
      <c r="E80" s="278" t="str">
        <f ca="1">_xll.DBRA(Server&amp;$C$20,$B80,$F$17)</f>
        <v>CAF OPERATIONNELLE</v>
      </c>
      <c r="F80" s="278"/>
      <c r="G80" s="171"/>
      <c r="H80" s="201">
        <f ca="1">_xll.DBRW($H$3,$F$13,$F$14,$F$15,$F$16,$F$11,$F$12,H$18,H$1,$B80)</f>
        <v>92327.008994314427</v>
      </c>
      <c r="I80" s="201">
        <f ca="1">_xll.DBRW($H$3,$F$13,$F$14,$F$15,$F$16,$F$11,$F$12,I$18,I$1,$B80)</f>
        <v>88928.832677143844</v>
      </c>
      <c r="J80" s="201">
        <f ca="1">_xll.DBRW($H$3,$F$13,$F$14,$F$15,$F$16,$F$11,$F$12,J$18,J$1,$B80)</f>
        <v>0</v>
      </c>
      <c r="K80" s="201">
        <f ca="1">_xll.DBRW($H$3,$F$13,$F$14,$F$15,$F$16,$F$11,$F$12,K$18,K$1,$B80)</f>
        <v>80823.737349866598</v>
      </c>
      <c r="L80" s="195"/>
      <c r="M80" s="201">
        <f t="shared" ref="M80:M81" ca="1" si="61">IF(OR($H80="",I80=""),"-",IFERROR(($H80-I80),""))</f>
        <v>3398.1763171705825</v>
      </c>
      <c r="N80" s="202">
        <f t="shared" ref="N80:N81" ca="1" si="62">IF(OR($I80=0,M80=0),"-",IF(ABS(M80/$I80)&gt;2,"-",M80/$I80))</f>
        <v>3.8212312192465889E-2</v>
      </c>
      <c r="O80" s="264" t="str">
        <f ca="1">IF(OR(AND(N80&gt;0.01,M80&lt;0),AND(N80&lt;-0.01,M80&lt;0)),"î",IF(OR(AND(N80&lt;-0.01,M80&gt;0),AND(N80&gt;0.01,M80&gt;0)),"ì","è"))</f>
        <v>ì</v>
      </c>
      <c r="P80" s="201">
        <f t="shared" ref="P80:P81" ca="1" si="63">IF(OR($H80="",J80=""),"-",IFERROR(($H80-J80),""))</f>
        <v>92327.008994314427</v>
      </c>
      <c r="Q80" s="202" t="str">
        <f t="shared" ref="Q80:Q81" ca="1" si="64">IF(OR($J80=0,P80=0),"-",IF(ABS(P80/$J80)&gt;2,"-",P80/$J80))</f>
        <v>-</v>
      </c>
      <c r="R80" s="203" t="str">
        <f ca="1">IF(OR(AND(Q80&gt;0.01,P80&lt;0),AND(Q80&lt;-0.01,P80&lt;0)),"î",IF(OR(AND(Q80&lt;-0.01,P80&gt;0),AND(Q80&gt;0.01,P80&gt;0)),"ì","è"))</f>
        <v>ì</v>
      </c>
      <c r="S80" s="201">
        <f t="shared" ref="S80:S81" ca="1" si="65">IF(OR($H80="",K80=""),"-",IFERROR(($H80-K80),""))</f>
        <v>11503.271644447828</v>
      </c>
      <c r="T80" s="202">
        <f ca="1">IF(OR($K80=0,S80=0),"-",IF(ABS(S80/$K80)&gt;2,"-",S80/$K80))</f>
        <v>0.14232541109368552</v>
      </c>
      <c r="U80" s="264" t="str">
        <f t="shared" ref="U80:U81" ca="1" si="66">IF(OR(AND(T80&gt;0.01,S80&lt;0),AND(T80&lt;-0.01,S80&lt;0)),"î",IF(OR(AND(T80&lt;-0.01,S80&gt;0),AND(T80&gt;0.01,S80&gt;0)),"ì","è"))</f>
        <v>ì</v>
      </c>
      <c r="V80" s="28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</row>
    <row r="81" spans="1:51" ht="20.25" customHeight="1">
      <c r="B81" s="78" t="s">
        <v>118</v>
      </c>
      <c r="D81" s="105"/>
      <c r="E81" s="269" t="str">
        <f ca="1">_xll.DBRA(Server&amp;$C$20,$B81,$F$17)</f>
        <v>CASH FLOW OPERATIONNEL avt. Frais de gestion et marque</v>
      </c>
      <c r="F81" s="269"/>
      <c r="G81" s="108"/>
      <c r="H81" s="175">
        <f ca="1">_xll.DBRW($H$3,$F$13,$F$14,$F$15,$F$16,$F$11,$F$12,H$18,H$1,$B81)</f>
        <v>92326.623531313235</v>
      </c>
      <c r="I81" s="175">
        <f ca="1">_xll.DBRW($H$3,$F$13,$F$14,$F$15,$F$16,$F$11,$F$12,I$18,I$1,$B81)</f>
        <v>89026.832677143844</v>
      </c>
      <c r="J81" s="175">
        <f ca="1">_xll.DBRW($H$3,$F$13,$F$14,$F$15,$F$16,$F$11,$F$12,J$18,J$1,$B81)</f>
        <v>9.0949470177292824E-13</v>
      </c>
      <c r="K81" s="175">
        <f ca="1">_xll.DBRW($H$3,$F$13,$F$14,$F$15,$F$16,$F$11,$F$12,K$18,K$1,$B81)</f>
        <v>80820.737349866729</v>
      </c>
      <c r="L81" s="107"/>
      <c r="M81" s="175">
        <f t="shared" ca="1" si="61"/>
        <v>3299.7908541693905</v>
      </c>
      <c r="N81" s="176">
        <f t="shared" ca="1" si="62"/>
        <v>3.706512693915659E-2</v>
      </c>
      <c r="O81" s="177" t="str">
        <f ca="1">IF(OR(AND(N81&gt;0.01,M81&lt;0),AND(N81&lt;-0.01,M81&lt;0)),"î",IF(OR(AND(N81&lt;-0.01,M81&gt;0),AND(N81&gt;0.01,M81&gt;0)),"ì","è"))</f>
        <v>ì</v>
      </c>
      <c r="P81" s="175">
        <f t="shared" ca="1" si="63"/>
        <v>92326.623531313235</v>
      </c>
      <c r="Q81" s="176" t="str">
        <f t="shared" ca="1" si="64"/>
        <v>-</v>
      </c>
      <c r="R81" s="177" t="str">
        <f ca="1">IF(OR(AND(Q81&gt;0.01,P81&lt;0),AND(Q81&lt;-0.01,P81&lt;0)),"î",IF(OR(AND(Q81&lt;-0.01,P81&gt;0),AND(Q81&gt;0.01,P81&gt;0)),"ì","è"))</f>
        <v>ì</v>
      </c>
      <c r="S81" s="175">
        <f t="shared" ca="1" si="65"/>
        <v>11505.886181446505</v>
      </c>
      <c r="T81" s="178">
        <f ca="1">IF(OR($K81=0,S81=0),"-",IF(ABS(S81/$K81)&gt;2,"-",S81/$K81))</f>
        <v>0.14236304392569957</v>
      </c>
      <c r="U81" s="182" t="str">
        <f t="shared" ca="1" si="66"/>
        <v>ì</v>
      </c>
      <c r="V81" s="30"/>
      <c r="Y81" s="15"/>
    </row>
    <row r="82" spans="1:51" s="18" customFormat="1" ht="18" hidden="1" customHeight="1">
      <c r="A82" s="84"/>
      <c r="B82" s="72"/>
      <c r="C82" s="72"/>
      <c r="D82" s="139"/>
      <c r="E82" s="140"/>
      <c r="F82" s="140"/>
      <c r="G82" s="206"/>
      <c r="H82" s="141"/>
      <c r="I82" s="141"/>
      <c r="J82" s="141"/>
      <c r="K82" s="141"/>
      <c r="L82" s="145"/>
      <c r="M82" s="207"/>
      <c r="N82" s="208"/>
      <c r="O82" s="209"/>
      <c r="P82" s="207"/>
      <c r="Q82" s="208"/>
      <c r="R82" s="210"/>
      <c r="S82" s="211"/>
      <c r="T82" s="212"/>
      <c r="U82" s="213"/>
      <c r="V82" s="47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</row>
    <row r="83" spans="1:51" s="48" customFormat="1" ht="19.5" hidden="1" thickBot="1">
      <c r="A83" s="142"/>
      <c r="B83" s="72"/>
      <c r="C83" s="142"/>
      <c r="D83" s="143"/>
      <c r="E83" s="214" t="str">
        <f ca="1">_xll.DBRA(Server&amp;$Y$15,$Y40,$F$17)</f>
        <v>Commentaires</v>
      </c>
      <c r="F83" s="215"/>
      <c r="G83" s="84"/>
      <c r="H83" s="144"/>
      <c r="I83" s="144"/>
      <c r="J83" s="145"/>
      <c r="K83" s="146"/>
      <c r="L83" s="146"/>
      <c r="M83" s="146"/>
      <c r="N83" s="147"/>
      <c r="O83" s="49"/>
      <c r="P83" s="146"/>
      <c r="Q83" s="146"/>
      <c r="R83" s="163"/>
      <c r="S83" s="153"/>
      <c r="T83" s="153"/>
      <c r="U83" s="157"/>
      <c r="V83" s="18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18"/>
    </row>
    <row r="84" spans="1:51" s="48" customFormat="1" ht="21" hidden="1" customHeight="1">
      <c r="A84" s="142"/>
      <c r="B84" s="72"/>
      <c r="C84" s="142" t="s">
        <v>119</v>
      </c>
      <c r="D84" s="143"/>
      <c r="E84" s="279" t="str">
        <f ca="1">_xll.DBRW(Server&amp;Cube2,$F$13,$F$15,$F$16,$F$11,$F$12,#REF!,"PL_aggregated",C84)</f>
        <v>*KEY_ERR</v>
      </c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1"/>
      <c r="V84" s="51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</row>
    <row r="85" spans="1:51" s="48" customFormat="1" ht="21" hidden="1" customHeight="1">
      <c r="A85" s="142"/>
      <c r="B85" s="72"/>
      <c r="C85" s="142" t="s">
        <v>120</v>
      </c>
      <c r="D85" s="148"/>
      <c r="E85" s="271" t="str">
        <f ca="1">_xll.DBRW(Server&amp;Cube2,$F$13,$F$15,$F$16,$F$11,$F$12,#REF!,"PL_aggregated",C85)</f>
        <v>*KEY_ERR</v>
      </c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3"/>
      <c r="V85" s="51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</row>
    <row r="86" spans="1:51" s="48" customFormat="1" ht="21" hidden="1" customHeight="1">
      <c r="A86" s="142"/>
      <c r="B86" s="72"/>
      <c r="C86" s="142" t="s">
        <v>121</v>
      </c>
      <c r="D86" s="148"/>
      <c r="E86" s="271" t="str">
        <f ca="1">_xll.DBRW(Server&amp;Cube2,$F$13,$F$15,$F$16,$F$11,$F$12,#REF!,"PL_aggregated",C86)</f>
        <v>*KEY_ERR</v>
      </c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3"/>
      <c r="V86" s="51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</row>
    <row r="87" spans="1:51" s="48" customFormat="1" ht="21" hidden="1" customHeight="1" thickBot="1">
      <c r="A87" s="142"/>
      <c r="B87" s="72"/>
      <c r="C87" s="142" t="s">
        <v>122</v>
      </c>
      <c r="D87" s="142"/>
      <c r="E87" s="274" t="str">
        <f ca="1">_xll.DBRW(Server&amp;Cube2,$F$13,$F$15,$F$16,$F$11,$F$12,#REF!,"PL_aggregated",C87)</f>
        <v>*KEY_ERR</v>
      </c>
      <c r="F87" s="275"/>
      <c r="G87" s="275"/>
      <c r="H87" s="275"/>
      <c r="I87" s="275"/>
      <c r="J87" s="275"/>
      <c r="K87" s="275"/>
      <c r="L87" s="275"/>
      <c r="M87" s="275"/>
      <c r="N87" s="275"/>
      <c r="O87" s="275"/>
      <c r="P87" s="275"/>
      <c r="Q87" s="275"/>
      <c r="R87" s="275"/>
      <c r="S87" s="275"/>
      <c r="T87" s="275"/>
      <c r="U87" s="276"/>
      <c r="V87" s="51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</row>
    <row r="88" spans="1:51" s="48" customFormat="1" ht="18.75" hidden="1">
      <c r="A88" s="142"/>
      <c r="B88" s="72"/>
      <c r="C88" s="142"/>
      <c r="D88" s="142"/>
      <c r="E88" s="142"/>
      <c r="F88" s="142"/>
      <c r="G88" s="142"/>
      <c r="H88" s="142"/>
      <c r="I88" s="142"/>
      <c r="J88" s="142"/>
      <c r="K88" s="142"/>
      <c r="L88" s="142"/>
      <c r="M88" s="142"/>
      <c r="N88" s="142"/>
      <c r="P88" s="142"/>
      <c r="Q88" s="142"/>
      <c r="R88" s="164"/>
      <c r="S88" s="142"/>
      <c r="T88" s="142"/>
      <c r="U88" s="164"/>
      <c r="V88" s="222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</row>
    <row r="89" spans="1:51" s="48" customFormat="1" ht="18.75" hidden="1">
      <c r="A89" s="142"/>
      <c r="B89" s="72"/>
      <c r="C89" s="142"/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P89" s="142"/>
      <c r="Q89" s="142"/>
      <c r="R89" s="164"/>
      <c r="S89" s="142"/>
      <c r="T89" s="142"/>
      <c r="U89" s="164"/>
      <c r="V89" s="222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</row>
    <row r="90" spans="1:51" s="48" customFormat="1" ht="18.75" hidden="1">
      <c r="A90" s="142"/>
      <c r="B90" s="72"/>
      <c r="C90" s="142"/>
      <c r="D90" s="142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P90" s="142"/>
      <c r="Q90" s="142"/>
      <c r="R90" s="164"/>
      <c r="S90" s="142"/>
      <c r="T90" s="142"/>
      <c r="U90" s="164"/>
      <c r="V90" s="222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</row>
    <row r="91" spans="1:51" s="48" customFormat="1" ht="18.75" hidden="1">
      <c r="A91" s="142"/>
      <c r="B91" s="72"/>
      <c r="C91" s="142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P91" s="142"/>
      <c r="Q91" s="142"/>
      <c r="R91" s="164"/>
      <c r="S91" s="142"/>
      <c r="T91" s="142"/>
      <c r="U91" s="164"/>
      <c r="V91" s="222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</row>
    <row r="92" spans="1:51" s="18" customFormat="1" ht="18" hidden="1" customHeight="1">
      <c r="A92" s="84"/>
      <c r="B92" s="72"/>
      <c r="C92" s="72"/>
      <c r="D92" s="139"/>
      <c r="E92" s="140"/>
      <c r="F92" s="140"/>
      <c r="G92" s="206"/>
      <c r="H92" s="149"/>
      <c r="I92" s="149"/>
      <c r="J92" s="149"/>
      <c r="K92" s="149"/>
      <c r="L92" s="71"/>
      <c r="M92" s="211"/>
      <c r="N92" s="212"/>
      <c r="O92" s="209"/>
      <c r="P92" s="211"/>
      <c r="Q92" s="212"/>
      <c r="R92" s="210"/>
      <c r="S92" s="211"/>
      <c r="T92" s="212"/>
      <c r="U92" s="213"/>
      <c r="V92" s="47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</row>
    <row r="93" spans="1:51" ht="18" hidden="1" customHeight="1">
      <c r="E93" s="150"/>
      <c r="F93" s="150"/>
      <c r="G93" s="150"/>
      <c r="H93" s="151"/>
      <c r="I93" s="151"/>
      <c r="J93" s="151"/>
      <c r="K93" s="151"/>
      <c r="L93" s="151"/>
      <c r="M93" s="152"/>
      <c r="N93" s="152"/>
      <c r="O93" s="54"/>
      <c r="P93" s="155"/>
      <c r="Q93" s="152"/>
      <c r="R93" s="165"/>
      <c r="S93" s="152"/>
      <c r="T93" s="155"/>
      <c r="U93" s="165"/>
      <c r="W93" s="52"/>
    </row>
    <row r="94" spans="1:51" ht="18" hidden="1" customHeight="1">
      <c r="E94" s="151"/>
      <c r="F94" s="151"/>
      <c r="G94" s="151"/>
      <c r="H94" s="151"/>
      <c r="I94" s="151"/>
      <c r="J94" s="151"/>
      <c r="K94" s="151"/>
      <c r="L94" s="151"/>
      <c r="M94" s="152"/>
      <c r="N94" s="152"/>
      <c r="O94" s="54"/>
      <c r="P94" s="155"/>
      <c r="Q94" s="152"/>
      <c r="R94" s="165"/>
      <c r="S94" s="152"/>
      <c r="T94" s="155"/>
      <c r="U94" s="165"/>
      <c r="W94" s="53"/>
    </row>
    <row r="95" spans="1:51" ht="18" hidden="1" customHeight="1">
      <c r="E95" s="151"/>
      <c r="F95" s="151"/>
      <c r="G95" s="151"/>
      <c r="H95" s="151"/>
      <c r="I95" s="151"/>
      <c r="J95" s="151"/>
      <c r="K95" s="151"/>
      <c r="L95" s="151"/>
      <c r="M95" s="152"/>
      <c r="N95" s="152"/>
      <c r="O95" s="54"/>
      <c r="P95" s="155"/>
      <c r="Q95" s="152"/>
      <c r="R95" s="165"/>
      <c r="S95" s="152"/>
      <c r="T95" s="155"/>
      <c r="U95" s="165"/>
      <c r="W95" s="53"/>
    </row>
    <row r="96" spans="1:51" ht="18" hidden="1" customHeight="1">
      <c r="E96" s="150"/>
      <c r="F96" s="150"/>
      <c r="G96" s="150"/>
      <c r="H96" s="151"/>
      <c r="I96" s="151"/>
      <c r="J96" s="151"/>
      <c r="K96" s="151"/>
      <c r="L96" s="151"/>
      <c r="M96" s="152"/>
      <c r="N96" s="152"/>
      <c r="O96" s="54"/>
      <c r="P96" s="155"/>
      <c r="Q96" s="152"/>
      <c r="R96" s="165"/>
      <c r="S96" s="152"/>
      <c r="T96" s="155"/>
      <c r="U96" s="165"/>
      <c r="W96" s="52"/>
    </row>
    <row r="97" spans="5:39" ht="18" hidden="1" customHeight="1">
      <c r="E97" s="150"/>
      <c r="F97" s="150"/>
      <c r="G97" s="150"/>
      <c r="H97" s="151"/>
      <c r="I97" s="151"/>
      <c r="J97" s="151"/>
      <c r="K97" s="151"/>
      <c r="L97" s="151"/>
      <c r="M97" s="152"/>
      <c r="N97" s="152"/>
      <c r="O97" s="54"/>
      <c r="P97" s="155"/>
      <c r="Q97" s="152"/>
      <c r="R97" s="165"/>
      <c r="S97" s="152"/>
      <c r="T97" s="155"/>
      <c r="U97" s="165"/>
      <c r="W97" s="52"/>
    </row>
    <row r="98" spans="5:39" ht="18" hidden="1" customHeight="1">
      <c r="E98" s="150"/>
      <c r="F98" s="150"/>
      <c r="G98" s="150"/>
      <c r="H98" s="151"/>
      <c r="I98" s="151"/>
      <c r="J98" s="151"/>
      <c r="K98" s="151"/>
      <c r="L98" s="151"/>
      <c r="M98" s="152"/>
      <c r="N98" s="152"/>
      <c r="O98" s="54"/>
      <c r="P98" s="155"/>
      <c r="Q98" s="152"/>
      <c r="R98" s="165"/>
      <c r="S98" s="152"/>
      <c r="T98" s="155"/>
      <c r="U98" s="165"/>
      <c r="W98" s="52"/>
    </row>
    <row r="99" spans="5:39" ht="18" hidden="1" customHeight="1">
      <c r="E99" s="150"/>
      <c r="F99" s="150"/>
      <c r="G99" s="150"/>
      <c r="H99" s="151"/>
      <c r="I99" s="151"/>
      <c r="J99" s="151"/>
      <c r="K99" s="151"/>
      <c r="L99" s="151"/>
      <c r="M99" s="152"/>
      <c r="N99" s="152"/>
      <c r="O99" s="54"/>
      <c r="P99" s="155"/>
      <c r="Q99" s="152"/>
      <c r="R99" s="165"/>
      <c r="S99" s="152"/>
      <c r="T99" s="155"/>
      <c r="U99" s="165"/>
      <c r="W99" s="52"/>
    </row>
    <row r="100" spans="5:39" ht="18" hidden="1" customHeight="1">
      <c r="E100" s="150"/>
      <c r="F100" s="150"/>
      <c r="G100" s="150"/>
      <c r="H100" s="151"/>
      <c r="I100" s="151"/>
      <c r="J100" s="151"/>
      <c r="K100" s="151"/>
      <c r="L100" s="151"/>
      <c r="M100" s="152"/>
      <c r="N100" s="152"/>
      <c r="O100" s="54"/>
      <c r="P100" s="155"/>
      <c r="Q100" s="152"/>
      <c r="R100" s="165"/>
      <c r="S100" s="152"/>
      <c r="T100" s="155"/>
      <c r="U100" s="165"/>
      <c r="W100" s="52"/>
    </row>
    <row r="101" spans="5:39" ht="18" hidden="1" customHeight="1">
      <c r="E101" s="150"/>
      <c r="F101" s="150"/>
      <c r="G101" s="150"/>
      <c r="H101" s="151"/>
      <c r="I101" s="151"/>
      <c r="J101" s="151"/>
      <c r="K101" s="151"/>
      <c r="L101" s="151"/>
      <c r="M101" s="152"/>
      <c r="N101" s="152"/>
      <c r="O101" s="54"/>
      <c r="P101" s="155"/>
      <c r="Q101" s="152"/>
      <c r="R101" s="165"/>
      <c r="S101" s="152"/>
      <c r="T101" s="155"/>
      <c r="U101" s="165"/>
      <c r="W101" s="52"/>
    </row>
    <row r="102" spans="5:39" ht="18" hidden="1" customHeight="1">
      <c r="E102" s="150"/>
      <c r="F102" s="150"/>
      <c r="G102" s="150"/>
      <c r="H102" s="151"/>
      <c r="I102" s="151"/>
      <c r="J102" s="151"/>
      <c r="K102" s="151"/>
      <c r="L102" s="151"/>
      <c r="M102" s="152"/>
      <c r="N102" s="152"/>
      <c r="O102" s="54"/>
      <c r="P102" s="155"/>
      <c r="Q102" s="152"/>
      <c r="R102" s="165"/>
      <c r="S102" s="152"/>
      <c r="T102" s="155"/>
      <c r="U102" s="165"/>
      <c r="W102" s="52"/>
    </row>
    <row r="103" spans="5:39" ht="18" hidden="1" customHeight="1">
      <c r="E103" s="150"/>
      <c r="F103" s="150"/>
      <c r="G103" s="150"/>
      <c r="H103" s="151"/>
      <c r="I103" s="151"/>
      <c r="J103" s="151"/>
      <c r="K103" s="151"/>
      <c r="L103" s="151"/>
      <c r="M103" s="152"/>
      <c r="N103" s="152"/>
      <c r="O103" s="54"/>
      <c r="P103" s="155"/>
      <c r="Q103" s="152"/>
      <c r="R103" s="165"/>
      <c r="S103" s="152"/>
      <c r="T103" s="155"/>
      <c r="U103" s="165"/>
      <c r="W103" s="52"/>
    </row>
    <row r="104" spans="5:39" ht="18" hidden="1" customHeight="1">
      <c r="E104" s="150"/>
      <c r="F104" s="150"/>
      <c r="G104" s="150"/>
      <c r="H104" s="151"/>
      <c r="I104" s="151"/>
      <c r="J104" s="151"/>
      <c r="K104" s="151"/>
      <c r="L104" s="151"/>
      <c r="M104" s="152"/>
      <c r="N104" s="152"/>
      <c r="O104" s="54"/>
      <c r="P104" s="155"/>
      <c r="Q104" s="152"/>
      <c r="R104" s="165"/>
      <c r="S104" s="152"/>
      <c r="T104" s="155"/>
      <c r="U104" s="165"/>
      <c r="W104" s="52"/>
      <c r="AB104" s="55"/>
    </row>
    <row r="105" spans="5:39" ht="18" hidden="1" customHeight="1">
      <c r="E105" s="150"/>
      <c r="F105" s="150"/>
      <c r="G105" s="150"/>
      <c r="H105" s="151"/>
      <c r="I105" s="151"/>
      <c r="J105" s="151"/>
      <c r="K105" s="151"/>
      <c r="L105" s="151"/>
      <c r="M105" s="152"/>
      <c r="N105" s="152"/>
      <c r="O105" s="54"/>
      <c r="P105" s="155"/>
      <c r="Q105" s="152"/>
      <c r="R105" s="165"/>
      <c r="S105" s="152"/>
      <c r="T105" s="155"/>
      <c r="U105" s="165"/>
      <c r="W105" s="52"/>
      <c r="AA105" s="56" t="s">
        <v>123</v>
      </c>
      <c r="AB105" s="57" t="str">
        <f ca="1">LEFT(_xll.SUBNM(Server&amp;"Period","",#REF!,""),4)</f>
        <v/>
      </c>
      <c r="AC105" s="58" t="s">
        <v>124</v>
      </c>
      <c r="AE105" s="57" t="str">
        <f ca="1">IF(RIGHT(_xll.SUBNM(Server&amp;"Period","",#REF!,""),3)="YTD","Yes","No")</f>
        <v>No</v>
      </c>
    </row>
    <row r="106" spans="5:39" ht="18" hidden="1" customHeight="1">
      <c r="E106" s="150"/>
      <c r="F106" s="150"/>
      <c r="G106" s="150"/>
      <c r="H106" s="151"/>
      <c r="I106" s="151"/>
      <c r="J106" s="151"/>
      <c r="K106" s="151"/>
      <c r="L106" s="151"/>
      <c r="M106" s="152"/>
      <c r="N106" s="152"/>
      <c r="O106" s="54"/>
      <c r="P106" s="155"/>
      <c r="Q106" s="152"/>
      <c r="R106" s="165"/>
      <c r="S106" s="152"/>
      <c r="T106" s="155"/>
      <c r="U106" s="165"/>
      <c r="W106" s="52"/>
      <c r="Z106" s="15"/>
      <c r="AM106" s="59"/>
    </row>
    <row r="107" spans="5:39" ht="18" hidden="1" customHeight="1">
      <c r="E107" s="150"/>
      <c r="F107" s="150"/>
      <c r="G107" s="150"/>
      <c r="H107" s="151"/>
      <c r="I107" s="151"/>
      <c r="J107" s="151"/>
      <c r="K107" s="151"/>
      <c r="L107" s="151"/>
      <c r="M107" s="152"/>
      <c r="N107" s="152"/>
      <c r="O107" s="54"/>
      <c r="P107" s="155"/>
      <c r="Q107" s="152"/>
      <c r="R107" s="165"/>
      <c r="S107" s="152"/>
      <c r="T107" s="155"/>
      <c r="U107" s="165"/>
      <c r="W107" s="52"/>
      <c r="X107" s="14"/>
      <c r="Z107" s="15"/>
      <c r="AA107" s="14" t="str">
        <f ca="1">IF(AE105="No",_xll.DBRA(Server&amp;$Y$15,$Y41,$F$17),_xll.DBRA(Server&amp;$Y$15,$Y41,$F$17)&amp; " ("&amp;_xll.DBRA(Server&amp;$Y$15,$Y44,$F$17)&amp;")")</f>
        <v>PAO</v>
      </c>
      <c r="AB107" s="14" t="str">
        <f ca="1">IF($AE$105="No",$AB$105&amp;".01",$AB$105&amp;".01_YTD")</f>
        <v>.01</v>
      </c>
      <c r="AC107" s="14" t="str">
        <f ca="1">IF($AE$105="No",$AB$105&amp;".02",$AB$105&amp;".02_YTD")</f>
        <v>.02</v>
      </c>
      <c r="AD107" s="14" t="str">
        <f ca="1">IF($AE$105="No",$AB$105&amp;".03",$AB$105&amp;".03_YTD")</f>
        <v>.03</v>
      </c>
      <c r="AE107" s="14" t="str">
        <f ca="1">IF($AE$105="No",$AB$105&amp;".04",$AB$105&amp;".04_YTD")</f>
        <v>.04</v>
      </c>
      <c r="AF107" s="14" t="str">
        <f ca="1">IF($AE$105="No",$AB$105&amp;".05",$AB$105&amp;".05_YTD")</f>
        <v>.05</v>
      </c>
      <c r="AG107" s="14" t="str">
        <f ca="1">IF($AE$105="No",$AB$105&amp;".06",$AB$105&amp;".06_YTD")</f>
        <v>.06</v>
      </c>
      <c r="AH107" s="14" t="str">
        <f ca="1">IF($AE$105="No",$AB$105&amp;".07",$AB$105&amp;".07_YTD")</f>
        <v>.07</v>
      </c>
      <c r="AI107" s="14" t="str">
        <f ca="1">IF($AE$105="No",$AB$105&amp;".08",$AB$105&amp;".08_YTD")</f>
        <v>.08</v>
      </c>
      <c r="AJ107" s="14" t="str">
        <f ca="1">IF($AE$105="No",$AB$105&amp;".09",$AB$105&amp;".09_YTD")</f>
        <v>.09</v>
      </c>
      <c r="AK107" s="14" t="str">
        <f ca="1">IF($AE$105="No",$AB$105&amp;".10",$AB$105&amp;".10_YTD")</f>
        <v>.10</v>
      </c>
      <c r="AL107" s="14" t="str">
        <f ca="1">IF($AE$105="No",$AB$105&amp;".11",$AB$105&amp;".11_YTD")</f>
        <v>.11</v>
      </c>
      <c r="AM107" s="14" t="str">
        <f ca="1">IF($AE$105="No",$AB$105&amp;".12",$AB$105&amp;".12_YTD")</f>
        <v>.12</v>
      </c>
    </row>
    <row r="108" spans="5:39" ht="18" hidden="1" customHeight="1">
      <c r="E108" s="150"/>
      <c r="F108" s="150"/>
      <c r="G108" s="150"/>
      <c r="H108" s="151"/>
      <c r="I108" s="151"/>
      <c r="J108" s="151"/>
      <c r="K108" s="151"/>
      <c r="L108" s="151"/>
      <c r="M108" s="152"/>
      <c r="N108" s="152"/>
      <c r="O108" s="54"/>
      <c r="P108" s="155"/>
      <c r="Q108" s="152"/>
      <c r="R108" s="165"/>
      <c r="S108" s="152"/>
      <c r="T108" s="155"/>
      <c r="U108" s="165"/>
      <c r="W108" s="52"/>
      <c r="X108" s="14"/>
      <c r="Z108" s="15"/>
      <c r="AA108" s="14"/>
      <c r="AB108" s="55" t="str">
        <f ca="1">_xll.DBRA(Server&amp;$Y$15,$Y45,$F$17)</f>
        <v>Jan</v>
      </c>
      <c r="AC108" s="55" t="str">
        <f ca="1">_xll.DBRA(Server&amp;$Y$15,$Y46,$F$17)</f>
        <v>Fév</v>
      </c>
      <c r="AD108" s="55" t="str">
        <f ca="1">_xll.DBRA(Server&amp;$Y$15,$Y47,$F$17)</f>
        <v>Mars</v>
      </c>
      <c r="AE108" s="55" t="str">
        <f ca="1">_xll.DBRA(Server&amp;$Y$15,$Y48,$F$17)</f>
        <v>Avril</v>
      </c>
      <c r="AF108" s="55" t="str">
        <f ca="1">_xll.DBRA(Server&amp;$Y$15,$Y49,$F$17)</f>
        <v>Mai</v>
      </c>
      <c r="AG108" s="55" t="str">
        <f ca="1">_xll.DBRA(Server&amp;$Y$15,$Y50,$F$17)</f>
        <v>Juin</v>
      </c>
      <c r="AH108" s="55" t="str">
        <f ca="1">_xll.DBRA(Server&amp;$Y$15,$Y51,$F$17)</f>
        <v>Jul</v>
      </c>
      <c r="AI108" s="55" t="str">
        <f ca="1">_xll.DBRA(Server&amp;$Y$15,$Y52,$F$17)</f>
        <v>Août</v>
      </c>
      <c r="AJ108" s="55" t="str">
        <f ca="1">_xll.DBRA(Server&amp;$Y$15,$Y53,$F$17)</f>
        <v>Sep</v>
      </c>
      <c r="AK108" s="55" t="str">
        <f ca="1">_xll.DBRA(Server&amp;$Y$15,$Y54,$F$17)</f>
        <v>Oct</v>
      </c>
      <c r="AL108" s="55" t="str">
        <f ca="1">_xll.DBRA(Server&amp;$Y$15,$Y55,$F$17)</f>
        <v>Nov</v>
      </c>
      <c r="AM108" s="55" t="str">
        <f ca="1">_xll.DBRA(Server&amp;$Y$15,$Y56,$F$17)</f>
        <v>Déc</v>
      </c>
    </row>
    <row r="109" spans="5:39" ht="18" hidden="1" customHeight="1">
      <c r="E109" s="150"/>
      <c r="F109" s="150"/>
      <c r="G109" s="150"/>
      <c r="H109" s="151"/>
      <c r="I109" s="151"/>
      <c r="J109" s="151"/>
      <c r="K109" s="151"/>
      <c r="L109" s="151"/>
      <c r="M109" s="152"/>
      <c r="N109" s="152"/>
      <c r="O109" s="54"/>
      <c r="P109" s="155"/>
      <c r="Q109" s="152"/>
      <c r="R109" s="165"/>
      <c r="S109" s="152"/>
      <c r="T109" s="155"/>
      <c r="U109" s="165"/>
      <c r="W109" s="52"/>
      <c r="X109" s="14"/>
      <c r="Z109" s="15" t="str">
        <f ca="1">_xll.DBRA(Server&amp;$F$1,K$1,$F$17)</f>
        <v>Réalisé</v>
      </c>
      <c r="AA109" s="60" t="str">
        <f>$K$1</f>
        <v>ACT_TOT</v>
      </c>
      <c r="AB109" s="61" t="str">
        <f ca="1">_xll.DBRW($H$3,$F$13,$F$14,$F$15,$F$16,$F$11,$F$12,AB$107,$AA109,$B$21)</f>
        <v>*KEY_ERR</v>
      </c>
      <c r="AC109" s="61" t="str">
        <f ca="1">_xll.DBRW($H$3,$F$13,$F$14,$F$15,$F$16,$F$11,$F$12,AC$107,$AA109,$B$21)</f>
        <v>*KEY_ERR</v>
      </c>
      <c r="AD109" s="61" t="str">
        <f ca="1">_xll.DBRW($H$3,$F$13,$F$14,$F$15,$F$16,$F$11,$F$12,AD$107,$AA109,$B$21)</f>
        <v>*KEY_ERR</v>
      </c>
      <c r="AE109" s="61" t="str">
        <f ca="1">_xll.DBRW($H$3,$F$13,$F$14,$F$15,$F$16,$F$11,$F$12,AE$107,$AA109,$B$21)</f>
        <v>*KEY_ERR</v>
      </c>
      <c r="AF109" s="61" t="str">
        <f ca="1">_xll.DBRW($H$3,$F$13,$F$14,$F$15,$F$16,$F$11,$F$12,AF$107,$AA109,$B$21)</f>
        <v>*KEY_ERR</v>
      </c>
      <c r="AG109" s="61" t="str">
        <f ca="1">_xll.DBRW($H$3,$F$13,$F$14,$F$15,$F$16,$F$11,$F$12,AG$107,$AA109,$B$21)</f>
        <v>*KEY_ERR</v>
      </c>
      <c r="AH109" s="61" t="str">
        <f ca="1">_xll.DBRW($H$3,$F$13,$F$14,$F$15,$F$16,$F$11,$F$12,AH$107,$AA109,$B$21)</f>
        <v>*KEY_ERR</v>
      </c>
      <c r="AI109" s="61" t="str">
        <f ca="1">_xll.DBRW($H$3,$F$13,$F$14,$F$15,$F$16,$F$11,$F$12,AI$107,$AA109,$B$21)</f>
        <v>*KEY_ERR</v>
      </c>
      <c r="AJ109" s="61" t="str">
        <f ca="1">_xll.DBRW($H$3,$F$13,$F$14,$F$15,$F$16,$F$11,$F$12,AJ$107,$AA109,$B$21)</f>
        <v>*KEY_ERR</v>
      </c>
      <c r="AK109" s="61" t="str">
        <f ca="1">_xll.DBRW($H$3,$F$13,$F$14,$F$15,$F$16,$F$11,$F$12,AK$107,$AA109,$B$21)</f>
        <v>*KEY_ERR</v>
      </c>
      <c r="AL109" s="61" t="str">
        <f ca="1">_xll.DBRW($H$3,$F$13,$F$14,$F$15,$F$16,$F$11,$F$12,AL$107,$AA109,$B$21)</f>
        <v>*KEY_ERR</v>
      </c>
      <c r="AM109" s="61" t="str">
        <f ca="1">_xll.DBRW($H$3,$F$13,$F$14,$F$15,$F$16,$F$11,$F$12,AM$107,$AA109,$B$21)</f>
        <v>*KEY_ERR</v>
      </c>
    </row>
    <row r="110" spans="5:39" ht="18" hidden="1" customHeight="1">
      <c r="E110" s="150"/>
      <c r="F110" s="150"/>
      <c r="G110" s="150"/>
      <c r="H110" s="151"/>
      <c r="I110" s="151"/>
      <c r="J110" s="151"/>
      <c r="K110" s="151"/>
      <c r="L110" s="151"/>
      <c r="M110" s="152"/>
      <c r="N110" s="152"/>
      <c r="O110" s="54"/>
      <c r="P110" s="155"/>
      <c r="Q110" s="152"/>
      <c r="R110" s="165"/>
      <c r="S110" s="152"/>
      <c r="T110" s="155"/>
      <c r="U110" s="165"/>
      <c r="W110" s="52"/>
      <c r="X110" s="14"/>
      <c r="Z110" s="15" t="str">
        <f ca="1">_xll.DBRA(Server&amp;$Y$15,Y$57,$F$17)</f>
        <v>Année précédente</v>
      </c>
      <c r="AA110" s="60" t="str">
        <f ca="1">$H$1</f>
        <v>Actual</v>
      </c>
      <c r="AB110" s="61" t="str">
        <f ca="1">_xll.DBRW($H$3,$F$13,$F$14,$F$15,$F$16,$F$11,$F$12,AB$130,$AA110,$B$21)</f>
        <v/>
      </c>
      <c r="AC110" s="61" t="str">
        <f ca="1">_xll.DBRW($H$3,$F$13,$F$14,$F$15,$F$16,$F$11,$F$12,AC$130,$AA110,$B$21)</f>
        <v/>
      </c>
      <c r="AD110" s="61" t="str">
        <f ca="1">_xll.DBRW($H$3,$F$13,$F$14,$F$15,$F$16,$F$11,$F$12,AD$130,$AA110,$B$21)</f>
        <v/>
      </c>
      <c r="AE110" s="61" t="str">
        <f ca="1">_xll.DBRW($H$3,$F$13,$F$14,$F$15,$F$16,$F$11,$F$12,AE$130,$AA110,$B$21)</f>
        <v/>
      </c>
      <c r="AF110" s="61" t="str">
        <f ca="1">_xll.DBRW($H$3,$F$13,$F$14,$F$15,$F$16,$F$11,$F$12,AF$130,$AA110,$B$21)</f>
        <v/>
      </c>
      <c r="AG110" s="61" t="str">
        <f ca="1">_xll.DBRW($H$3,$F$13,$F$14,$F$15,$F$16,$F$11,$F$12,AG$130,$AA110,$B$21)</f>
        <v/>
      </c>
      <c r="AH110" s="61" t="str">
        <f ca="1">_xll.DBRW($H$3,$F$13,$F$14,$F$15,$F$16,$F$11,$F$12,AH$130,$AA110,$B$21)</f>
        <v/>
      </c>
      <c r="AI110" s="61" t="str">
        <f ca="1">_xll.DBRW($H$3,$F$13,$F$14,$F$15,$F$16,$F$11,$F$12,AI$130,$AA110,$B$21)</f>
        <v/>
      </c>
      <c r="AJ110" s="61" t="str">
        <f ca="1">_xll.DBRW($H$3,$F$13,$F$14,$F$15,$F$16,$F$11,$F$12,AJ$130,$AA110,$B$21)</f>
        <v/>
      </c>
      <c r="AK110" s="61" t="str">
        <f ca="1">_xll.DBRW($H$3,$F$13,$F$14,$F$15,$F$16,$F$11,$F$12,AK$130,$AA110,$B$21)</f>
        <v/>
      </c>
      <c r="AL110" s="61" t="str">
        <f ca="1">_xll.DBRW($H$3,$F$13,$F$14,$F$15,$F$16,$F$11,$F$12,AL$130,$AA110,$B$21)</f>
        <v/>
      </c>
      <c r="AM110" s="61" t="str">
        <f ca="1">_xll.DBRW($H$3,$F$13,$F$14,$F$15,$F$16,$F$11,$F$12,AM$130,$AA110,$B$21)</f>
        <v/>
      </c>
    </row>
    <row r="111" spans="5:39" ht="18" hidden="1" customHeight="1">
      <c r="E111" s="150"/>
      <c r="F111" s="150"/>
      <c r="G111" s="150"/>
      <c r="H111" s="151"/>
      <c r="I111" s="151"/>
      <c r="J111" s="151"/>
      <c r="K111" s="151"/>
      <c r="L111" s="151"/>
      <c r="M111" s="152"/>
      <c r="N111" s="152"/>
      <c r="O111" s="54"/>
      <c r="P111" s="155"/>
      <c r="Q111" s="152"/>
      <c r="R111" s="165"/>
      <c r="S111" s="152"/>
      <c r="T111" s="155"/>
      <c r="U111" s="165"/>
      <c r="W111" s="52"/>
      <c r="X111" s="14"/>
      <c r="Z111" s="15" t="str">
        <f ca="1">_xll.DBRA(Server&amp;$F$1,I$1,$F$17)</f>
        <v>Budget V courante</v>
      </c>
      <c r="AA111" s="60" t="str">
        <f ca="1">$I$1</f>
        <v>Budget V current</v>
      </c>
      <c r="AB111" s="61" t="str">
        <f ca="1">_xll.DBRW($H$3,$F$13,$F$14,$F$15,$F$16,$F$11,$F$12,AB$107,$AA111,$B$21)</f>
        <v>*KEY_ERR</v>
      </c>
      <c r="AC111" s="61" t="str">
        <f ca="1">_xll.DBRW($H$3,$F$13,$F$14,$F$15,$F$16,$F$11,$F$12,AC$107,$AA111,$B$21)</f>
        <v>*KEY_ERR</v>
      </c>
      <c r="AD111" s="61" t="str">
        <f ca="1">_xll.DBRW($H$3,$F$13,$F$14,$F$15,$F$16,$F$11,$F$12,AD$107,$AA111,$B$21)</f>
        <v>*KEY_ERR</v>
      </c>
      <c r="AE111" s="61" t="str">
        <f ca="1">_xll.DBRW($H$3,$F$13,$F$14,$F$15,$F$16,$F$11,$F$12,AE$107,$AA111,$B$21)</f>
        <v>*KEY_ERR</v>
      </c>
      <c r="AF111" s="61" t="str">
        <f ca="1">_xll.DBRW($H$3,$F$13,$F$14,$F$15,$F$16,$F$11,$F$12,AF$107,$AA111,$B$21)</f>
        <v>*KEY_ERR</v>
      </c>
      <c r="AG111" s="61" t="str">
        <f ca="1">_xll.DBRW($H$3,$F$13,$F$14,$F$15,$F$16,$F$11,$F$12,AG$107,$AA111,$B$21)</f>
        <v>*KEY_ERR</v>
      </c>
      <c r="AH111" s="61" t="str">
        <f ca="1">_xll.DBRW($H$3,$F$13,$F$14,$F$15,$F$16,$F$11,$F$12,AH$107,$AA111,$B$21)</f>
        <v>*KEY_ERR</v>
      </c>
      <c r="AI111" s="61" t="str">
        <f ca="1">_xll.DBRW($H$3,$F$13,$F$14,$F$15,$F$16,$F$11,$F$12,AI$107,$AA111,$B$21)</f>
        <v>*KEY_ERR</v>
      </c>
      <c r="AJ111" s="61" t="str">
        <f ca="1">_xll.DBRW($H$3,$F$13,$F$14,$F$15,$F$16,$F$11,$F$12,AJ$107,$AA111,$B$21)</f>
        <v>*KEY_ERR</v>
      </c>
      <c r="AK111" s="61" t="str">
        <f ca="1">_xll.DBRW($H$3,$F$13,$F$14,$F$15,$F$16,$F$11,$F$12,AK$107,$AA111,$B$21)</f>
        <v>*KEY_ERR</v>
      </c>
      <c r="AL111" s="61" t="str">
        <f ca="1">_xll.DBRW($H$3,$F$13,$F$14,$F$15,$F$16,$F$11,$F$12,AL$107,$AA111,$B$21)</f>
        <v>*KEY_ERR</v>
      </c>
      <c r="AM111" s="61" t="str">
        <f ca="1">_xll.DBRW($H$3,$F$13,$F$14,$F$15,$F$16,$F$11,$F$12,AM$107,$AA111,$B$21)</f>
        <v>*KEY_ERR</v>
      </c>
    </row>
    <row r="112" spans="5:39" ht="18" hidden="1" customHeight="1">
      <c r="E112" s="150"/>
      <c r="F112" s="150"/>
      <c r="G112" s="150"/>
      <c r="H112" s="151"/>
      <c r="I112" s="151"/>
      <c r="J112" s="151"/>
      <c r="K112" s="151"/>
      <c r="L112" s="151"/>
      <c r="M112" s="152"/>
      <c r="N112" s="152"/>
      <c r="O112" s="54"/>
      <c r="P112" s="155"/>
      <c r="Q112" s="152"/>
      <c r="R112" s="165"/>
      <c r="S112" s="152"/>
      <c r="T112" s="155"/>
      <c r="U112" s="165"/>
      <c r="W112" s="52"/>
      <c r="X112" s="14"/>
      <c r="Z112" s="15" t="str">
        <f ca="1">_xll.DBRA(Server&amp;$F$1,J$1,$F$17)</f>
        <v>Estimé 2 V courante</v>
      </c>
      <c r="AA112" s="60" t="str">
        <f ca="1">$J$1</f>
        <v>Forecast 2 V current</v>
      </c>
      <c r="AB112" s="61" t="str">
        <f ca="1">_xll.DBRW($H$3,$F$13,$F$14,$F$15,$F$16,$F$11,$F$12,AB$107,$AA112,$B$21)</f>
        <v>*KEY_ERR</v>
      </c>
      <c r="AC112" s="61" t="str">
        <f ca="1">_xll.DBRW($H$3,$F$13,$F$14,$F$15,$F$16,$F$11,$F$12,AC$107,$AA112,$B$21)</f>
        <v>*KEY_ERR</v>
      </c>
      <c r="AD112" s="61" t="str">
        <f ca="1">_xll.DBRW($H$3,$F$13,$F$14,$F$15,$F$16,$F$11,$F$12,AD$107,$AA112,$B$21)</f>
        <v>*KEY_ERR</v>
      </c>
      <c r="AE112" s="61" t="str">
        <f ca="1">_xll.DBRW($H$3,$F$13,$F$14,$F$15,$F$16,$F$11,$F$12,AE$107,$AA112,$B$21)</f>
        <v>*KEY_ERR</v>
      </c>
      <c r="AF112" s="61" t="str">
        <f ca="1">_xll.DBRW($H$3,$F$13,$F$14,$F$15,$F$16,$F$11,$F$12,AF$107,$AA112,$B$21)</f>
        <v>*KEY_ERR</v>
      </c>
      <c r="AG112" s="61" t="str">
        <f ca="1">_xll.DBRW($H$3,$F$13,$F$14,$F$15,$F$16,$F$11,$F$12,AG$107,$AA112,$B$21)</f>
        <v>*KEY_ERR</v>
      </c>
      <c r="AH112" s="61" t="str">
        <f ca="1">_xll.DBRW($H$3,$F$13,$F$14,$F$15,$F$16,$F$11,$F$12,AH$107,$AA112,$B$21)</f>
        <v>*KEY_ERR</v>
      </c>
      <c r="AI112" s="61" t="str">
        <f ca="1">_xll.DBRW($H$3,$F$13,$F$14,$F$15,$F$16,$F$11,$F$12,AI$107,$AA112,$B$21)</f>
        <v>*KEY_ERR</v>
      </c>
      <c r="AJ112" s="61" t="str">
        <f ca="1">_xll.DBRW($H$3,$F$13,$F$14,$F$15,$F$16,$F$11,$F$12,AJ$107,$AA112,$B$21)</f>
        <v>*KEY_ERR</v>
      </c>
      <c r="AK112" s="61" t="str">
        <f ca="1">_xll.DBRW($H$3,$F$13,$F$14,$F$15,$F$16,$F$11,$F$12,AK$107,$AA112,$B$21)</f>
        <v>*KEY_ERR</v>
      </c>
      <c r="AL112" s="61" t="str">
        <f ca="1">_xll.DBRW($H$3,$F$13,$F$14,$F$15,$F$16,$F$11,$F$12,AL$107,$AA112,$B$21)</f>
        <v>*KEY_ERR</v>
      </c>
      <c r="AM112" s="61" t="str">
        <f ca="1">_xll.DBRW($H$3,$F$13,$F$14,$F$15,$F$16,$F$11,$F$12,AM$107,$AA112,$B$21)</f>
        <v>*KEY_ERR</v>
      </c>
    </row>
    <row r="113" spans="5:39" ht="18" hidden="1" customHeight="1">
      <c r="E113" s="150"/>
      <c r="F113" s="150"/>
      <c r="G113" s="150"/>
      <c r="H113" s="151"/>
      <c r="I113" s="151"/>
      <c r="J113" s="151"/>
      <c r="K113" s="151"/>
      <c r="L113" s="151"/>
      <c r="M113" s="152"/>
      <c r="N113" s="152"/>
      <c r="O113" s="54"/>
      <c r="P113" s="155"/>
      <c r="Q113" s="152"/>
      <c r="R113" s="165"/>
      <c r="S113" s="152"/>
      <c r="T113" s="155"/>
      <c r="U113" s="165"/>
      <c r="W113" s="52"/>
      <c r="X113" s="14"/>
      <c r="Z113" s="15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spans="5:39" ht="18" hidden="1" customHeight="1">
      <c r="E114" s="216"/>
      <c r="F114" s="216"/>
      <c r="G114" s="150"/>
      <c r="H114" s="150"/>
      <c r="I114" s="151"/>
      <c r="J114" s="151"/>
      <c r="K114" s="151"/>
      <c r="L114" s="151"/>
      <c r="M114" s="151"/>
      <c r="N114" s="152"/>
      <c r="O114" s="54"/>
      <c r="P114" s="152"/>
      <c r="Q114" s="155"/>
      <c r="R114" s="165"/>
      <c r="S114" s="152"/>
      <c r="T114" s="152"/>
      <c r="U114" s="165"/>
      <c r="W114" s="62"/>
      <c r="X114" s="14"/>
      <c r="Z114" s="15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spans="5:39" ht="18" hidden="1" customHeight="1">
      <c r="E115" s="216"/>
      <c r="F115" s="216"/>
      <c r="G115" s="150"/>
      <c r="H115" s="150"/>
      <c r="I115" s="151"/>
      <c r="J115" s="151"/>
      <c r="K115" s="151"/>
      <c r="L115" s="151"/>
      <c r="M115" s="151"/>
      <c r="N115" s="152"/>
      <c r="O115" s="54"/>
      <c r="P115" s="152"/>
      <c r="Q115" s="155"/>
      <c r="R115" s="165"/>
      <c r="S115" s="152"/>
      <c r="T115" s="152"/>
      <c r="U115" s="165"/>
      <c r="W115" s="62"/>
      <c r="X115" s="14"/>
      <c r="Z115" s="15"/>
      <c r="AA115" s="14" t="str">
        <f ca="1">IF(AE105="No",_xll.DBRA(Server&amp;$Y$15,$Y42,$F$17),_xll.DBRA(Server&amp;$Y$15,$Y42,$F$17)&amp; " ("&amp;_xll.DBRA(Server&amp;$Y$15,$Y44,$F$17)&amp;")")</f>
        <v>Marge brute</v>
      </c>
      <c r="AB115" s="14" t="str">
        <f ca="1">IF($AE$105="No",$AB$105&amp;".01",$AB$105&amp;".01_YTD")</f>
        <v>.01</v>
      </c>
      <c r="AC115" s="14" t="str">
        <f ca="1">IF($AE$105="No",$AB$105&amp;".02",$AB$105&amp;".02_YTD")</f>
        <v>.02</v>
      </c>
      <c r="AD115" s="14" t="str">
        <f ca="1">IF($AE$105="No",$AB$105&amp;".03",$AB$105&amp;".03_YTD")</f>
        <v>.03</v>
      </c>
      <c r="AE115" s="14" t="str">
        <f ca="1">IF($AE$105="No",$AB$105&amp;".04",$AB$105&amp;".04_YTD")</f>
        <v>.04</v>
      </c>
      <c r="AF115" s="14" t="str">
        <f ca="1">IF($AE$105="No",$AB$105&amp;".05",$AB$105&amp;".05_YTD")</f>
        <v>.05</v>
      </c>
      <c r="AG115" s="14" t="str">
        <f ca="1">IF($AE$105="No",$AB$105&amp;".06",$AB$105&amp;".06_YTD")</f>
        <v>.06</v>
      </c>
      <c r="AH115" s="14" t="str">
        <f ca="1">IF($AE$105="No",$AB$105&amp;".07",$AB$105&amp;".07_YTD")</f>
        <v>.07</v>
      </c>
      <c r="AI115" s="14" t="str">
        <f ca="1">IF($AE$105="No",$AB$105&amp;".08",$AB$105&amp;".08_YTD")</f>
        <v>.08</v>
      </c>
      <c r="AJ115" s="14" t="str">
        <f ca="1">IF($AE$105="No",$AB$105&amp;".09",$AB$105&amp;".09_YTD")</f>
        <v>.09</v>
      </c>
      <c r="AK115" s="14" t="str">
        <f ca="1">IF($AE$105="No",$AB$105&amp;".10",$AB$105&amp;".10_YTD")</f>
        <v>.10</v>
      </c>
      <c r="AL115" s="14" t="str">
        <f ca="1">IF($AE$105="No",$AB$105&amp;".11",$AB$105&amp;".11_YTD")</f>
        <v>.11</v>
      </c>
      <c r="AM115" s="14" t="str">
        <f ca="1">IF($AE$105="No",$AB$105&amp;".12",$AB$105&amp;".12_YTD")</f>
        <v>.12</v>
      </c>
    </row>
    <row r="116" spans="5:39" ht="18" hidden="1" customHeight="1">
      <c r="E116" s="216"/>
      <c r="F116" s="216"/>
      <c r="G116" s="150"/>
      <c r="H116" s="150"/>
      <c r="I116" s="151"/>
      <c r="J116" s="151"/>
      <c r="K116" s="151"/>
      <c r="L116" s="151"/>
      <c r="M116" s="151"/>
      <c r="N116" s="152"/>
      <c r="O116" s="54"/>
      <c r="P116" s="152"/>
      <c r="Q116" s="155"/>
      <c r="R116" s="165"/>
      <c r="S116" s="152"/>
      <c r="T116" s="152"/>
      <c r="U116" s="165"/>
      <c r="W116" s="62"/>
      <c r="X116" s="14"/>
      <c r="Z116" s="15"/>
      <c r="AA116" s="14"/>
      <c r="AB116" s="55" t="str">
        <f ca="1">_xll.DBRA(Server&amp;$Y$15,$Y45,$F$17)</f>
        <v>Jan</v>
      </c>
      <c r="AC116" s="55" t="str">
        <f ca="1">_xll.DBRA(Server&amp;$Y$15,$Y46,$F$17)</f>
        <v>Fév</v>
      </c>
      <c r="AD116" s="55" t="str">
        <f ca="1">_xll.DBRA(Server&amp;$Y$15,$Y47,$F$17)</f>
        <v>Mars</v>
      </c>
      <c r="AE116" s="55" t="str">
        <f ca="1">_xll.DBRA(Server&amp;$Y$15,$Y48,$F$17)</f>
        <v>Avril</v>
      </c>
      <c r="AF116" s="55" t="str">
        <f ca="1">_xll.DBRA(Server&amp;$Y$15,$Y49,$F$17)</f>
        <v>Mai</v>
      </c>
      <c r="AG116" s="55" t="str">
        <f ca="1">_xll.DBRA(Server&amp;$Y$15,$Y50,$F$17)</f>
        <v>Juin</v>
      </c>
      <c r="AH116" s="55" t="str">
        <f ca="1">_xll.DBRA(Server&amp;$Y$15,$Y51,$F$17)</f>
        <v>Jul</v>
      </c>
      <c r="AI116" s="55" t="str">
        <f ca="1">_xll.DBRA(Server&amp;$Y$15,$Y52,$F$17)</f>
        <v>Août</v>
      </c>
      <c r="AJ116" s="55" t="str">
        <f ca="1">_xll.DBRA(Server&amp;$Y$15,$Y53,$F$17)</f>
        <v>Sep</v>
      </c>
      <c r="AK116" s="55" t="str">
        <f ca="1">_xll.DBRA(Server&amp;$Y$15,$Y54,$F$17)</f>
        <v>Oct</v>
      </c>
      <c r="AL116" s="55" t="str">
        <f ca="1">_xll.DBRA(Server&amp;$Y$15,$Y55,$F$17)</f>
        <v>Nov</v>
      </c>
      <c r="AM116" s="55" t="str">
        <f ca="1">_xll.DBRA(Server&amp;$Y$15,$Y56,$F$17)</f>
        <v>Déc</v>
      </c>
    </row>
    <row r="117" spans="5:39" ht="18" hidden="1" customHeight="1">
      <c r="E117" s="216"/>
      <c r="F117" s="216"/>
      <c r="G117" s="150"/>
      <c r="H117" s="150"/>
      <c r="I117" s="151"/>
      <c r="J117" s="151"/>
      <c r="K117" s="151"/>
      <c r="L117" s="151"/>
      <c r="M117" s="151"/>
      <c r="N117" s="152"/>
      <c r="O117" s="54"/>
      <c r="P117" s="152"/>
      <c r="Q117" s="155"/>
      <c r="R117" s="165"/>
      <c r="S117" s="152"/>
      <c r="T117" s="152"/>
      <c r="U117" s="165"/>
      <c r="W117" s="62"/>
      <c r="X117" s="14"/>
      <c r="Z117" s="15" t="str">
        <f ca="1">_xll.DBRA(Server&amp;$F$1,K$1,$F$17)</f>
        <v>Réalisé</v>
      </c>
      <c r="AA117" s="60" t="str">
        <f>$K$1</f>
        <v>ACT_TOT</v>
      </c>
      <c r="AB117" s="61" t="str">
        <f ca="1">_xll.DBRW($H$3,$F$13,$F$14,$F$15,$F$16,$F$11,$F$12,AB$115,$AA117,$B$54)</f>
        <v>*KEY_ERR</v>
      </c>
      <c r="AC117" s="61" t="str">
        <f ca="1">_xll.DBRW($H$3,$F$13,$F$14,$F$15,$F$16,$F$11,$F$12,AC$115,$AA117,$B$54)</f>
        <v>*KEY_ERR</v>
      </c>
      <c r="AD117" s="61" t="str">
        <f ca="1">_xll.DBRW($H$3,$F$13,$F$14,$F$15,$F$16,$F$11,$F$12,AD$115,$AA117,$B$54)</f>
        <v>*KEY_ERR</v>
      </c>
      <c r="AE117" s="61" t="str">
        <f ca="1">_xll.DBRW($H$3,$F$13,$F$14,$F$15,$F$16,$F$11,$F$12,AE$115,$AA117,$B$54)</f>
        <v>*KEY_ERR</v>
      </c>
      <c r="AF117" s="61" t="str">
        <f ca="1">_xll.DBRW($H$3,$F$13,$F$14,$F$15,$F$16,$F$11,$F$12,AF$115,$AA117,$B$54)</f>
        <v>*KEY_ERR</v>
      </c>
      <c r="AG117" s="61" t="str">
        <f ca="1">_xll.DBRW($H$3,$F$13,$F$14,$F$15,$F$16,$F$11,$F$12,AG$115,$AA117,$B$54)</f>
        <v>*KEY_ERR</v>
      </c>
      <c r="AH117" s="61" t="str">
        <f ca="1">_xll.DBRW($H$3,$F$13,$F$14,$F$15,$F$16,$F$11,$F$12,AH$115,$AA117,$B$54)</f>
        <v>*KEY_ERR</v>
      </c>
      <c r="AI117" s="61" t="str">
        <f ca="1">_xll.DBRW($H$3,$F$13,$F$14,$F$15,$F$16,$F$11,$F$12,AI$115,$AA117,$B$54)</f>
        <v>*KEY_ERR</v>
      </c>
      <c r="AJ117" s="61" t="str">
        <f ca="1">_xll.DBRW($H$3,$F$13,$F$14,$F$15,$F$16,$F$11,$F$12,AJ$115,$AA117,$B$54)</f>
        <v>*KEY_ERR</v>
      </c>
      <c r="AK117" s="61" t="str">
        <f ca="1">_xll.DBRW($H$3,$F$13,$F$14,$F$15,$F$16,$F$11,$F$12,AK$115,$AA117,$B$54)</f>
        <v>*KEY_ERR</v>
      </c>
      <c r="AL117" s="61" t="str">
        <f ca="1">_xll.DBRW($H$3,$F$13,$F$14,$F$15,$F$16,$F$11,$F$12,AL$115,$AA117,$B$54)</f>
        <v>*KEY_ERR</v>
      </c>
      <c r="AM117" s="61" t="str">
        <f ca="1">_xll.DBRW($H$3,$F$13,$F$14,$F$15,$F$16,$F$11,$F$12,AM$115,$AA117,$B$54)</f>
        <v>*KEY_ERR</v>
      </c>
    </row>
    <row r="118" spans="5:39" ht="18" hidden="1" customHeight="1">
      <c r="E118" s="217"/>
      <c r="G118" s="78"/>
      <c r="L118" s="71"/>
      <c r="N118" s="77"/>
      <c r="P118" s="84"/>
      <c r="S118" s="153"/>
      <c r="W118" s="14"/>
      <c r="X118" s="14"/>
      <c r="Z118" s="15" t="str">
        <f ca="1">_xll.DBRA(Server&amp;$Y$15,Y$57,$F$17)</f>
        <v>Année précédente</v>
      </c>
      <c r="AA118" s="60" t="str">
        <f ca="1">$H$1</f>
        <v>Actual</v>
      </c>
      <c r="AB118" s="61" t="str">
        <f ca="1">_xll.DBRW($H$3,$F$13,$F$14,$F$15,$F$16,$F$11,$F$12,AB$130,$AA118,$B$54)</f>
        <v/>
      </c>
      <c r="AC118" s="61" t="str">
        <f ca="1">_xll.DBRW($H$3,$F$13,$F$14,$F$15,$F$16,$F$11,$F$12,AC$130,$AA118,$B$54)</f>
        <v/>
      </c>
      <c r="AD118" s="61" t="str">
        <f ca="1">_xll.DBRW($H$3,$F$13,$F$14,$F$15,$F$16,$F$11,$F$12,AD$130,$AA118,$B$54)</f>
        <v/>
      </c>
      <c r="AE118" s="61" t="str">
        <f ca="1">_xll.DBRW($H$3,$F$13,$F$14,$F$15,$F$16,$F$11,$F$12,AE$130,$AA118,$B$54)</f>
        <v/>
      </c>
      <c r="AF118" s="61" t="str">
        <f ca="1">_xll.DBRW($H$3,$F$13,$F$14,$F$15,$F$16,$F$11,$F$12,AF$130,$AA118,$B$54)</f>
        <v/>
      </c>
      <c r="AG118" s="61" t="str">
        <f ca="1">_xll.DBRW($H$3,$F$13,$F$14,$F$15,$F$16,$F$11,$F$12,AG$130,$AA118,$B$54)</f>
        <v/>
      </c>
      <c r="AH118" s="61" t="str">
        <f ca="1">_xll.DBRW($H$3,$F$13,$F$14,$F$15,$F$16,$F$11,$F$12,AH$130,$AA118,$B$54)</f>
        <v/>
      </c>
      <c r="AI118" s="61" t="str">
        <f ca="1">_xll.DBRW($H$3,$F$13,$F$14,$F$15,$F$16,$F$11,$F$12,AI$130,$AA118,$B$54)</f>
        <v/>
      </c>
      <c r="AJ118" s="61" t="str">
        <f ca="1">_xll.DBRW($H$3,$F$13,$F$14,$F$15,$F$16,$F$11,$F$12,AJ$130,$AA118,$B$54)</f>
        <v/>
      </c>
      <c r="AK118" s="61" t="str">
        <f ca="1">_xll.DBRW($H$3,$F$13,$F$14,$F$15,$F$16,$F$11,$F$12,AK$130,$AA118,$B$54)</f>
        <v/>
      </c>
      <c r="AL118" s="61" t="str">
        <f ca="1">_xll.DBRW($H$3,$F$13,$F$14,$F$15,$F$16,$F$11,$F$12,AL$130,$AA118,$B$54)</f>
        <v/>
      </c>
      <c r="AM118" s="61" t="str">
        <f ca="1">_xll.DBRW($H$3,$F$13,$F$14,$F$15,$F$16,$F$11,$F$12,AM$130,$AA118,$B$54)</f>
        <v/>
      </c>
    </row>
    <row r="119" spans="5:39" ht="18" hidden="1" customHeight="1">
      <c r="E119" s="217"/>
      <c r="F119" s="217"/>
      <c r="G119" s="217"/>
      <c r="H119" s="217"/>
      <c r="I119" s="217"/>
      <c r="J119" s="217"/>
      <c r="K119" s="217"/>
      <c r="L119" s="217"/>
      <c r="M119" s="217"/>
      <c r="N119" s="217"/>
      <c r="O119" s="59"/>
      <c r="P119" s="217"/>
      <c r="Q119" s="217"/>
      <c r="R119" s="218"/>
      <c r="S119" s="217"/>
      <c r="T119" s="217"/>
      <c r="U119" s="218"/>
      <c r="V119" s="14"/>
      <c r="W119" s="14"/>
      <c r="X119" s="14"/>
      <c r="Z119" s="15" t="str">
        <f ca="1">_xll.DBRA(Server&amp;$F$1,I$1,$F$17)</f>
        <v>Budget V courante</v>
      </c>
      <c r="AA119" s="60" t="str">
        <f ca="1">$I$1</f>
        <v>Budget V current</v>
      </c>
      <c r="AB119" s="61" t="str">
        <f ca="1">_xll.DBRW($H$3,$F$13,$F$14,$F$15,$F$16,$F$11,$F$12,AB$115,$AA119,$B$54)</f>
        <v>*KEY_ERR</v>
      </c>
      <c r="AC119" s="61" t="str">
        <f ca="1">_xll.DBRW($H$3,$F$13,$F$14,$F$15,$F$16,$F$11,$F$12,AC$115,$AA119,$B$54)</f>
        <v>*KEY_ERR</v>
      </c>
      <c r="AD119" s="61" t="str">
        <f ca="1">_xll.DBRW($H$3,$F$13,$F$14,$F$15,$F$16,$F$11,$F$12,AD$115,$AA119,$B$54)</f>
        <v>*KEY_ERR</v>
      </c>
      <c r="AE119" s="61" t="str">
        <f ca="1">_xll.DBRW($H$3,$F$13,$F$14,$F$15,$F$16,$F$11,$F$12,AE$115,$AA119,$B$54)</f>
        <v>*KEY_ERR</v>
      </c>
      <c r="AF119" s="61" t="str">
        <f ca="1">_xll.DBRW($H$3,$F$13,$F$14,$F$15,$F$16,$F$11,$F$12,AF$115,$AA119,$B$54)</f>
        <v>*KEY_ERR</v>
      </c>
      <c r="AG119" s="61" t="str">
        <f ca="1">_xll.DBRW($H$3,$F$13,$F$14,$F$15,$F$16,$F$11,$F$12,AG$115,$AA119,$B$54)</f>
        <v>*KEY_ERR</v>
      </c>
      <c r="AH119" s="61" t="str">
        <f ca="1">_xll.DBRW($H$3,$F$13,$F$14,$F$15,$F$16,$F$11,$F$12,AH$115,$AA119,$B$54)</f>
        <v>*KEY_ERR</v>
      </c>
      <c r="AI119" s="61" t="str">
        <f ca="1">_xll.DBRW($H$3,$F$13,$F$14,$F$15,$F$16,$F$11,$F$12,AI$115,$AA119,$B$54)</f>
        <v>*KEY_ERR</v>
      </c>
      <c r="AJ119" s="61" t="str">
        <f ca="1">_xll.DBRW($H$3,$F$13,$F$14,$F$15,$F$16,$F$11,$F$12,AJ$115,$AA119,$B$54)</f>
        <v>*KEY_ERR</v>
      </c>
      <c r="AK119" s="61" t="str">
        <f ca="1">_xll.DBRW($H$3,$F$13,$F$14,$F$15,$F$16,$F$11,$F$12,AK$115,$AA119,$B$54)</f>
        <v>*KEY_ERR</v>
      </c>
      <c r="AL119" s="61" t="str">
        <f ca="1">_xll.DBRW($H$3,$F$13,$F$14,$F$15,$F$16,$F$11,$F$12,AL$115,$AA119,$B$54)</f>
        <v>*KEY_ERR</v>
      </c>
      <c r="AM119" s="61" t="str">
        <f ca="1">_xll.DBRW($H$3,$F$13,$F$14,$F$15,$F$16,$F$11,$F$12,AM$115,$AA119,$B$54)</f>
        <v>*KEY_ERR</v>
      </c>
    </row>
    <row r="120" spans="5:39" ht="18" hidden="1" customHeight="1">
      <c r="E120" s="217"/>
      <c r="F120" s="217"/>
      <c r="G120" s="217"/>
      <c r="H120" s="217"/>
      <c r="I120" s="217"/>
      <c r="J120" s="217"/>
      <c r="K120" s="217"/>
      <c r="L120" s="217"/>
      <c r="M120" s="217"/>
      <c r="N120" s="217"/>
      <c r="O120" s="59"/>
      <c r="P120" s="217"/>
      <c r="Q120" s="217"/>
      <c r="R120" s="218"/>
      <c r="S120" s="217"/>
      <c r="T120" s="217"/>
      <c r="U120" s="218"/>
      <c r="V120" s="14"/>
      <c r="W120" s="14"/>
      <c r="X120" s="14"/>
      <c r="Z120" s="15" t="str">
        <f ca="1">_xll.DBRA(Server&amp;$F$1,J$1,$F$17)</f>
        <v>Estimé 2 V courante</v>
      </c>
      <c r="AA120" s="60" t="str">
        <f ca="1">$J$1</f>
        <v>Forecast 2 V current</v>
      </c>
      <c r="AB120" s="61" t="str">
        <f ca="1">_xll.DBRW($H$3,$F$13,$F$14,$F$15,$F$16,$F$11,$F$12,AB$115,$AA120,$B$54)</f>
        <v>*KEY_ERR</v>
      </c>
      <c r="AC120" s="61" t="str">
        <f ca="1">_xll.DBRW($H$3,$F$13,$F$14,$F$15,$F$16,$F$11,$F$12,AC$115,$AA120,$B$54)</f>
        <v>*KEY_ERR</v>
      </c>
      <c r="AD120" s="61" t="str">
        <f ca="1">_xll.DBRW($H$3,$F$13,$F$14,$F$15,$F$16,$F$11,$F$12,AD$115,$AA120,$B$54)</f>
        <v>*KEY_ERR</v>
      </c>
      <c r="AE120" s="61" t="str">
        <f ca="1">_xll.DBRW($H$3,$F$13,$F$14,$F$15,$F$16,$F$11,$F$12,AE$115,$AA120,$B$54)</f>
        <v>*KEY_ERR</v>
      </c>
      <c r="AF120" s="61" t="str">
        <f ca="1">_xll.DBRW($H$3,$F$13,$F$14,$F$15,$F$16,$F$11,$F$12,AF$115,$AA120,$B$54)</f>
        <v>*KEY_ERR</v>
      </c>
      <c r="AG120" s="61" t="str">
        <f ca="1">_xll.DBRW($H$3,$F$13,$F$14,$F$15,$F$16,$F$11,$F$12,AG$115,$AA120,$B$54)</f>
        <v>*KEY_ERR</v>
      </c>
      <c r="AH120" s="61" t="str">
        <f ca="1">_xll.DBRW($H$3,$F$13,$F$14,$F$15,$F$16,$F$11,$F$12,AH$115,$AA120,$B$54)</f>
        <v>*KEY_ERR</v>
      </c>
      <c r="AI120" s="61" t="str">
        <f ca="1">_xll.DBRW($H$3,$F$13,$F$14,$F$15,$F$16,$F$11,$F$12,AI$115,$AA120,$B$54)</f>
        <v>*KEY_ERR</v>
      </c>
      <c r="AJ120" s="61" t="str">
        <f ca="1">_xll.DBRW($H$3,$F$13,$F$14,$F$15,$F$16,$F$11,$F$12,AJ$115,$AA120,$B$54)</f>
        <v>*KEY_ERR</v>
      </c>
      <c r="AK120" s="61" t="str">
        <f ca="1">_xll.DBRW($H$3,$F$13,$F$14,$F$15,$F$16,$F$11,$F$12,AK$115,$AA120,$B$54)</f>
        <v>*KEY_ERR</v>
      </c>
      <c r="AL120" s="61" t="str">
        <f ca="1">_xll.DBRW($H$3,$F$13,$F$14,$F$15,$F$16,$F$11,$F$12,AL$115,$AA120,$B$54)</f>
        <v>*KEY_ERR</v>
      </c>
      <c r="AM120" s="61" t="str">
        <f ca="1">_xll.DBRW($H$3,$F$13,$F$14,$F$15,$F$16,$F$11,$F$12,AM$115,$AA120,$B$54)</f>
        <v>*KEY_ERR</v>
      </c>
    </row>
    <row r="121" spans="5:39" ht="18" hidden="1" customHeight="1"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59"/>
      <c r="P121" s="217"/>
      <c r="Q121" s="217"/>
      <c r="R121" s="218"/>
      <c r="S121" s="217"/>
      <c r="T121" s="217"/>
      <c r="U121" s="218"/>
      <c r="V121" s="14"/>
      <c r="W121" s="14"/>
      <c r="X121" s="14"/>
      <c r="Z121" s="15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spans="5:39" ht="18" hidden="1" customHeight="1">
      <c r="E122" s="217"/>
      <c r="F122" s="217"/>
      <c r="G122" s="217"/>
      <c r="H122" s="217"/>
      <c r="I122" s="217"/>
      <c r="J122" s="217"/>
      <c r="K122" s="217"/>
      <c r="L122" s="217"/>
      <c r="M122" s="217"/>
      <c r="N122" s="217"/>
      <c r="O122" s="59"/>
      <c r="P122" s="217"/>
      <c r="Q122" s="217"/>
      <c r="R122" s="218"/>
      <c r="S122" s="217"/>
      <c r="T122" s="217"/>
      <c r="U122" s="218"/>
      <c r="V122" s="14"/>
      <c r="W122" s="14"/>
      <c r="X122" s="14"/>
      <c r="Z122" s="15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spans="5:39" ht="18" hidden="1" customHeight="1">
      <c r="E123" s="217"/>
      <c r="F123" s="217"/>
      <c r="G123" s="217"/>
      <c r="H123" s="217"/>
      <c r="I123" s="217"/>
      <c r="J123" s="217"/>
      <c r="K123" s="217"/>
      <c r="L123" s="217"/>
      <c r="M123" s="217"/>
      <c r="N123" s="217"/>
      <c r="O123" s="59"/>
      <c r="P123" s="217"/>
      <c r="Q123" s="217"/>
      <c r="R123" s="218"/>
      <c r="S123" s="217"/>
      <c r="T123" s="217"/>
      <c r="U123" s="218"/>
      <c r="V123" s="14"/>
      <c r="W123" s="14"/>
      <c r="X123" s="14"/>
      <c r="Z123" s="15"/>
      <c r="AA123" s="14" t="str">
        <f ca="1">IF(AE105="No",_xll.DBRA(Server&amp;$Y$15,$Y43,$F$17),_xll.DBRA(Server&amp;$Y$15,$Y43,$F$17)&amp; " ("&amp;_xll.DBRA(Server&amp;$Y$15,$Y44,$F$17)&amp;")")</f>
        <v>Résultat opérationnel</v>
      </c>
      <c r="AB123" s="14" t="str">
        <f ca="1">IF($AE$105="No",$AB$105&amp;".01",$AB$105&amp;".01_YTD")</f>
        <v>.01</v>
      </c>
      <c r="AC123" s="14" t="str">
        <f ca="1">IF($AE$105="No",$AB$105&amp;".02",$AB$105&amp;".02_YTD")</f>
        <v>.02</v>
      </c>
      <c r="AD123" s="14" t="str">
        <f ca="1">IF($AE$105="No",$AB$105&amp;".03",$AB$105&amp;".03_YTD")</f>
        <v>.03</v>
      </c>
      <c r="AE123" s="14" t="str">
        <f ca="1">IF($AE$105="No",$AB$105&amp;".04",$AB$105&amp;".04_YTD")</f>
        <v>.04</v>
      </c>
      <c r="AF123" s="14" t="str">
        <f ca="1">IF($AE$105="No",$AB$105&amp;".05",$AB$105&amp;".05_YTD")</f>
        <v>.05</v>
      </c>
      <c r="AG123" s="14" t="str">
        <f ca="1">IF($AE$105="No",$AB$105&amp;".06",$AB$105&amp;".06_YTD")</f>
        <v>.06</v>
      </c>
      <c r="AH123" s="14" t="str">
        <f ca="1">IF($AE$105="No",$AB$105&amp;".07",$AB$105&amp;".07_YTD")</f>
        <v>.07</v>
      </c>
      <c r="AI123" s="14" t="str">
        <f ca="1">IF($AE$105="No",$AB$105&amp;".08",$AB$105&amp;".08_YTD")</f>
        <v>.08</v>
      </c>
      <c r="AJ123" s="14" t="str">
        <f ca="1">IF($AE$105="No",$AB$105&amp;".09",$AB$105&amp;".09_YTD")</f>
        <v>.09</v>
      </c>
      <c r="AK123" s="14" t="str">
        <f ca="1">IF($AE$105="No",$AB$105&amp;".10",$AB$105&amp;".10_YTD")</f>
        <v>.10</v>
      </c>
      <c r="AL123" s="14" t="str">
        <f ca="1">IF($AE$105="No",$AB$105&amp;".11",$AB$105&amp;".11_YTD")</f>
        <v>.11</v>
      </c>
      <c r="AM123" s="14" t="str">
        <f ca="1">IF($AE$105="No",$AB$105&amp;".12",$AB$105&amp;".12_YTD")</f>
        <v>.12</v>
      </c>
    </row>
    <row r="124" spans="5:39" ht="18" hidden="1" customHeight="1">
      <c r="E124" s="217"/>
      <c r="F124" s="217"/>
      <c r="G124" s="217"/>
      <c r="H124" s="217"/>
      <c r="I124" s="217"/>
      <c r="J124" s="217"/>
      <c r="K124" s="217"/>
      <c r="L124" s="217"/>
      <c r="M124" s="217"/>
      <c r="N124" s="217"/>
      <c r="O124" s="59"/>
      <c r="P124" s="217"/>
      <c r="Q124" s="217"/>
      <c r="R124" s="218"/>
      <c r="S124" s="217"/>
      <c r="T124" s="217"/>
      <c r="U124" s="218"/>
      <c r="V124" s="14"/>
      <c r="W124" s="14"/>
      <c r="X124" s="14"/>
      <c r="Z124" s="15"/>
      <c r="AA124" s="14"/>
      <c r="AB124" s="55" t="str">
        <f ca="1">_xll.DBRA(Server&amp;$Y$15,$Y45,$F$17)</f>
        <v>Jan</v>
      </c>
      <c r="AC124" s="55" t="str">
        <f ca="1">_xll.DBRA(Server&amp;$Y$15,$Y46,$F$17)</f>
        <v>Fév</v>
      </c>
      <c r="AD124" s="55" t="str">
        <f ca="1">_xll.DBRA(Server&amp;$Y$15,$Y47,$F$17)</f>
        <v>Mars</v>
      </c>
      <c r="AE124" s="55" t="str">
        <f ca="1">_xll.DBRA(Server&amp;$Y$15,$Y48,$F$17)</f>
        <v>Avril</v>
      </c>
      <c r="AF124" s="55" t="str">
        <f ca="1">_xll.DBRA(Server&amp;$Y$15,$Y49,$F$17)</f>
        <v>Mai</v>
      </c>
      <c r="AG124" s="55" t="str">
        <f ca="1">_xll.DBRA(Server&amp;$Y$15,$Y50,$F$17)</f>
        <v>Juin</v>
      </c>
      <c r="AH124" s="55" t="str">
        <f ca="1">_xll.DBRA(Server&amp;$Y$15,$Y51,$F$17)</f>
        <v>Jul</v>
      </c>
      <c r="AI124" s="55" t="str">
        <f ca="1">_xll.DBRA(Server&amp;$Y$15,$Y52,$F$17)</f>
        <v>Août</v>
      </c>
      <c r="AJ124" s="55" t="str">
        <f ca="1">_xll.DBRA(Server&amp;$Y$15,$Y53,$F$17)</f>
        <v>Sep</v>
      </c>
      <c r="AK124" s="55" t="str">
        <f ca="1">_xll.DBRA(Server&amp;$Y$15,$Y54,$F$17)</f>
        <v>Oct</v>
      </c>
      <c r="AL124" s="55" t="str">
        <f ca="1">_xll.DBRA(Server&amp;$Y$15,$Y55,$F$17)</f>
        <v>Nov</v>
      </c>
      <c r="AM124" s="55" t="str">
        <f ca="1">_xll.DBRA(Server&amp;$Y$15,$Y56,$F$17)</f>
        <v>Déc</v>
      </c>
    </row>
    <row r="125" spans="5:39" ht="18" hidden="1" customHeight="1">
      <c r="E125" s="217"/>
      <c r="F125" s="217"/>
      <c r="G125" s="217"/>
      <c r="H125" s="217"/>
      <c r="I125" s="217"/>
      <c r="J125" s="217"/>
      <c r="K125" s="217"/>
      <c r="L125" s="217"/>
      <c r="M125" s="217"/>
      <c r="N125" s="217"/>
      <c r="O125" s="59"/>
      <c r="P125" s="217"/>
      <c r="Q125" s="217"/>
      <c r="R125" s="218"/>
      <c r="S125" s="217"/>
      <c r="T125" s="217"/>
      <c r="U125" s="218"/>
      <c r="V125" s="14"/>
      <c r="W125" s="14"/>
      <c r="X125" s="14"/>
      <c r="Z125" s="15" t="str">
        <f ca="1">_xll.DBRA(Server&amp;$F$1,K$1,$F$17)</f>
        <v>Réalisé</v>
      </c>
      <c r="AA125" s="60" t="str">
        <f>$K$1</f>
        <v>ACT_TOT</v>
      </c>
      <c r="AB125" s="61" t="str">
        <f ca="1">_xll.DBRW($H$3,$F$13,$F$14,$F$15,$F$16,$F$11,$F$12,AB$123,$AA125,$B$77)</f>
        <v>*KEY_ERR</v>
      </c>
      <c r="AC125" s="61" t="str">
        <f ca="1">_xll.DBRW($H$3,$F$13,$F$14,$F$15,$F$16,$F$11,$F$12,AC$123,$AA125,$B$77)</f>
        <v>*KEY_ERR</v>
      </c>
      <c r="AD125" s="61" t="str">
        <f ca="1">_xll.DBRW($H$3,$F$13,$F$14,$F$15,$F$16,$F$11,$F$12,AD$123,$AA125,$B$77)</f>
        <v>*KEY_ERR</v>
      </c>
      <c r="AE125" s="61" t="str">
        <f ca="1">_xll.DBRW($H$3,$F$13,$F$14,$F$15,$F$16,$F$11,$F$12,AE$123,$AA125,$B$77)</f>
        <v>*KEY_ERR</v>
      </c>
      <c r="AF125" s="61" t="str">
        <f ca="1">_xll.DBRW($H$3,$F$13,$F$14,$F$15,$F$16,$F$11,$F$12,AF$123,$AA125,$B$77)</f>
        <v>*KEY_ERR</v>
      </c>
      <c r="AG125" s="61" t="str">
        <f ca="1">_xll.DBRW($H$3,$F$13,$F$14,$F$15,$F$16,$F$11,$F$12,AG$123,$AA125,$B$77)</f>
        <v>*KEY_ERR</v>
      </c>
      <c r="AH125" s="61" t="str">
        <f ca="1">_xll.DBRW($H$3,$F$13,$F$14,$F$15,$F$16,$F$11,$F$12,AH$123,$AA125,$B$77)</f>
        <v>*KEY_ERR</v>
      </c>
      <c r="AI125" s="61" t="str">
        <f ca="1">_xll.DBRW($H$3,$F$13,$F$14,$F$15,$F$16,$F$11,$F$12,AI$123,$AA125,$B$77)</f>
        <v>*KEY_ERR</v>
      </c>
      <c r="AJ125" s="61" t="str">
        <f ca="1">_xll.DBRW($H$3,$F$13,$F$14,$F$15,$F$16,$F$11,$F$12,AJ$123,$AA125,$B$77)</f>
        <v>*KEY_ERR</v>
      </c>
      <c r="AK125" s="61" t="str">
        <f ca="1">_xll.DBRW($H$3,$F$13,$F$14,$F$15,$F$16,$F$11,$F$12,AK$123,$AA125,$B$77)</f>
        <v>*KEY_ERR</v>
      </c>
      <c r="AL125" s="61" t="str">
        <f ca="1">_xll.DBRW($H$3,$F$13,$F$14,$F$15,$F$16,$F$11,$F$12,AL$123,$AA125,$B$77)</f>
        <v>*KEY_ERR</v>
      </c>
      <c r="AM125" s="61" t="str">
        <f ca="1">_xll.DBRW($H$3,$F$13,$F$14,$F$15,$F$16,$F$11,$F$12,AM$123,$AA125,$B$77)</f>
        <v>*KEY_ERR</v>
      </c>
    </row>
    <row r="126" spans="5:39" ht="18" hidden="1" customHeight="1">
      <c r="E126" s="217"/>
      <c r="F126" s="217"/>
      <c r="G126" s="217"/>
      <c r="H126" s="217"/>
      <c r="I126" s="217"/>
      <c r="J126" s="217"/>
      <c r="K126" s="217"/>
      <c r="L126" s="217"/>
      <c r="M126" s="217"/>
      <c r="N126" s="217"/>
      <c r="O126" s="59"/>
      <c r="P126" s="217"/>
      <c r="Q126" s="217"/>
      <c r="R126" s="218"/>
      <c r="S126" s="217"/>
      <c r="T126" s="217"/>
      <c r="U126" s="218"/>
      <c r="V126" s="14"/>
      <c r="W126" s="14"/>
      <c r="X126" s="14"/>
      <c r="Z126" s="15" t="str">
        <f ca="1">_xll.DBRA(Server&amp;$Y$15,Y$57,$F$17)</f>
        <v>Année précédente</v>
      </c>
      <c r="AA126" s="60" t="str">
        <f ca="1">$H$1</f>
        <v>Actual</v>
      </c>
      <c r="AB126" s="61" t="str">
        <f ca="1">_xll.DBRW($H$3,$F$13,$F$14,$F$15,$F$16,$F$11,$F$12,AB$130,$AA126,$B$77)</f>
        <v/>
      </c>
      <c r="AC126" s="61" t="str">
        <f ca="1">_xll.DBRW($H$3,$F$13,$F$14,$F$15,$F$16,$F$11,$F$12,AC$130,$AA126,$B$77)</f>
        <v/>
      </c>
      <c r="AD126" s="61" t="str">
        <f ca="1">_xll.DBRW($H$3,$F$13,$F$14,$F$15,$F$16,$F$11,$F$12,AD$130,$AA126,$B$77)</f>
        <v/>
      </c>
      <c r="AE126" s="61" t="str">
        <f ca="1">_xll.DBRW($H$3,$F$13,$F$14,$F$15,$F$16,$F$11,$F$12,AE$130,$AA126,$B$77)</f>
        <v/>
      </c>
      <c r="AF126" s="61" t="str">
        <f ca="1">_xll.DBRW($H$3,$F$13,$F$14,$F$15,$F$16,$F$11,$F$12,AF$130,$AA126,$B$77)</f>
        <v/>
      </c>
      <c r="AG126" s="61" t="str">
        <f ca="1">_xll.DBRW($H$3,$F$13,$F$14,$F$15,$F$16,$F$11,$F$12,AG$130,$AA126,$B$77)</f>
        <v/>
      </c>
      <c r="AH126" s="61" t="str">
        <f ca="1">_xll.DBRW($H$3,$F$13,$F$14,$F$15,$F$16,$F$11,$F$12,AH$130,$AA126,$B$77)</f>
        <v/>
      </c>
      <c r="AI126" s="61" t="str">
        <f ca="1">_xll.DBRW($H$3,$F$13,$F$14,$F$15,$F$16,$F$11,$F$12,AI$130,$AA126,$B$77)</f>
        <v/>
      </c>
      <c r="AJ126" s="61" t="str">
        <f ca="1">_xll.DBRW($H$3,$F$13,$F$14,$F$15,$F$16,$F$11,$F$12,AJ$130,$AA126,$B$77)</f>
        <v/>
      </c>
      <c r="AK126" s="61" t="str">
        <f ca="1">_xll.DBRW($H$3,$F$13,$F$14,$F$15,$F$16,$F$11,$F$12,AK$130,$AA126,$B$77)</f>
        <v/>
      </c>
      <c r="AL126" s="61" t="str">
        <f ca="1">_xll.DBRW($H$3,$F$13,$F$14,$F$15,$F$16,$F$11,$F$12,AL$130,$AA126,$B$77)</f>
        <v/>
      </c>
      <c r="AM126" s="61" t="str">
        <f ca="1">_xll.DBRW($H$3,$F$13,$F$14,$F$15,$F$16,$F$11,$F$12,AM$130,$AA126,$B$77)</f>
        <v/>
      </c>
    </row>
    <row r="127" spans="5:39" ht="18" hidden="1" customHeight="1"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14"/>
      <c r="P127" s="72"/>
      <c r="Q127" s="72"/>
      <c r="R127" s="166"/>
      <c r="S127" s="72"/>
      <c r="T127" s="72"/>
      <c r="U127" s="166"/>
      <c r="V127" s="14"/>
      <c r="W127" s="14"/>
      <c r="X127" s="14"/>
      <c r="Z127" s="15" t="str">
        <f ca="1">_xll.DBRA(Server&amp;$F$1,I$1,$F$17)</f>
        <v>Budget V courante</v>
      </c>
      <c r="AA127" s="60" t="str">
        <f ca="1">$I$1</f>
        <v>Budget V current</v>
      </c>
      <c r="AB127" s="61" t="str">
        <f ca="1">_xll.DBRW($H$3,$F$13,$F$14,$F$15,$F$16,$F$11,$F$12,AB$123,$AA127,$B$77)</f>
        <v>*KEY_ERR</v>
      </c>
      <c r="AC127" s="61" t="str">
        <f ca="1">_xll.DBRW($H$3,$F$13,$F$14,$F$15,$F$16,$F$11,$F$12,AC$123,$AA127,$B$77)</f>
        <v>*KEY_ERR</v>
      </c>
      <c r="AD127" s="61" t="str">
        <f ca="1">_xll.DBRW($H$3,$F$13,$F$14,$F$15,$F$16,$F$11,$F$12,AD$123,$AA127,$B$77)</f>
        <v>*KEY_ERR</v>
      </c>
      <c r="AE127" s="61" t="str">
        <f ca="1">_xll.DBRW($H$3,$F$13,$F$14,$F$15,$F$16,$F$11,$F$12,AE$123,$AA127,$B$77)</f>
        <v>*KEY_ERR</v>
      </c>
      <c r="AF127" s="61" t="str">
        <f ca="1">_xll.DBRW($H$3,$F$13,$F$14,$F$15,$F$16,$F$11,$F$12,AF$123,$AA127,$B$77)</f>
        <v>*KEY_ERR</v>
      </c>
      <c r="AG127" s="61" t="str">
        <f ca="1">_xll.DBRW($H$3,$F$13,$F$14,$F$15,$F$16,$F$11,$F$12,AG$123,$AA127,$B$77)</f>
        <v>*KEY_ERR</v>
      </c>
      <c r="AH127" s="61" t="str">
        <f ca="1">_xll.DBRW($H$3,$F$13,$F$14,$F$15,$F$16,$F$11,$F$12,AH$123,$AA127,$B$77)</f>
        <v>*KEY_ERR</v>
      </c>
      <c r="AI127" s="61" t="str">
        <f ca="1">_xll.DBRW($H$3,$F$13,$F$14,$F$15,$F$16,$F$11,$F$12,AI$123,$AA127,$B$77)</f>
        <v>*KEY_ERR</v>
      </c>
      <c r="AJ127" s="61" t="str">
        <f ca="1">_xll.DBRW($H$3,$F$13,$F$14,$F$15,$F$16,$F$11,$F$12,AJ$123,$AA127,$B$77)</f>
        <v>*KEY_ERR</v>
      </c>
      <c r="AK127" s="61" t="str">
        <f ca="1">_xll.DBRW($H$3,$F$13,$F$14,$F$15,$F$16,$F$11,$F$12,AK$123,$AA127,$B$77)</f>
        <v>*KEY_ERR</v>
      </c>
      <c r="AL127" s="61" t="str">
        <f ca="1">_xll.DBRW($H$3,$F$13,$F$14,$F$15,$F$16,$F$11,$F$12,AL$123,$AA127,$B$77)</f>
        <v>*KEY_ERR</v>
      </c>
      <c r="AM127" s="61" t="str">
        <f ca="1">_xll.DBRW($H$3,$F$13,$F$14,$F$15,$F$16,$F$11,$F$12,AM$123,$AA127,$B$77)</f>
        <v>*KEY_ERR</v>
      </c>
    </row>
    <row r="128" spans="5:39" ht="18" hidden="1" customHeight="1"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14"/>
      <c r="P128" s="72"/>
      <c r="Q128" s="72"/>
      <c r="R128" s="166"/>
      <c r="S128" s="72"/>
      <c r="T128" s="72"/>
      <c r="U128" s="166"/>
      <c r="V128" s="14"/>
      <c r="W128" s="14"/>
      <c r="X128" s="14"/>
      <c r="Z128" s="15" t="str">
        <f ca="1">_xll.DBRA(Server&amp;$F$1,J$1,$F$17)</f>
        <v>Estimé 2 V courante</v>
      </c>
      <c r="AA128" s="60" t="str">
        <f ca="1">$J$1</f>
        <v>Forecast 2 V current</v>
      </c>
      <c r="AB128" s="61" t="str">
        <f ca="1">_xll.DBRW($H$3,$F$13,$F$14,$F$15,$F$16,$F$11,$F$12,AB$123,$AA128,$B$77)</f>
        <v>*KEY_ERR</v>
      </c>
      <c r="AC128" s="61" t="str">
        <f ca="1">_xll.DBRW($H$3,$F$13,$F$14,$F$15,$F$16,$F$11,$F$12,AC$123,$AA128,$B$77)</f>
        <v>*KEY_ERR</v>
      </c>
      <c r="AD128" s="61" t="str">
        <f ca="1">_xll.DBRW($H$3,$F$13,$F$14,$F$15,$F$16,$F$11,$F$12,AD$123,$AA128,$B$77)</f>
        <v>*KEY_ERR</v>
      </c>
      <c r="AE128" s="61" t="str">
        <f ca="1">_xll.DBRW($H$3,$F$13,$F$14,$F$15,$F$16,$F$11,$F$12,AE$123,$AA128,$B$77)</f>
        <v>*KEY_ERR</v>
      </c>
      <c r="AF128" s="61" t="str">
        <f ca="1">_xll.DBRW($H$3,$F$13,$F$14,$F$15,$F$16,$F$11,$F$12,AF$123,$AA128,$B$77)</f>
        <v>*KEY_ERR</v>
      </c>
      <c r="AG128" s="61" t="str">
        <f ca="1">_xll.DBRW($H$3,$F$13,$F$14,$F$15,$F$16,$F$11,$F$12,AG$123,$AA128,$B$77)</f>
        <v>*KEY_ERR</v>
      </c>
      <c r="AH128" s="61" t="str">
        <f ca="1">_xll.DBRW($H$3,$F$13,$F$14,$F$15,$F$16,$F$11,$F$12,AH$123,$AA128,$B$77)</f>
        <v>*KEY_ERR</v>
      </c>
      <c r="AI128" s="61" t="str">
        <f ca="1">_xll.DBRW($H$3,$F$13,$F$14,$F$15,$F$16,$F$11,$F$12,AI$123,$AA128,$B$77)</f>
        <v>*KEY_ERR</v>
      </c>
      <c r="AJ128" s="61" t="str">
        <f ca="1">_xll.DBRW($H$3,$F$13,$F$14,$F$15,$F$16,$F$11,$F$12,AJ$123,$AA128,$B$77)</f>
        <v>*KEY_ERR</v>
      </c>
      <c r="AK128" s="61" t="str">
        <f ca="1">_xll.DBRW($H$3,$F$13,$F$14,$F$15,$F$16,$F$11,$F$12,AK$123,$AA128,$B$77)</f>
        <v>*KEY_ERR</v>
      </c>
      <c r="AL128" s="61" t="str">
        <f ca="1">_xll.DBRW($H$3,$F$13,$F$14,$F$15,$F$16,$F$11,$F$12,AL$123,$AA128,$B$77)</f>
        <v>*KEY_ERR</v>
      </c>
      <c r="AM128" s="61" t="str">
        <f ca="1">_xll.DBRW($H$3,$F$13,$F$14,$F$15,$F$16,$F$11,$F$12,AM$123,$AA128,$B$77)</f>
        <v>*KEY_ERR</v>
      </c>
    </row>
    <row r="129" spans="5:39" ht="18" hidden="1" customHeight="1"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14"/>
      <c r="P129" s="72"/>
      <c r="Q129" s="72"/>
      <c r="R129" s="166"/>
      <c r="S129" s="72"/>
      <c r="T129" s="72"/>
      <c r="U129" s="166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63"/>
    </row>
    <row r="130" spans="5:39" ht="18" hidden="1" customHeight="1"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14"/>
      <c r="P130" s="72"/>
      <c r="Q130" s="72"/>
      <c r="R130" s="166"/>
      <c r="S130" s="72"/>
      <c r="T130" s="72"/>
      <c r="U130" s="166"/>
      <c r="V130" s="14"/>
      <c r="W130" s="14"/>
      <c r="X130" s="14"/>
      <c r="Y130" s="14"/>
      <c r="Z130" s="14"/>
      <c r="AA130" s="64" t="s">
        <v>125</v>
      </c>
      <c r="AB130" s="14" t="str">
        <f ca="1">_xll.DBRA(Server&amp;$F$2,AB$107,"Prior year")</f>
        <v/>
      </c>
      <c r="AC130" s="14" t="str">
        <f ca="1">_xll.DBRA(Server&amp;$F$2,AC$107,"Prior year")</f>
        <v/>
      </c>
      <c r="AD130" s="14" t="str">
        <f ca="1">_xll.DBRA(Server&amp;$F$2,AD$107,"Prior year")</f>
        <v/>
      </c>
      <c r="AE130" s="14" t="str">
        <f ca="1">_xll.DBRA(Server&amp;$F$2,AE$107,"Prior year")</f>
        <v/>
      </c>
      <c r="AF130" s="14" t="str">
        <f ca="1">_xll.DBRA(Server&amp;$F$2,AF$107,"Prior year")</f>
        <v/>
      </c>
      <c r="AG130" s="14" t="str">
        <f ca="1">_xll.DBRA(Server&amp;$F$2,AG$107,"Prior year")</f>
        <v/>
      </c>
      <c r="AH130" s="14" t="str">
        <f ca="1">_xll.DBRA(Server&amp;$F$2,AH$107,"Prior year")</f>
        <v/>
      </c>
      <c r="AI130" s="14" t="str">
        <f ca="1">_xll.DBRA(Server&amp;$F$2,AI$107,"Prior year")</f>
        <v/>
      </c>
      <c r="AJ130" s="14" t="str">
        <f ca="1">_xll.DBRA(Server&amp;$F$2,AJ$107,"Prior year")</f>
        <v/>
      </c>
      <c r="AK130" s="14" t="str">
        <f ca="1">_xll.DBRA(Server&amp;$F$2,AK$107,"Prior year")</f>
        <v/>
      </c>
      <c r="AL130" s="14" t="str">
        <f ca="1">_xll.DBRA(Server&amp;$F$2,AL$107,"Prior year")</f>
        <v/>
      </c>
      <c r="AM130" s="14" t="str">
        <f ca="1">_xll.DBRA(Server&amp;$F$2,AM$107,"Prior year")</f>
        <v/>
      </c>
    </row>
    <row r="131" spans="5:39" ht="18" hidden="1" customHeight="1"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14"/>
      <c r="P131" s="72"/>
      <c r="Q131" s="72"/>
      <c r="R131" s="166"/>
      <c r="S131" s="72"/>
      <c r="T131" s="72"/>
      <c r="U131" s="166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63"/>
    </row>
    <row r="132" spans="5:39" ht="18" hidden="1" customHeight="1"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14"/>
      <c r="P132" s="72"/>
      <c r="Q132" s="72"/>
      <c r="R132" s="166"/>
      <c r="S132" s="72"/>
      <c r="T132" s="72"/>
      <c r="U132" s="166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63"/>
    </row>
    <row r="133" spans="5:39" ht="18" hidden="1" customHeight="1"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14"/>
      <c r="P133" s="72"/>
      <c r="Q133" s="72"/>
      <c r="R133" s="166"/>
      <c r="S133" s="72"/>
      <c r="T133" s="72"/>
      <c r="U133" s="166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63"/>
    </row>
    <row r="134" spans="5:39" ht="18" hidden="1" customHeight="1"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14"/>
      <c r="P134" s="72"/>
      <c r="Q134" s="72"/>
      <c r="R134" s="166"/>
      <c r="S134" s="72"/>
      <c r="T134" s="72"/>
      <c r="U134" s="166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63"/>
    </row>
    <row r="135" spans="5:39" ht="18" hidden="1" customHeight="1"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14"/>
      <c r="P135" s="72"/>
      <c r="Q135" s="72"/>
      <c r="R135" s="166"/>
      <c r="S135" s="72"/>
      <c r="T135" s="72"/>
      <c r="U135" s="166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63"/>
    </row>
    <row r="136" spans="5:39" ht="18" hidden="1" customHeight="1"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14"/>
      <c r="P136" s="72"/>
      <c r="Q136" s="72"/>
      <c r="R136" s="166"/>
      <c r="S136" s="72"/>
      <c r="T136" s="72"/>
      <c r="U136" s="166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63"/>
    </row>
    <row r="137" spans="5:39" ht="18" hidden="1" customHeight="1"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14"/>
      <c r="P137" s="72"/>
      <c r="Q137" s="72"/>
      <c r="R137" s="166"/>
      <c r="S137" s="72"/>
      <c r="T137" s="72"/>
      <c r="U137" s="166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63"/>
    </row>
    <row r="138" spans="5:39" ht="18" hidden="1" customHeight="1"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14"/>
      <c r="P138" s="72"/>
      <c r="Q138" s="72"/>
      <c r="R138" s="166"/>
      <c r="S138" s="72"/>
      <c r="T138" s="72"/>
      <c r="U138" s="166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63"/>
    </row>
    <row r="139" spans="5:39" ht="18" hidden="1" customHeight="1"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14"/>
      <c r="P139" s="72"/>
      <c r="Q139" s="72"/>
      <c r="R139" s="166"/>
      <c r="S139" s="72"/>
      <c r="T139" s="72"/>
      <c r="U139" s="166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63"/>
    </row>
    <row r="140" spans="5:39" ht="18" hidden="1" customHeight="1"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14"/>
      <c r="P140" s="72"/>
      <c r="Q140" s="72"/>
      <c r="R140" s="166"/>
      <c r="S140" s="72"/>
      <c r="T140" s="72"/>
      <c r="U140" s="166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63"/>
    </row>
    <row r="141" spans="5:39" ht="18" hidden="1" customHeight="1"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14"/>
      <c r="P141" s="72"/>
      <c r="Q141" s="72"/>
      <c r="R141" s="166"/>
      <c r="S141" s="72"/>
      <c r="T141" s="72"/>
      <c r="U141" s="166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63"/>
    </row>
    <row r="142" spans="5:39" ht="18" hidden="1" customHeight="1"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14"/>
      <c r="P142" s="72"/>
      <c r="Q142" s="72"/>
      <c r="R142" s="166"/>
      <c r="S142" s="72"/>
      <c r="T142" s="72"/>
      <c r="U142" s="166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63"/>
    </row>
    <row r="143" spans="5:39" ht="18" hidden="1" customHeight="1">
      <c r="O143" s="16"/>
      <c r="P143" s="77"/>
      <c r="Q143" s="77"/>
      <c r="R143" s="157"/>
    </row>
    <row r="144" spans="5:39" ht="18" hidden="1" customHeight="1">
      <c r="O144" s="16"/>
      <c r="P144" s="77"/>
      <c r="Q144" s="77"/>
      <c r="R144" s="157"/>
    </row>
    <row r="145" spans="15:27" ht="18" hidden="1" customHeight="1">
      <c r="O145" s="16"/>
      <c r="P145" s="77"/>
      <c r="Q145" s="77"/>
      <c r="R145" s="157"/>
    </row>
    <row r="146" spans="15:27" ht="18" hidden="1" customHeight="1">
      <c r="O146" s="16"/>
      <c r="P146" s="77"/>
      <c r="Q146" s="77"/>
      <c r="R146" s="157"/>
      <c r="Z146" s="65"/>
      <c r="AA146" s="51"/>
    </row>
    <row r="147" spans="15:27" ht="18" hidden="1" customHeight="1">
      <c r="O147" s="16"/>
      <c r="P147" s="77"/>
      <c r="Q147" s="77"/>
      <c r="R147" s="157"/>
      <c r="Z147" s="65"/>
      <c r="AA147" s="51"/>
    </row>
    <row r="148" spans="15:27" ht="18" hidden="1" customHeight="1">
      <c r="O148" s="16"/>
      <c r="P148" s="77"/>
      <c r="Q148" s="77"/>
      <c r="R148" s="157"/>
      <c r="Z148" s="65"/>
      <c r="AA148" s="51"/>
    </row>
    <row r="149" spans="15:27" ht="18" hidden="1" customHeight="1">
      <c r="O149" s="16"/>
      <c r="P149" s="77"/>
      <c r="Q149" s="77"/>
      <c r="R149" s="157"/>
      <c r="Z149" s="65"/>
      <c r="AA149" s="51"/>
    </row>
    <row r="150" spans="15:27" ht="18" hidden="1" customHeight="1">
      <c r="O150" s="16"/>
      <c r="P150" s="77"/>
      <c r="Q150" s="77"/>
      <c r="R150" s="157"/>
      <c r="Z150" s="65"/>
      <c r="AA150" s="51"/>
    </row>
    <row r="151" spans="15:27" ht="18" hidden="1" customHeight="1">
      <c r="O151" s="16"/>
      <c r="P151" s="77"/>
      <c r="Q151" s="77"/>
      <c r="R151" s="157"/>
      <c r="Z151" s="65"/>
      <c r="AA151" s="51"/>
    </row>
    <row r="152" spans="15:27" ht="18" hidden="1" customHeight="1">
      <c r="Z152" s="65"/>
      <c r="AA152" s="51"/>
    </row>
    <row r="153" spans="15:27" ht="18" hidden="1" customHeight="1">
      <c r="Z153" s="65"/>
      <c r="AA153" s="51"/>
    </row>
    <row r="154" spans="15:27" ht="18" hidden="1" customHeight="1">
      <c r="Z154" s="65"/>
      <c r="AA154" s="51"/>
    </row>
    <row r="155" spans="15:27" ht="18" hidden="1" customHeight="1">
      <c r="Z155" s="65"/>
      <c r="AA155" s="51"/>
    </row>
    <row r="156" spans="15:27" ht="18" hidden="1" customHeight="1">
      <c r="Z156" s="65"/>
      <c r="AA156" s="51"/>
    </row>
    <row r="157" spans="15:27" ht="18" hidden="1" customHeight="1">
      <c r="Z157" s="65"/>
      <c r="AA157" s="51"/>
    </row>
    <row r="158" spans="15:27" ht="18" hidden="1" customHeight="1">
      <c r="AA158" s="51"/>
    </row>
    <row r="159" spans="15:27" ht="18" hidden="1" customHeight="1">
      <c r="AA159" s="51"/>
    </row>
    <row r="160" spans="15:27" ht="18" hidden="1" customHeight="1">
      <c r="AA160" s="51"/>
    </row>
    <row r="161" spans="27:27" ht="18" hidden="1" customHeight="1">
      <c r="AA161" s="51"/>
    </row>
    <row r="162" spans="27:27" ht="18" hidden="1" customHeight="1">
      <c r="AA162" s="51"/>
    </row>
    <row r="163" spans="27:27" ht="18" customHeight="1">
      <c r="AA163" s="51"/>
    </row>
  </sheetData>
  <sheetProtection password="D70F" sheet="1" objects="1" scenarios="1" formatColumns="0" formatRows="0"/>
  <protectedRanges>
    <protectedRange sqref="F84:V86" name="Commentaires"/>
  </protectedRanges>
  <mergeCells count="61">
    <mergeCell ref="E7:U8"/>
    <mergeCell ref="E27:F27"/>
    <mergeCell ref="M19:O19"/>
    <mergeCell ref="P19:R19"/>
    <mergeCell ref="S19:U19"/>
    <mergeCell ref="M18:U18"/>
    <mergeCell ref="E51:F51"/>
    <mergeCell ref="E40:F40"/>
    <mergeCell ref="E21:F21"/>
    <mergeCell ref="E22:F22"/>
    <mergeCell ref="E23:F23"/>
    <mergeCell ref="E33:F33"/>
    <mergeCell ref="E34:F34"/>
    <mergeCell ref="E29:F29"/>
    <mergeCell ref="E30:F30"/>
    <mergeCell ref="E35:F35"/>
    <mergeCell ref="E36:F36"/>
    <mergeCell ref="E37:F37"/>
    <mergeCell ref="E38:F38"/>
    <mergeCell ref="E24:F24"/>
    <mergeCell ref="E25:F25"/>
    <mergeCell ref="E26:F26"/>
    <mergeCell ref="E78:F78"/>
    <mergeCell ref="E54:F54"/>
    <mergeCell ref="E57:F57"/>
    <mergeCell ref="E58:F58"/>
    <mergeCell ref="E59:F59"/>
    <mergeCell ref="E61:F61"/>
    <mergeCell ref="E62:F62"/>
    <mergeCell ref="E63:F63"/>
    <mergeCell ref="E65:F65"/>
    <mergeCell ref="E66:F66"/>
    <mergeCell ref="E67:F67"/>
    <mergeCell ref="E77:F77"/>
    <mergeCell ref="E71:F71"/>
    <mergeCell ref="E73:F73"/>
    <mergeCell ref="E74:F74"/>
    <mergeCell ref="E75:F75"/>
    <mergeCell ref="E86:U86"/>
    <mergeCell ref="E87:U87"/>
    <mergeCell ref="E79:F79"/>
    <mergeCell ref="E80:F80"/>
    <mergeCell ref="E81:F81"/>
    <mergeCell ref="E84:U84"/>
    <mergeCell ref="E85:U85"/>
    <mergeCell ref="E28:F28"/>
    <mergeCell ref="E32:F32"/>
    <mergeCell ref="E31:F31"/>
    <mergeCell ref="E69:F69"/>
    <mergeCell ref="E70:F70"/>
    <mergeCell ref="E52:F52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</mergeCells>
  <conditionalFormatting sqref="R22:R23 R41:R51 U22:U23 U41:U51 U33:U37 U29:U31 R33:R37 R29:R31">
    <cfRule type="cellIs" dxfId="125" priority="145" stopIfTrue="1" operator="equal">
      <formula>"ì"</formula>
    </cfRule>
    <cfRule type="cellIs" dxfId="124" priority="146" stopIfTrue="1" operator="equal">
      <formula>"î"</formula>
    </cfRule>
    <cfRule type="cellIs" dxfId="123" priority="147" stopIfTrue="1" operator="equal">
      <formula>"è"</formula>
    </cfRule>
  </conditionalFormatting>
  <conditionalFormatting sqref="R40">
    <cfRule type="cellIs" dxfId="122" priority="136" stopIfTrue="1" operator="equal">
      <formula>"ì"</formula>
    </cfRule>
    <cfRule type="cellIs" dxfId="121" priority="137" stopIfTrue="1" operator="equal">
      <formula>"î"</formula>
    </cfRule>
    <cfRule type="cellIs" dxfId="120" priority="138" stopIfTrue="1" operator="equal">
      <formula>"è"</formula>
    </cfRule>
  </conditionalFormatting>
  <conditionalFormatting sqref="U40">
    <cfRule type="cellIs" dxfId="119" priority="133" stopIfTrue="1" operator="equal">
      <formula>"ì"</formula>
    </cfRule>
    <cfRule type="cellIs" dxfId="118" priority="134" stopIfTrue="1" operator="equal">
      <formula>"î"</formula>
    </cfRule>
    <cfRule type="cellIs" dxfId="117" priority="135" stopIfTrue="1" operator="equal">
      <formula>"è"</formula>
    </cfRule>
  </conditionalFormatting>
  <conditionalFormatting sqref="R54">
    <cfRule type="cellIs" dxfId="116" priority="130" stopIfTrue="1" operator="equal">
      <formula>"ì"</formula>
    </cfRule>
    <cfRule type="cellIs" dxfId="115" priority="131" stopIfTrue="1" operator="equal">
      <formula>"î"</formula>
    </cfRule>
    <cfRule type="cellIs" dxfId="114" priority="132" stopIfTrue="1" operator="equal">
      <formula>"è"</formula>
    </cfRule>
  </conditionalFormatting>
  <conditionalFormatting sqref="U54">
    <cfRule type="cellIs" dxfId="113" priority="127" stopIfTrue="1" operator="equal">
      <formula>"ì"</formula>
    </cfRule>
    <cfRule type="cellIs" dxfId="112" priority="128" stopIfTrue="1" operator="equal">
      <formula>"î"</formula>
    </cfRule>
    <cfRule type="cellIs" dxfId="111" priority="129" stopIfTrue="1" operator="equal">
      <formula>"è"</formula>
    </cfRule>
  </conditionalFormatting>
  <conditionalFormatting sqref="R57">
    <cfRule type="cellIs" dxfId="110" priority="124" stopIfTrue="1" operator="equal">
      <formula>"ì"</formula>
    </cfRule>
    <cfRule type="cellIs" dxfId="109" priority="125" stopIfTrue="1" operator="equal">
      <formula>"î"</formula>
    </cfRule>
    <cfRule type="cellIs" dxfId="108" priority="126" stopIfTrue="1" operator="equal">
      <formula>"è"</formula>
    </cfRule>
  </conditionalFormatting>
  <conditionalFormatting sqref="U57">
    <cfRule type="cellIs" dxfId="107" priority="121" stopIfTrue="1" operator="equal">
      <formula>"ì"</formula>
    </cfRule>
    <cfRule type="cellIs" dxfId="106" priority="122" stopIfTrue="1" operator="equal">
      <formula>"î"</formula>
    </cfRule>
    <cfRule type="cellIs" dxfId="105" priority="123" stopIfTrue="1" operator="equal">
      <formula>"è"</formula>
    </cfRule>
  </conditionalFormatting>
  <conditionalFormatting sqref="R61">
    <cfRule type="cellIs" dxfId="104" priority="118" stopIfTrue="1" operator="equal">
      <formula>"ì"</formula>
    </cfRule>
    <cfRule type="cellIs" dxfId="103" priority="119" stopIfTrue="1" operator="equal">
      <formula>"î"</formula>
    </cfRule>
    <cfRule type="cellIs" dxfId="102" priority="120" stopIfTrue="1" operator="equal">
      <formula>"è"</formula>
    </cfRule>
  </conditionalFormatting>
  <conditionalFormatting sqref="U61">
    <cfRule type="cellIs" dxfId="101" priority="115" stopIfTrue="1" operator="equal">
      <formula>"ì"</formula>
    </cfRule>
    <cfRule type="cellIs" dxfId="100" priority="116" stopIfTrue="1" operator="equal">
      <formula>"î"</formula>
    </cfRule>
    <cfRule type="cellIs" dxfId="99" priority="117" stopIfTrue="1" operator="equal">
      <formula>"è"</formula>
    </cfRule>
  </conditionalFormatting>
  <conditionalFormatting sqref="R65">
    <cfRule type="cellIs" dxfId="98" priority="112" stopIfTrue="1" operator="equal">
      <formula>"ì"</formula>
    </cfRule>
    <cfRule type="cellIs" dxfId="97" priority="113" stopIfTrue="1" operator="equal">
      <formula>"î"</formula>
    </cfRule>
    <cfRule type="cellIs" dxfId="96" priority="114" stopIfTrue="1" operator="equal">
      <formula>"è"</formula>
    </cfRule>
  </conditionalFormatting>
  <conditionalFormatting sqref="U65">
    <cfRule type="cellIs" dxfId="95" priority="109" stopIfTrue="1" operator="equal">
      <formula>"ì"</formula>
    </cfRule>
    <cfRule type="cellIs" dxfId="94" priority="110" stopIfTrue="1" operator="equal">
      <formula>"î"</formula>
    </cfRule>
    <cfRule type="cellIs" dxfId="93" priority="111" stopIfTrue="1" operator="equal">
      <formula>"è"</formula>
    </cfRule>
  </conditionalFormatting>
  <conditionalFormatting sqref="U24:U28 R24:R28 R32 U32">
    <cfRule type="cellIs" dxfId="92" priority="106" stopIfTrue="1" operator="equal">
      <formula>"ì"</formula>
    </cfRule>
    <cfRule type="cellIs" dxfId="91" priority="107" stopIfTrue="1" operator="equal">
      <formula>"î"</formula>
    </cfRule>
    <cfRule type="cellIs" dxfId="90" priority="108" stopIfTrue="1" operator="equal">
      <formula>"è"</formula>
    </cfRule>
  </conditionalFormatting>
  <conditionalFormatting sqref="R69">
    <cfRule type="cellIs" dxfId="89" priority="100" stopIfTrue="1" operator="equal">
      <formula>"ì"</formula>
    </cfRule>
    <cfRule type="cellIs" dxfId="88" priority="101" stopIfTrue="1" operator="equal">
      <formula>"î"</formula>
    </cfRule>
    <cfRule type="cellIs" dxfId="87" priority="102" stopIfTrue="1" operator="equal">
      <formula>"è"</formula>
    </cfRule>
  </conditionalFormatting>
  <conditionalFormatting sqref="U69">
    <cfRule type="cellIs" dxfId="86" priority="97" stopIfTrue="1" operator="equal">
      <formula>"ì"</formula>
    </cfRule>
    <cfRule type="cellIs" dxfId="85" priority="98" stopIfTrue="1" operator="equal">
      <formula>"î"</formula>
    </cfRule>
    <cfRule type="cellIs" dxfId="84" priority="99" stopIfTrue="1" operator="equal">
      <formula>"è"</formula>
    </cfRule>
  </conditionalFormatting>
  <conditionalFormatting sqref="R73">
    <cfRule type="cellIs" dxfId="83" priority="91" stopIfTrue="1" operator="equal">
      <formula>"ì"</formula>
    </cfRule>
    <cfRule type="cellIs" dxfId="82" priority="92" stopIfTrue="1" operator="equal">
      <formula>"î"</formula>
    </cfRule>
    <cfRule type="cellIs" dxfId="81" priority="93" stopIfTrue="1" operator="equal">
      <formula>"è"</formula>
    </cfRule>
  </conditionalFormatting>
  <conditionalFormatting sqref="U73">
    <cfRule type="cellIs" dxfId="80" priority="88" stopIfTrue="1" operator="equal">
      <formula>"ì"</formula>
    </cfRule>
    <cfRule type="cellIs" dxfId="79" priority="89" stopIfTrue="1" operator="equal">
      <formula>"î"</formula>
    </cfRule>
    <cfRule type="cellIs" dxfId="78" priority="90" stopIfTrue="1" operator="equal">
      <formula>"è"</formula>
    </cfRule>
  </conditionalFormatting>
  <conditionalFormatting sqref="O22:O23 O41:O51 O33:O37 O29:O31">
    <cfRule type="cellIs" dxfId="77" priority="85" stopIfTrue="1" operator="equal">
      <formula>"ì"</formula>
    </cfRule>
    <cfRule type="cellIs" dxfId="76" priority="86" stopIfTrue="1" operator="equal">
      <formula>"î"</formula>
    </cfRule>
    <cfRule type="cellIs" dxfId="75" priority="87" stopIfTrue="1" operator="equal">
      <formula>"è"</formula>
    </cfRule>
  </conditionalFormatting>
  <conditionalFormatting sqref="O21">
    <cfRule type="cellIs" dxfId="74" priority="82" stopIfTrue="1" operator="equal">
      <formula>"ì"</formula>
    </cfRule>
    <cfRule type="cellIs" dxfId="73" priority="83" stopIfTrue="1" operator="equal">
      <formula>"î"</formula>
    </cfRule>
    <cfRule type="cellIs" dxfId="72" priority="84" stopIfTrue="1" operator="equal">
      <formula>"è"</formula>
    </cfRule>
  </conditionalFormatting>
  <conditionalFormatting sqref="O40">
    <cfRule type="cellIs" dxfId="71" priority="79" stopIfTrue="1" operator="equal">
      <formula>"ì"</formula>
    </cfRule>
    <cfRule type="cellIs" dxfId="70" priority="80" stopIfTrue="1" operator="equal">
      <formula>"î"</formula>
    </cfRule>
    <cfRule type="cellIs" dxfId="69" priority="81" stopIfTrue="1" operator="equal">
      <formula>"è"</formula>
    </cfRule>
  </conditionalFormatting>
  <conditionalFormatting sqref="O54">
    <cfRule type="cellIs" dxfId="68" priority="76" stopIfTrue="1" operator="equal">
      <formula>"ì"</formula>
    </cfRule>
    <cfRule type="cellIs" dxfId="67" priority="77" stopIfTrue="1" operator="equal">
      <formula>"î"</formula>
    </cfRule>
    <cfRule type="cellIs" dxfId="66" priority="78" stopIfTrue="1" operator="equal">
      <formula>"è"</formula>
    </cfRule>
  </conditionalFormatting>
  <conditionalFormatting sqref="O57">
    <cfRule type="cellIs" dxfId="65" priority="73" stopIfTrue="1" operator="equal">
      <formula>"ì"</formula>
    </cfRule>
    <cfRule type="cellIs" dxfId="64" priority="74" stopIfTrue="1" operator="equal">
      <formula>"î"</formula>
    </cfRule>
    <cfRule type="cellIs" dxfId="63" priority="75" stopIfTrue="1" operator="equal">
      <formula>"è"</formula>
    </cfRule>
  </conditionalFormatting>
  <conditionalFormatting sqref="O61">
    <cfRule type="cellIs" dxfId="62" priority="70" stopIfTrue="1" operator="equal">
      <formula>"ì"</formula>
    </cfRule>
    <cfRule type="cellIs" dxfId="61" priority="71" stopIfTrue="1" operator="equal">
      <formula>"î"</formula>
    </cfRule>
    <cfRule type="cellIs" dxfId="60" priority="72" stopIfTrue="1" operator="equal">
      <formula>"è"</formula>
    </cfRule>
  </conditionalFormatting>
  <conditionalFormatting sqref="O65">
    <cfRule type="cellIs" dxfId="59" priority="67" stopIfTrue="1" operator="equal">
      <formula>"ì"</formula>
    </cfRule>
    <cfRule type="cellIs" dxfId="58" priority="68" stopIfTrue="1" operator="equal">
      <formula>"î"</formula>
    </cfRule>
    <cfRule type="cellIs" dxfId="57" priority="69" stopIfTrue="1" operator="equal">
      <formula>"è"</formula>
    </cfRule>
  </conditionalFormatting>
  <conditionalFormatting sqref="O24:O28 O32">
    <cfRule type="cellIs" dxfId="56" priority="64" stopIfTrue="1" operator="equal">
      <formula>"ì"</formula>
    </cfRule>
    <cfRule type="cellIs" dxfId="55" priority="65" stopIfTrue="1" operator="equal">
      <formula>"î"</formula>
    </cfRule>
    <cfRule type="cellIs" dxfId="54" priority="66" stopIfTrue="1" operator="equal">
      <formula>"è"</formula>
    </cfRule>
  </conditionalFormatting>
  <conditionalFormatting sqref="R66 U66">
    <cfRule type="cellIs" dxfId="53" priority="37" stopIfTrue="1" operator="equal">
      <formula>"ì"</formula>
    </cfRule>
    <cfRule type="cellIs" dxfId="52" priority="38" stopIfTrue="1" operator="equal">
      <formula>"î"</formula>
    </cfRule>
    <cfRule type="cellIs" dxfId="51" priority="39" stopIfTrue="1" operator="equal">
      <formula>"è"</formula>
    </cfRule>
  </conditionalFormatting>
  <conditionalFormatting sqref="O69">
    <cfRule type="cellIs" dxfId="50" priority="58" stopIfTrue="1" operator="equal">
      <formula>"ì"</formula>
    </cfRule>
    <cfRule type="cellIs" dxfId="49" priority="59" stopIfTrue="1" operator="equal">
      <formula>"î"</formula>
    </cfRule>
    <cfRule type="cellIs" dxfId="48" priority="60" stopIfTrue="1" operator="equal">
      <formula>"è"</formula>
    </cfRule>
  </conditionalFormatting>
  <conditionalFormatting sqref="O73">
    <cfRule type="cellIs" dxfId="47" priority="52" stopIfTrue="1" operator="equal">
      <formula>"ì"</formula>
    </cfRule>
    <cfRule type="cellIs" dxfId="46" priority="53" stopIfTrue="1" operator="equal">
      <formula>"î"</formula>
    </cfRule>
    <cfRule type="cellIs" dxfId="45" priority="54" stopIfTrue="1" operator="equal">
      <formula>"è"</formula>
    </cfRule>
  </conditionalFormatting>
  <conditionalFormatting sqref="R58 U58">
    <cfRule type="cellIs" dxfId="44" priority="49" stopIfTrue="1" operator="equal">
      <formula>"ì"</formula>
    </cfRule>
    <cfRule type="cellIs" dxfId="43" priority="50" stopIfTrue="1" operator="equal">
      <formula>"î"</formula>
    </cfRule>
    <cfRule type="cellIs" dxfId="42" priority="51" stopIfTrue="1" operator="equal">
      <formula>"è"</formula>
    </cfRule>
  </conditionalFormatting>
  <conditionalFormatting sqref="O58">
    <cfRule type="cellIs" dxfId="41" priority="46" stopIfTrue="1" operator="equal">
      <formula>"ì"</formula>
    </cfRule>
    <cfRule type="cellIs" dxfId="40" priority="47" stopIfTrue="1" operator="equal">
      <formula>"î"</formula>
    </cfRule>
    <cfRule type="cellIs" dxfId="39" priority="48" stopIfTrue="1" operator="equal">
      <formula>"è"</formula>
    </cfRule>
  </conditionalFormatting>
  <conditionalFormatting sqref="R62 U62">
    <cfRule type="cellIs" dxfId="38" priority="43" stopIfTrue="1" operator="equal">
      <formula>"ì"</formula>
    </cfRule>
    <cfRule type="cellIs" dxfId="37" priority="44" stopIfTrue="1" operator="equal">
      <formula>"î"</formula>
    </cfRule>
    <cfRule type="cellIs" dxfId="36" priority="45" stopIfTrue="1" operator="equal">
      <formula>"è"</formula>
    </cfRule>
  </conditionalFormatting>
  <conditionalFormatting sqref="O62">
    <cfRule type="cellIs" dxfId="35" priority="40" stopIfTrue="1" operator="equal">
      <formula>"ì"</formula>
    </cfRule>
    <cfRule type="cellIs" dxfId="34" priority="41" stopIfTrue="1" operator="equal">
      <formula>"î"</formula>
    </cfRule>
    <cfRule type="cellIs" dxfId="33" priority="42" stopIfTrue="1" operator="equal">
      <formula>"è"</formula>
    </cfRule>
  </conditionalFormatting>
  <conditionalFormatting sqref="O66">
    <cfRule type="cellIs" dxfId="32" priority="34" stopIfTrue="1" operator="equal">
      <formula>"ì"</formula>
    </cfRule>
    <cfRule type="cellIs" dxfId="31" priority="35" stopIfTrue="1" operator="equal">
      <formula>"î"</formula>
    </cfRule>
    <cfRule type="cellIs" dxfId="30" priority="36" stopIfTrue="1" operator="equal">
      <formula>"è"</formula>
    </cfRule>
  </conditionalFormatting>
  <conditionalFormatting sqref="R70 U70">
    <cfRule type="cellIs" dxfId="29" priority="31" stopIfTrue="1" operator="equal">
      <formula>"ì"</formula>
    </cfRule>
    <cfRule type="cellIs" dxfId="28" priority="32" stopIfTrue="1" operator="equal">
      <formula>"î"</formula>
    </cfRule>
    <cfRule type="cellIs" dxfId="27" priority="33" stopIfTrue="1" operator="equal">
      <formula>"è"</formula>
    </cfRule>
  </conditionalFormatting>
  <conditionalFormatting sqref="O70">
    <cfRule type="cellIs" dxfId="26" priority="28" stopIfTrue="1" operator="equal">
      <formula>"ì"</formula>
    </cfRule>
    <cfRule type="cellIs" dxfId="25" priority="29" stopIfTrue="1" operator="equal">
      <formula>"î"</formula>
    </cfRule>
    <cfRule type="cellIs" dxfId="24" priority="30" stopIfTrue="1" operator="equal">
      <formula>"è"</formula>
    </cfRule>
  </conditionalFormatting>
  <conditionalFormatting sqref="R74 U74">
    <cfRule type="cellIs" dxfId="23" priority="25" stopIfTrue="1" operator="equal">
      <formula>"ì"</formula>
    </cfRule>
    <cfRule type="cellIs" dxfId="22" priority="26" stopIfTrue="1" operator="equal">
      <formula>"î"</formula>
    </cfRule>
    <cfRule type="cellIs" dxfId="21" priority="27" stopIfTrue="1" operator="equal">
      <formula>"è"</formula>
    </cfRule>
  </conditionalFormatting>
  <conditionalFormatting sqref="O74">
    <cfRule type="cellIs" dxfId="20" priority="22" stopIfTrue="1" operator="equal">
      <formula>"ì"</formula>
    </cfRule>
    <cfRule type="cellIs" dxfId="19" priority="23" stopIfTrue="1" operator="equal">
      <formula>"î"</formula>
    </cfRule>
    <cfRule type="cellIs" dxfId="18" priority="24" stopIfTrue="1" operator="equal">
      <formula>"è"</formula>
    </cfRule>
  </conditionalFormatting>
  <conditionalFormatting sqref="R78 U78">
    <cfRule type="cellIs" dxfId="17" priority="19" stopIfTrue="1" operator="equal">
      <formula>"ì"</formula>
    </cfRule>
    <cfRule type="cellIs" dxfId="16" priority="20" stopIfTrue="1" operator="equal">
      <formula>"î"</formula>
    </cfRule>
    <cfRule type="cellIs" dxfId="15" priority="21" stopIfTrue="1" operator="equal">
      <formula>"è"</formula>
    </cfRule>
  </conditionalFormatting>
  <conditionalFormatting sqref="O78">
    <cfRule type="cellIs" dxfId="14" priority="16" stopIfTrue="1" operator="equal">
      <formula>"ì"</formula>
    </cfRule>
    <cfRule type="cellIs" dxfId="13" priority="17" stopIfTrue="1" operator="equal">
      <formula>"î"</formula>
    </cfRule>
    <cfRule type="cellIs" dxfId="12" priority="18" stopIfTrue="1" operator="equal">
      <formula>"è"</formula>
    </cfRule>
  </conditionalFormatting>
  <conditionalFormatting sqref="R81 U81">
    <cfRule type="cellIs" dxfId="11" priority="13" stopIfTrue="1" operator="equal">
      <formula>"ì"</formula>
    </cfRule>
    <cfRule type="cellIs" dxfId="10" priority="14" stopIfTrue="1" operator="equal">
      <formula>"î"</formula>
    </cfRule>
    <cfRule type="cellIs" dxfId="9" priority="15" stopIfTrue="1" operator="equal">
      <formula>"è"</formula>
    </cfRule>
  </conditionalFormatting>
  <conditionalFormatting sqref="O81">
    <cfRule type="cellIs" dxfId="8" priority="10" stopIfTrue="1" operator="equal">
      <formula>"ì"</formula>
    </cfRule>
    <cfRule type="cellIs" dxfId="7" priority="11" stopIfTrue="1" operator="equal">
      <formula>"î"</formula>
    </cfRule>
    <cfRule type="cellIs" dxfId="6" priority="12" stopIfTrue="1" operator="equal">
      <formula>"è"</formula>
    </cfRule>
  </conditionalFormatting>
  <conditionalFormatting sqref="R21">
    <cfRule type="cellIs" dxfId="5" priority="7" stopIfTrue="1" operator="equal">
      <formula>"ì"</formula>
    </cfRule>
    <cfRule type="cellIs" dxfId="4" priority="8" stopIfTrue="1" operator="equal">
      <formula>"î"</formula>
    </cfRule>
    <cfRule type="cellIs" dxfId="3" priority="9" stopIfTrue="1" operator="equal">
      <formula>"è"</formula>
    </cfRule>
  </conditionalFormatting>
  <conditionalFormatting sqref="U21">
    <cfRule type="cellIs" dxfId="2" priority="4" stopIfTrue="1" operator="equal">
      <formula>"ì"</formula>
    </cfRule>
    <cfRule type="cellIs" dxfId="1" priority="5" stopIfTrue="1" operator="equal">
      <formula>"î"</formula>
    </cfRule>
    <cfRule type="cellIs" dxfId="0" priority="6" stopIfTrue="1" operator="equal">
      <formula>"è"</formula>
    </cfRule>
  </conditionalFormatting>
  <dataValidations disablePrompts="1" count="1">
    <dataValidation type="list" allowBlank="1" showInputMessage="1" showErrorMessage="1" sqref="F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4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8</xdr:col>
                <xdr:colOff>1409700</xdr:colOff>
                <xdr:row>12</xdr:row>
                <xdr:rowOff>66675</xdr:rowOff>
              </from>
              <to>
                <xdr:col>10</xdr:col>
                <xdr:colOff>57150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127</v>
      </c>
    </row>
    <row r="2" spans="1:1">
      <c r="A2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PL_aggregated</vt:lpstr>
      <vt:lpstr>{PL}PickLst</vt:lpstr>
      <vt:lpstr>ActualBudget</vt:lpstr>
      <vt:lpstr>ActualForecast</vt:lpstr>
      <vt:lpstr>ActualMonth</vt:lpstr>
      <vt:lpstr>ActualYear</vt:lpstr>
      <vt:lpstr>AutoFit</vt:lpstr>
      <vt:lpstr>PL_aggregated!AutoRefresh_PL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PL_aggregated!Print_Area</vt:lpstr>
      <vt:lpstr>PL_aggregated!Print_Titles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2017-03-03T14:54:12Z</cp:lastPrinted>
  <dcterms:created xsi:type="dcterms:W3CDTF">2016-02-23T13:35:31Z</dcterms:created>
  <dcterms:modified xsi:type="dcterms:W3CDTF">2020-03-11T14:05:10Z</dcterms:modified>
</cp:coreProperties>
</file>