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9B43560E-3615-4990-B3C0-37B28C1F9BC8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"a687f5c0-cc2b-4d6d-8b1d-dda01725d709"</definedName>
    <definedName name="ID" localSheetId="2" hidden="1">"e6edeb1e-f98d-4ef1-826d-ef6b7a2748b3"</definedName>
    <definedName name="ID" localSheetId="1" hidden="1">"afaa3383-e8b7-4742-8130-1b41ae6a049d"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" i="41" l="1"/>
  <c r="F60" i="41"/>
  <c r="A55" i="41"/>
  <c r="F52" i="41"/>
  <c r="A47" i="41"/>
  <c r="F44" i="41"/>
  <c r="A39" i="41"/>
  <c r="F36" i="41"/>
  <c r="A31" i="41"/>
  <c r="F28" i="41"/>
  <c r="A23" i="41"/>
  <c r="A59" i="41"/>
  <c r="A27" i="41"/>
  <c r="F53" i="41"/>
  <c r="F29" i="41"/>
  <c r="F21" i="41"/>
  <c r="F58" i="41"/>
  <c r="F65" i="41"/>
  <c r="A60" i="41"/>
  <c r="F57" i="41"/>
  <c r="A52" i="41"/>
  <c r="F49" i="41"/>
  <c r="A44" i="41"/>
  <c r="F41" i="41"/>
  <c r="A36" i="41"/>
  <c r="F33" i="41"/>
  <c r="A28" i="41"/>
  <c r="F25" i="41"/>
  <c r="A62" i="41"/>
  <c r="A54" i="41"/>
  <c r="A46" i="41"/>
  <c r="A38" i="41"/>
  <c r="F27" i="41"/>
  <c r="A22" i="41"/>
  <c r="F64" i="41"/>
  <c r="F48" i="41"/>
  <c r="A43" i="41"/>
  <c r="A35" i="41"/>
  <c r="F61" i="41"/>
  <c r="F37" i="41"/>
  <c r="A24" i="41"/>
  <c r="A53" i="41"/>
  <c r="F50" i="41"/>
  <c r="A45" i="41"/>
  <c r="F42" i="41"/>
  <c r="A37" i="41"/>
  <c r="F34" i="41"/>
  <c r="A29" i="41"/>
  <c r="A21" i="41"/>
  <c r="F63" i="41"/>
  <c r="A58" i="41"/>
  <c r="F47" i="41"/>
  <c r="A42" i="41"/>
  <c r="A34" i="41"/>
  <c r="F23" i="41"/>
  <c r="A65" i="41"/>
  <c r="F62" i="41"/>
  <c r="A57" i="41"/>
  <c r="F54" i="41"/>
  <c r="A49" i="41"/>
  <c r="F46" i="41"/>
  <c r="A41" i="41"/>
  <c r="F38" i="41"/>
  <c r="A33" i="41"/>
  <c r="F30" i="41"/>
  <c r="A25" i="41"/>
  <c r="F22" i="41"/>
  <c r="F59" i="41"/>
  <c r="F51" i="41"/>
  <c r="F43" i="41"/>
  <c r="F35" i="41"/>
  <c r="A30" i="41"/>
  <c r="F56" i="41"/>
  <c r="A51" i="41"/>
  <c r="F40" i="41"/>
  <c r="F32" i="41"/>
  <c r="F24" i="41"/>
  <c r="A64" i="41"/>
  <c r="A56" i="41"/>
  <c r="A48" i="41"/>
  <c r="F45" i="41"/>
  <c r="A40" i="41"/>
  <c r="A32" i="41"/>
  <c r="A61" i="41"/>
  <c r="F26" i="41"/>
  <c r="F55" i="41"/>
  <c r="A50" i="41"/>
  <c r="F39" i="41"/>
  <c r="F31" i="41"/>
  <c r="A26" i="41"/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AM28" i="32"/>
  <c r="U12" i="32"/>
  <c r="A70" i="41"/>
  <c r="A69" i="41"/>
  <c r="F70" i="41"/>
  <c r="F66" i="41"/>
  <c r="U14" i="32"/>
  <c r="A68" i="41"/>
  <c r="H12" i="32"/>
  <c r="R1" i="32"/>
  <c r="A67" i="41"/>
  <c r="F69" i="41"/>
  <c r="A66" i="41"/>
  <c r="H14" i="32"/>
  <c r="A71" i="41"/>
  <c r="D15" i="41"/>
  <c r="G71" i="41"/>
  <c r="F71" i="41"/>
  <c r="F68" i="41"/>
  <c r="H1" i="32"/>
  <c r="G67" i="41"/>
  <c r="F67" i="41"/>
  <c r="S13" i="32"/>
  <c r="G33" i="32"/>
  <c r="AM87" i="32"/>
  <c r="G42" i="32"/>
  <c r="G21" i="32"/>
  <c r="G95" i="32"/>
  <c r="AM29" i="32"/>
  <c r="G102" i="32"/>
  <c r="G91" i="32"/>
  <c r="G75" i="32"/>
  <c r="G65" i="32"/>
  <c r="G56" i="32"/>
  <c r="G44" i="32"/>
  <c r="G29" i="32"/>
  <c r="G13" i="32"/>
  <c r="G81" i="32"/>
  <c r="S12" i="32"/>
  <c r="H5" i="32"/>
  <c r="AM41" i="32"/>
  <c r="G111" i="32"/>
  <c r="B14" i="33"/>
  <c r="G100" i="32"/>
  <c r="G89" i="32"/>
  <c r="G71" i="32"/>
  <c r="G63" i="32"/>
  <c r="G54" i="32"/>
  <c r="G41" i="32"/>
  <c r="G25" i="32"/>
  <c r="G17" i="32"/>
  <c r="G112" i="32"/>
  <c r="AM89" i="32"/>
  <c r="G104" i="32"/>
  <c r="G90" i="32"/>
  <c r="G69" i="32"/>
  <c r="G59" i="32"/>
  <c r="G43" i="32"/>
  <c r="G87" i="32"/>
  <c r="A20" i="41"/>
  <c r="G85" i="32"/>
  <c r="G68" i="32"/>
  <c r="G40" i="32"/>
  <c r="G74" i="32"/>
  <c r="B13" i="33"/>
  <c r="G124" i="32"/>
  <c r="G73" i="32"/>
  <c r="AN86" i="32"/>
  <c r="G103" i="32"/>
  <c r="G58" i="32"/>
  <c r="G48" i="32"/>
  <c r="G61" i="32"/>
  <c r="G28" i="32"/>
  <c r="G105" i="32"/>
  <c r="G60" i="32"/>
  <c r="S16" i="32"/>
  <c r="G72" i="32"/>
  <c r="AM86" i="32"/>
  <c r="G101" i="32"/>
  <c r="G84" i="32"/>
  <c r="G67" i="32"/>
  <c r="G55" i="32"/>
  <c r="G39" i="32"/>
  <c r="G14" i="32"/>
  <c r="G57" i="32"/>
  <c r="G36" i="32"/>
  <c r="F18" i="41"/>
  <c r="G64" i="32"/>
  <c r="G79" i="32"/>
  <c r="G106" i="32"/>
  <c r="G38" i="32"/>
  <c r="G92" i="32"/>
  <c r="G24" i="32"/>
  <c r="S15" i="32"/>
  <c r="AN88" i="32"/>
  <c r="G35" i="32"/>
  <c r="G77" i="32"/>
  <c r="B15" i="33"/>
  <c r="G99" i="32"/>
  <c r="G83" i="32"/>
  <c r="G66" i="32"/>
  <c r="G53" i="32"/>
  <c r="G32" i="32"/>
  <c r="G15" i="32"/>
  <c r="AM88" i="32"/>
  <c r="G98" i="32"/>
  <c r="G52" i="32"/>
  <c r="G82" i="32"/>
  <c r="G97" i="32"/>
  <c r="G62" i="32"/>
  <c r="G18" i="32"/>
  <c r="AN87" i="32"/>
  <c r="E20" i="41"/>
  <c r="F20" i="41" s="1"/>
  <c r="G26" i="32"/>
  <c r="G45" i="32"/>
  <c r="S14" i="32"/>
  <c r="G80" i="32"/>
  <c r="G31" i="32"/>
  <c r="G16" i="32"/>
  <c r="G110" i="32"/>
  <c r="G96" i="32"/>
  <c r="G51" i="32"/>
  <c r="G30" i="32"/>
  <c r="H17" i="32"/>
  <c r="G78" i="32"/>
  <c r="G93" i="32"/>
  <c r="G50" i="32"/>
  <c r="AN28" i="32"/>
  <c r="G94" i="32"/>
  <c r="G70" i="32"/>
  <c r="G12" i="32"/>
  <c r="G68" i="41"/>
  <c r="G69" i="41"/>
  <c r="G66" i="41"/>
  <c r="G70" i="41"/>
  <c r="G44" i="41"/>
  <c r="G60" i="41"/>
  <c r="G31" i="41"/>
  <c r="G26" i="41"/>
  <c r="G50" i="41"/>
  <c r="G45" i="41"/>
  <c r="G61" i="41"/>
  <c r="G24" i="41"/>
  <c r="G64" i="41"/>
  <c r="G27" i="41"/>
  <c r="G35" i="41"/>
  <c r="G43" i="41"/>
  <c r="G51" i="41"/>
  <c r="G59" i="41"/>
  <c r="G28" i="41"/>
  <c r="G36" i="41"/>
  <c r="G52" i="41"/>
  <c r="G23" i="41"/>
  <c r="G39" i="41"/>
  <c r="G47" i="41"/>
  <c r="G55" i="41"/>
  <c r="G63" i="41"/>
  <c r="G21" i="41"/>
  <c r="G29" i="41"/>
  <c r="G37" i="41"/>
  <c r="G53" i="41"/>
  <c r="G32" i="41"/>
  <c r="G40" i="41"/>
  <c r="G48" i="41"/>
  <c r="G56" i="41"/>
  <c r="G22" i="41"/>
  <c r="G30" i="41"/>
  <c r="G38" i="41"/>
  <c r="G46" i="41"/>
  <c r="G54" i="41"/>
  <c r="G62" i="41"/>
  <c r="G34" i="41"/>
  <c r="G42" i="41"/>
  <c r="G58" i="41"/>
  <c r="G25" i="41"/>
  <c r="G33" i="41"/>
  <c r="G41" i="41"/>
  <c r="G49" i="41"/>
  <c r="G57" i="41"/>
  <c r="G65" i="41"/>
  <c r="AN29" i="32" l="1"/>
  <c r="AN89" i="32"/>
  <c r="AN41" i="32"/>
  <c r="G76" i="32"/>
  <c r="D16" i="41"/>
  <c r="H2" i="32"/>
  <c r="R2" i="32"/>
  <c r="H124" i="32"/>
  <c r="I20" i="32"/>
  <c r="S20" i="32"/>
  <c r="H16" i="32"/>
  <c r="U16" i="32"/>
  <c r="U13" i="32"/>
  <c r="H13" i="32"/>
  <c r="D20" i="41"/>
  <c r="G20" i="41" s="1"/>
  <c r="G8" i="32" l="1"/>
  <c r="G3" i="32"/>
  <c r="G9" i="32"/>
  <c r="J3" i="32"/>
  <c r="J2" i="32"/>
  <c r="G10" i="32"/>
  <c r="AB20" i="32"/>
  <c r="T2" i="32"/>
  <c r="T3" i="32"/>
  <c r="J4" i="32"/>
  <c r="I2" i="32"/>
  <c r="I4" i="32" s="1"/>
  <c r="K2" i="32"/>
  <c r="T4" i="32"/>
  <c r="S2" i="32"/>
  <c r="S4" i="32" s="1"/>
  <c r="U2" i="32"/>
  <c r="U3" i="32"/>
  <c r="S3" i="32"/>
  <c r="I31" i="32"/>
  <c r="J28" i="32"/>
  <c r="K28" i="32"/>
  <c r="I28" i="32"/>
  <c r="J31" i="32"/>
  <c r="K31" i="32"/>
  <c r="S80" i="32"/>
  <c r="T83" i="32"/>
  <c r="S65" i="32"/>
  <c r="U45" i="32"/>
  <c r="U36" i="32"/>
  <c r="U110" i="32"/>
  <c r="J52" i="32"/>
  <c r="S64" i="32"/>
  <c r="S25" i="32"/>
  <c r="T45" i="32"/>
  <c r="T32" i="32"/>
  <c r="U81" i="32"/>
  <c r="J112" i="32"/>
  <c r="J75" i="32"/>
  <c r="S111" i="32"/>
  <c r="S97" i="32"/>
  <c r="S74" i="32"/>
  <c r="S63" i="32"/>
  <c r="S45" i="32"/>
  <c r="S52" i="32"/>
  <c r="T44" i="32"/>
  <c r="U43" i="32"/>
  <c r="T33" i="32"/>
  <c r="T56" i="32"/>
  <c r="T91" i="32"/>
  <c r="U112" i="32"/>
  <c r="I112" i="32"/>
  <c r="I99" i="32"/>
  <c r="J60" i="32"/>
  <c r="S101" i="32"/>
  <c r="S35" i="32"/>
  <c r="T26" i="32"/>
  <c r="U57" i="32"/>
  <c r="K30" i="32"/>
  <c r="S100" i="32"/>
  <c r="S79" i="32"/>
  <c r="T35" i="32"/>
  <c r="U66" i="32"/>
  <c r="T59" i="32"/>
  <c r="K103" i="32"/>
  <c r="S112" i="32"/>
  <c r="S78" i="32"/>
  <c r="U44" i="32"/>
  <c r="U77" i="32"/>
  <c r="T66" i="32"/>
  <c r="T95" i="32"/>
  <c r="S110" i="32"/>
  <c r="S93" i="32"/>
  <c r="S73" i="32"/>
  <c r="S62" i="32"/>
  <c r="S39" i="32"/>
  <c r="S51" i="32"/>
  <c r="T43" i="32"/>
  <c r="T72" i="32"/>
  <c r="T55" i="32"/>
  <c r="U102" i="32"/>
  <c r="T112" i="32"/>
  <c r="J59" i="32"/>
  <c r="S66" i="32"/>
  <c r="T71" i="32"/>
  <c r="I94" i="32"/>
  <c r="J65" i="32"/>
  <c r="S26" i="32"/>
  <c r="U64" i="32"/>
  <c r="U92" i="32"/>
  <c r="I91" i="32"/>
  <c r="S99" i="32"/>
  <c r="S54" i="32"/>
  <c r="T79" i="32"/>
  <c r="U56" i="32"/>
  <c r="I102" i="32"/>
  <c r="S92" i="32"/>
  <c r="S72" i="32"/>
  <c r="S58" i="32"/>
  <c r="S38" i="32"/>
  <c r="S50" i="32"/>
  <c r="U24" i="32"/>
  <c r="T42" i="32"/>
  <c r="U30" i="32"/>
  <c r="T25" i="32"/>
  <c r="U65" i="32"/>
  <c r="U101" i="32"/>
  <c r="J84" i="32"/>
  <c r="S89" i="32"/>
  <c r="S91" i="32"/>
  <c r="S82" i="32"/>
  <c r="S71" i="32"/>
  <c r="S57" i="32"/>
  <c r="T24" i="32"/>
  <c r="U29" i="32"/>
  <c r="T67" i="32"/>
  <c r="T65" i="32"/>
  <c r="U60" i="32"/>
  <c r="T101" i="32"/>
  <c r="I84" i="32"/>
  <c r="J69" i="32"/>
  <c r="S33" i="32"/>
  <c r="U35" i="32"/>
  <c r="S102" i="32"/>
  <c r="S90" i="32"/>
  <c r="S81" i="32"/>
  <c r="S70" i="32"/>
  <c r="S56" i="32"/>
  <c r="S36" i="32"/>
  <c r="S32" i="32"/>
  <c r="S24" i="32"/>
  <c r="U26" i="32"/>
  <c r="U83" i="32"/>
  <c r="T60" i="32"/>
  <c r="J94" i="32"/>
  <c r="S105" i="32"/>
  <c r="S96" i="32"/>
  <c r="S85" i="32"/>
  <c r="S77" i="32"/>
  <c r="S69" i="32"/>
  <c r="S61" i="32"/>
  <c r="S44" i="32"/>
  <c r="S55" i="32"/>
  <c r="T36" i="32"/>
  <c r="U84" i="32"/>
  <c r="T81" i="32"/>
  <c r="U76" i="32"/>
  <c r="T64" i="32"/>
  <c r="T102" i="32"/>
  <c r="T92" i="32"/>
  <c r="J89" i="32"/>
  <c r="S95" i="32"/>
  <c r="S76" i="32"/>
  <c r="S68" i="32"/>
  <c r="S43" i="32"/>
  <c r="S30" i="32"/>
  <c r="U38" i="32"/>
  <c r="T30" i="32"/>
  <c r="T84" i="32"/>
  <c r="U75" i="32"/>
  <c r="T63" i="32"/>
  <c r="U103" i="32"/>
  <c r="U93" i="32"/>
  <c r="U111" i="32"/>
  <c r="J105" i="32"/>
  <c r="I97" i="32"/>
  <c r="I89" i="32"/>
  <c r="S104" i="32"/>
  <c r="S84" i="32"/>
  <c r="S60" i="32"/>
  <c r="S103" i="32"/>
  <c r="S94" i="32"/>
  <c r="S83" i="32"/>
  <c r="S75" i="32"/>
  <c r="S67" i="32"/>
  <c r="S59" i="32"/>
  <c r="S42" i="32"/>
  <c r="S29" i="32"/>
  <c r="U42" i="32"/>
  <c r="T38" i="32"/>
  <c r="T29" i="32"/>
  <c r="U82" i="32"/>
  <c r="U80" i="32"/>
  <c r="T75" i="32"/>
  <c r="U74" i="32"/>
  <c r="T103" i="32"/>
  <c r="T93" i="32"/>
  <c r="J82" i="32"/>
  <c r="J78" i="32"/>
  <c r="J68" i="32"/>
  <c r="U32" i="32"/>
  <c r="U85" i="32"/>
  <c r="T82" i="32"/>
  <c r="T80" i="32"/>
  <c r="T74" i="32"/>
  <c r="U73" i="32"/>
  <c r="U68" i="32"/>
  <c r="U94" i="32"/>
  <c r="I96" i="32"/>
  <c r="I92" i="32"/>
  <c r="I82" i="32"/>
  <c r="J77" i="32"/>
  <c r="J72" i="32"/>
  <c r="J62" i="32"/>
  <c r="J45" i="32"/>
  <c r="U33" i="32"/>
  <c r="U25" i="32"/>
  <c r="T85" i="32"/>
  <c r="T73" i="32"/>
  <c r="U72" i="32"/>
  <c r="U67" i="32"/>
  <c r="U59" i="32"/>
  <c r="T52" i="32"/>
  <c r="T89" i="32"/>
  <c r="T104" i="32"/>
  <c r="T100" i="32"/>
  <c r="T94" i="32"/>
  <c r="K112" i="32"/>
  <c r="J99" i="32"/>
  <c r="J91" i="32"/>
  <c r="J81" i="32"/>
  <c r="J76" i="32"/>
  <c r="J71" i="32"/>
  <c r="J66" i="32"/>
  <c r="J61" i="32"/>
  <c r="J56" i="32"/>
  <c r="T40" i="32"/>
  <c r="T76" i="32"/>
  <c r="U69" i="32"/>
  <c r="T68" i="32"/>
  <c r="U61" i="32"/>
  <c r="U54" i="32"/>
  <c r="J111" i="32"/>
  <c r="I105" i="32"/>
  <c r="J103" i="32"/>
  <c r="J74" i="32"/>
  <c r="J67" i="32"/>
  <c r="J58" i="32"/>
  <c r="J44" i="32"/>
  <c r="J51" i="32"/>
  <c r="U78" i="32"/>
  <c r="T77" i="32"/>
  <c r="U70" i="32"/>
  <c r="T69" i="32"/>
  <c r="U62" i="32"/>
  <c r="T61" i="32"/>
  <c r="T58" i="32"/>
  <c r="U50" i="32"/>
  <c r="U89" i="32"/>
  <c r="U105" i="32"/>
  <c r="U96" i="32"/>
  <c r="I111" i="32"/>
  <c r="J100" i="32"/>
  <c r="J95" i="32"/>
  <c r="J80" i="32"/>
  <c r="J73" i="32"/>
  <c r="J64" i="32"/>
  <c r="J57" i="32"/>
  <c r="J50" i="32"/>
  <c r="U79" i="32"/>
  <c r="T78" i="32"/>
  <c r="U71" i="32"/>
  <c r="T70" i="32"/>
  <c r="U63" i="32"/>
  <c r="T62" i="32"/>
  <c r="T50" i="32"/>
  <c r="U104" i="32"/>
  <c r="U95" i="32"/>
  <c r="J102" i="32"/>
  <c r="I100" i="32"/>
  <c r="J97" i="32"/>
  <c r="J92" i="32"/>
  <c r="J85" i="32"/>
  <c r="J79" i="32"/>
  <c r="J70" i="32"/>
  <c r="J63" i="32"/>
  <c r="U55" i="32"/>
  <c r="T105" i="32"/>
  <c r="U97" i="32"/>
  <c r="T96" i="32"/>
  <c r="T110" i="32"/>
  <c r="K110" i="32"/>
  <c r="K104" i="32"/>
  <c r="I103" i="32"/>
  <c r="J98" i="32"/>
  <c r="I95" i="32"/>
  <c r="J90" i="32"/>
  <c r="I85" i="32"/>
  <c r="I54" i="32"/>
  <c r="K32" i="32"/>
  <c r="T41" i="32"/>
  <c r="U58" i="32"/>
  <c r="T57" i="32"/>
  <c r="U51" i="32"/>
  <c r="U99" i="32"/>
  <c r="T97" i="32"/>
  <c r="U90" i="32"/>
  <c r="J110" i="32"/>
  <c r="J104" i="32"/>
  <c r="J101" i="32"/>
  <c r="I98" i="32"/>
  <c r="J93" i="32"/>
  <c r="I90" i="32"/>
  <c r="J83" i="32"/>
  <c r="K50" i="32"/>
  <c r="I52" i="32"/>
  <c r="K33" i="32"/>
  <c r="I40" i="32"/>
  <c r="T54" i="32"/>
  <c r="U52" i="32"/>
  <c r="T51" i="32"/>
  <c r="U100" i="32"/>
  <c r="T99" i="32"/>
  <c r="U91" i="32"/>
  <c r="T90" i="32"/>
  <c r="K111" i="32"/>
  <c r="I110" i="32"/>
  <c r="K105" i="32"/>
  <c r="I104" i="32"/>
  <c r="I101" i="32"/>
  <c r="J96" i="32"/>
  <c r="I93" i="32"/>
  <c r="I83" i="32"/>
  <c r="K55" i="32"/>
  <c r="S98" i="32"/>
  <c r="K40" i="32"/>
  <c r="T39" i="32"/>
  <c r="K29" i="32"/>
  <c r="J55" i="32"/>
  <c r="I51" i="32"/>
  <c r="J32" i="32"/>
  <c r="T98" i="32"/>
  <c r="I41" i="32"/>
  <c r="K41" i="32"/>
  <c r="J30" i="32"/>
  <c r="I50" i="32"/>
  <c r="J33" i="32"/>
  <c r="U39" i="32"/>
  <c r="S40" i="32"/>
  <c r="U40" i="32"/>
  <c r="K102" i="32"/>
  <c r="K101" i="32"/>
  <c r="K100" i="32"/>
  <c r="K99" i="32"/>
  <c r="K98" i="32"/>
  <c r="K97" i="32"/>
  <c r="K96" i="32"/>
  <c r="K95" i="32"/>
  <c r="K94" i="32"/>
  <c r="K93" i="32"/>
  <c r="K92" i="32"/>
  <c r="K91" i="32"/>
  <c r="K90" i="32"/>
  <c r="K89" i="32"/>
  <c r="K85" i="32"/>
  <c r="K84" i="32"/>
  <c r="K83" i="32"/>
  <c r="K82" i="32"/>
  <c r="K81" i="32"/>
  <c r="K80" i="32"/>
  <c r="K79" i="32"/>
  <c r="K78" i="32"/>
  <c r="K77" i="32"/>
  <c r="K76" i="32"/>
  <c r="K75" i="32"/>
  <c r="K74" i="32"/>
  <c r="K73" i="32"/>
  <c r="K72" i="32"/>
  <c r="K71" i="32"/>
  <c r="K70" i="32"/>
  <c r="K69" i="32"/>
  <c r="K68" i="32"/>
  <c r="K67" i="32"/>
  <c r="K66" i="32"/>
  <c r="K65" i="32"/>
  <c r="K64" i="32"/>
  <c r="K63" i="32"/>
  <c r="K62" i="32"/>
  <c r="K61" i="32"/>
  <c r="K60" i="32"/>
  <c r="K59" i="32"/>
  <c r="K58" i="32"/>
  <c r="K57" i="32"/>
  <c r="K56" i="32"/>
  <c r="K45" i="32"/>
  <c r="K44" i="32"/>
  <c r="K43" i="32"/>
  <c r="K42" i="32"/>
  <c r="K39" i="32"/>
  <c r="K38" i="32"/>
  <c r="K36" i="32"/>
  <c r="K35" i="32"/>
  <c r="K54" i="32"/>
  <c r="J29" i="32"/>
  <c r="I55" i="32"/>
  <c r="K26" i="32"/>
  <c r="K25" i="32"/>
  <c r="K24" i="32"/>
  <c r="U98" i="32"/>
  <c r="S41" i="32"/>
  <c r="U41" i="32"/>
  <c r="J43" i="32"/>
  <c r="J42" i="32"/>
  <c r="J39" i="32"/>
  <c r="J38" i="32"/>
  <c r="J36" i="32"/>
  <c r="J35" i="32"/>
  <c r="K52" i="32"/>
  <c r="I30" i="32"/>
  <c r="I32" i="32"/>
  <c r="J26" i="32"/>
  <c r="J25" i="32"/>
  <c r="J24" i="32"/>
  <c r="T111" i="32"/>
  <c r="J40" i="32"/>
  <c r="I81" i="32"/>
  <c r="I80" i="32"/>
  <c r="I79" i="32"/>
  <c r="I78" i="32"/>
  <c r="I77" i="32"/>
  <c r="I76" i="32"/>
  <c r="I75" i="32"/>
  <c r="I74" i="32"/>
  <c r="I73" i="32"/>
  <c r="I72" i="32"/>
  <c r="I71" i="32"/>
  <c r="I70" i="32"/>
  <c r="I69" i="32"/>
  <c r="I68" i="32"/>
  <c r="I67" i="32"/>
  <c r="I66" i="32"/>
  <c r="I65" i="32"/>
  <c r="I64" i="32"/>
  <c r="I63" i="32"/>
  <c r="I62" i="32"/>
  <c r="I61" i="32"/>
  <c r="I60" i="32"/>
  <c r="I59" i="32"/>
  <c r="I58" i="32"/>
  <c r="I57" i="32"/>
  <c r="I56" i="32"/>
  <c r="I45" i="32"/>
  <c r="I44" i="32"/>
  <c r="I43" i="32"/>
  <c r="I42" i="32"/>
  <c r="I39" i="32"/>
  <c r="I38" i="32"/>
  <c r="I36" i="32"/>
  <c r="I35" i="32"/>
  <c r="K51" i="32"/>
  <c r="J54" i="32"/>
  <c r="I29" i="32"/>
  <c r="I33" i="32"/>
  <c r="I26" i="32"/>
  <c r="I25" i="32"/>
  <c r="I24" i="32"/>
  <c r="J41" i="32"/>
  <c r="AC21" i="32"/>
  <c r="K3" i="32"/>
  <c r="I3" i="32"/>
  <c r="K4" i="32"/>
  <c r="L2" i="32"/>
  <c r="V2" i="32"/>
  <c r="U4" i="32"/>
  <c r="V3" i="32"/>
  <c r="AD21" i="32"/>
  <c r="L3" i="32"/>
  <c r="AB21" i="32"/>
  <c r="L41" i="32"/>
  <c r="L55" i="32"/>
  <c r="L40" i="32"/>
  <c r="L33" i="32"/>
  <c r="L50" i="32"/>
  <c r="L32" i="32"/>
  <c r="L51" i="32"/>
  <c r="L24" i="32"/>
  <c r="L25" i="32"/>
  <c r="L26" i="32"/>
  <c r="L52" i="32"/>
  <c r="L35" i="32"/>
  <c r="L36" i="32"/>
  <c r="L38" i="32"/>
  <c r="L39" i="32"/>
  <c r="L42" i="32"/>
  <c r="L43" i="32"/>
  <c r="L44" i="32"/>
  <c r="L4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3" i="32"/>
  <c r="L104" i="32"/>
  <c r="L105" i="32"/>
  <c r="L110" i="32"/>
  <c r="L111" i="32"/>
  <c r="L112" i="32"/>
  <c r="L54" i="32"/>
  <c r="L30" i="32"/>
  <c r="L29" i="32"/>
  <c r="L31" i="32"/>
  <c r="L28" i="32"/>
  <c r="L4" i="32"/>
  <c r="M2" i="32"/>
  <c r="V98" i="32"/>
  <c r="V39" i="32"/>
  <c r="V40" i="32"/>
  <c r="V93" i="32"/>
  <c r="V102" i="32"/>
  <c r="V50" i="32"/>
  <c r="V92" i="32"/>
  <c r="V101" i="32"/>
  <c r="V54" i="32"/>
  <c r="V60" i="32"/>
  <c r="V111" i="32"/>
  <c r="V91" i="32"/>
  <c r="V100" i="32"/>
  <c r="V89" i="32"/>
  <c r="V52" i="32"/>
  <c r="V41" i="32"/>
  <c r="V59" i="32"/>
  <c r="V65" i="32"/>
  <c r="V73" i="32"/>
  <c r="V81" i="32"/>
  <c r="V94" i="32"/>
  <c r="V103" i="32"/>
  <c r="V56" i="32"/>
  <c r="V64" i="32"/>
  <c r="V72" i="32"/>
  <c r="V80" i="32"/>
  <c r="V110" i="32"/>
  <c r="V90" i="32"/>
  <c r="V95" i="32"/>
  <c r="V99" i="32"/>
  <c r="V104" i="32"/>
  <c r="V63" i="32"/>
  <c r="V71" i="32"/>
  <c r="V57" i="32"/>
  <c r="V35" i="32"/>
  <c r="V112" i="32"/>
  <c r="V55" i="32"/>
  <c r="V61" i="32"/>
  <c r="V66" i="32"/>
  <c r="V77" i="32"/>
  <c r="V83" i="32"/>
  <c r="V26" i="32"/>
  <c r="V97" i="32"/>
  <c r="V51" i="32"/>
  <c r="V62" i="32"/>
  <c r="V67" i="32"/>
  <c r="V25" i="32"/>
  <c r="V44" i="32"/>
  <c r="V68" i="32"/>
  <c r="V85" i="32"/>
  <c r="V29" i="32"/>
  <c r="V43" i="32"/>
  <c r="V96" i="32"/>
  <c r="V69" i="32"/>
  <c r="V74" i="32"/>
  <c r="V78" i="32"/>
  <c r="V82" i="32"/>
  <c r="V33" i="32"/>
  <c r="V30" i="32"/>
  <c r="V42" i="32"/>
  <c r="V36" i="32"/>
  <c r="V45" i="32"/>
  <c r="V76" i="32"/>
  <c r="V105" i="32"/>
  <c r="V38" i="32"/>
  <c r="V75" i="32"/>
  <c r="V84" i="32"/>
  <c r="V79" i="32"/>
  <c r="V32" i="32"/>
  <c r="V58" i="32"/>
  <c r="V70" i="32"/>
  <c r="V24" i="32"/>
  <c r="V4" i="32"/>
  <c r="W2" i="32"/>
  <c r="W3" i="32"/>
  <c r="AE21" i="32"/>
  <c r="M3" i="32"/>
  <c r="M29" i="32"/>
  <c r="M30" i="32"/>
  <c r="M55" i="32"/>
  <c r="M50" i="32"/>
  <c r="M41" i="32"/>
  <c r="M24" i="32"/>
  <c r="M25" i="32"/>
  <c r="M26" i="32"/>
  <c r="M33" i="32"/>
  <c r="M51" i="32"/>
  <c r="M35" i="32"/>
  <c r="M36" i="32"/>
  <c r="M38" i="32"/>
  <c r="M39" i="32"/>
  <c r="M42" i="32"/>
  <c r="M43" i="32"/>
  <c r="M44" i="32"/>
  <c r="M4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10" i="32"/>
  <c r="M111" i="32"/>
  <c r="M112" i="32"/>
  <c r="M52" i="32"/>
  <c r="M54" i="32"/>
  <c r="M32" i="32"/>
  <c r="M40" i="32"/>
  <c r="M31" i="32"/>
  <c r="M28" i="32"/>
  <c r="M4" i="32"/>
  <c r="N2" i="32"/>
  <c r="W41" i="32"/>
  <c r="W40" i="32"/>
  <c r="W39" i="32"/>
  <c r="W112" i="32"/>
  <c r="W95" i="32"/>
  <c r="W104" i="32"/>
  <c r="W89" i="32"/>
  <c r="W94" i="32"/>
  <c r="W103" i="32"/>
  <c r="W110" i="32"/>
  <c r="W93" i="32"/>
  <c r="W102" i="32"/>
  <c r="W111" i="32"/>
  <c r="W52" i="32"/>
  <c r="W55" i="32"/>
  <c r="W57" i="32"/>
  <c r="W67" i="32"/>
  <c r="W75" i="32"/>
  <c r="W83" i="32"/>
  <c r="W98" i="32"/>
  <c r="W50" i="32"/>
  <c r="W66" i="32"/>
  <c r="W74" i="32"/>
  <c r="W54" i="32"/>
  <c r="W59" i="32"/>
  <c r="W65" i="32"/>
  <c r="W73" i="32"/>
  <c r="W91" i="32"/>
  <c r="W101" i="32"/>
  <c r="W105" i="32"/>
  <c r="W56" i="32"/>
  <c r="W71" i="32"/>
  <c r="W76" i="32"/>
  <c r="W81" i="32"/>
  <c r="W84" i="32"/>
  <c r="W33" i="32"/>
  <c r="W29" i="32"/>
  <c r="W58" i="32"/>
  <c r="W72" i="32"/>
  <c r="W79" i="32"/>
  <c r="W32" i="32"/>
  <c r="W30" i="32"/>
  <c r="W90" i="32"/>
  <c r="W100" i="32"/>
  <c r="W60" i="32"/>
  <c r="W35" i="32"/>
  <c r="W61" i="32"/>
  <c r="W77" i="32"/>
  <c r="W26" i="32"/>
  <c r="W45" i="32"/>
  <c r="W97" i="32"/>
  <c r="W99" i="32"/>
  <c r="W51" i="32"/>
  <c r="W62" i="32"/>
  <c r="W80" i="32"/>
  <c r="W25" i="32"/>
  <c r="W44" i="32"/>
  <c r="W96" i="32"/>
  <c r="W69" i="32"/>
  <c r="W64" i="32"/>
  <c r="W78" i="32"/>
  <c r="W85" i="32"/>
  <c r="W36" i="32"/>
  <c r="W43" i="32"/>
  <c r="W92" i="32"/>
  <c r="W63" i="32"/>
  <c r="W82" i="32"/>
  <c r="W70" i="32"/>
  <c r="W38" i="32"/>
  <c r="W42" i="32"/>
  <c r="W24" i="32"/>
  <c r="W68" i="32"/>
  <c r="X2" i="32"/>
  <c r="W4" i="32"/>
  <c r="X3" i="32"/>
  <c r="AF21" i="32"/>
  <c r="N3" i="32"/>
  <c r="N41" i="32"/>
  <c r="N32" i="32"/>
  <c r="N54" i="32"/>
  <c r="N40" i="32"/>
  <c r="N29" i="32"/>
  <c r="N30" i="32"/>
  <c r="N55" i="32"/>
  <c r="N44" i="32"/>
  <c r="N57" i="32"/>
  <c r="N59" i="32"/>
  <c r="N61" i="32"/>
  <c r="N63" i="32"/>
  <c r="N65" i="32"/>
  <c r="N67" i="32"/>
  <c r="N69" i="32"/>
  <c r="N71" i="32"/>
  <c r="N73" i="32"/>
  <c r="N75" i="32"/>
  <c r="N77" i="32"/>
  <c r="N79" i="32"/>
  <c r="N81" i="32"/>
  <c r="N91" i="32"/>
  <c r="N99" i="32"/>
  <c r="N42" i="32"/>
  <c r="N96" i="32"/>
  <c r="N105" i="32"/>
  <c r="N111" i="32"/>
  <c r="N25" i="32"/>
  <c r="N35" i="32"/>
  <c r="N83" i="32"/>
  <c r="N93" i="32"/>
  <c r="N101" i="32"/>
  <c r="N26" i="32"/>
  <c r="N60" i="32"/>
  <c r="N76" i="32"/>
  <c r="N82" i="32"/>
  <c r="N89" i="32"/>
  <c r="N94" i="32"/>
  <c r="N38" i="32"/>
  <c r="N70" i="32"/>
  <c r="N85" i="32"/>
  <c r="N92" i="32"/>
  <c r="N97" i="32"/>
  <c r="N102" i="32"/>
  <c r="N50" i="32"/>
  <c r="N64" i="32"/>
  <c r="N80" i="32"/>
  <c r="N90" i="32"/>
  <c r="N95" i="32"/>
  <c r="N100" i="32"/>
  <c r="N43" i="32"/>
  <c r="N56" i="32"/>
  <c r="N66" i="32"/>
  <c r="N112" i="32"/>
  <c r="N33" i="32"/>
  <c r="N51" i="32"/>
  <c r="N36" i="32"/>
  <c r="N45" i="32"/>
  <c r="N62" i="32"/>
  <c r="N72" i="32"/>
  <c r="N104" i="32"/>
  <c r="N52" i="32"/>
  <c r="N58" i="32"/>
  <c r="N68" i="32"/>
  <c r="N78" i="32"/>
  <c r="N110" i="32"/>
  <c r="N74" i="32"/>
  <c r="N98" i="32"/>
  <c r="N24" i="32"/>
  <c r="N84" i="32"/>
  <c r="N103" i="32"/>
  <c r="N39" i="32"/>
  <c r="N28" i="32"/>
  <c r="N31" i="32"/>
  <c r="N4" i="32"/>
  <c r="O2" i="32"/>
  <c r="X98" i="32"/>
  <c r="X41" i="32"/>
  <c r="X97" i="32"/>
  <c r="X40" i="32"/>
  <c r="X96" i="32"/>
  <c r="X105" i="32"/>
  <c r="X55" i="32"/>
  <c r="X56" i="32"/>
  <c r="X112" i="32"/>
  <c r="X95" i="32"/>
  <c r="X104" i="32"/>
  <c r="X39" i="32"/>
  <c r="X92" i="32"/>
  <c r="X101" i="32"/>
  <c r="X61" i="32"/>
  <c r="X69" i="32"/>
  <c r="X77" i="32"/>
  <c r="X93" i="32"/>
  <c r="X102" i="32"/>
  <c r="X51" i="32"/>
  <c r="X60" i="32"/>
  <c r="X68" i="32"/>
  <c r="X76" i="32"/>
  <c r="X111" i="32"/>
  <c r="X94" i="32"/>
  <c r="X103" i="32"/>
  <c r="X52" i="32"/>
  <c r="X57" i="32"/>
  <c r="X67" i="32"/>
  <c r="X75" i="32"/>
  <c r="X64" i="32"/>
  <c r="X78" i="32"/>
  <c r="X110" i="32"/>
  <c r="X65" i="32"/>
  <c r="X70" i="32"/>
  <c r="X84" i="32"/>
  <c r="X91" i="32"/>
  <c r="X59" i="32"/>
  <c r="X66" i="32"/>
  <c r="X71" i="32"/>
  <c r="X81" i="32"/>
  <c r="X24" i="32"/>
  <c r="X58" i="32"/>
  <c r="X72" i="32"/>
  <c r="X79" i="32"/>
  <c r="X36" i="32"/>
  <c r="X90" i="32"/>
  <c r="X100" i="32"/>
  <c r="X73" i="32"/>
  <c r="X83" i="32"/>
  <c r="X33" i="32"/>
  <c r="X35" i="32"/>
  <c r="X44" i="32"/>
  <c r="X62" i="32"/>
  <c r="X26" i="32"/>
  <c r="X45" i="32"/>
  <c r="X74" i="32"/>
  <c r="X32" i="32"/>
  <c r="X54" i="32"/>
  <c r="X29" i="32"/>
  <c r="X38" i="32"/>
  <c r="X42" i="32"/>
  <c r="X43" i="32"/>
  <c r="X80" i="32"/>
  <c r="X50" i="32"/>
  <c r="X82" i="32"/>
  <c r="X99" i="32"/>
  <c r="X30" i="32"/>
  <c r="X85" i="32"/>
  <c r="X25" i="32"/>
  <c r="X89" i="32"/>
  <c r="X63" i="32"/>
  <c r="X4" i="32"/>
  <c r="Y2" i="32"/>
  <c r="Y3" i="32"/>
  <c r="AG21" i="32"/>
  <c r="O3" i="32"/>
  <c r="O51" i="32"/>
  <c r="O52" i="32"/>
  <c r="O33" i="32"/>
  <c r="O54" i="32"/>
  <c r="O32" i="32"/>
  <c r="O41" i="32"/>
  <c r="O29" i="32"/>
  <c r="O40" i="32"/>
  <c r="O24" i="32"/>
  <c r="O50" i="32"/>
  <c r="O84" i="32"/>
  <c r="O94" i="32"/>
  <c r="O102" i="32"/>
  <c r="O112" i="32"/>
  <c r="O44" i="32"/>
  <c r="O57" i="32"/>
  <c r="O59" i="32"/>
  <c r="O61" i="32"/>
  <c r="O63" i="32"/>
  <c r="O65" i="32"/>
  <c r="O67" i="32"/>
  <c r="O69" i="32"/>
  <c r="O71" i="32"/>
  <c r="O73" i="32"/>
  <c r="O75" i="32"/>
  <c r="O77" i="32"/>
  <c r="O79" i="32"/>
  <c r="O81" i="32"/>
  <c r="O91" i="32"/>
  <c r="O99" i="32"/>
  <c r="O42" i="32"/>
  <c r="O96" i="32"/>
  <c r="O105" i="32"/>
  <c r="O111" i="32"/>
  <c r="O43" i="32"/>
  <c r="O66" i="32"/>
  <c r="O104" i="32"/>
  <c r="O26" i="32"/>
  <c r="O60" i="32"/>
  <c r="O76" i="32"/>
  <c r="O82" i="32"/>
  <c r="O89" i="32"/>
  <c r="O38" i="32"/>
  <c r="O70" i="32"/>
  <c r="O85" i="32"/>
  <c r="O92" i="32"/>
  <c r="O97" i="32"/>
  <c r="O35" i="32"/>
  <c r="O103" i="32"/>
  <c r="O100" i="32"/>
  <c r="O56" i="32"/>
  <c r="O36" i="32"/>
  <c r="O45" i="32"/>
  <c r="O62" i="32"/>
  <c r="O72" i="32"/>
  <c r="O83" i="32"/>
  <c r="O93" i="32"/>
  <c r="O101" i="32"/>
  <c r="O30" i="32"/>
  <c r="O58" i="32"/>
  <c r="O68" i="32"/>
  <c r="O78" i="32"/>
  <c r="O110" i="32"/>
  <c r="O55" i="32"/>
  <c r="O95" i="32"/>
  <c r="O98" i="32"/>
  <c r="O64" i="32"/>
  <c r="O74" i="32"/>
  <c r="O39" i="32"/>
  <c r="O25" i="32"/>
  <c r="O90" i="32"/>
  <c r="O80" i="32"/>
  <c r="O31" i="32"/>
  <c r="O28" i="32"/>
  <c r="P2" i="32"/>
  <c r="O4" i="32"/>
  <c r="Y98" i="32"/>
  <c r="Y41" i="32"/>
  <c r="Y40" i="32"/>
  <c r="Y39" i="32"/>
  <c r="Y111" i="32"/>
  <c r="Y110" i="32"/>
  <c r="Y91" i="32"/>
  <c r="Y100" i="32"/>
  <c r="Y52" i="32"/>
  <c r="Y54" i="32"/>
  <c r="Y90" i="32"/>
  <c r="Y99" i="32"/>
  <c r="Y51" i="32"/>
  <c r="Y58" i="32"/>
  <c r="Y97" i="32"/>
  <c r="Y55" i="32"/>
  <c r="Y63" i="32"/>
  <c r="Y71" i="32"/>
  <c r="Y79" i="32"/>
  <c r="Y50" i="32"/>
  <c r="Y62" i="32"/>
  <c r="Y70" i="32"/>
  <c r="Y78" i="32"/>
  <c r="Y112" i="32"/>
  <c r="Y92" i="32"/>
  <c r="Y101" i="32"/>
  <c r="Y61" i="32"/>
  <c r="Y69" i="32"/>
  <c r="Y75" i="32"/>
  <c r="Y80" i="32"/>
  <c r="Y25" i="32"/>
  <c r="Y33" i="32"/>
  <c r="Y95" i="32"/>
  <c r="Y105" i="32"/>
  <c r="Y82" i="32"/>
  <c r="Y85" i="32"/>
  <c r="Y32" i="32"/>
  <c r="Y57" i="32"/>
  <c r="Y64" i="32"/>
  <c r="Y76" i="32"/>
  <c r="Y29" i="32"/>
  <c r="Y42" i="32"/>
  <c r="Y94" i="32"/>
  <c r="Y104" i="32"/>
  <c r="Y56" i="32"/>
  <c r="Y60" i="32"/>
  <c r="Y65" i="32"/>
  <c r="Y84" i="32"/>
  <c r="Y30" i="32"/>
  <c r="Y38" i="32"/>
  <c r="Y24" i="32"/>
  <c r="Y89" i="32"/>
  <c r="Y59" i="32"/>
  <c r="Y66" i="32"/>
  <c r="Y81" i="32"/>
  <c r="Y73" i="32"/>
  <c r="Y93" i="32"/>
  <c r="Y96" i="32"/>
  <c r="Y43" i="32"/>
  <c r="Y67" i="32"/>
  <c r="Y83" i="32"/>
  <c r="Y44" i="32"/>
  <c r="Y102" i="32"/>
  <c r="Y26" i="32"/>
  <c r="Y35" i="32"/>
  <c r="Y36" i="32"/>
  <c r="Y45" i="32"/>
  <c r="Y77" i="32"/>
  <c r="Y72" i="32"/>
  <c r="Y74" i="32"/>
  <c r="Y103" i="32"/>
  <c r="Y68" i="32"/>
  <c r="Z2" i="32"/>
  <c r="Y4" i="32"/>
  <c r="Z3" i="32"/>
  <c r="AH21" i="32"/>
  <c r="P3" i="32"/>
  <c r="P41" i="32"/>
  <c r="P55" i="32"/>
  <c r="P40" i="32"/>
  <c r="P50" i="32"/>
  <c r="P51" i="32"/>
  <c r="P52" i="32"/>
  <c r="P54" i="32"/>
  <c r="P39" i="32"/>
  <c r="P89" i="32"/>
  <c r="P97" i="32"/>
  <c r="P24" i="32"/>
  <c r="P84" i="32"/>
  <c r="P94" i="32"/>
  <c r="P102" i="32"/>
  <c r="P112" i="32"/>
  <c r="P29" i="32"/>
  <c r="P44" i="32"/>
  <c r="P57" i="32"/>
  <c r="P59" i="32"/>
  <c r="P61" i="32"/>
  <c r="P63" i="32"/>
  <c r="P65" i="32"/>
  <c r="P67" i="32"/>
  <c r="P69" i="32"/>
  <c r="P71" i="32"/>
  <c r="P73" i="32"/>
  <c r="P75" i="32"/>
  <c r="P77" i="32"/>
  <c r="P79" i="32"/>
  <c r="P81" i="32"/>
  <c r="P91" i="32"/>
  <c r="P99" i="32"/>
  <c r="P36" i="32"/>
  <c r="P56" i="32"/>
  <c r="P72" i="32"/>
  <c r="P110" i="32"/>
  <c r="P43" i="32"/>
  <c r="P66" i="32"/>
  <c r="P104" i="32"/>
  <c r="P26" i="32"/>
  <c r="P60" i="32"/>
  <c r="P76" i="32"/>
  <c r="P82" i="32"/>
  <c r="P85" i="32"/>
  <c r="P95" i="32"/>
  <c r="P35" i="32"/>
  <c r="P103" i="32"/>
  <c r="P92" i="32"/>
  <c r="P96" i="32"/>
  <c r="P100" i="32"/>
  <c r="P33" i="32"/>
  <c r="P32" i="32"/>
  <c r="P38" i="32"/>
  <c r="P45" i="32"/>
  <c r="P62" i="32"/>
  <c r="P83" i="32"/>
  <c r="P93" i="32"/>
  <c r="P101" i="32"/>
  <c r="P105" i="32"/>
  <c r="P68" i="32"/>
  <c r="P80" i="32"/>
  <c r="P30" i="32"/>
  <c r="P58" i="32"/>
  <c r="P70" i="32"/>
  <c r="P42" i="32"/>
  <c r="P98" i="32"/>
  <c r="P111" i="32"/>
  <c r="P90" i="32"/>
  <c r="P64" i="32"/>
  <c r="P74" i="32"/>
  <c r="P25" i="32"/>
  <c r="P78" i="32"/>
  <c r="P28" i="32"/>
  <c r="P31" i="32"/>
  <c r="H125" i="32"/>
  <c r="P4" i="32"/>
  <c r="Z39" i="32"/>
  <c r="Z98" i="32"/>
  <c r="Z93" i="32"/>
  <c r="Z102" i="32"/>
  <c r="Z92" i="32"/>
  <c r="Z101" i="32"/>
  <c r="Z91" i="32"/>
  <c r="Z100" i="32"/>
  <c r="Z89" i="32"/>
  <c r="Z52" i="32"/>
  <c r="Z110" i="32"/>
  <c r="Z96" i="32"/>
  <c r="Z105" i="32"/>
  <c r="Z56" i="32"/>
  <c r="Z65" i="32"/>
  <c r="Z73" i="32"/>
  <c r="Z81" i="32"/>
  <c r="Z41" i="32"/>
  <c r="Z111" i="32"/>
  <c r="Z97" i="32"/>
  <c r="Z64" i="32"/>
  <c r="Z72" i="32"/>
  <c r="Z80" i="32"/>
  <c r="Z40" i="32"/>
  <c r="Z51" i="32"/>
  <c r="Z58" i="32"/>
  <c r="Z63" i="32"/>
  <c r="Z71" i="32"/>
  <c r="Z68" i="32"/>
  <c r="Z83" i="32"/>
  <c r="Z30" i="32"/>
  <c r="Z35" i="32"/>
  <c r="Z55" i="32"/>
  <c r="Z69" i="32"/>
  <c r="Z74" i="32"/>
  <c r="Z26" i="32"/>
  <c r="Z50" i="32"/>
  <c r="Z70" i="32"/>
  <c r="Z75" i="32"/>
  <c r="Z78" i="32"/>
  <c r="Z25" i="32"/>
  <c r="Z44" i="32"/>
  <c r="Z112" i="32"/>
  <c r="Z95" i="32"/>
  <c r="Z54" i="32"/>
  <c r="Z82" i="32"/>
  <c r="Z85" i="32"/>
  <c r="Z43" i="32"/>
  <c r="Z57" i="32"/>
  <c r="Z76" i="32"/>
  <c r="Z33" i="32"/>
  <c r="Z42" i="32"/>
  <c r="Z24" i="32"/>
  <c r="Z103" i="32"/>
  <c r="Z66" i="32"/>
  <c r="Z77" i="32"/>
  <c r="Z59" i="32"/>
  <c r="Z84" i="32"/>
  <c r="Z104" i="32"/>
  <c r="Z60" i="32"/>
  <c r="Z62" i="32"/>
  <c r="Z36" i="32"/>
  <c r="Z45" i="32"/>
  <c r="Z90" i="32"/>
  <c r="Z29" i="32"/>
  <c r="Z32" i="32"/>
  <c r="Z79" i="32"/>
  <c r="Z94" i="32"/>
  <c r="Z67" i="32"/>
  <c r="Z61" i="32"/>
  <c r="Z99" i="32"/>
  <c r="Z38" i="32"/>
  <c r="Z4" i="32"/>
  <c r="AI21" i="32"/>
  <c r="Z21" i="32" l="1"/>
  <c r="Z119" i="32"/>
  <c r="Z46" i="32"/>
  <c r="Z37" i="32"/>
  <c r="Z128" i="32"/>
  <c r="Z127" i="32"/>
  <c r="Z129" i="32" s="1"/>
  <c r="Z34" i="32"/>
  <c r="Z27" i="32"/>
  <c r="Z53" i="32"/>
  <c r="Z117" i="32"/>
  <c r="Z120" i="32"/>
  <c r="Z106" i="32"/>
  <c r="Z113" i="32"/>
  <c r="P21" i="32"/>
  <c r="P46" i="32"/>
  <c r="P119" i="32"/>
  <c r="P27" i="32"/>
  <c r="P34" i="32"/>
  <c r="P127" i="32"/>
  <c r="P129" i="32" s="1"/>
  <c r="P106" i="32"/>
  <c r="P113" i="32"/>
  <c r="P37" i="32"/>
  <c r="P128" i="32"/>
  <c r="P117" i="32"/>
  <c r="P53" i="32"/>
  <c r="P120" i="32"/>
  <c r="P22" i="32"/>
  <c r="Z22" i="32"/>
  <c r="Y21" i="32"/>
  <c r="Y46" i="32"/>
  <c r="Y37" i="32"/>
  <c r="Y106" i="32"/>
  <c r="Y128" i="32"/>
  <c r="Y119" i="32"/>
  <c r="Y27" i="32"/>
  <c r="Y127" i="32"/>
  <c r="Y129" i="32" s="1"/>
  <c r="Y34" i="32"/>
  <c r="Y53" i="32"/>
  <c r="Y117" i="32"/>
  <c r="Y113" i="32"/>
  <c r="Y120" i="32"/>
  <c r="O21" i="32"/>
  <c r="O53" i="32"/>
  <c r="O113" i="32"/>
  <c r="O46" i="32"/>
  <c r="O37" i="32"/>
  <c r="O119" i="32"/>
  <c r="O106" i="32"/>
  <c r="O128" i="32"/>
  <c r="O120" i="32"/>
  <c r="O27" i="32"/>
  <c r="O34" i="32"/>
  <c r="O127" i="32"/>
  <c r="O129" i="32" s="1"/>
  <c r="O117" i="32"/>
  <c r="O22" i="32"/>
  <c r="Y22" i="32"/>
  <c r="X21" i="32"/>
  <c r="X119" i="32"/>
  <c r="X46" i="32"/>
  <c r="X127" i="32"/>
  <c r="X129" i="32" s="1"/>
  <c r="X34" i="32"/>
  <c r="X27" i="32"/>
  <c r="X37" i="32"/>
  <c r="X128" i="32"/>
  <c r="X113" i="32"/>
  <c r="X117" i="32"/>
  <c r="X53" i="32"/>
  <c r="X106" i="32"/>
  <c r="X120" i="32"/>
  <c r="N21" i="32"/>
  <c r="N128" i="32"/>
  <c r="N113" i="32"/>
  <c r="N46" i="32"/>
  <c r="N37" i="32"/>
  <c r="N117" i="32"/>
  <c r="N27" i="32"/>
  <c r="N127" i="32"/>
  <c r="N129" i="32" s="1"/>
  <c r="N34" i="32"/>
  <c r="N119" i="32"/>
  <c r="N106" i="32"/>
  <c r="N53" i="32"/>
  <c r="N120" i="32"/>
  <c r="N22" i="32"/>
  <c r="X22" i="32"/>
  <c r="W21" i="32"/>
  <c r="W128" i="32"/>
  <c r="W119" i="32"/>
  <c r="W37" i="32"/>
  <c r="W106" i="32"/>
  <c r="W117" i="32"/>
  <c r="W46" i="32"/>
  <c r="W27" i="32"/>
  <c r="W34" i="32"/>
  <c r="W127" i="32"/>
  <c r="W129" i="32" s="1"/>
  <c r="W53" i="32"/>
  <c r="AA55" i="32" s="1"/>
  <c r="W113" i="32"/>
  <c r="W120" i="32"/>
  <c r="M21" i="32"/>
  <c r="M113" i="32"/>
  <c r="M106" i="32"/>
  <c r="M46" i="32"/>
  <c r="M119" i="32"/>
  <c r="M37" i="32"/>
  <c r="M117" i="32"/>
  <c r="M34" i="32"/>
  <c r="M127" i="32"/>
  <c r="M129" i="32" s="1"/>
  <c r="M27" i="32"/>
  <c r="M128" i="32"/>
  <c r="M120" i="32"/>
  <c r="M53" i="32"/>
  <c r="M22" i="32"/>
  <c r="W22" i="32"/>
  <c r="V21" i="32"/>
  <c r="V128" i="32"/>
  <c r="V119" i="32"/>
  <c r="V46" i="32"/>
  <c r="V37" i="32"/>
  <c r="V27" i="32"/>
  <c r="V34" i="32"/>
  <c r="V127" i="32"/>
  <c r="V129" i="32" s="1"/>
  <c r="V106" i="32"/>
  <c r="V117" i="32"/>
  <c r="V53" i="32"/>
  <c r="V113" i="32"/>
  <c r="V120" i="32"/>
  <c r="L21" i="32"/>
  <c r="L113" i="32"/>
  <c r="L106" i="32"/>
  <c r="L46" i="32"/>
  <c r="L119" i="32"/>
  <c r="L37" i="32"/>
  <c r="L128" i="32"/>
  <c r="L117" i="32"/>
  <c r="L27" i="32"/>
  <c r="L34" i="32"/>
  <c r="L127" i="32"/>
  <c r="L129" i="32" s="1"/>
  <c r="L53" i="32"/>
  <c r="L120" i="32"/>
  <c r="L22" i="32"/>
  <c r="V22" i="32"/>
  <c r="U21" i="32"/>
  <c r="K21" i="32"/>
  <c r="I22" i="32"/>
  <c r="K22" i="32"/>
  <c r="J120" i="32"/>
  <c r="I128" i="32"/>
  <c r="Q26" i="32"/>
  <c r="I34" i="32"/>
  <c r="I27" i="32"/>
  <c r="Q33" i="32" s="1"/>
  <c r="I127" i="32"/>
  <c r="I129" i="32" s="1"/>
  <c r="K117" i="32"/>
  <c r="I37" i="32"/>
  <c r="Q36" i="32"/>
  <c r="Q43" i="32"/>
  <c r="I46" i="32"/>
  <c r="Q45" i="32"/>
  <c r="Q58" i="32"/>
  <c r="Q61" i="32"/>
  <c r="Q74" i="32"/>
  <c r="Q75" i="32"/>
  <c r="J128" i="32"/>
  <c r="J37" i="32"/>
  <c r="J119" i="32"/>
  <c r="U120" i="32"/>
  <c r="S120" i="32"/>
  <c r="K128" i="32"/>
  <c r="I53" i="32"/>
  <c r="Q55" i="32" s="1"/>
  <c r="K37" i="32"/>
  <c r="K119" i="32"/>
  <c r="K46" i="32"/>
  <c r="K106" i="32"/>
  <c r="AA40" i="32"/>
  <c r="J34" i="32"/>
  <c r="J27" i="32"/>
  <c r="J127" i="32"/>
  <c r="J129" i="32" s="1"/>
  <c r="Q50" i="32"/>
  <c r="K120" i="32"/>
  <c r="I120" i="32"/>
  <c r="I117" i="32"/>
  <c r="J53" i="32"/>
  <c r="K53" i="32"/>
  <c r="Q83" i="32"/>
  <c r="J106" i="32"/>
  <c r="I113" i="32"/>
  <c r="T117" i="32"/>
  <c r="Q40" i="32"/>
  <c r="K27" i="32"/>
  <c r="K34" i="32"/>
  <c r="K127" i="32"/>
  <c r="K129" i="32" s="1"/>
  <c r="J113" i="32"/>
  <c r="U117" i="32"/>
  <c r="T120" i="32"/>
  <c r="Q85" i="32"/>
  <c r="K113" i="32"/>
  <c r="T113" i="32"/>
  <c r="T106" i="32"/>
  <c r="U53" i="32"/>
  <c r="U106" i="32"/>
  <c r="J117" i="32"/>
  <c r="Q105" i="32"/>
  <c r="U27" i="32"/>
  <c r="U34" i="32"/>
  <c r="U127" i="32"/>
  <c r="U129" i="32" s="1"/>
  <c r="J46" i="32"/>
  <c r="I106" i="32"/>
  <c r="Q96" i="32"/>
  <c r="T119" i="32"/>
  <c r="AA75" i="32"/>
  <c r="AA83" i="32"/>
  <c r="AA94" i="32"/>
  <c r="U119" i="32"/>
  <c r="AA43" i="32"/>
  <c r="T37" i="32"/>
  <c r="S53" i="32"/>
  <c r="AA61" i="32"/>
  <c r="AA85" i="32"/>
  <c r="AA96" i="32"/>
  <c r="S106" i="32"/>
  <c r="AA105" i="32"/>
  <c r="S128" i="32"/>
  <c r="AA36" i="32"/>
  <c r="S37" i="32"/>
  <c r="S34" i="32"/>
  <c r="S27" i="32"/>
  <c r="S127" i="32"/>
  <c r="S129" i="32" s="1"/>
  <c r="T128" i="32"/>
  <c r="U128" i="32"/>
  <c r="AA50" i="32"/>
  <c r="AA58" i="32"/>
  <c r="AA99" i="32"/>
  <c r="AA26" i="32"/>
  <c r="Q94" i="32"/>
  <c r="T53" i="32"/>
  <c r="S117" i="32"/>
  <c r="S113" i="32"/>
  <c r="Q99" i="32"/>
  <c r="T34" i="32"/>
  <c r="T127" i="32"/>
  <c r="T129" i="32" s="1"/>
  <c r="T27" i="32"/>
  <c r="AA45" i="32"/>
  <c r="S46" i="32"/>
  <c r="AA74" i="32"/>
  <c r="T46" i="32"/>
  <c r="U113" i="32"/>
  <c r="U37" i="32"/>
  <c r="U46" i="32"/>
  <c r="S22" i="32"/>
  <c r="U22" i="32"/>
  <c r="S21" i="32"/>
  <c r="T21" i="32"/>
  <c r="I21" i="32"/>
  <c r="J21" i="32"/>
  <c r="J22" i="32"/>
  <c r="T22" i="32"/>
  <c r="Z31" i="32"/>
  <c r="S31" i="32"/>
  <c r="Z28" i="32"/>
  <c r="X31" i="32"/>
  <c r="V31" i="32"/>
  <c r="S28" i="32"/>
  <c r="X28" i="32"/>
  <c r="T31" i="32"/>
  <c r="T28" i="32" s="1"/>
  <c r="Y31" i="32"/>
  <c r="Y28" i="32" s="1"/>
  <c r="V28" i="32"/>
  <c r="W31" i="32"/>
  <c r="W28" i="32" s="1"/>
  <c r="U31" i="32"/>
  <c r="U28" i="32" s="1"/>
  <c r="Q27" i="32" l="1"/>
  <c r="AA27" i="32"/>
  <c r="AI53" i="32"/>
  <c r="AA33" i="32"/>
  <c r="S130" i="32"/>
  <c r="S131" i="32"/>
  <c r="AC32" i="32"/>
  <c r="AD64" i="32"/>
  <c r="AD96" i="32"/>
  <c r="AB66" i="32"/>
  <c r="AE56" i="32"/>
  <c r="AF100" i="32"/>
  <c r="AG55" i="32"/>
  <c r="AI99" i="32"/>
  <c r="AC38" i="32"/>
  <c r="AC50" i="32"/>
  <c r="AC45" i="32"/>
  <c r="AC58" i="32"/>
  <c r="AC92" i="32"/>
  <c r="AD37" i="32"/>
  <c r="AD34" i="32"/>
  <c r="AD36" i="32"/>
  <c r="AD65" i="32"/>
  <c r="AD51" i="32"/>
  <c r="AB46" i="32"/>
  <c r="AB69" i="32"/>
  <c r="AB61" i="32"/>
  <c r="AB80" i="32"/>
  <c r="AB92" i="32"/>
  <c r="AE74" i="32"/>
  <c r="AE36" i="32"/>
  <c r="AE52" i="32"/>
  <c r="AE101" i="32"/>
  <c r="AF67" i="32"/>
  <c r="AF55" i="32"/>
  <c r="AF74" i="32"/>
  <c r="AF91" i="32"/>
  <c r="N130" i="32"/>
  <c r="N131" i="32" s="1"/>
  <c r="N132" i="32" s="1"/>
  <c r="N118" i="32" s="1"/>
  <c r="AG37" i="32"/>
  <c r="AG44" i="32"/>
  <c r="AG63" i="32"/>
  <c r="AG95" i="32"/>
  <c r="AH85" i="32"/>
  <c r="AH33" i="32"/>
  <c r="AH68" i="32"/>
  <c r="AH75" i="32"/>
  <c r="AI93" i="32"/>
  <c r="AI63" i="32"/>
  <c r="AI75" i="32"/>
  <c r="AC24" i="32"/>
  <c r="AC69" i="32"/>
  <c r="AC40" i="32"/>
  <c r="AC64" i="32"/>
  <c r="AC98" i="32"/>
  <c r="AD82" i="32"/>
  <c r="AD28" i="32"/>
  <c r="AD79" i="32"/>
  <c r="AD110" i="32"/>
  <c r="AD89" i="32"/>
  <c r="AB84" i="32"/>
  <c r="AB30" i="32"/>
  <c r="AB73" i="32"/>
  <c r="AB70" i="32"/>
  <c r="AB54" i="32"/>
  <c r="AE31" i="32"/>
  <c r="AE72" i="32"/>
  <c r="AE94" i="32"/>
  <c r="AE92" i="32"/>
  <c r="AF41" i="32"/>
  <c r="AF43" i="32"/>
  <c r="AF62" i="32"/>
  <c r="AF101" i="32"/>
  <c r="AG61" i="32"/>
  <c r="AG29" i="32"/>
  <c r="AG67" i="32"/>
  <c r="AG90" i="32"/>
  <c r="AH40" i="32"/>
  <c r="AH28" i="32"/>
  <c r="AH101" i="32"/>
  <c r="AH67" i="32"/>
  <c r="AI33" i="32"/>
  <c r="AI42" i="32"/>
  <c r="AI101" i="32"/>
  <c r="AI68" i="32"/>
  <c r="AC79" i="32"/>
  <c r="AD83" i="32"/>
  <c r="AB32" i="32"/>
  <c r="AB98" i="32"/>
  <c r="AE39" i="32"/>
  <c r="AF34" i="32"/>
  <c r="AH51" i="32"/>
  <c r="AI69" i="32"/>
  <c r="AC39" i="32"/>
  <c r="AD50" i="32"/>
  <c r="AD93" i="32"/>
  <c r="AB62" i="32"/>
  <c r="W115" i="32"/>
  <c r="W108" i="32"/>
  <c r="W87" i="32"/>
  <c r="W48" i="32"/>
  <c r="AF53" i="32"/>
  <c r="AG97" i="32"/>
  <c r="AH25" i="32"/>
  <c r="AI85" i="32"/>
  <c r="AI36" i="32"/>
  <c r="AC29" i="32"/>
  <c r="AC76" i="32"/>
  <c r="AC44" i="32"/>
  <c r="AC77" i="32"/>
  <c r="AC59" i="32"/>
  <c r="AD38" i="32"/>
  <c r="AD77" i="32"/>
  <c r="AD81" i="32"/>
  <c r="AD66" i="32"/>
  <c r="AD103" i="32"/>
  <c r="AB41" i="32"/>
  <c r="AB24" i="32"/>
  <c r="AB25" i="32"/>
  <c r="AB105" i="32"/>
  <c r="AB51" i="32"/>
  <c r="L130" i="32"/>
  <c r="L131" i="32"/>
  <c r="L132" i="32" s="1"/>
  <c r="L118" i="32" s="1"/>
  <c r="V130" i="32"/>
  <c r="V131" i="32"/>
  <c r="V132" i="32" s="1"/>
  <c r="V118" i="32" s="1"/>
  <c r="AE44" i="32"/>
  <c r="AE81" i="32"/>
  <c r="AE85" i="32"/>
  <c r="AE91" i="32"/>
  <c r="AF40" i="32"/>
  <c r="AF85" i="32"/>
  <c r="AF71" i="32"/>
  <c r="AG42" i="32"/>
  <c r="AG78" i="32"/>
  <c r="AG113" i="32"/>
  <c r="AG94" i="32"/>
  <c r="AH81" i="32"/>
  <c r="AH78" i="32"/>
  <c r="AH61" i="32"/>
  <c r="AH53" i="32"/>
  <c r="AI58" i="32"/>
  <c r="AI41" i="32"/>
  <c r="AI61" i="32"/>
  <c r="AI103" i="32"/>
  <c r="AC42" i="32"/>
  <c r="AD84" i="32"/>
  <c r="AE102" i="32"/>
  <c r="AF83" i="32"/>
  <c r="AG46" i="32"/>
  <c r="AI43" i="32"/>
  <c r="AC43" i="32"/>
  <c r="AD44" i="32"/>
  <c r="AD74" i="32"/>
  <c r="AB68" i="32"/>
  <c r="AE45" i="32"/>
  <c r="AE67" i="32"/>
  <c r="AE78" i="32"/>
  <c r="AF32" i="32"/>
  <c r="AG28" i="32"/>
  <c r="AH97" i="32"/>
  <c r="AH102" i="32"/>
  <c r="AI52" i="32"/>
  <c r="T48" i="32"/>
  <c r="T115" i="32"/>
  <c r="T108" i="32"/>
  <c r="T87" i="32"/>
  <c r="AC91" i="32"/>
  <c r="AC25" i="32"/>
  <c r="AC61" i="32"/>
  <c r="AD80" i="32"/>
  <c r="AD40" i="32"/>
  <c r="AD101" i="32"/>
  <c r="AD57" i="32"/>
  <c r="AD95" i="32"/>
  <c r="AB39" i="32"/>
  <c r="AB38" i="32"/>
  <c r="AB67" i="32"/>
  <c r="AB96" i="32"/>
  <c r="AB99" i="32"/>
  <c r="AE27" i="32"/>
  <c r="AE32" i="32"/>
  <c r="AE71" i="32"/>
  <c r="AE63" i="32"/>
  <c r="AE105" i="32"/>
  <c r="AF45" i="32"/>
  <c r="AF110" i="32"/>
  <c r="AF82" i="32"/>
  <c r="AF64" i="32"/>
  <c r="AG38" i="32"/>
  <c r="AG45" i="32"/>
  <c r="AG73" i="32"/>
  <c r="AH57" i="32"/>
  <c r="AH34" i="32"/>
  <c r="AH73" i="32"/>
  <c r="AH104" i="32"/>
  <c r="AI65" i="32"/>
  <c r="AI51" i="32"/>
  <c r="AI102" i="32"/>
  <c r="AI110" i="32"/>
  <c r="AI54" i="32"/>
  <c r="AI76" i="32"/>
  <c r="AI66" i="32"/>
  <c r="AI27" i="32"/>
  <c r="AI80" i="32"/>
  <c r="AI24" i="32"/>
  <c r="AI71" i="32"/>
  <c r="AI56" i="32"/>
  <c r="AI78" i="32"/>
  <c r="AH110" i="32"/>
  <c r="AH83" i="32"/>
  <c r="AH100" i="32"/>
  <c r="AH27" i="32"/>
  <c r="AH35" i="32"/>
  <c r="AH45" i="32"/>
  <c r="AH29" i="32"/>
  <c r="AH41" i="32"/>
  <c r="AH43" i="32"/>
  <c r="AH58" i="32"/>
  <c r="AG103" i="32"/>
  <c r="AG99" i="32"/>
  <c r="AG100" i="32"/>
  <c r="AG64" i="32"/>
  <c r="AG80" i="32"/>
  <c r="AG24" i="32"/>
  <c r="AG30" i="32"/>
  <c r="AG71" i="32"/>
  <c r="AG27" i="32"/>
  <c r="AG41" i="32"/>
  <c r="AF52" i="32"/>
  <c r="AF72" i="32"/>
  <c r="AF70" i="32"/>
  <c r="AF75" i="32"/>
  <c r="AF50" i="32"/>
  <c r="AF57" i="32"/>
  <c r="AF65" i="32"/>
  <c r="AF93" i="32"/>
  <c r="AF44" i="32"/>
  <c r="AF61" i="32"/>
  <c r="AE99" i="32"/>
  <c r="AE100" i="32"/>
  <c r="AE61" i="32"/>
  <c r="AE111" i="32"/>
  <c r="AE76" i="32"/>
  <c r="AE65" i="32"/>
  <c r="AE50" i="32"/>
  <c r="AE40" i="32"/>
  <c r="AE110" i="32"/>
  <c r="AE46" i="32"/>
  <c r="AB52" i="32"/>
  <c r="AB56" i="32"/>
  <c r="AB63" i="32"/>
  <c r="AB112" i="32"/>
  <c r="AB34" i="32"/>
  <c r="AB85" i="32"/>
  <c r="AB42" i="32"/>
  <c r="AB35" i="32"/>
  <c r="AB65" i="32"/>
  <c r="AB81" i="32"/>
  <c r="AD104" i="32"/>
  <c r="AD60" i="32"/>
  <c r="AD67" i="32"/>
  <c r="AD70" i="32"/>
  <c r="AD56" i="32"/>
  <c r="AD90" i="32"/>
  <c r="AD41" i="32"/>
  <c r="AD45" i="32"/>
  <c r="AD78" i="32"/>
  <c r="AD99" i="32"/>
  <c r="AC94" i="32"/>
  <c r="AC112" i="32"/>
  <c r="AC65" i="32"/>
  <c r="AC90" i="32"/>
  <c r="AC83" i="32"/>
  <c r="AC99" i="32"/>
  <c r="AC63" i="32"/>
  <c r="AC111" i="32"/>
  <c r="AC37" i="32"/>
  <c r="AC95" i="32"/>
  <c r="AI96" i="32"/>
  <c r="AI55" i="32"/>
  <c r="AI84" i="32"/>
  <c r="AI74" i="32"/>
  <c r="AI62" i="32"/>
  <c r="AI35" i="32"/>
  <c r="AI113" i="32"/>
  <c r="AI30" i="32"/>
  <c r="AI70" i="32"/>
  <c r="AI28" i="32"/>
  <c r="AH94" i="32"/>
  <c r="AH90" i="32"/>
  <c r="AH105" i="32"/>
  <c r="AH54" i="32"/>
  <c r="AH46" i="32"/>
  <c r="AH113" i="32"/>
  <c r="AH30" i="32"/>
  <c r="AH71" i="32"/>
  <c r="AH72" i="32"/>
  <c r="AH60" i="32"/>
  <c r="AG93" i="32"/>
  <c r="AG104" i="32"/>
  <c r="AG105" i="32"/>
  <c r="AG72" i="32"/>
  <c r="AG83" i="32"/>
  <c r="AG52" i="32"/>
  <c r="AG31" i="32"/>
  <c r="AG85" i="32"/>
  <c r="AG57" i="32"/>
  <c r="AG60" i="32"/>
  <c r="AF59" i="32"/>
  <c r="AF80" i="32"/>
  <c r="AF96" i="32"/>
  <c r="AF78" i="32"/>
  <c r="AF29" i="32"/>
  <c r="AF76" i="32"/>
  <c r="AF84" i="32"/>
  <c r="AF54" i="32"/>
  <c r="AF103" i="32"/>
  <c r="AF37" i="32"/>
  <c r="AE51" i="32"/>
  <c r="AE58" i="32"/>
  <c r="AE69" i="32"/>
  <c r="AE95" i="32"/>
  <c r="AE28" i="32"/>
  <c r="AE84" i="32"/>
  <c r="AE37" i="32"/>
  <c r="AE41" i="32"/>
  <c r="AE26" i="32"/>
  <c r="AE25" i="32"/>
  <c r="AB59" i="32"/>
  <c r="AB64" i="32"/>
  <c r="AB71" i="32"/>
  <c r="AB53" i="32"/>
  <c r="AB97" i="32"/>
  <c r="AB28" i="32"/>
  <c r="AB93" i="32"/>
  <c r="AB37" i="32"/>
  <c r="AB31" i="32"/>
  <c r="AB36" i="32"/>
  <c r="AD94" i="32"/>
  <c r="AD68" i="32"/>
  <c r="AD75" i="32"/>
  <c r="AD29" i="32"/>
  <c r="AD59" i="32"/>
  <c r="AD100" i="32"/>
  <c r="AD46" i="32"/>
  <c r="AD92" i="32"/>
  <c r="AD85" i="32"/>
  <c r="AD42" i="32"/>
  <c r="AC103" i="32"/>
  <c r="AC110" i="32"/>
  <c r="AC73" i="32"/>
  <c r="AC100" i="32"/>
  <c r="AC26" i="32"/>
  <c r="AC51" i="32"/>
  <c r="AC68" i="32"/>
  <c r="AC81" i="32"/>
  <c r="AC46" i="32"/>
  <c r="AC84" i="32"/>
  <c r="AE70" i="32"/>
  <c r="AE53" i="32"/>
  <c r="AI105" i="32"/>
  <c r="AI111" i="32"/>
  <c r="AI98" i="32"/>
  <c r="AI73" i="32"/>
  <c r="AI77" i="32"/>
  <c r="AI46" i="32"/>
  <c r="AI100" i="32"/>
  <c r="AI32" i="32"/>
  <c r="AI72" i="32"/>
  <c r="AI40" i="32"/>
  <c r="AH103" i="32"/>
  <c r="AH99" i="32"/>
  <c r="AH56" i="32"/>
  <c r="AH62" i="32"/>
  <c r="AH24" i="32"/>
  <c r="AH52" i="32"/>
  <c r="AH31" i="32"/>
  <c r="AH79" i="32"/>
  <c r="AH39" i="32"/>
  <c r="AH76" i="32"/>
  <c r="AG102" i="32"/>
  <c r="AG59" i="32"/>
  <c r="AG56" i="32"/>
  <c r="AG54" i="32"/>
  <c r="AG50" i="32"/>
  <c r="AG70" i="32"/>
  <c r="AG32" i="32"/>
  <c r="AG43" i="32"/>
  <c r="AG81" i="32"/>
  <c r="AG76" i="32"/>
  <c r="AF113" i="32"/>
  <c r="AF58" i="32"/>
  <c r="AF102" i="32"/>
  <c r="AF25" i="32"/>
  <c r="AF30" i="32"/>
  <c r="AF27" i="32"/>
  <c r="AF38" i="32"/>
  <c r="AF28" i="32"/>
  <c r="AF68" i="32"/>
  <c r="AF46" i="32"/>
  <c r="AE97" i="32"/>
  <c r="AE62" i="32"/>
  <c r="AE77" i="32"/>
  <c r="AE98" i="32"/>
  <c r="AE29" i="32"/>
  <c r="AE38" i="32"/>
  <c r="AE103" i="32"/>
  <c r="AE43" i="32"/>
  <c r="AE35" i="32"/>
  <c r="AE73" i="32"/>
  <c r="AB111" i="32"/>
  <c r="AB90" i="32"/>
  <c r="AB72" i="32"/>
  <c r="AB79" i="32"/>
  <c r="AB60" i="32"/>
  <c r="AB89" i="32"/>
  <c r="AB43" i="32"/>
  <c r="AB75" i="32"/>
  <c r="AB40" i="32"/>
  <c r="AB33" i="32"/>
  <c r="AD98" i="32"/>
  <c r="AD76" i="32"/>
  <c r="AD54" i="32"/>
  <c r="AD30" i="32"/>
  <c r="AD71" i="32"/>
  <c r="AD73" i="32"/>
  <c r="AD61" i="32"/>
  <c r="AD62" i="32"/>
  <c r="AD25" i="32"/>
  <c r="AD43" i="32"/>
  <c r="AC113" i="32"/>
  <c r="AC55" i="32"/>
  <c r="AC89" i="32"/>
  <c r="AC104" i="32"/>
  <c r="AC34" i="32"/>
  <c r="AC53" i="32"/>
  <c r="AC85" i="32"/>
  <c r="AC78" i="32"/>
  <c r="AC28" i="32"/>
  <c r="AC96" i="32"/>
  <c r="AE93" i="32"/>
  <c r="AE30" i="32"/>
  <c r="AI112" i="32"/>
  <c r="AI94" i="32"/>
  <c r="AI67" i="32"/>
  <c r="AI79" i="32"/>
  <c r="AI83" i="32"/>
  <c r="AI64" i="32"/>
  <c r="AI29" i="32"/>
  <c r="AI38" i="32"/>
  <c r="AI25" i="32"/>
  <c r="AI44" i="32"/>
  <c r="AH111" i="32"/>
  <c r="AH93" i="32"/>
  <c r="AH59" i="32"/>
  <c r="AH65" i="32"/>
  <c r="AH77" i="32"/>
  <c r="AH89" i="32"/>
  <c r="AH70" i="32"/>
  <c r="AH32" i="32"/>
  <c r="AH84" i="32"/>
  <c r="AH36" i="32"/>
  <c r="AG110" i="32"/>
  <c r="AG66" i="32"/>
  <c r="AG65" i="32"/>
  <c r="AG62" i="32"/>
  <c r="AG98" i="32"/>
  <c r="AG75" i="32"/>
  <c r="AG33" i="32"/>
  <c r="AG53" i="32"/>
  <c r="AG40" i="32"/>
  <c r="AG51" i="32"/>
  <c r="AF92" i="32"/>
  <c r="AF90" i="32"/>
  <c r="AF63" i="32"/>
  <c r="AF69" i="32"/>
  <c r="AF112" i="32"/>
  <c r="AF31" i="32"/>
  <c r="AF42" i="32"/>
  <c r="AF81" i="32"/>
  <c r="AF89" i="32"/>
  <c r="AF77" i="32"/>
  <c r="AI104" i="32"/>
  <c r="AI57" i="32"/>
  <c r="AI90" i="32"/>
  <c r="AI92" i="32"/>
  <c r="AI91" i="32"/>
  <c r="AI26" i="32"/>
  <c r="AI37" i="32"/>
  <c r="AI50" i="32"/>
  <c r="AI39" i="32"/>
  <c r="AI82" i="32"/>
  <c r="AH95" i="32"/>
  <c r="AH98" i="32"/>
  <c r="AH74" i="32"/>
  <c r="AH92" i="32"/>
  <c r="AH63" i="32"/>
  <c r="AH69" i="32"/>
  <c r="AH82" i="32"/>
  <c r="AH44" i="32"/>
  <c r="AH42" i="32"/>
  <c r="AH55" i="32"/>
  <c r="AG101" i="32"/>
  <c r="AG82" i="32"/>
  <c r="AG111" i="32"/>
  <c r="AG77" i="32"/>
  <c r="AG26" i="32"/>
  <c r="AG25" i="32"/>
  <c r="AG112" i="32"/>
  <c r="AG84" i="32"/>
  <c r="AG36" i="32"/>
  <c r="AG89" i="32"/>
  <c r="AF111" i="32"/>
  <c r="AF51" i="32"/>
  <c r="AF79" i="32"/>
  <c r="AF26" i="32"/>
  <c r="AF105" i="32"/>
  <c r="AF33" i="32"/>
  <c r="AF104" i="32"/>
  <c r="AF73" i="32"/>
  <c r="AF66" i="32"/>
  <c r="AF36" i="32"/>
  <c r="AE96" i="32"/>
  <c r="AE112" i="32"/>
  <c r="AE55" i="32"/>
  <c r="AE82" i="32"/>
  <c r="AE104" i="32"/>
  <c r="AE66" i="32"/>
  <c r="AE79" i="32"/>
  <c r="AE83" i="32"/>
  <c r="AE33" i="32"/>
  <c r="AE80" i="32"/>
  <c r="AB101" i="32"/>
  <c r="AB94" i="32"/>
  <c r="AB110" i="32"/>
  <c r="AB58" i="32"/>
  <c r="AB77" i="32"/>
  <c r="AB55" i="32"/>
  <c r="AB78" i="32"/>
  <c r="AB57" i="32"/>
  <c r="AB50" i="32"/>
  <c r="AB44" i="32"/>
  <c r="AD53" i="32"/>
  <c r="AD102" i="32"/>
  <c r="AD52" i="32"/>
  <c r="AD113" i="32"/>
  <c r="AD33" i="32"/>
  <c r="AD72" i="32"/>
  <c r="AD35" i="32"/>
  <c r="AD26" i="32"/>
  <c r="AD97" i="32"/>
  <c r="AD63" i="32"/>
  <c r="AC102" i="32"/>
  <c r="AC82" i="32"/>
  <c r="AC72" i="32"/>
  <c r="AC60" i="32"/>
  <c r="AC41" i="32"/>
  <c r="AC80" i="32"/>
  <c r="AC71" i="32"/>
  <c r="AC35" i="32"/>
  <c r="AC105" i="32"/>
  <c r="AC33" i="32"/>
  <c r="AC97" i="32"/>
  <c r="AG68" i="32"/>
  <c r="AH66" i="32"/>
  <c r="AC56" i="32"/>
  <c r="AD58" i="32"/>
  <c r="AB102" i="32"/>
  <c r="AB103" i="32"/>
  <c r="AE64" i="32"/>
  <c r="AF24" i="32"/>
  <c r="AG35" i="32"/>
  <c r="AG92" i="32"/>
  <c r="AH50" i="32"/>
  <c r="AI60" i="32"/>
  <c r="K130" i="32"/>
  <c r="K131" i="32" s="1"/>
  <c r="K132" i="32" s="1"/>
  <c r="K118" i="32" s="1"/>
  <c r="I130" i="32"/>
  <c r="I131" i="32" s="1"/>
  <c r="AC36" i="32"/>
  <c r="AC54" i="32"/>
  <c r="S115" i="32"/>
  <c r="S87" i="32"/>
  <c r="S108" i="32"/>
  <c r="S48" i="32"/>
  <c r="AC31" i="32"/>
  <c r="AC30" i="32"/>
  <c r="AC67" i="32"/>
  <c r="AC57" i="32"/>
  <c r="AC74" i="32"/>
  <c r="AD69" i="32"/>
  <c r="AD39" i="32"/>
  <c r="AD91" i="32"/>
  <c r="AD55" i="32"/>
  <c r="AD112" i="32"/>
  <c r="AB29" i="32"/>
  <c r="AB27" i="32"/>
  <c r="AB26" i="32"/>
  <c r="AB104" i="32"/>
  <c r="AB100" i="32"/>
  <c r="AE42" i="32"/>
  <c r="AE54" i="32"/>
  <c r="AE59" i="32"/>
  <c r="AE68" i="32"/>
  <c r="AE57" i="32"/>
  <c r="AF39" i="32"/>
  <c r="AF60" i="32"/>
  <c r="AF95" i="32"/>
  <c r="AF97" i="32"/>
  <c r="AG79" i="32"/>
  <c r="AG34" i="32"/>
  <c r="AG96" i="32"/>
  <c r="AH38" i="32"/>
  <c r="AH26" i="32"/>
  <c r="AH96" i="32"/>
  <c r="AH112" i="32"/>
  <c r="AI97" i="32"/>
  <c r="AI45" i="32"/>
  <c r="AI81" i="32"/>
  <c r="AI89" i="32"/>
  <c r="AC101" i="32"/>
  <c r="AD31" i="32"/>
  <c r="AB74" i="32"/>
  <c r="AB113" i="32"/>
  <c r="AE34" i="32"/>
  <c r="AE90" i="32"/>
  <c r="AF94" i="32"/>
  <c r="AG74" i="32"/>
  <c r="AH80" i="32"/>
  <c r="AC75" i="32"/>
  <c r="AC93" i="32"/>
  <c r="AB76" i="32"/>
  <c r="U130" i="32"/>
  <c r="U131" i="32"/>
  <c r="U132" i="32" s="1"/>
  <c r="U118" i="32" s="1"/>
  <c r="AC70" i="32"/>
  <c r="AC27" i="32"/>
  <c r="AC62" i="32"/>
  <c r="AC52" i="32"/>
  <c r="AC66" i="32"/>
  <c r="U115" i="32"/>
  <c r="U48" i="32"/>
  <c r="U108" i="32"/>
  <c r="U87" i="32"/>
  <c r="AD24" i="32"/>
  <c r="AD27" i="32"/>
  <c r="AD32" i="32"/>
  <c r="AD111" i="32"/>
  <c r="AD105" i="32"/>
  <c r="AB45" i="32"/>
  <c r="AB82" i="32"/>
  <c r="AB83" i="32"/>
  <c r="AB95" i="32"/>
  <c r="AB91" i="32"/>
  <c r="AE75" i="32"/>
  <c r="AE24" i="32"/>
  <c r="AE113" i="32"/>
  <c r="AE60" i="32"/>
  <c r="AE89" i="32"/>
  <c r="AF35" i="32"/>
  <c r="AF56" i="32"/>
  <c r="AF98" i="32"/>
  <c r="AF99" i="32"/>
  <c r="AG39" i="32"/>
  <c r="AG58" i="32"/>
  <c r="AG69" i="32"/>
  <c r="AG91" i="32"/>
  <c r="O130" i="32"/>
  <c r="O131" i="32" s="1"/>
  <c r="O132" i="32" s="1"/>
  <c r="O118" i="32" s="1"/>
  <c r="Y108" i="32"/>
  <c r="Y87" i="32"/>
  <c r="Y48" i="32"/>
  <c r="Y115" i="32"/>
  <c r="AH37" i="32"/>
  <c r="AH64" i="32"/>
  <c r="AH91" i="32"/>
  <c r="AI31" i="32"/>
  <c r="AI34" i="32"/>
  <c r="AI59" i="32"/>
  <c r="AI95" i="32"/>
  <c r="K87" i="32"/>
  <c r="AD87" i="32" s="1"/>
  <c r="K115" i="32"/>
  <c r="K48" i="32"/>
  <c r="AD48" i="32" s="1"/>
  <c r="K108" i="32"/>
  <c r="AD108" i="32" s="1"/>
  <c r="L87" i="32"/>
  <c r="AE87" i="32" s="1"/>
  <c r="L108" i="32"/>
  <c r="AE108" i="32" s="1"/>
  <c r="L115" i="32"/>
  <c r="L48" i="32"/>
  <c r="AE48" i="32" s="1"/>
  <c r="W130" i="32"/>
  <c r="W131" i="32" s="1"/>
  <c r="W132" i="32" s="1"/>
  <c r="W118" i="32" s="1"/>
  <c r="N48" i="32"/>
  <c r="AG48" i="32" s="1"/>
  <c r="N87" i="32"/>
  <c r="AG87" i="32" s="1"/>
  <c r="N108" i="32"/>
  <c r="AG108" i="32" s="1"/>
  <c r="N115" i="32"/>
  <c r="P48" i="32"/>
  <c r="AI48" i="32" s="1"/>
  <c r="P87" i="32"/>
  <c r="AI87" i="32" s="1"/>
  <c r="P108" i="32"/>
  <c r="AI108" i="32" s="1"/>
  <c r="P115" i="32"/>
  <c r="Z130" i="32"/>
  <c r="Z131" i="32" s="1"/>
  <c r="Z132" i="32" s="1"/>
  <c r="Z118" i="32" s="1"/>
  <c r="X131" i="32"/>
  <c r="X132" i="32" s="1"/>
  <c r="X118" i="32" s="1"/>
  <c r="X130" i="32"/>
  <c r="Y130" i="32"/>
  <c r="Y131" i="32"/>
  <c r="Y132" i="32" s="1"/>
  <c r="Y118" i="32" s="1"/>
  <c r="P130" i="32"/>
  <c r="P131" i="32" s="1"/>
  <c r="P132" i="32" s="1"/>
  <c r="P118" i="32" s="1"/>
  <c r="J48" i="32"/>
  <c r="AC48" i="32" s="1"/>
  <c r="J87" i="32"/>
  <c r="AC87" i="32" s="1"/>
  <c r="J115" i="32"/>
  <c r="J108" i="32"/>
  <c r="AC108" i="32" s="1"/>
  <c r="T130" i="32"/>
  <c r="T131" i="32"/>
  <c r="T132" i="32" s="1"/>
  <c r="T118" i="32" s="1"/>
  <c r="M130" i="32"/>
  <c r="M131" i="32" s="1"/>
  <c r="M132" i="32" s="1"/>
  <c r="M118" i="32" s="1"/>
  <c r="M87" i="32"/>
  <c r="AF87" i="32" s="1"/>
  <c r="M108" i="32"/>
  <c r="AF108" i="32" s="1"/>
  <c r="M115" i="32"/>
  <c r="M48" i="32"/>
  <c r="AF48" i="32" s="1"/>
  <c r="O48" i="32"/>
  <c r="AH48" i="32" s="1"/>
  <c r="O87" i="32"/>
  <c r="AH87" i="32" s="1"/>
  <c r="O108" i="32"/>
  <c r="AH108" i="32" s="1"/>
  <c r="O115" i="32"/>
  <c r="I115" i="32"/>
  <c r="I108" i="32"/>
  <c r="AB108" i="32" s="1"/>
  <c r="I48" i="32"/>
  <c r="AB48" i="32" s="1"/>
  <c r="I87" i="32"/>
  <c r="AB87" i="32" s="1"/>
  <c r="J130" i="32"/>
  <c r="J131" i="32"/>
  <c r="J132" i="32" s="1"/>
  <c r="J118" i="32" s="1"/>
  <c r="V115" i="32"/>
  <c r="V108" i="32"/>
  <c r="V48" i="32"/>
  <c r="V87" i="32"/>
  <c r="X48" i="32"/>
  <c r="X87" i="32"/>
  <c r="X108" i="32"/>
  <c r="X115" i="32"/>
  <c r="Z87" i="32"/>
  <c r="Z108" i="32"/>
  <c r="Z48" i="32"/>
  <c r="Z115" i="32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<sst xmlns="http://schemas.openxmlformats.org/spreadsheetml/2006/main" count="353" uniqueCount="221">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</sst>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5" formatCode="&quot;$&quot;\ \ \ #,##0;\(&quot;$&quot;\ \ \ #,##0\)"/>
    <numFmt numFmtId="176" formatCode="_-* #,##0.000\ [$€]_-;\-* #,##0.000\ [$€]_-;_-* &quot;-&quot;??\ [$€]_-;_-@_-"/>
    <numFmt numFmtId="177" formatCode="#,##0;\(#,##0\)"/>
    <numFmt numFmtId="178" formatCode="#,##0.0;\(#,##0.0\);\-"/>
    <numFmt numFmtId="180" formatCode="_(* #,##0_);_(* \(#,##0\);_(* &quot;&quot;\ \-\ &quot;&quot;_);_(@_)"/>
    <numFmt numFmtId="181" formatCode="_(&quot;€&quot;* #,##0.00_);_(&quot;€&quot;* \(#,##0.00\);_(&quot;€&quot;* &quot;-&quot;??_);_(@_)"/>
    <numFmt numFmtId="182" formatCode="_-* #,##0.00\ [$€]_-;\-* #,##0.00\ [$€]_-;_-* &quot;-&quot;??\ [$€]_-;_-@_-"/>
    <numFmt numFmtId="183" formatCode="_(* #,##0.0_%_);_(* \(#,##0.0_%\);_(* &quot; - &quot;_%_);_(@_)"/>
    <numFmt numFmtId="184" formatCode="_(\ #,##0.0_%_);_(\ \(#,##0.0_%\);_(\ &quot; - &quot;_%_);_(@_)"/>
    <numFmt numFmtId="185" formatCode="_(* #,##0.0%_);_(* \(#,##0.0%\);_(* &quot; - &quot;\%_);_(@_)"/>
    <numFmt numFmtId="186" formatCode="_(\ #,##0.0%_);_(\ \(#,##0.0%\);_(\ &quot; - &quot;\%_);_(@_)"/>
    <numFmt numFmtId="187" formatCode="_(* #,##0_);_(* \(#,##0\);_(* &quot; - &quot;_);_(@_)"/>
    <numFmt numFmtId="188" formatCode="#,##0_);\(#,##0\);&quot; - &quot;_);@_)"/>
    <numFmt numFmtId="189" formatCode="_(* #,##0.0_);_(* \(#,##0.0\);_(* &quot; - &quot;_);_(@_)"/>
    <numFmt numFmtId="190" formatCode="\ #,##0.0_);\(#,##0.0\);&quot; - &quot;_);@_)"/>
    <numFmt numFmtId="191" formatCode="_(* #,##0.00_);_(* \(#,##0.00\);_(* &quot; - &quot;_);_(@_)"/>
    <numFmt numFmtId="192" formatCode="\ #,##0.00_);\(#,##0.00\);&quot; - &quot;_);@_)"/>
    <numFmt numFmtId="193" formatCode="_(* #,##0.000_);_(* \(#,##0.000\);_(* &quot; - &quot;_);_(@_)"/>
    <numFmt numFmtId="194" formatCode="\ #,##0.000_);\(#,##0.000\);&quot; - &quot;_);@_)"/>
    <numFmt numFmtId="195" formatCode="#,##0;\(#,##0\);&quot;-&quot;"/>
    <numFmt numFmtId="196" formatCode="d\ mmmm\ yyyy"/>
    <numFmt numFmtId="197" formatCode="#,##0;[Red]\(#,##0\);0"/>
    <numFmt numFmtId="198" formatCode="#,##0.00;\(#,##0.00\)"/>
    <numFmt numFmtId="199" formatCode="###0.0%;\(###0.0%\)"/>
    <numFmt numFmtId="200" formatCode="#,##0.0_)\x;\(#,##0.0\)\x;#,##0.0_)\x;@_)_x"/>
    <numFmt numFmtId="201" formatCode="_ * #,##0_)\ [$€-1]_ ;_ * \(#,##0\)\ [$€-1]_ ;_ * &quot;-&quot;??_)\ [$€-1]_ "/>
    <numFmt numFmtId="202" formatCode="[$-409]d/m/yy\ h:mm\ AM/PM;@"/>
    <numFmt numFmtId="203" formatCode="0.00;[Red]0.00"/>
    <numFmt numFmtId="204" formatCode="_(* #,##0_);_(* \(#,##0\);_(* &quot;-&quot;_);@_)"/>
    <numFmt numFmtId="205" formatCode="0%_);\(0%\)"/>
    <numFmt numFmtId="206" formatCode="#,##0.0&quot; &quot;;\(#,##0.0\)&quot;&quot;;&quot;- &quot;"/>
    <numFmt numFmtId="207" formatCode="\+\ @"/>
    <numFmt numFmtId="208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5" fontId="45" fillId="0" borderId="0" applyAlignment="0"/>
    <xf numFmtId="10" fontId="46" fillId="0" borderId="0"/>
    <xf numFmtId="9" fontId="47" fillId="0" borderId="0"/>
    <xf numFmtId="176" fontId="47" fillId="0" borderId="0"/>
    <xf numFmtId="10" fontId="47" fillId="0" borderId="0"/>
    <xf numFmtId="176" fontId="47" fillId="0" borderId="0" applyFont="0" applyFill="0" applyBorder="0" applyAlignment="0" applyProtection="0"/>
    <xf numFmtId="176" fontId="47" fillId="0" borderId="0" applyFont="0" applyFill="0" applyBorder="0" applyAlignment="0" applyProtection="0"/>
    <xf numFmtId="177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6" fontId="48" fillId="0" borderId="35" applyFont="0" applyFill="0" applyBorder="0" applyAlignment="0" applyProtection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6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6" fontId="32" fillId="0" borderId="0"/>
    <xf numFmtId="9" fontId="46" fillId="0" borderId="0"/>
    <xf numFmtId="176" fontId="46" fillId="0" borderId="0"/>
    <xf numFmtId="176" fontId="46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176" fontId="46" fillId="0" borderId="0"/>
    <xf numFmtId="176" fontId="46" fillId="0" borderId="0"/>
    <xf numFmtId="176" fontId="1" fillId="0" borderId="0"/>
    <xf numFmtId="176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6" fontId="52" fillId="0" borderId="0" applyNumberFormat="0" applyFill="0" applyBorder="0" applyAlignment="0" applyProtection="0"/>
    <xf numFmtId="176" fontId="47" fillId="0" borderId="0"/>
    <xf numFmtId="176" fontId="50" fillId="0" borderId="36" applyNumberFormat="0" applyFill="0" applyAlignment="0" applyProtection="0"/>
    <xf numFmtId="176" fontId="51" fillId="0" borderId="36" applyNumberFormat="0" applyFont="0" applyFill="0" applyAlignment="0" applyProtection="0"/>
    <xf numFmtId="176" fontId="32" fillId="0" borderId="37"/>
    <xf numFmtId="176" fontId="47" fillId="0" borderId="36">
      <alignment horizontal="centerContinuous"/>
    </xf>
    <xf numFmtId="176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6" fontId="47" fillId="0" borderId="0" applyFont="0" applyFill="0" applyBorder="0" applyAlignment="0" applyProtection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176" fontId="46" fillId="0" borderId="0"/>
    <xf numFmtId="176" fontId="46" fillId="0" borderId="0"/>
    <xf numFmtId="0" fontId="46" fillId="0" borderId="0"/>
    <xf numFmtId="176" fontId="54" fillId="0" borderId="0"/>
    <xf numFmtId="176" fontId="54" fillId="0" borderId="0"/>
    <xf numFmtId="0" fontId="54" fillId="0" borderId="0"/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6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8" fontId="1" fillId="0" borderId="0">
      <alignment horizontal="right" wrapText="1"/>
    </xf>
    <xf numFmtId="176" fontId="47" fillId="0" borderId="0"/>
    <xf numFmtId="176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6" fontId="56" fillId="0" borderId="0" applyFont="0" applyFill="0" applyBorder="0" applyAlignment="0" applyProtection="0"/>
    <xf numFmtId="176" fontId="56" fillId="0" borderId="0" applyFont="0" applyFill="0" applyBorder="0" applyAlignment="0" applyProtection="0"/>
    <xf numFmtId="49" fontId="57" fillId="44" borderId="0">
      <alignment vertical="center"/>
    </xf>
    <xf numFmtId="176" fontId="47" fillId="0" borderId="0" applyFont="0" applyFill="0" applyBorder="0" applyAlignment="0" applyProtection="0"/>
    <xf numFmtId="180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>
      <alignment horizontal="right" vertical="top"/>
    </xf>
    <xf numFmtId="186" fontId="58" fillId="0" borderId="0" applyBorder="0">
      <alignment horizontal="right" vertical="top"/>
    </xf>
    <xf numFmtId="185" fontId="59" fillId="0" borderId="0">
      <alignment horizontal="right" vertical="top"/>
    </xf>
    <xf numFmtId="186" fontId="60" fillId="0" borderId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193" fontId="61" fillId="0" borderId="0" applyFill="0" applyBorder="0">
      <alignment horizontal="right" vertical="top"/>
    </xf>
    <xf numFmtId="194" fontId="58" fillId="0" borderId="0" applyFill="0" applyBorder="0">
      <alignment horizontal="right" vertical="top"/>
    </xf>
    <xf numFmtId="0" fontId="62" fillId="0" borderId="0">
      <alignment horizontal="center" wrapText="1"/>
    </xf>
    <xf numFmtId="176" fontId="63" fillId="0" borderId="43">
      <alignment horizontal="right"/>
    </xf>
    <xf numFmtId="176" fontId="62" fillId="0" borderId="0">
      <alignment horizontal="center" wrapText="1"/>
    </xf>
    <xf numFmtId="0" fontId="62" fillId="0" borderId="0">
      <alignment horizontal="center" wrapText="1"/>
    </xf>
    <xf numFmtId="195" fontId="64" fillId="0" borderId="43">
      <alignment horizontal="left"/>
    </xf>
    <xf numFmtId="0" fontId="65" fillId="0" borderId="0">
      <alignment vertical="center"/>
    </xf>
    <xf numFmtId="196" fontId="65" fillId="0" borderId="0">
      <alignment horizontal="left" vertical="center"/>
    </xf>
    <xf numFmtId="197" fontId="66" fillId="0" borderId="0">
      <alignment vertical="center"/>
    </xf>
    <xf numFmtId="0" fontId="67" fillId="0" borderId="0">
      <alignment vertical="center"/>
    </xf>
    <xf numFmtId="195" fontId="64" fillId="0" borderId="43">
      <alignment horizontal="left"/>
    </xf>
    <xf numFmtId="195" fontId="68" fillId="0" borderId="0" applyFill="0" applyBorder="0">
      <alignment vertical="top"/>
    </xf>
    <xf numFmtId="195" fontId="69" fillId="0" borderId="0" applyFill="0" applyBorder="0" applyProtection="0">
      <alignment vertical="top"/>
    </xf>
    <xf numFmtId="195" fontId="70" fillId="0" borderId="0">
      <alignment vertical="top"/>
    </xf>
    <xf numFmtId="195" fontId="58" fillId="0" borderId="0">
      <alignment horizontal="center"/>
    </xf>
    <xf numFmtId="195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5" fontId="43" fillId="0" borderId="0"/>
    <xf numFmtId="195" fontId="72" fillId="0" borderId="0"/>
    <xf numFmtId="195" fontId="73" fillId="0" borderId="0"/>
    <xf numFmtId="195" fontId="1" fillId="0" borderId="0"/>
    <xf numFmtId="195" fontId="74" fillId="0" borderId="0">
      <alignment horizontal="left" vertical="top"/>
    </xf>
    <xf numFmtId="0" fontId="61" fillId="0" borderId="0" applyFill="0" applyBorder="0">
      <alignment horizontal="left" vertical="top"/>
    </xf>
    <xf numFmtId="176" fontId="58" fillId="0" borderId="0" applyFill="0" applyBorder="0">
      <alignment horizontal="left" vertical="top" wrapText="1"/>
    </xf>
    <xf numFmtId="176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6" fontId="77" fillId="0" borderId="0" applyNumberFormat="0" applyFill="0" applyBorder="0" applyAlignment="0" applyProtection="0"/>
    <xf numFmtId="176" fontId="57" fillId="46" borderId="0">
      <alignment horizontal="right" vertical="center"/>
    </xf>
    <xf numFmtId="0" fontId="1" fillId="47" borderId="0"/>
    <xf numFmtId="198" fontId="78" fillId="0" borderId="0"/>
    <xf numFmtId="199" fontId="78" fillId="0" borderId="0"/>
    <xf numFmtId="0" fontId="12" fillId="7" borderId="0" applyNumberFormat="0" applyBorder="0" applyAlignment="0" applyProtection="0"/>
    <xf numFmtId="176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6" fontId="80" fillId="0" borderId="0" applyNumberFormat="0" applyFill="0" applyBorder="0" applyAlignment="0" applyProtection="0"/>
    <xf numFmtId="0" fontId="21" fillId="11" borderId="41" applyNumberFormat="0" applyAlignment="0" applyProtection="0"/>
    <xf numFmtId="176" fontId="46" fillId="0" borderId="0" applyNumberFormat="0" applyFill="0" applyBorder="0" applyAlignment="0">
      <protection locked="0"/>
    </xf>
    <xf numFmtId="176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6" fontId="86" fillId="0" borderId="0"/>
    <xf numFmtId="176" fontId="86" fillId="0" borderId="0"/>
    <xf numFmtId="176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6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81" fontId="88" fillId="0" borderId="0" applyFont="0" applyFill="0" applyBorder="0" applyAlignment="0" applyProtection="0"/>
    <xf numFmtId="200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6" fontId="32" fillId="0" borderId="0">
      <alignment horizontal="left"/>
    </xf>
    <xf numFmtId="0" fontId="91" fillId="0" borderId="0"/>
    <xf numFmtId="0" fontId="91" fillId="0" borderId="0"/>
    <xf numFmtId="176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201" fontId="1" fillId="0" borderId="0"/>
    <xf numFmtId="0" fontId="1" fillId="0" borderId="0"/>
    <xf numFmtId="0" fontId="4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0" fontId="1" fillId="0" borderId="0"/>
    <xf numFmtId="176" fontId="4" fillId="0" borderId="0"/>
    <xf numFmtId="176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4" fillId="8" borderId="42" applyNumberFormat="0" applyFont="0" applyAlignment="0" applyProtection="0"/>
    <xf numFmtId="176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6" fontId="32" fillId="0" borderId="0"/>
    <xf numFmtId="176" fontId="95" fillId="0" borderId="0"/>
    <xf numFmtId="9" fontId="51" fillId="0" borderId="0" applyFont="0" applyFill="0" applyBorder="0" applyAlignment="0" applyProtection="0"/>
    <xf numFmtId="176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0"/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99" fillId="0" borderId="0">
      <alignment horizontal="center"/>
    </xf>
    <xf numFmtId="176" fontId="99" fillId="0" borderId="0">
      <alignment horizontal="center"/>
    </xf>
    <xf numFmtId="0" fontId="99" fillId="0" borderId="0">
      <alignment horizontal="center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3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6" fontId="101" fillId="47" borderId="0" applyNumberFormat="0" applyFont="0" applyBorder="0" applyAlignment="0" applyProtection="0"/>
    <xf numFmtId="176" fontId="57" fillId="44" borderId="0">
      <alignment horizontal="right" vertical="center"/>
    </xf>
    <xf numFmtId="204" fontId="102" fillId="0" borderId="0" applyNumberFormat="0" applyFill="0" applyBorder="0" applyAlignment="0" applyProtection="0"/>
    <xf numFmtId="204" fontId="103" fillId="50" borderId="0" applyNumberFormat="0" applyFont="0" applyBorder="0" applyAlignment="0" applyProtection="0"/>
    <xf numFmtId="0" fontId="103" fillId="0" borderId="0" applyFill="0" applyBorder="0" applyProtection="0"/>
    <xf numFmtId="204" fontId="103" fillId="31" borderId="0" applyNumberFormat="0" applyFont="0" applyBorder="0" applyAlignment="0" applyProtection="0"/>
    <xf numFmtId="205" fontId="103" fillId="0" borderId="0" applyFill="0" applyBorder="0" applyAlignment="0" applyProtection="0"/>
    <xf numFmtId="204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4" fontId="106" fillId="0" borderId="48" applyNumberFormat="0" applyFill="0" applyAlignment="0" applyProtection="0"/>
    <xf numFmtId="0" fontId="107" fillId="0" borderId="0" applyAlignment="0" applyProtection="0"/>
    <xf numFmtId="204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0" fontId="1" fillId="0" borderId="0"/>
    <xf numFmtId="0" fontId="100" fillId="0" borderId="0" applyNumberFormat="0" applyBorder="0" applyAlignment="0"/>
    <xf numFmtId="176" fontId="100" fillId="0" borderId="0" applyNumberFormat="0" applyBorder="0" applyAlignment="0"/>
    <xf numFmtId="0" fontId="108" fillId="0" borderId="0" applyNumberFormat="0" applyBorder="0" applyAlignment="0"/>
    <xf numFmtId="176" fontId="108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10" fillId="0" borderId="0" applyNumberFormat="0" applyBorder="0" applyAlignment="0"/>
    <xf numFmtId="176" fontId="110" fillId="0" borderId="0" applyNumberFormat="0" applyBorder="0" applyAlignment="0"/>
    <xf numFmtId="0" fontId="111" fillId="7" borderId="0" applyNumberFormat="0" applyBorder="0" applyAlignment="0"/>
    <xf numFmtId="176" fontId="111" fillId="7" borderId="0" applyNumberFormat="0" applyBorder="0" applyAlignment="0"/>
    <xf numFmtId="0" fontId="112" fillId="7" borderId="0" applyNumberFormat="0" applyBorder="0" applyAlignment="0"/>
    <xf numFmtId="176" fontId="112" fillId="7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114" fillId="45" borderId="0"/>
    <xf numFmtId="176" fontId="35" fillId="45" borderId="0">
      <alignment horizontal="left"/>
    </xf>
    <xf numFmtId="176" fontId="35" fillId="45" borderId="0">
      <alignment horizontal="left" indent="1"/>
    </xf>
    <xf numFmtId="176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6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6" fontId="51" fillId="0" borderId="51" applyNumberFormat="0" applyFont="0" applyFill="0" applyAlignment="0" applyProtection="0"/>
    <xf numFmtId="176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6" fontId="47" fillId="0" borderId="0" applyFont="0" applyFill="0" applyBorder="0" applyAlignment="0" applyProtection="0">
      <alignment horizontal="right" vertical="center"/>
    </xf>
    <xf numFmtId="176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207" fontId="10" fillId="12" borderId="20" xfId="0" applyNumberFormat="1" applyFont="1" applyFill="1" applyBorder="1" applyAlignment="1"/>
    <xf numFmtId="207" fontId="0" fillId="12" borderId="20" xfId="0" applyNumberFormat="1" applyFill="1" applyBorder="1" applyAlignment="1"/>
    <xf numFmtId="208" fontId="0" fillId="12" borderId="0" xfId="0" applyNumberFormat="1" applyFill="1" applyAlignment="1"/>
    <xf numFmtId="208" fontId="0" fillId="8" borderId="0" xfId="0" applyNumberFormat="1" applyFill="1" applyAlignment="1">
      <alignment horizontal="left" indent="1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174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155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6" t="s">
        <v>99</v>
      </c>
      <c r="B16" s="15" t="s">
        <v>100</v>
      </c>
    </row>
    <row r="17" spans="1:2" ht="13">
      <c r="A17" s="187"/>
      <c r="B17" s="15" t="s">
        <v>101</v>
      </c>
    </row>
    <row r="18" spans="1:2" ht="13">
      <c r="A18" s="187"/>
      <c r="B18" s="15"/>
    </row>
    <row r="19" spans="1:2" ht="13">
      <c r="A19" s="187"/>
      <c r="B19" s="15"/>
    </row>
    <row r="20" spans="1:2" ht="13">
      <c r="A20" s="188"/>
      <c r="B20" s="15"/>
    </row>
    <row r="21" spans="1:2" ht="13">
      <c r="A21" s="186" t="s">
        <v>102</v>
      </c>
      <c r="B21" s="15" t="s">
        <v>103</v>
      </c>
    </row>
    <row r="22" spans="1:2">
      <c r="A22" s="187"/>
      <c r="B22" s="15" t="s">
        <v>104</v>
      </c>
    </row>
    <row r="23" spans="1:2">
      <c r="A23" s="188"/>
      <c r="B23" s="15" t="s">
        <v>105</v>
      </c>
    </row>
    <row r="25" spans="1:2" ht="15.75">
      <c r="A25" s="10" t="s">
        <v>106</v>
      </c>
    </row>
    <row r="26" spans="1:2" ht="15.7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34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11.453125" defaultRowHeight="18" customHeight="1" outlineLevelRow="1" outlineLevelCol="1"/>
  <cols>
    <col min="1" max="1" width="23.54296875" style="50" hidden="1" customWidth="1" outlineLevel="1"/>
    <col min="2" max="2" width="21" style="50" hidden="1" customWidth="1" outlineLevel="1"/>
    <col min="3" max="3" width="35.81640625" style="50" hidden="1" customWidth="1" outlineLevel="1"/>
    <col min="4" max="4" width="11" style="50" hidden="1" customWidth="1" outlineLevel="1"/>
    <col min="5" max="5" width="5.453125" style="22" hidden="1" customWidth="1" outlineLevel="1"/>
    <col min="6" max="6" width="5.7265625" style="47" customWidth="1" collapsed="1"/>
    <col min="7" max="7" width="42.453125" style="43" customWidth="1"/>
    <col min="8" max="8" width="52.54296875" style="43" customWidth="1"/>
    <col min="9" max="9" width="30.54296875" style="44" bestFit="1" customWidth="1"/>
    <col min="10" max="10" width="29.81640625" style="44" bestFit="1" customWidth="1"/>
    <col min="11" max="16" width="30.54296875" style="44" bestFit="1" customWidth="1"/>
    <col min="17" max="17" width="11.26953125" style="85" bestFit="1" customWidth="1"/>
    <col min="18" max="18" width="43.453125" style="85" hidden="1" customWidth="1"/>
    <col min="19" max="20" width="29.81640625" style="44" bestFit="1" customWidth="1"/>
    <col min="21" max="21" width="39.453125" style="44" bestFit="1" customWidth="1"/>
    <col min="22" max="22" width="29.81640625" style="44" bestFit="1" customWidth="1"/>
    <col min="23" max="26" width="30.54296875" style="44" bestFit="1" customWidth="1"/>
    <col min="27" max="27" width="6" style="85" customWidth="1"/>
    <col min="28" max="28" width="23" style="85" bestFit="1" customWidth="1"/>
    <col min="29" max="29" width="15.81640625" style="85" bestFit="1" customWidth="1"/>
    <col min="30" max="30" width="24.1796875" style="85" bestFit="1" customWidth="1"/>
    <col min="31" max="33" width="17.7265625" style="85" bestFit="1" customWidth="1"/>
    <col min="34" max="35" width="19.453125" style="44" bestFit="1" customWidth="1"/>
    <col min="36" max="36" width="5.7265625" style="45" customWidth="1"/>
    <col min="37" max="37" width="11.26953125" style="45" hidden="1" customWidth="1"/>
    <col min="38" max="38" width="33.1796875" style="45" hidden="1" customWidth="1"/>
    <col min="39" max="39" width="30" style="45" hidden="1" customWidth="1"/>
    <col min="40" max="40" width="28.1796875" style="45" hidden="1" customWidth="1"/>
    <col min="41" max="41" width="29.7265625" style="45" hidden="1" customWidth="1"/>
    <col min="42" max="42" width="27.1796875" style="45" hidden="1" customWidth="1"/>
    <col min="43" max="43" width="21.1796875" style="45" hidden="1" customWidth="1"/>
    <col min="44" max="44" width="9" style="45" hidden="1" customWidth="1"/>
    <col min="45" max="45" width="9" style="45" customWidth="1"/>
    <col min="46" max="46" width="9" style="44" customWidth="1"/>
    <col min="47" max="47" width="6.54296875" style="44" customWidth="1"/>
    <col min="48" max="48" width="6.453125" style="44" customWidth="1"/>
    <col min="49" max="49" width="6.453125" style="46" customWidth="1"/>
    <col min="50" max="16384" width="11.453125" style="44"/>
  </cols>
  <sheetData>
    <row r="1" spans="1:49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209" t="str">
        <f>H13</f>
        <v>Total - Long Term Plan</v>
      </c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  <c r="AB8" s="209"/>
      <c r="AC8" s="209"/>
      <c r="AD8" s="209"/>
      <c r="AE8" s="209"/>
      <c r="AF8" s="209"/>
      <c r="AG8" s="209"/>
      <c r="AH8" s="209"/>
      <c r="AI8" s="209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210" t="str">
        <f>$H$14&amp;" - "&amp;$H$15&amp;" - "&amp;$H$16&amp;" - "&amp;$H$17</f>
        <v>TRANSDEV All - All activity - W_APP - MEUR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0"/>
      <c r="AI9" s="210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211" t="str">
        <f>I20&amp;"  vs  "&amp;S20</f>
        <v>LTP_2021_VC  vs  LTP_2019_V9_V14_V3</v>
      </c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212" t="str">
        <f>_xll.DBRA(Server&amp;$AL$25,$AL29,$H$18)</f>
        <v>Phase</v>
      </c>
      <c r="T12" s="213"/>
      <c r="U12" s="214" t="str">
        <f>_xll.SUBNM(Server&amp;"Phase","LTP_Phase_LAST_YEAR","LTP_2019_V9_V14_V3")</f>
        <v>LTP_2019_V9_V14_V3</v>
      </c>
      <c r="V12" s="215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212" t="str">
        <f>_xll.DBRA(Server&amp;$AL$25,$AL30,$H$18)</f>
        <v>LTP component</v>
      </c>
      <c r="T13" s="213"/>
      <c r="U13" s="214" t="str">
        <f>_xll.SUBNM(Server&amp;"LTP_Components","",$AN$29,$H$18)</f>
        <v>Total - Long Term Plan</v>
      </c>
      <c r="V13" s="215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212" t="str">
        <f>_xll.DBRA(Server&amp;$AL$25,$AL$31,$H$18)</f>
        <v>Legal organization</v>
      </c>
      <c r="T14" s="213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212" t="str">
        <f>_xll.DBRA(Server&amp;$AL$25,$AL$36,$H$18)</f>
        <v>Activity</v>
      </c>
      <c r="T15" s="213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212" t="str">
        <f>_xll.DBRA(Server&amp;$AL$25,$AL$32,$H$18)</f>
        <v>Weighting</v>
      </c>
      <c r="T16" s="213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206" t="str">
        <f>H12</f>
        <v>LTP_2021_VC</v>
      </c>
      <c r="J20" s="206"/>
      <c r="K20" s="206"/>
      <c r="L20" s="206"/>
      <c r="M20" s="206"/>
      <c r="N20" s="206"/>
      <c r="O20" s="206"/>
      <c r="P20" s="206"/>
      <c r="Q20" s="86"/>
      <c r="R20" s="86"/>
      <c r="S20" s="206" t="str">
        <f>U12</f>
        <v>LTP_2019_V9_V14_V3</v>
      </c>
      <c r="T20" s="206"/>
      <c r="U20" s="206"/>
      <c r="V20" s="206"/>
      <c r="W20" s="206"/>
      <c r="X20" s="206"/>
      <c r="Y20" s="206"/>
      <c r="Z20" s="206"/>
      <c r="AA20" s="86"/>
      <c r="AB20" s="206" t="str">
        <f>I20&amp;"  vs  "&amp;S20</f>
        <v>LTP_2021_VC  vs  LTP_2019_V9_V14_V3</v>
      </c>
      <c r="AC20" s="206"/>
      <c r="AD20" s="206"/>
      <c r="AE20" s="206"/>
      <c r="AF20" s="206"/>
      <c r="AG20" s="206"/>
      <c r="AH20" s="206"/>
      <c r="AI20" s="206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192" t="str">
        <f>_xll.DBRA(Server&amp;$AL$25,$AL$50,$H$18)</f>
        <v>I - P&amp;L INDICATORS</v>
      </c>
      <c r="H21" s="192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190" t="str">
        <f>_xll.DBRA(Server&amp;$A$21,$A24,$H$18)</f>
        <v>Sales of goods and services</v>
      </c>
      <c r="H24" s="191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 t="str">
        <f t="shared" ref="AB24:AI33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/>
      </c>
      <c r="AC24" s="133" t="str">
        <f t="shared" si="4"/>
        <v/>
      </c>
      <c r="AD24" s="133" t="str">
        <f t="shared" si="4"/>
        <v/>
      </c>
      <c r="AE24" s="133" t="str">
        <f t="shared" si="4"/>
        <v/>
      </c>
      <c r="AF24" s="133" t="str">
        <f t="shared" si="4"/>
        <v/>
      </c>
      <c r="AG24" s="133" t="str">
        <f t="shared" si="4"/>
        <v/>
      </c>
      <c r="AH24" s="133" t="str">
        <f t="shared" si="4"/>
        <v/>
      </c>
      <c r="AI24" s="133" t="str">
        <f t="shared" si="4"/>
        <v/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190" t="str">
        <f>_xll.DBRA(Server&amp;$A$21,$A25,$H$18)</f>
        <v>Revenues from operating financial assets (IFRIC12)</v>
      </c>
      <c r="H25" s="191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 t="str">
        <f t="shared" si="4"/>
        <v/>
      </c>
      <c r="AC25" s="134" t="str">
        <f t="shared" si="4"/>
        <v/>
      </c>
      <c r="AD25" s="134" t="str">
        <f t="shared" si="4"/>
        <v/>
      </c>
      <c r="AE25" s="134" t="str">
        <f t="shared" si="4"/>
        <v/>
      </c>
      <c r="AF25" s="134" t="str">
        <f t="shared" si="4"/>
        <v/>
      </c>
      <c r="AG25" s="134" t="str">
        <f t="shared" si="4"/>
        <v/>
      </c>
      <c r="AH25" s="134" t="str">
        <f t="shared" si="4"/>
        <v/>
      </c>
      <c r="AI25" s="135" t="str">
        <f t="shared" si="4"/>
        <v/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2" t="str">
        <f>_xll.DBRA(Server&amp;$A$21,$A26,$H$18)</f>
        <v>Revenue from ordinary activities</v>
      </c>
      <c r="H26" s="203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 t="str">
        <f t="shared" si="4"/>
        <v/>
      </c>
      <c r="AC26" s="137" t="str">
        <f t="shared" si="4"/>
        <v/>
      </c>
      <c r="AD26" s="137" t="str">
        <f t="shared" si="4"/>
        <v/>
      </c>
      <c r="AE26" s="137" t="str">
        <f t="shared" si="4"/>
        <v/>
      </c>
      <c r="AF26" s="137" t="str">
        <f t="shared" si="4"/>
        <v/>
      </c>
      <c r="AG26" s="137" t="str">
        <f t="shared" si="4"/>
        <v/>
      </c>
      <c r="AH26" s="137" t="str">
        <f t="shared" si="4"/>
        <v/>
      </c>
      <c r="AI26" s="137" t="str">
        <f t="shared" si="4"/>
        <v/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190" t="str">
        <f>IF($H$18="English","Total operating costs excluding MF","Total coûts opérationnels hors MF")</f>
        <v>Total operating costs excluding MF</v>
      </c>
      <c r="H27" s="191"/>
      <c r="I27" s="133">
        <f t="shared" ref="I27:P27" si="5">I33-I26-I32</f>
        <v>0</v>
      </c>
      <c r="J27" s="133">
        <f t="shared" si="5"/>
        <v>0</v>
      </c>
      <c r="K27" s="133">
        <f t="shared" si="5"/>
        <v>0</v>
      </c>
      <c r="L27" s="133">
        <f t="shared" si="5"/>
        <v>0</v>
      </c>
      <c r="M27" s="133">
        <f t="shared" si="5"/>
        <v>0</v>
      </c>
      <c r="N27" s="133">
        <f t="shared" si="5"/>
        <v>0</v>
      </c>
      <c r="O27" s="133">
        <f t="shared" si="5"/>
        <v>0</v>
      </c>
      <c r="P27" s="133">
        <f t="shared" si="5"/>
        <v>0</v>
      </c>
      <c r="Q27" s="136">
        <f>SUM(I28:P31)-SUM(I27:P27)</f>
        <v>0</v>
      </c>
      <c r="R27" s="136"/>
      <c r="S27" s="133">
        <f t="shared" ref="S27:Z27" si="6">S33-S26-S32</f>
        <v>0</v>
      </c>
      <c r="T27" s="133">
        <f t="shared" si="6"/>
        <v>0</v>
      </c>
      <c r="U27" s="133">
        <f t="shared" si="6"/>
        <v>0</v>
      </c>
      <c r="V27" s="133">
        <f t="shared" si="6"/>
        <v>0</v>
      </c>
      <c r="W27" s="133">
        <f t="shared" si="6"/>
        <v>0</v>
      </c>
      <c r="X27" s="133">
        <f t="shared" si="6"/>
        <v>0</v>
      </c>
      <c r="Y27" s="133">
        <f t="shared" si="6"/>
        <v>0</v>
      </c>
      <c r="Z27" s="133">
        <f t="shared" si="6"/>
        <v>0</v>
      </c>
      <c r="AA27" s="136">
        <f>SUM(S28:Z31)-SUM(S27:Z27)</f>
        <v>0</v>
      </c>
      <c r="AB27" s="133" t="str">
        <f t="shared" si="4"/>
        <v/>
      </c>
      <c r="AC27" s="133" t="str">
        <f t="shared" si="4"/>
        <v/>
      </c>
      <c r="AD27" s="133" t="str">
        <f t="shared" si="4"/>
        <v/>
      </c>
      <c r="AE27" s="133" t="str">
        <f t="shared" si="4"/>
        <v/>
      </c>
      <c r="AF27" s="133" t="str">
        <f t="shared" si="4"/>
        <v/>
      </c>
      <c r="AG27" s="133" t="str">
        <f t="shared" si="4"/>
        <v/>
      </c>
      <c r="AH27" s="133" t="str">
        <f t="shared" si="4"/>
        <v/>
      </c>
      <c r="AI27" s="133" t="str">
        <f t="shared" si="4"/>
        <v/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204" t="str">
        <f>_xll.DBRA(Server&amp;$A$21,$A28,$H$18)</f>
        <v>Operating costs excl.MF &amp; non cash items</v>
      </c>
      <c r="H28" s="205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 t="str">
        <f t="shared" si="4"/>
        <v/>
      </c>
      <c r="AC28" s="133" t="str">
        <f t="shared" si="4"/>
        <v/>
      </c>
      <c r="AD28" s="133" t="str">
        <f t="shared" si="4"/>
        <v/>
      </c>
      <c r="AE28" s="133" t="str">
        <f t="shared" si="4"/>
        <v/>
      </c>
      <c r="AF28" s="133" t="str">
        <f t="shared" si="4"/>
        <v/>
      </c>
      <c r="AG28" s="133" t="str">
        <f t="shared" si="4"/>
        <v/>
      </c>
      <c r="AH28" s="133" t="str">
        <f t="shared" si="4"/>
        <v/>
      </c>
      <c r="AI28" s="133" t="str">
        <f t="shared" si="4"/>
        <v/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204" t="str">
        <f>_xll.DBRA(Server&amp;$A$21,$A29,$H$18)</f>
        <v>Amortization</v>
      </c>
      <c r="H29" s="205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 t="str">
        <f t="shared" si="4"/>
        <v/>
      </c>
      <c r="AC29" s="133" t="str">
        <f t="shared" si="4"/>
        <v/>
      </c>
      <c r="AD29" s="133" t="str">
        <f t="shared" si="4"/>
        <v/>
      </c>
      <c r="AE29" s="133" t="str">
        <f t="shared" si="4"/>
        <v/>
      </c>
      <c r="AF29" s="133" t="str">
        <f t="shared" si="4"/>
        <v/>
      </c>
      <c r="AG29" s="133" t="str">
        <f t="shared" si="4"/>
        <v/>
      </c>
      <c r="AH29" s="133" t="str">
        <f t="shared" si="4"/>
        <v/>
      </c>
      <c r="AI29" s="133" t="str">
        <f t="shared" si="4"/>
        <v/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204" t="str">
        <f>_xll.DBRA(Server&amp;$A$21,$A30,$H$18)</f>
        <v>Provisions</v>
      </c>
      <c r="H30" s="205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 t="str">
        <f t="shared" si="4"/>
        <v/>
      </c>
      <c r="AC30" s="133" t="str">
        <f t="shared" si="4"/>
        <v/>
      </c>
      <c r="AD30" s="133" t="str">
        <f t="shared" si="4"/>
        <v/>
      </c>
      <c r="AE30" s="133" t="str">
        <f t="shared" si="4"/>
        <v/>
      </c>
      <c r="AF30" s="133" t="str">
        <f t="shared" si="4"/>
        <v/>
      </c>
      <c r="AG30" s="133" t="str">
        <f t="shared" si="4"/>
        <v/>
      </c>
      <c r="AH30" s="133" t="str">
        <f t="shared" si="4"/>
        <v/>
      </c>
      <c r="AI30" s="133" t="str">
        <f t="shared" si="4"/>
        <v/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204" t="str">
        <f>_xll.DBRA(Server&amp;$A$21,$A31,$H$18)</f>
        <v>Other non cash items (Gain or loss on sales, Impairment)</v>
      </c>
      <c r="H31" s="205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 t="str">
        <f t="shared" si="4"/>
        <v/>
      </c>
      <c r="AC31" s="133" t="str">
        <f t="shared" si="4"/>
        <v/>
      </c>
      <c r="AD31" s="133" t="str">
        <f t="shared" si="4"/>
        <v/>
      </c>
      <c r="AE31" s="133" t="str">
        <f t="shared" si="4"/>
        <v/>
      </c>
      <c r="AF31" s="133" t="str">
        <f t="shared" si="4"/>
        <v/>
      </c>
      <c r="AG31" s="133" t="str">
        <f t="shared" si="4"/>
        <v/>
      </c>
      <c r="AH31" s="133" t="str">
        <f t="shared" si="4"/>
        <v/>
      </c>
      <c r="AI31" s="133" t="str">
        <f t="shared" si="4"/>
        <v/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190" t="str">
        <f>_xll.DBRA(Server&amp;$A$21,$A32,$H$18)</f>
        <v>Profit or loss of associates &amp; JV</v>
      </c>
      <c r="H32" s="191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 t="str">
        <f t="shared" si="4"/>
        <v/>
      </c>
      <c r="AC32" s="133" t="str">
        <f t="shared" si="4"/>
        <v/>
      </c>
      <c r="AD32" s="133" t="str">
        <f t="shared" si="4"/>
        <v/>
      </c>
      <c r="AE32" s="133" t="str">
        <f t="shared" si="4"/>
        <v/>
      </c>
      <c r="AF32" s="133" t="str">
        <f t="shared" si="4"/>
        <v/>
      </c>
      <c r="AG32" s="133" t="str">
        <f t="shared" si="4"/>
        <v/>
      </c>
      <c r="AH32" s="133" t="str">
        <f t="shared" si="4"/>
        <v/>
      </c>
      <c r="AI32" s="133" t="str">
        <f t="shared" si="4"/>
        <v/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196" t="str">
        <f>_xll.DBRA(Server&amp;$A$21,$A33,$H$18)</f>
        <v>RESOP before Management fees</v>
      </c>
      <c r="H33" s="196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 t="str">
        <f t="shared" si="4"/>
        <v/>
      </c>
      <c r="AC33" s="137" t="str">
        <f t="shared" si="4"/>
        <v/>
      </c>
      <c r="AD33" s="137" t="str">
        <f t="shared" si="4"/>
        <v/>
      </c>
      <c r="AE33" s="137" t="str">
        <f t="shared" si="4"/>
        <v/>
      </c>
      <c r="AF33" s="137" t="str">
        <f t="shared" si="4"/>
        <v/>
      </c>
      <c r="AG33" s="137" t="str">
        <f t="shared" si="4"/>
        <v/>
      </c>
      <c r="AH33" s="137" t="str">
        <f t="shared" si="4"/>
        <v/>
      </c>
      <c r="AI33" s="137" t="str">
        <f t="shared" si="4"/>
        <v/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7">IF(ISERROR(+I$33/I$26)=TRUE,0,+I$33/I$26)</f>
        <v>0</v>
      </c>
      <c r="J34" s="140">
        <f t="shared" si="7"/>
        <v>0</v>
      </c>
      <c r="K34" s="140">
        <f t="shared" si="7"/>
        <v>0</v>
      </c>
      <c r="L34" s="140">
        <f t="shared" si="7"/>
        <v>0</v>
      </c>
      <c r="M34" s="140">
        <f t="shared" si="7"/>
        <v>0</v>
      </c>
      <c r="N34" s="140">
        <f t="shared" si="7"/>
        <v>0</v>
      </c>
      <c r="O34" s="140">
        <f t="shared" si="7"/>
        <v>0</v>
      </c>
      <c r="P34" s="140">
        <f t="shared" si="7"/>
        <v>0</v>
      </c>
      <c r="Q34" s="138"/>
      <c r="R34" s="138"/>
      <c r="S34" s="140">
        <f t="shared" si="7"/>
        <v>0</v>
      </c>
      <c r="T34" s="140">
        <f t="shared" si="7"/>
        <v>0</v>
      </c>
      <c r="U34" s="140">
        <f t="shared" si="7"/>
        <v>0</v>
      </c>
      <c r="V34" s="140">
        <f t="shared" si="7"/>
        <v>0</v>
      </c>
      <c r="W34" s="140">
        <f t="shared" si="7"/>
        <v>0</v>
      </c>
      <c r="X34" s="140">
        <f t="shared" si="7"/>
        <v>0</v>
      </c>
      <c r="Y34" s="140">
        <f t="shared" si="7"/>
        <v>0</v>
      </c>
      <c r="Z34" s="140">
        <f t="shared" si="7"/>
        <v>0</v>
      </c>
      <c r="AA34" s="138"/>
      <c r="AB34" s="140" t="str">
        <f t="shared" ref="AB34:AI46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/>
      </c>
      <c r="AC34" s="140" t="str">
        <f t="shared" si="8"/>
        <v/>
      </c>
      <c r="AD34" s="140" t="str">
        <f t="shared" si="8"/>
        <v/>
      </c>
      <c r="AE34" s="140" t="str">
        <f t="shared" si="8"/>
        <v/>
      </c>
      <c r="AF34" s="140" t="str">
        <f t="shared" si="8"/>
        <v/>
      </c>
      <c r="AG34" s="140" t="str">
        <f t="shared" si="8"/>
        <v/>
      </c>
      <c r="AH34" s="140" t="str">
        <f t="shared" si="8"/>
        <v/>
      </c>
      <c r="AI34" s="140" t="str">
        <f t="shared" si="8"/>
        <v/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190" t="str">
        <f>_xll.DBRA(Server&amp;$A$21,$A35,$H$18)</f>
        <v>Management fees</v>
      </c>
      <c r="H35" s="191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 t="str">
        <f t="shared" si="8"/>
        <v/>
      </c>
      <c r="AC35" s="134" t="str">
        <f t="shared" si="8"/>
        <v/>
      </c>
      <c r="AD35" s="134" t="str">
        <f t="shared" si="8"/>
        <v/>
      </c>
      <c r="AE35" s="134" t="str">
        <f t="shared" si="8"/>
        <v/>
      </c>
      <c r="AF35" s="134" t="str">
        <f t="shared" si="8"/>
        <v/>
      </c>
      <c r="AG35" s="134" t="str">
        <f t="shared" si="8"/>
        <v/>
      </c>
      <c r="AH35" s="134" t="str">
        <f t="shared" si="8"/>
        <v/>
      </c>
      <c r="AI35" s="135" t="str">
        <f t="shared" si="8"/>
        <v/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195" t="str">
        <f>_xll.DBRA(Server&amp;$A$21,$A36,$H$18)</f>
        <v>OPERATING PROFIT</v>
      </c>
      <c r="H36" s="195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 t="str">
        <f t="shared" si="8"/>
        <v/>
      </c>
      <c r="AC36" s="137" t="str">
        <f t="shared" si="8"/>
        <v/>
      </c>
      <c r="AD36" s="137" t="str">
        <f t="shared" si="8"/>
        <v/>
      </c>
      <c r="AE36" s="137" t="str">
        <f t="shared" si="8"/>
        <v/>
      </c>
      <c r="AF36" s="137" t="str">
        <f t="shared" si="8"/>
        <v/>
      </c>
      <c r="AG36" s="137" t="str">
        <f t="shared" si="8"/>
        <v/>
      </c>
      <c r="AH36" s="137" t="str">
        <f t="shared" si="8"/>
        <v/>
      </c>
      <c r="AI36" s="137" t="str">
        <f t="shared" si="8"/>
        <v/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9">IF(ISERROR(+I$36/I$26)=TRUE,0,+I$36/I$26)</f>
        <v>0</v>
      </c>
      <c r="J37" s="140">
        <f t="shared" si="9"/>
        <v>0</v>
      </c>
      <c r="K37" s="140">
        <f t="shared" si="9"/>
        <v>0</v>
      </c>
      <c r="L37" s="140">
        <f t="shared" si="9"/>
        <v>0</v>
      </c>
      <c r="M37" s="140">
        <f t="shared" si="9"/>
        <v>0</v>
      </c>
      <c r="N37" s="140">
        <f t="shared" si="9"/>
        <v>0</v>
      </c>
      <c r="O37" s="140">
        <f t="shared" si="9"/>
        <v>0</v>
      </c>
      <c r="P37" s="140">
        <f t="shared" si="9"/>
        <v>0</v>
      </c>
      <c r="Q37" s="136"/>
      <c r="R37" s="136"/>
      <c r="S37" s="140">
        <f t="shared" si="9"/>
        <v>0</v>
      </c>
      <c r="T37" s="140">
        <f t="shared" si="9"/>
        <v>0</v>
      </c>
      <c r="U37" s="140">
        <f t="shared" si="9"/>
        <v>0</v>
      </c>
      <c r="V37" s="140">
        <f t="shared" si="9"/>
        <v>0</v>
      </c>
      <c r="W37" s="140">
        <f t="shared" si="9"/>
        <v>0</v>
      </c>
      <c r="X37" s="140">
        <f t="shared" si="9"/>
        <v>0</v>
      </c>
      <c r="Y37" s="140">
        <f t="shared" si="9"/>
        <v>0</v>
      </c>
      <c r="Z37" s="140">
        <f t="shared" si="9"/>
        <v>0</v>
      </c>
      <c r="AA37" s="136"/>
      <c r="AB37" s="140" t="str">
        <f t="shared" si="8"/>
        <v/>
      </c>
      <c r="AC37" s="140" t="str">
        <f t="shared" si="8"/>
        <v/>
      </c>
      <c r="AD37" s="140" t="str">
        <f t="shared" si="8"/>
        <v/>
      </c>
      <c r="AE37" s="140" t="str">
        <f t="shared" si="8"/>
        <v/>
      </c>
      <c r="AF37" s="140" t="str">
        <f t="shared" si="8"/>
        <v/>
      </c>
      <c r="AG37" s="140" t="str">
        <f t="shared" si="8"/>
        <v/>
      </c>
      <c r="AH37" s="140" t="str">
        <f t="shared" si="8"/>
        <v/>
      </c>
      <c r="AI37" s="140" t="str">
        <f t="shared" si="8"/>
        <v/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190" t="str">
        <f>_xll.DBRA(Server&amp;$A$21,$A38,$H$18)</f>
        <v>Cost of net financial debt (total)</v>
      </c>
      <c r="H38" s="191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 t="str">
        <f t="shared" si="8"/>
        <v/>
      </c>
      <c r="AC38" s="134" t="str">
        <f t="shared" si="8"/>
        <v/>
      </c>
      <c r="AD38" s="134" t="str">
        <f t="shared" si="8"/>
        <v/>
      </c>
      <c r="AE38" s="134" t="str">
        <f t="shared" si="8"/>
        <v/>
      </c>
      <c r="AF38" s="134" t="str">
        <f t="shared" si="8"/>
        <v/>
      </c>
      <c r="AG38" s="134" t="str">
        <f t="shared" si="8"/>
        <v/>
      </c>
      <c r="AH38" s="134" t="str">
        <f t="shared" si="8"/>
        <v/>
      </c>
      <c r="AI38" s="135" t="str">
        <f t="shared" si="8"/>
        <v/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190" t="str">
        <f>_xll.DBRA(Server&amp;$A$21,$A39,$H$18)</f>
        <v>Other financial result</v>
      </c>
      <c r="H39" s="191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 t="str">
        <f t="shared" si="8"/>
        <v/>
      </c>
      <c r="AC39" s="134" t="str">
        <f t="shared" si="8"/>
        <v/>
      </c>
      <c r="AD39" s="134" t="str">
        <f t="shared" si="8"/>
        <v/>
      </c>
      <c r="AE39" s="134" t="str">
        <f t="shared" si="8"/>
        <v/>
      </c>
      <c r="AF39" s="134" t="str">
        <f t="shared" si="8"/>
        <v/>
      </c>
      <c r="AG39" s="134" t="str">
        <f t="shared" si="8"/>
        <v/>
      </c>
      <c r="AH39" s="134" t="str">
        <f t="shared" si="8"/>
        <v/>
      </c>
      <c r="AI39" s="135" t="str">
        <f t="shared" si="8"/>
        <v/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197" t="str">
        <f>_xll.DBRA(Server&amp;$A$21,$A40,$H$18)</f>
        <v>PROFIT OR LOSS before Tax</v>
      </c>
      <c r="H40" s="198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 t="str">
        <f t="shared" si="8"/>
        <v/>
      </c>
      <c r="AC40" s="137" t="str">
        <f t="shared" si="8"/>
        <v/>
      </c>
      <c r="AD40" s="137" t="str">
        <f t="shared" si="8"/>
        <v/>
      </c>
      <c r="AE40" s="137" t="str">
        <f t="shared" si="8"/>
        <v/>
      </c>
      <c r="AF40" s="137" t="str">
        <f t="shared" si="8"/>
        <v/>
      </c>
      <c r="AG40" s="137" t="str">
        <f t="shared" si="8"/>
        <v/>
      </c>
      <c r="AH40" s="137" t="str">
        <f t="shared" si="8"/>
        <v/>
      </c>
      <c r="AI40" s="137" t="str">
        <f t="shared" si="8"/>
        <v/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190" t="str">
        <f>_xll.DBRA(Server&amp;$A$21,$A41,$H$18)</f>
        <v>Income tax expense</v>
      </c>
      <c r="H41" s="191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 t="str">
        <f t="shared" si="8"/>
        <v/>
      </c>
      <c r="AC41" s="134" t="str">
        <f t="shared" si="8"/>
        <v/>
      </c>
      <c r="AD41" s="134" t="str">
        <f t="shared" si="8"/>
        <v/>
      </c>
      <c r="AE41" s="134" t="str">
        <f t="shared" si="8"/>
        <v/>
      </c>
      <c r="AF41" s="134" t="str">
        <f t="shared" si="8"/>
        <v/>
      </c>
      <c r="AG41" s="134" t="str">
        <f t="shared" si="8"/>
        <v/>
      </c>
      <c r="AH41" s="134" t="str">
        <f t="shared" si="8"/>
        <v/>
      </c>
      <c r="AI41" s="135" t="str">
        <f t="shared" si="8"/>
        <v/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190" t="str">
        <f>_xll.DBRA(Server&amp;$A$21,$A42,$H$18)</f>
        <v>Profit or loss from discontinued activities</v>
      </c>
      <c r="H42" s="191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 t="str">
        <f t="shared" si="8"/>
        <v/>
      </c>
      <c r="AC42" s="134" t="str">
        <f t="shared" si="8"/>
        <v/>
      </c>
      <c r="AD42" s="134" t="str">
        <f t="shared" si="8"/>
        <v/>
      </c>
      <c r="AE42" s="134" t="str">
        <f t="shared" si="8"/>
        <v/>
      </c>
      <c r="AF42" s="134" t="str">
        <f t="shared" si="8"/>
        <v/>
      </c>
      <c r="AG42" s="134" t="str">
        <f t="shared" si="8"/>
        <v/>
      </c>
      <c r="AH42" s="134" t="str">
        <f t="shared" si="8"/>
        <v/>
      </c>
      <c r="AI42" s="135" t="str">
        <f t="shared" si="8"/>
        <v/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197" t="str">
        <f>_xll.DBRA(Server&amp;$A$21,$A43,$H$18)</f>
        <v>NET PROFIT OR LOSS</v>
      </c>
      <c r="H43" s="198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 t="str">
        <f t="shared" si="8"/>
        <v/>
      </c>
      <c r="AC43" s="141" t="str">
        <f t="shared" si="8"/>
        <v/>
      </c>
      <c r="AD43" s="141" t="str">
        <f t="shared" si="8"/>
        <v/>
      </c>
      <c r="AE43" s="141" t="str">
        <f t="shared" si="8"/>
        <v/>
      </c>
      <c r="AF43" s="141" t="str">
        <f t="shared" si="8"/>
        <v/>
      </c>
      <c r="AG43" s="141" t="str">
        <f t="shared" si="8"/>
        <v/>
      </c>
      <c r="AH43" s="141" t="str">
        <f t="shared" si="8"/>
        <v/>
      </c>
      <c r="AI43" s="141" t="str">
        <f t="shared" si="8"/>
        <v/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190" t="str">
        <f>_xll.DBRA(Server&amp;$A$21,$A44,$H$18)</f>
        <v>Non controlling Interest</v>
      </c>
      <c r="H44" s="191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 t="str">
        <f t="shared" si="8"/>
        <v/>
      </c>
      <c r="AC44" s="134" t="str">
        <f t="shared" si="8"/>
        <v/>
      </c>
      <c r="AD44" s="134" t="str">
        <f t="shared" si="8"/>
        <v/>
      </c>
      <c r="AE44" s="134" t="str">
        <f t="shared" si="8"/>
        <v/>
      </c>
      <c r="AF44" s="134" t="str">
        <f t="shared" si="8"/>
        <v/>
      </c>
      <c r="AG44" s="134" t="str">
        <f t="shared" si="8"/>
        <v/>
      </c>
      <c r="AH44" s="134" t="str">
        <f t="shared" si="8"/>
        <v/>
      </c>
      <c r="AI44" s="135" t="str">
        <f t="shared" si="8"/>
        <v/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197" t="str">
        <f>_xll.DBRA(Server&amp;$A$21,$A45,$H$18)</f>
        <v>NET PROFIT OR LOSS ATTRIBUTABLE TO GROUP</v>
      </c>
      <c r="H45" s="198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 t="str">
        <f t="shared" si="8"/>
        <v/>
      </c>
      <c r="AC45" s="141" t="str">
        <f t="shared" si="8"/>
        <v/>
      </c>
      <c r="AD45" s="141" t="str">
        <f t="shared" si="8"/>
        <v/>
      </c>
      <c r="AE45" s="141" t="str">
        <f t="shared" si="8"/>
        <v/>
      </c>
      <c r="AF45" s="141" t="str">
        <f t="shared" si="8"/>
        <v/>
      </c>
      <c r="AG45" s="141" t="str">
        <f t="shared" si="8"/>
        <v/>
      </c>
      <c r="AH45" s="141" t="str">
        <f t="shared" si="8"/>
        <v/>
      </c>
      <c r="AI45" s="141" t="str">
        <f t="shared" si="8"/>
        <v/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0">IF(ISERROR(+I$45/I$26)=TRUE,0,+I$45/I$26)</f>
        <v>0</v>
      </c>
      <c r="J46" s="140">
        <f t="shared" si="10"/>
        <v>0</v>
      </c>
      <c r="K46" s="140">
        <f t="shared" si="10"/>
        <v>0</v>
      </c>
      <c r="L46" s="140">
        <f t="shared" si="10"/>
        <v>0</v>
      </c>
      <c r="M46" s="140">
        <f t="shared" si="10"/>
        <v>0</v>
      </c>
      <c r="N46" s="140">
        <f t="shared" si="10"/>
        <v>0</v>
      </c>
      <c r="O46" s="140">
        <f t="shared" si="10"/>
        <v>0</v>
      </c>
      <c r="P46" s="140">
        <f t="shared" si="10"/>
        <v>0</v>
      </c>
      <c r="Q46" s="138"/>
      <c r="R46" s="138"/>
      <c r="S46" s="140">
        <f t="shared" si="10"/>
        <v>0</v>
      </c>
      <c r="T46" s="140">
        <f t="shared" si="10"/>
        <v>0</v>
      </c>
      <c r="U46" s="140">
        <f t="shared" si="10"/>
        <v>0</v>
      </c>
      <c r="V46" s="140">
        <f t="shared" si="10"/>
        <v>0</v>
      </c>
      <c r="W46" s="140">
        <f t="shared" si="10"/>
        <v>0</v>
      </c>
      <c r="X46" s="140">
        <f t="shared" si="10"/>
        <v>0</v>
      </c>
      <c r="Y46" s="140">
        <f t="shared" si="10"/>
        <v>0</v>
      </c>
      <c r="Z46" s="140">
        <f t="shared" si="10"/>
        <v>0</v>
      </c>
      <c r="AA46" s="138"/>
      <c r="AB46" s="140" t="str">
        <f t="shared" si="8"/>
        <v/>
      </c>
      <c r="AC46" s="140" t="str">
        <f t="shared" si="8"/>
        <v/>
      </c>
      <c r="AD46" s="140" t="str">
        <f t="shared" si="8"/>
        <v/>
      </c>
      <c r="AE46" s="140" t="str">
        <f t="shared" si="8"/>
        <v/>
      </c>
      <c r="AF46" s="140" t="str">
        <f t="shared" si="8"/>
        <v/>
      </c>
      <c r="AG46" s="140" t="str">
        <f t="shared" si="8"/>
        <v/>
      </c>
      <c r="AH46" s="140" t="str">
        <f t="shared" si="8"/>
        <v/>
      </c>
      <c r="AI46" s="140" t="str">
        <f t="shared" si="8"/>
        <v/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192" t="str">
        <f>_xll.DBRA(Server&amp;$AL$25,$AL$51,$H$18)</f>
        <v>II - CASH FLOW STATEMENT</v>
      </c>
      <c r="H48" s="192"/>
      <c r="I48" s="128" t="str">
        <f>I$21</f>
        <v xml:space="preserve"> 2020</v>
      </c>
      <c r="J48" s="128" t="str">
        <f t="shared" ref="J48:P48" si="11">J$21</f>
        <v xml:space="preserve"> 2021</v>
      </c>
      <c r="K48" s="128" t="str">
        <f t="shared" si="11"/>
        <v xml:space="preserve"> 2022</v>
      </c>
      <c r="L48" s="128" t="str">
        <f t="shared" si="11"/>
        <v xml:space="preserve"> 2023</v>
      </c>
      <c r="M48" s="128" t="str">
        <f t="shared" si="11"/>
        <v xml:space="preserve"> 2024</v>
      </c>
      <c r="N48" s="128" t="str">
        <f t="shared" si="11"/>
        <v xml:space="preserve"> 2025</v>
      </c>
      <c r="O48" s="128" t="str">
        <f t="shared" si="11"/>
        <v xml:space="preserve"> 2026</v>
      </c>
      <c r="P48" s="128" t="str">
        <f t="shared" si="11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2">T$21</f>
        <v xml:space="preserve"> 2019</v>
      </c>
      <c r="U48" s="128" t="str">
        <f t="shared" si="12"/>
        <v xml:space="preserve"> 2020</v>
      </c>
      <c r="V48" s="128" t="str">
        <f t="shared" si="12"/>
        <v xml:space="preserve"> 2021</v>
      </c>
      <c r="W48" s="128" t="str">
        <f t="shared" si="12"/>
        <v xml:space="preserve"> 2022</v>
      </c>
      <c r="X48" s="128" t="str">
        <f t="shared" si="12"/>
        <v xml:space="preserve"> 2023</v>
      </c>
      <c r="Y48" s="128" t="str">
        <f t="shared" si="12"/>
        <v xml:space="preserve"> 2024</v>
      </c>
      <c r="Z48" s="128" t="str">
        <f t="shared" si="12"/>
        <v xml:space="preserve"> 2025</v>
      </c>
      <c r="AA48" s="138"/>
      <c r="AB48" s="128" t="str">
        <f>I48</f>
        <v xml:space="preserve"> 2020</v>
      </c>
      <c r="AC48" s="128" t="str">
        <f t="shared" ref="AC48:AI48" si="13">J48</f>
        <v xml:space="preserve"> 2021</v>
      </c>
      <c r="AD48" s="128" t="str">
        <f t="shared" si="13"/>
        <v xml:space="preserve"> 2022</v>
      </c>
      <c r="AE48" s="128" t="str">
        <f t="shared" si="13"/>
        <v xml:space="preserve"> 2023</v>
      </c>
      <c r="AF48" s="128" t="str">
        <f t="shared" si="13"/>
        <v xml:space="preserve"> 2024</v>
      </c>
      <c r="AG48" s="128" t="str">
        <f t="shared" si="13"/>
        <v xml:space="preserve"> 2025</v>
      </c>
      <c r="AH48" s="128" t="str">
        <f t="shared" si="13"/>
        <v xml:space="preserve"> 2026</v>
      </c>
      <c r="AI48" s="128" t="str">
        <f t="shared" si="13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199" t="str">
        <f>_xll.DBRA(Server&amp;$A$21,$A50,$H$18)</f>
        <v>OPERATING PROFIT</v>
      </c>
      <c r="H50" s="199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 t="str">
        <f t="shared" ref="AB50:AI59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/>
      </c>
      <c r="AC50" s="141" t="str">
        <f t="shared" si="14"/>
        <v/>
      </c>
      <c r="AD50" s="141" t="str">
        <f t="shared" si="14"/>
        <v/>
      </c>
      <c r="AE50" s="141" t="str">
        <f t="shared" si="14"/>
        <v/>
      </c>
      <c r="AF50" s="141" t="str">
        <f t="shared" si="14"/>
        <v/>
      </c>
      <c r="AG50" s="141" t="str">
        <f t="shared" si="14"/>
        <v/>
      </c>
      <c r="AH50" s="141" t="str">
        <f t="shared" si="14"/>
        <v/>
      </c>
      <c r="AI50" s="141" t="str">
        <f t="shared" si="14"/>
        <v/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8" t="str">
        <f>_xll.DBRA(Server&amp;$A$21,$A51,$H$18)</f>
        <v>Amortization</v>
      </c>
      <c r="H51" s="208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 t="str">
        <f t="shared" si="14"/>
        <v/>
      </c>
      <c r="AC51" s="146" t="str">
        <f t="shared" si="14"/>
        <v/>
      </c>
      <c r="AD51" s="146" t="str">
        <f t="shared" si="14"/>
        <v/>
      </c>
      <c r="AE51" s="146" t="str">
        <f t="shared" si="14"/>
        <v/>
      </c>
      <c r="AF51" s="146" t="str">
        <f t="shared" si="14"/>
        <v/>
      </c>
      <c r="AG51" s="146" t="str">
        <f t="shared" si="14"/>
        <v/>
      </c>
      <c r="AH51" s="146" t="str">
        <f t="shared" si="14"/>
        <v/>
      </c>
      <c r="AI51" s="146" t="str">
        <f t="shared" si="14"/>
        <v/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190" t="str">
        <f>_xll.DBRA(Server&amp;$A$21,$A52,$H$18)</f>
        <v>Provisions</v>
      </c>
      <c r="H52" s="191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 t="str">
        <f t="shared" si="14"/>
        <v/>
      </c>
      <c r="AC52" s="133" t="str">
        <f t="shared" si="14"/>
        <v/>
      </c>
      <c r="AD52" s="133" t="str">
        <f t="shared" si="14"/>
        <v/>
      </c>
      <c r="AE52" s="133" t="str">
        <f t="shared" si="14"/>
        <v/>
      </c>
      <c r="AF52" s="133" t="str">
        <f t="shared" si="14"/>
        <v/>
      </c>
      <c r="AG52" s="133" t="str">
        <f t="shared" si="14"/>
        <v/>
      </c>
      <c r="AH52" s="133" t="str">
        <f t="shared" si="14"/>
        <v/>
      </c>
      <c r="AI52" s="133" t="str">
        <f t="shared" si="14"/>
        <v/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190" t="str">
        <f>_xll.DBRA(Server&amp;$A$21,$A53,$H$18)</f>
        <v>Other non cash items (Gain or loss on sales, Impairment)</v>
      </c>
      <c r="H53" s="191"/>
      <c r="I53" s="133">
        <f>I55-I50-I51-I52-I54</f>
        <v>0</v>
      </c>
      <c r="J53" s="133">
        <f t="shared" ref="J53:P53" si="15">J55-J50-J51-J52-J54</f>
        <v>0</v>
      </c>
      <c r="K53" s="133">
        <f t="shared" si="15"/>
        <v>0</v>
      </c>
      <c r="L53" s="133">
        <f t="shared" si="15"/>
        <v>0</v>
      </c>
      <c r="M53" s="133">
        <f t="shared" si="15"/>
        <v>0</v>
      </c>
      <c r="N53" s="133">
        <f t="shared" si="15"/>
        <v>0</v>
      </c>
      <c r="O53" s="133">
        <f t="shared" si="15"/>
        <v>0</v>
      </c>
      <c r="P53" s="133">
        <f t="shared" si="15"/>
        <v>0</v>
      </c>
      <c r="Q53" s="138"/>
      <c r="R53" s="138"/>
      <c r="S53" s="133">
        <f>S55-S50-S51-S52-S54</f>
        <v>0</v>
      </c>
      <c r="T53" s="133">
        <f t="shared" ref="T53:Z53" si="16">T55-T50-T51-T52-T54</f>
        <v>0</v>
      </c>
      <c r="U53" s="133">
        <f t="shared" si="16"/>
        <v>0</v>
      </c>
      <c r="V53" s="133">
        <f t="shared" si="16"/>
        <v>0</v>
      </c>
      <c r="W53" s="133">
        <f t="shared" si="16"/>
        <v>0</v>
      </c>
      <c r="X53" s="133">
        <f t="shared" si="16"/>
        <v>0</v>
      </c>
      <c r="Y53" s="133">
        <f t="shared" si="16"/>
        <v>0</v>
      </c>
      <c r="Z53" s="133">
        <f t="shared" si="16"/>
        <v>0</v>
      </c>
      <c r="AA53" s="138"/>
      <c r="AB53" s="133" t="str">
        <f t="shared" si="14"/>
        <v/>
      </c>
      <c r="AC53" s="133" t="str">
        <f t="shared" si="14"/>
        <v/>
      </c>
      <c r="AD53" s="133" t="str">
        <f t="shared" si="14"/>
        <v/>
      </c>
      <c r="AE53" s="133" t="str">
        <f t="shared" si="14"/>
        <v/>
      </c>
      <c r="AF53" s="133" t="str">
        <f t="shared" si="14"/>
        <v/>
      </c>
      <c r="AG53" s="133" t="str">
        <f t="shared" si="14"/>
        <v/>
      </c>
      <c r="AH53" s="133" t="str">
        <f t="shared" si="14"/>
        <v/>
      </c>
      <c r="AI53" s="133" t="str">
        <f t="shared" si="14"/>
        <v/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190" t="str">
        <f>_xll.DBRA(Server&amp;$A$21,$A54,$H$18)</f>
        <v>Profit or loss of associates &amp; JV</v>
      </c>
      <c r="H54" s="191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 t="str">
        <f t="shared" si="14"/>
        <v/>
      </c>
      <c r="AC54" s="133" t="str">
        <f t="shared" si="14"/>
        <v/>
      </c>
      <c r="AD54" s="133" t="str">
        <f t="shared" si="14"/>
        <v/>
      </c>
      <c r="AE54" s="133" t="str">
        <f t="shared" si="14"/>
        <v/>
      </c>
      <c r="AF54" s="133" t="str">
        <f t="shared" si="14"/>
        <v/>
      </c>
      <c r="AG54" s="133" t="str">
        <f t="shared" si="14"/>
        <v/>
      </c>
      <c r="AH54" s="133" t="str">
        <f t="shared" si="14"/>
        <v/>
      </c>
      <c r="AI54" s="133" t="str">
        <f t="shared" si="14"/>
        <v/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189" t="str">
        <f>_xll.DBRA(Server&amp;$A$21,$A55,$H$18)</f>
        <v>OPERATING CASH FLOW (EBITDA)</v>
      </c>
      <c r="H55" s="189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 t="str">
        <f t="shared" si="14"/>
        <v/>
      </c>
      <c r="AC55" s="141" t="str">
        <f t="shared" si="14"/>
        <v/>
      </c>
      <c r="AD55" s="141" t="str">
        <f t="shared" si="14"/>
        <v/>
      </c>
      <c r="AE55" s="141" t="str">
        <f t="shared" si="14"/>
        <v/>
      </c>
      <c r="AF55" s="141" t="str">
        <f t="shared" si="14"/>
        <v/>
      </c>
      <c r="AG55" s="141" t="str">
        <f t="shared" si="14"/>
        <v/>
      </c>
      <c r="AH55" s="141" t="str">
        <f t="shared" si="14"/>
        <v/>
      </c>
      <c r="AI55" s="141" t="str">
        <f t="shared" si="14"/>
        <v/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190" t="str">
        <f>_xll.DBRA(Server&amp;$A$21,$A56,$H$18)</f>
        <v>Other financial income and expenses (cash)</v>
      </c>
      <c r="H56" s="191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 t="str">
        <f t="shared" si="14"/>
        <v/>
      </c>
      <c r="AC56" s="133" t="str">
        <f t="shared" si="14"/>
        <v/>
      </c>
      <c r="AD56" s="133" t="str">
        <f t="shared" si="14"/>
        <v/>
      </c>
      <c r="AE56" s="133" t="str">
        <f t="shared" si="14"/>
        <v/>
      </c>
      <c r="AF56" s="133" t="str">
        <f t="shared" si="14"/>
        <v/>
      </c>
      <c r="AG56" s="133" t="str">
        <f t="shared" si="14"/>
        <v/>
      </c>
      <c r="AH56" s="133" t="str">
        <f t="shared" si="14"/>
        <v/>
      </c>
      <c r="AI56" s="133" t="str">
        <f t="shared" si="14"/>
        <v/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190" t="str">
        <f>_xll.DBRA(Server&amp;$A$21,$A57,$H$18)</f>
        <v>Operating cash flow from discontinued activities</v>
      </c>
      <c r="H57" s="191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 t="str">
        <f t="shared" si="14"/>
        <v/>
      </c>
      <c r="AC57" s="133" t="str">
        <f t="shared" si="14"/>
        <v/>
      </c>
      <c r="AD57" s="133" t="str">
        <f t="shared" si="14"/>
        <v/>
      </c>
      <c r="AE57" s="133" t="str">
        <f t="shared" si="14"/>
        <v/>
      </c>
      <c r="AF57" s="133" t="str">
        <f t="shared" si="14"/>
        <v/>
      </c>
      <c r="AG57" s="133" t="str">
        <f t="shared" si="14"/>
        <v/>
      </c>
      <c r="AH57" s="133" t="str">
        <f t="shared" si="14"/>
        <v/>
      </c>
      <c r="AI57" s="133" t="str">
        <f t="shared" si="14"/>
        <v/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189" t="str">
        <f>_xll.DBRA(Server&amp;$A$21,$A58,$H$18)</f>
        <v>CASH FLOW FROM OPERATION ACTIVITIES before WC &amp; Tax</v>
      </c>
      <c r="H58" s="189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 t="str">
        <f t="shared" si="14"/>
        <v/>
      </c>
      <c r="AC58" s="141" t="str">
        <f t="shared" si="14"/>
        <v/>
      </c>
      <c r="AD58" s="141" t="str">
        <f t="shared" si="14"/>
        <v/>
      </c>
      <c r="AE58" s="141" t="str">
        <f t="shared" si="14"/>
        <v/>
      </c>
      <c r="AF58" s="141" t="str">
        <f t="shared" si="14"/>
        <v/>
      </c>
      <c r="AG58" s="141" t="str">
        <f t="shared" si="14"/>
        <v/>
      </c>
      <c r="AH58" s="141" t="str">
        <f t="shared" si="14"/>
        <v/>
      </c>
      <c r="AI58" s="141" t="str">
        <f t="shared" si="14"/>
        <v/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190" t="str">
        <f>_xll.DBRA(Server&amp;$A$21,$A59,$H$18)</f>
        <v>Income tax paid &amp; tax working capital</v>
      </c>
      <c r="H59" s="191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 t="str">
        <f t="shared" si="14"/>
        <v/>
      </c>
      <c r="AC59" s="134" t="str">
        <f t="shared" si="14"/>
        <v/>
      </c>
      <c r="AD59" s="134" t="str">
        <f t="shared" si="14"/>
        <v/>
      </c>
      <c r="AE59" s="134" t="str">
        <f t="shared" si="14"/>
        <v/>
      </c>
      <c r="AF59" s="134" t="str">
        <f t="shared" si="14"/>
        <v/>
      </c>
      <c r="AG59" s="134" t="str">
        <f t="shared" si="14"/>
        <v/>
      </c>
      <c r="AH59" s="134" t="str">
        <f t="shared" si="14"/>
        <v/>
      </c>
      <c r="AI59" s="135" t="str">
        <f t="shared" si="14"/>
        <v/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190" t="str">
        <f>_xll.DBRA(Server&amp;$A$21,$A60,$H$18)</f>
        <v>Change in operating working capital</v>
      </c>
      <c r="H60" s="191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 t="str">
        <f t="shared" ref="AB60:AI69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/>
      </c>
      <c r="AC60" s="134" t="str">
        <f t="shared" si="17"/>
        <v/>
      </c>
      <c r="AD60" s="134" t="str">
        <f t="shared" si="17"/>
        <v/>
      </c>
      <c r="AE60" s="134" t="str">
        <f t="shared" si="17"/>
        <v/>
      </c>
      <c r="AF60" s="134" t="str">
        <f t="shared" si="17"/>
        <v/>
      </c>
      <c r="AG60" s="134" t="str">
        <f t="shared" si="17"/>
        <v/>
      </c>
      <c r="AH60" s="134" t="str">
        <f t="shared" si="17"/>
        <v/>
      </c>
      <c r="AI60" s="135" t="str">
        <f t="shared" si="17"/>
        <v/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189" t="str">
        <f>_xll.DBRA(Server&amp;$A$21,$A61,$H$18)</f>
        <v>NET CASH FLOW FROM OPERATIONS</v>
      </c>
      <c r="H61" s="189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 t="str">
        <f t="shared" si="17"/>
        <v/>
      </c>
      <c r="AC61" s="141" t="str">
        <f t="shared" si="17"/>
        <v/>
      </c>
      <c r="AD61" s="141" t="str">
        <f t="shared" si="17"/>
        <v/>
      </c>
      <c r="AE61" s="141" t="str">
        <f t="shared" si="17"/>
        <v/>
      </c>
      <c r="AF61" s="141" t="str">
        <f t="shared" si="17"/>
        <v/>
      </c>
      <c r="AG61" s="141" t="str">
        <f t="shared" si="17"/>
        <v/>
      </c>
      <c r="AH61" s="141" t="str">
        <f t="shared" si="17"/>
        <v/>
      </c>
      <c r="AI61" s="141" t="str">
        <f t="shared" si="17"/>
        <v/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190" t="str">
        <f>_xll.DBRA(Server&amp;$A$21,$A62,$H$18)</f>
        <v>CAPEX - All financing mode (excl. IFRIC 12)</v>
      </c>
      <c r="H62" s="191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 t="str">
        <f t="shared" si="17"/>
        <v/>
      </c>
      <c r="AC62" s="133" t="str">
        <f t="shared" si="17"/>
        <v/>
      </c>
      <c r="AD62" s="133" t="str">
        <f t="shared" si="17"/>
        <v/>
      </c>
      <c r="AE62" s="133" t="str">
        <f t="shared" si="17"/>
        <v/>
      </c>
      <c r="AF62" s="133" t="str">
        <f t="shared" si="17"/>
        <v/>
      </c>
      <c r="AG62" s="133" t="str">
        <f t="shared" si="17"/>
        <v/>
      </c>
      <c r="AH62" s="133" t="str">
        <f t="shared" si="17"/>
        <v/>
      </c>
      <c r="AI62" s="133" t="str">
        <f t="shared" si="17"/>
        <v/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190" t="str">
        <f>_xll.DBRA(Server&amp;$A$21,$A63,$H$18)</f>
        <v>New Operating financial assets - IFRIC 12 impacting NFD</v>
      </c>
      <c r="H63" s="191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 t="str">
        <f t="shared" si="17"/>
        <v/>
      </c>
      <c r="AC63" s="134" t="str">
        <f t="shared" si="17"/>
        <v/>
      </c>
      <c r="AD63" s="134" t="str">
        <f t="shared" si="17"/>
        <v/>
      </c>
      <c r="AE63" s="134" t="str">
        <f t="shared" si="17"/>
        <v/>
      </c>
      <c r="AF63" s="134" t="str">
        <f t="shared" si="17"/>
        <v/>
      </c>
      <c r="AG63" s="134" t="str">
        <f t="shared" si="17"/>
        <v/>
      </c>
      <c r="AH63" s="134" t="str">
        <f t="shared" si="17"/>
        <v/>
      </c>
      <c r="AI63" s="135" t="str">
        <f t="shared" si="17"/>
        <v/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190" t="str">
        <f>_xll.DBRA(Server&amp;$A$21,$A64,$H$18)</f>
        <v>Financial investments (incl. Net debt of acquired entities)</v>
      </c>
      <c r="H64" s="191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 t="str">
        <f t="shared" si="17"/>
        <v/>
      </c>
      <c r="AC64" s="133" t="str">
        <f t="shared" si="17"/>
        <v/>
      </c>
      <c r="AD64" s="133" t="str">
        <f t="shared" si="17"/>
        <v/>
      </c>
      <c r="AE64" s="133" t="str">
        <f t="shared" si="17"/>
        <v/>
      </c>
      <c r="AF64" s="133" t="str">
        <f t="shared" si="17"/>
        <v/>
      </c>
      <c r="AG64" s="133" t="str">
        <f t="shared" si="17"/>
        <v/>
      </c>
      <c r="AH64" s="133" t="str">
        <f t="shared" si="17"/>
        <v/>
      </c>
      <c r="AI64" s="133" t="str">
        <f t="shared" si="17"/>
        <v/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190" t="str">
        <f>_xll.DBRA(Server&amp;$A$21,$A65,$H$18)</f>
        <v>Industrial disposal</v>
      </c>
      <c r="H65" s="191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 t="str">
        <f t="shared" si="17"/>
        <v/>
      </c>
      <c r="AC65" s="134" t="str">
        <f t="shared" si="17"/>
        <v/>
      </c>
      <c r="AD65" s="134" t="str">
        <f t="shared" si="17"/>
        <v/>
      </c>
      <c r="AE65" s="134" t="str">
        <f t="shared" si="17"/>
        <v/>
      </c>
      <c r="AF65" s="134" t="str">
        <f t="shared" si="17"/>
        <v/>
      </c>
      <c r="AG65" s="134" t="str">
        <f t="shared" si="17"/>
        <v/>
      </c>
      <c r="AH65" s="134" t="str">
        <f t="shared" si="17"/>
        <v/>
      </c>
      <c r="AI65" s="135" t="str">
        <f t="shared" si="17"/>
        <v/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190" t="str">
        <f>_xll.DBRA(Server&amp;$A$21,$A66,$H$18)</f>
        <v>Repayments on operating financial assets  - IFRIC 12 impacting NFD</v>
      </c>
      <c r="H66" s="191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 t="str">
        <f t="shared" si="17"/>
        <v/>
      </c>
      <c r="AC66" s="133" t="str">
        <f t="shared" si="17"/>
        <v/>
      </c>
      <c r="AD66" s="133" t="str">
        <f t="shared" si="17"/>
        <v/>
      </c>
      <c r="AE66" s="133" t="str">
        <f t="shared" si="17"/>
        <v/>
      </c>
      <c r="AF66" s="133" t="str">
        <f t="shared" si="17"/>
        <v/>
      </c>
      <c r="AG66" s="133" t="str">
        <f t="shared" si="17"/>
        <v/>
      </c>
      <c r="AH66" s="133" t="str">
        <f t="shared" si="17"/>
        <v/>
      </c>
      <c r="AI66" s="133" t="str">
        <f t="shared" si="17"/>
        <v/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190" t="str">
        <f>_xll.DBRA(Server&amp;$A$21,$A67,$H$18)</f>
        <v>Financial disposals (Incl. Net debt of sold entities)</v>
      </c>
      <c r="H67" s="191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 t="str">
        <f t="shared" si="17"/>
        <v/>
      </c>
      <c r="AC67" s="133" t="str">
        <f t="shared" si="17"/>
        <v/>
      </c>
      <c r="AD67" s="133" t="str">
        <f t="shared" si="17"/>
        <v/>
      </c>
      <c r="AE67" s="133" t="str">
        <f t="shared" si="17"/>
        <v/>
      </c>
      <c r="AF67" s="133" t="str">
        <f t="shared" si="17"/>
        <v/>
      </c>
      <c r="AG67" s="133" t="str">
        <f t="shared" si="17"/>
        <v/>
      </c>
      <c r="AH67" s="133" t="str">
        <f t="shared" si="17"/>
        <v/>
      </c>
      <c r="AI67" s="133" t="str">
        <f t="shared" si="17"/>
        <v/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190" t="str">
        <f>_xll.DBRA(Server&amp;$A$21,$A68,$H$18)</f>
        <v>Change in other financial assets</v>
      </c>
      <c r="H68" s="191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 t="str">
        <f t="shared" si="17"/>
        <v/>
      </c>
      <c r="AC68" s="134" t="str">
        <f t="shared" si="17"/>
        <v/>
      </c>
      <c r="AD68" s="134" t="str">
        <f t="shared" si="17"/>
        <v/>
      </c>
      <c r="AE68" s="134" t="str">
        <f t="shared" si="17"/>
        <v/>
      </c>
      <c r="AF68" s="134" t="str">
        <f t="shared" si="17"/>
        <v/>
      </c>
      <c r="AG68" s="134" t="str">
        <f t="shared" si="17"/>
        <v/>
      </c>
      <c r="AH68" s="134" t="str">
        <f t="shared" si="17"/>
        <v/>
      </c>
      <c r="AI68" s="135" t="str">
        <f t="shared" si="17"/>
        <v/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190" t="str">
        <f>_xll.DBRA(Server&amp;$A$21,$A69,$H$18)</f>
        <v>Dividends from investments in associates</v>
      </c>
      <c r="H69" s="191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 t="str">
        <f t="shared" si="17"/>
        <v/>
      </c>
      <c r="AC69" s="134" t="str">
        <f t="shared" si="17"/>
        <v/>
      </c>
      <c r="AD69" s="134" t="str">
        <f t="shared" si="17"/>
        <v/>
      </c>
      <c r="AE69" s="134" t="str">
        <f t="shared" si="17"/>
        <v/>
      </c>
      <c r="AF69" s="134" t="str">
        <f t="shared" si="17"/>
        <v/>
      </c>
      <c r="AG69" s="134" t="str">
        <f t="shared" si="17"/>
        <v/>
      </c>
      <c r="AH69" s="134" t="str">
        <f t="shared" si="17"/>
        <v/>
      </c>
      <c r="AI69" s="135" t="str">
        <f t="shared" si="17"/>
        <v/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190" t="str">
        <f>_xll.DBRA(Server&amp;$A$21,$A70,$H$18)</f>
        <v>Final and interim dividends</v>
      </c>
      <c r="H70" s="191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 t="str">
        <f t="shared" ref="AB70:AI79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/>
      </c>
      <c r="AC70" s="134" t="str">
        <f t="shared" si="18"/>
        <v/>
      </c>
      <c r="AD70" s="134" t="str">
        <f t="shared" si="18"/>
        <v/>
      </c>
      <c r="AE70" s="134" t="str">
        <f t="shared" si="18"/>
        <v/>
      </c>
      <c r="AF70" s="134" t="str">
        <f t="shared" si="18"/>
        <v/>
      </c>
      <c r="AG70" s="134" t="str">
        <f t="shared" si="18"/>
        <v/>
      </c>
      <c r="AH70" s="134" t="str">
        <f t="shared" si="18"/>
        <v/>
      </c>
      <c r="AI70" s="135" t="str">
        <f t="shared" si="18"/>
        <v/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190" t="str">
        <f>_xll.DBRA(Server&amp;$A$21,$A71,$H$18)</f>
        <v>Internal Transfers</v>
      </c>
      <c r="H71" s="191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 t="str">
        <f t="shared" si="18"/>
        <v/>
      </c>
      <c r="AC71" s="134" t="str">
        <f t="shared" si="18"/>
        <v/>
      </c>
      <c r="AD71" s="134" t="str">
        <f t="shared" si="18"/>
        <v/>
      </c>
      <c r="AE71" s="134" t="str">
        <f t="shared" si="18"/>
        <v/>
      </c>
      <c r="AF71" s="134" t="str">
        <f t="shared" si="18"/>
        <v/>
      </c>
      <c r="AG71" s="134" t="str">
        <f t="shared" si="18"/>
        <v/>
      </c>
      <c r="AH71" s="134" t="str">
        <f t="shared" si="18"/>
        <v/>
      </c>
      <c r="AI71" s="135" t="str">
        <f t="shared" si="18"/>
        <v/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190" t="str">
        <f>_xll.DBRA(Server&amp;$A$21,$A72,$H$18)</f>
        <v>Tech_Lease Liability decrease_Var2</v>
      </c>
      <c r="H72" s="191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 t="str">
        <f t="shared" si="18"/>
        <v/>
      </c>
      <c r="AC72" s="134" t="str">
        <f t="shared" si="18"/>
        <v/>
      </c>
      <c r="AD72" s="134" t="str">
        <f t="shared" si="18"/>
        <v/>
      </c>
      <c r="AE72" s="134" t="str">
        <f t="shared" si="18"/>
        <v/>
      </c>
      <c r="AF72" s="134" t="str">
        <f t="shared" si="18"/>
        <v/>
      </c>
      <c r="AG72" s="134" t="str">
        <f t="shared" si="18"/>
        <v/>
      </c>
      <c r="AH72" s="134" t="str">
        <f t="shared" si="18"/>
        <v/>
      </c>
      <c r="AI72" s="135" t="str">
        <f t="shared" si="18"/>
        <v/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190" t="str">
        <f>_xll.DBRA(Server&amp;$A$21,$A73,$H$18)</f>
        <v>Tech_Lease Liability decrease_Var1</v>
      </c>
      <c r="H73" s="191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 t="str">
        <f t="shared" si="18"/>
        <v/>
      </c>
      <c r="AC73" s="134" t="str">
        <f t="shared" si="18"/>
        <v/>
      </c>
      <c r="AD73" s="134" t="str">
        <f t="shared" si="18"/>
        <v/>
      </c>
      <c r="AE73" s="134" t="str">
        <f t="shared" si="18"/>
        <v/>
      </c>
      <c r="AF73" s="134" t="str">
        <f t="shared" si="18"/>
        <v/>
      </c>
      <c r="AG73" s="134" t="str">
        <f t="shared" si="18"/>
        <v/>
      </c>
      <c r="AH73" s="134" t="str">
        <f t="shared" si="18"/>
        <v/>
      </c>
      <c r="AI73" s="135" t="str">
        <f t="shared" si="18"/>
        <v/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189" t="str">
        <f>_xll.DBRA(Server&amp;$A$21,$A74,$H$18)</f>
        <v>CASH FLOW FROM INVESTING ACTIVITIES</v>
      </c>
      <c r="H74" s="189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 t="str">
        <f t="shared" si="18"/>
        <v/>
      </c>
      <c r="AC74" s="141" t="str">
        <f t="shared" si="18"/>
        <v/>
      </c>
      <c r="AD74" s="141" t="str">
        <f t="shared" si="18"/>
        <v/>
      </c>
      <c r="AE74" s="141" t="str">
        <f t="shared" si="18"/>
        <v/>
      </c>
      <c r="AF74" s="141" t="str">
        <f t="shared" si="18"/>
        <v/>
      </c>
      <c r="AG74" s="141" t="str">
        <f t="shared" si="18"/>
        <v/>
      </c>
      <c r="AH74" s="141" t="str">
        <f t="shared" si="18"/>
        <v/>
      </c>
      <c r="AI74" s="141" t="str">
        <f t="shared" si="18"/>
        <v/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189" t="str">
        <f>_xll.DBRA(Server&amp;$A$21,$A75,$H$18)</f>
        <v>OPERATING FREE CASH FLOW</v>
      </c>
      <c r="H75" s="189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 t="str">
        <f t="shared" si="18"/>
        <v/>
      </c>
      <c r="AC75" s="141" t="str">
        <f t="shared" si="18"/>
        <v/>
      </c>
      <c r="AD75" s="141" t="str">
        <f t="shared" si="18"/>
        <v/>
      </c>
      <c r="AE75" s="141" t="str">
        <f t="shared" si="18"/>
        <v/>
      </c>
      <c r="AF75" s="141" t="str">
        <f t="shared" si="18"/>
        <v/>
      </c>
      <c r="AG75" s="141" t="str">
        <f t="shared" si="18"/>
        <v/>
      </c>
      <c r="AH75" s="141" t="str">
        <f t="shared" si="18"/>
        <v/>
      </c>
      <c r="AI75" s="141" t="str">
        <f t="shared" si="18"/>
        <v/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0" t="str">
        <f>G38</f>
        <v>Cost of net financial debt (total)</v>
      </c>
      <c r="H76" s="201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 t="str">
        <f t="shared" si="18"/>
        <v/>
      </c>
      <c r="AC76" s="147" t="str">
        <f t="shared" si="18"/>
        <v/>
      </c>
      <c r="AD76" s="147" t="str">
        <f t="shared" si="18"/>
        <v/>
      </c>
      <c r="AE76" s="147" t="str">
        <f t="shared" si="18"/>
        <v/>
      </c>
      <c r="AF76" s="147" t="str">
        <f t="shared" si="18"/>
        <v/>
      </c>
      <c r="AG76" s="147" t="str">
        <f t="shared" si="18"/>
        <v/>
      </c>
      <c r="AH76" s="147" t="str">
        <f t="shared" si="18"/>
        <v/>
      </c>
      <c r="AI76" s="147" t="str">
        <f t="shared" si="18"/>
        <v/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0" t="str">
        <f>_xll.DBRA(Server&amp;$A$21,$A77,$H$18)</f>
        <v>Dividend paid to parent</v>
      </c>
      <c r="H77" s="201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 t="str">
        <f t="shared" si="18"/>
        <v/>
      </c>
      <c r="AC77" s="148" t="str">
        <f t="shared" si="18"/>
        <v/>
      </c>
      <c r="AD77" s="148" t="str">
        <f t="shared" si="18"/>
        <v/>
      </c>
      <c r="AE77" s="148" t="str">
        <f t="shared" si="18"/>
        <v/>
      </c>
      <c r="AF77" s="148" t="str">
        <f t="shared" si="18"/>
        <v/>
      </c>
      <c r="AG77" s="148" t="str">
        <f t="shared" si="18"/>
        <v/>
      </c>
      <c r="AH77" s="148" t="str">
        <f t="shared" si="18"/>
        <v/>
      </c>
      <c r="AI77" s="149" t="str">
        <f t="shared" si="18"/>
        <v/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0" t="str">
        <f>_xll.DBRA(Server&amp;$A$21,$A78,$H$18)</f>
        <v>Dividend paid to minority interests</v>
      </c>
      <c r="H78" s="201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 t="str">
        <f t="shared" si="18"/>
        <v/>
      </c>
      <c r="AC78" s="148" t="str">
        <f t="shared" si="18"/>
        <v/>
      </c>
      <c r="AD78" s="148" t="str">
        <f t="shared" si="18"/>
        <v/>
      </c>
      <c r="AE78" s="148" t="str">
        <f t="shared" si="18"/>
        <v/>
      </c>
      <c r="AF78" s="148" t="str">
        <f t="shared" si="18"/>
        <v/>
      </c>
      <c r="AG78" s="148" t="str">
        <f t="shared" si="18"/>
        <v/>
      </c>
      <c r="AH78" s="148" t="str">
        <f t="shared" si="18"/>
        <v/>
      </c>
      <c r="AI78" s="149" t="str">
        <f t="shared" si="18"/>
        <v/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190" t="str">
        <f>_xll.DBRA(Server&amp;$A$21,$A79,$H$18)</f>
        <v>Group share capital increase and change</v>
      </c>
      <c r="H79" s="191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 t="str">
        <f t="shared" si="18"/>
        <v/>
      </c>
      <c r="AC79" s="134" t="str">
        <f t="shared" si="18"/>
        <v/>
      </c>
      <c r="AD79" s="134" t="str">
        <f t="shared" si="18"/>
        <v/>
      </c>
      <c r="AE79" s="134" t="str">
        <f t="shared" si="18"/>
        <v/>
      </c>
      <c r="AF79" s="134" t="str">
        <f t="shared" si="18"/>
        <v/>
      </c>
      <c r="AG79" s="134" t="str">
        <f t="shared" si="18"/>
        <v/>
      </c>
      <c r="AH79" s="134" t="str">
        <f t="shared" si="18"/>
        <v/>
      </c>
      <c r="AI79" s="135" t="str">
        <f t="shared" si="18"/>
        <v/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190" t="str">
        <f>_xll.DBRA(Server&amp;$A$21,$A80,$H$18)</f>
        <v>Share capital increase (suscribed by minority)</v>
      </c>
      <c r="H80" s="191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 t="str">
        <f t="shared" ref="AB80:AI85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/>
      </c>
      <c r="AC80" s="134" t="str">
        <f t="shared" si="19"/>
        <v/>
      </c>
      <c r="AD80" s="134" t="str">
        <f t="shared" si="19"/>
        <v/>
      </c>
      <c r="AE80" s="134" t="str">
        <f t="shared" si="19"/>
        <v/>
      </c>
      <c r="AF80" s="134" t="str">
        <f t="shared" si="19"/>
        <v/>
      </c>
      <c r="AG80" s="134" t="str">
        <f t="shared" si="19"/>
        <v/>
      </c>
      <c r="AH80" s="134" t="str">
        <f t="shared" si="19"/>
        <v/>
      </c>
      <c r="AI80" s="135" t="str">
        <f t="shared" si="19"/>
        <v/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190" t="str">
        <f>_xll.DBRA(Server&amp;$A$21,$A81,$H$18)</f>
        <v>Shareholders transactions: Increase in ownership interest</v>
      </c>
      <c r="H81" s="191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 t="str">
        <f t="shared" si="19"/>
        <v/>
      </c>
      <c r="AC81" s="134" t="str">
        <f t="shared" si="19"/>
        <v/>
      </c>
      <c r="AD81" s="134" t="str">
        <f t="shared" si="19"/>
        <v/>
      </c>
      <c r="AE81" s="134" t="str">
        <f t="shared" si="19"/>
        <v/>
      </c>
      <c r="AF81" s="134" t="str">
        <f t="shared" si="19"/>
        <v/>
      </c>
      <c r="AG81" s="134" t="str">
        <f t="shared" si="19"/>
        <v/>
      </c>
      <c r="AH81" s="134" t="str">
        <f t="shared" si="19"/>
        <v/>
      </c>
      <c r="AI81" s="135" t="str">
        <f t="shared" si="19"/>
        <v/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190" t="str">
        <f>_xll.DBRA(Server&amp;$A$21,$A82,$H$18)</f>
        <v>Shareholders transactions: Decrease in ownership interest</v>
      </c>
      <c r="H82" s="191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 t="str">
        <f t="shared" si="19"/>
        <v/>
      </c>
      <c r="AC82" s="134" t="str">
        <f t="shared" si="19"/>
        <v/>
      </c>
      <c r="AD82" s="134" t="str">
        <f t="shared" si="19"/>
        <v/>
      </c>
      <c r="AE82" s="134" t="str">
        <f t="shared" si="19"/>
        <v/>
      </c>
      <c r="AF82" s="134" t="str">
        <f t="shared" si="19"/>
        <v/>
      </c>
      <c r="AG82" s="134" t="str">
        <f t="shared" si="19"/>
        <v/>
      </c>
      <c r="AH82" s="134" t="str">
        <f t="shared" si="19"/>
        <v/>
      </c>
      <c r="AI82" s="135" t="str">
        <f t="shared" si="19"/>
        <v/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189" t="str">
        <f>_xll.DBRA(Server&amp;$A$21,$A83,$H$18)</f>
        <v>NET CASH FLOW FROM FINANCING ACTIVITIES</v>
      </c>
      <c r="H83" s="189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 t="str">
        <f t="shared" si="19"/>
        <v/>
      </c>
      <c r="AC83" s="141" t="str">
        <f t="shared" si="19"/>
        <v/>
      </c>
      <c r="AD83" s="141" t="str">
        <f t="shared" si="19"/>
        <v/>
      </c>
      <c r="AE83" s="141" t="str">
        <f t="shared" si="19"/>
        <v/>
      </c>
      <c r="AF83" s="141" t="str">
        <f t="shared" si="19"/>
        <v/>
      </c>
      <c r="AG83" s="141" t="str">
        <f t="shared" si="19"/>
        <v/>
      </c>
      <c r="AH83" s="141" t="str">
        <f t="shared" si="19"/>
        <v/>
      </c>
      <c r="AI83" s="141" t="str">
        <f t="shared" si="19"/>
        <v/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193" t="str">
        <f>_xll.DBRA(Server&amp;$A$21,$A84,$H$18)</f>
        <v>OTHER FLOWS (exchange rate, revaluation…)</v>
      </c>
      <c r="H84" s="194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 t="str">
        <f t="shared" si="19"/>
        <v/>
      </c>
      <c r="AC84" s="151" t="str">
        <f t="shared" si="19"/>
        <v/>
      </c>
      <c r="AD84" s="151" t="str">
        <f t="shared" si="19"/>
        <v/>
      </c>
      <c r="AE84" s="151" t="str">
        <f t="shared" si="19"/>
        <v/>
      </c>
      <c r="AF84" s="151" t="str">
        <f t="shared" si="19"/>
        <v/>
      </c>
      <c r="AG84" s="151" t="str">
        <f t="shared" si="19"/>
        <v/>
      </c>
      <c r="AH84" s="151" t="str">
        <f t="shared" si="19"/>
        <v/>
      </c>
      <c r="AI84" s="152" t="str">
        <f t="shared" si="19"/>
        <v/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189" t="str">
        <f>_xll.DBRA(Server&amp;$A$21,$A85,$H$18)</f>
        <v>CHANGE IN NET FINANCIAL DEBT</v>
      </c>
      <c r="H85" s="189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 t="str">
        <f t="shared" si="19"/>
        <v/>
      </c>
      <c r="AC85" s="141" t="str">
        <f t="shared" si="19"/>
        <v/>
      </c>
      <c r="AD85" s="141" t="str">
        <f t="shared" si="19"/>
        <v/>
      </c>
      <c r="AE85" s="141" t="str">
        <f t="shared" si="19"/>
        <v/>
      </c>
      <c r="AF85" s="141" t="str">
        <f t="shared" si="19"/>
        <v/>
      </c>
      <c r="AG85" s="141" t="str">
        <f t="shared" si="19"/>
        <v/>
      </c>
      <c r="AH85" s="141" t="str">
        <f t="shared" si="19"/>
        <v/>
      </c>
      <c r="AI85" s="141" t="str">
        <f t="shared" si="19"/>
        <v/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192" t="str">
        <f>_xll.DBRA(Server&amp;$AL$25,$AL$52,$H$18)</f>
        <v>III - BALANCE SHEET</v>
      </c>
      <c r="H87" s="192"/>
      <c r="I87" s="128" t="str">
        <f>I$21</f>
        <v xml:space="preserve"> 2020</v>
      </c>
      <c r="J87" s="128" t="str">
        <f t="shared" ref="J87:P87" si="20">J$21</f>
        <v xml:space="preserve"> 2021</v>
      </c>
      <c r="K87" s="128" t="str">
        <f t="shared" si="20"/>
        <v xml:space="preserve"> 2022</v>
      </c>
      <c r="L87" s="128" t="str">
        <f t="shared" si="20"/>
        <v xml:space="preserve"> 2023</v>
      </c>
      <c r="M87" s="128" t="str">
        <f t="shared" si="20"/>
        <v xml:space="preserve"> 2024</v>
      </c>
      <c r="N87" s="128" t="str">
        <f t="shared" si="20"/>
        <v xml:space="preserve"> 2025</v>
      </c>
      <c r="O87" s="128" t="str">
        <f t="shared" si="20"/>
        <v xml:space="preserve"> 2026</v>
      </c>
      <c r="P87" s="128" t="str">
        <f t="shared" si="20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21">T$21</f>
        <v xml:space="preserve"> 2019</v>
      </c>
      <c r="U87" s="128" t="str">
        <f t="shared" si="21"/>
        <v xml:space="preserve"> 2020</v>
      </c>
      <c r="V87" s="128" t="str">
        <f t="shared" si="21"/>
        <v xml:space="preserve"> 2021</v>
      </c>
      <c r="W87" s="128" t="str">
        <f t="shared" si="21"/>
        <v xml:space="preserve"> 2022</v>
      </c>
      <c r="X87" s="128" t="str">
        <f t="shared" si="21"/>
        <v xml:space="preserve"> 2023</v>
      </c>
      <c r="Y87" s="128" t="str">
        <f t="shared" si="21"/>
        <v xml:space="preserve"> 2024</v>
      </c>
      <c r="Z87" s="128" t="str">
        <f t="shared" si="21"/>
        <v xml:space="preserve"> 2025</v>
      </c>
      <c r="AA87" s="138"/>
      <c r="AB87" s="128" t="str">
        <f>I87</f>
        <v xml:space="preserve"> 2020</v>
      </c>
      <c r="AC87" s="128" t="str">
        <f t="shared" ref="AC87:AI87" si="22">J87</f>
        <v xml:space="preserve"> 2021</v>
      </c>
      <c r="AD87" s="128" t="str">
        <f t="shared" si="22"/>
        <v xml:space="preserve"> 2022</v>
      </c>
      <c r="AE87" s="128" t="str">
        <f t="shared" si="22"/>
        <v xml:space="preserve"> 2023</v>
      </c>
      <c r="AF87" s="128" t="str">
        <f t="shared" si="22"/>
        <v xml:space="preserve"> 2024</v>
      </c>
      <c r="AG87" s="128" t="str">
        <f t="shared" si="22"/>
        <v xml:space="preserve"> 2025</v>
      </c>
      <c r="AH87" s="128" t="str">
        <f t="shared" si="22"/>
        <v xml:space="preserve"> 2026</v>
      </c>
      <c r="AI87" s="128" t="str">
        <f t="shared" si="22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190" t="str">
        <f>_xll.DBRA(Server&amp;$A$21,$A89,$H$18)</f>
        <v>Goodwill &amp; Tangible &amp; intangible assets &amp; ROU + net WC on investments</v>
      </c>
      <c r="H89" s="191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 t="str">
        <f t="shared" ref="AB89:AI98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/>
      </c>
      <c r="AC89" s="148" t="str">
        <f t="shared" si="23"/>
        <v/>
      </c>
      <c r="AD89" s="148" t="str">
        <f t="shared" si="23"/>
        <v/>
      </c>
      <c r="AE89" s="148" t="str">
        <f t="shared" si="23"/>
        <v/>
      </c>
      <c r="AF89" s="148" t="str">
        <f t="shared" si="23"/>
        <v/>
      </c>
      <c r="AG89" s="148" t="str">
        <f t="shared" si="23"/>
        <v/>
      </c>
      <c r="AH89" s="148" t="str">
        <f t="shared" si="23"/>
        <v/>
      </c>
      <c r="AI89" s="149" t="str">
        <f t="shared" si="23"/>
        <v/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190" t="str">
        <f>_xll.DBRA(Server&amp;$A$21,$A90,$H$18)</f>
        <v>Investments in associates</v>
      </c>
      <c r="H90" s="191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 t="str">
        <f t="shared" si="23"/>
        <v/>
      </c>
      <c r="AC90" s="134" t="str">
        <f t="shared" si="23"/>
        <v/>
      </c>
      <c r="AD90" s="134" t="str">
        <f t="shared" si="23"/>
        <v/>
      </c>
      <c r="AE90" s="134" t="str">
        <f t="shared" si="23"/>
        <v/>
      </c>
      <c r="AF90" s="134" t="str">
        <f t="shared" si="23"/>
        <v/>
      </c>
      <c r="AG90" s="134" t="str">
        <f t="shared" si="23"/>
        <v/>
      </c>
      <c r="AH90" s="134" t="str">
        <f t="shared" si="23"/>
        <v/>
      </c>
      <c r="AI90" s="135" t="str">
        <f t="shared" si="23"/>
        <v/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190" t="str">
        <f>_xll.DBRA(Server&amp;$A$21,$A91,$H$18)</f>
        <v>Net WC on income tax (payable &amp; differed)</v>
      </c>
      <c r="H91" s="191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 t="str">
        <f t="shared" si="23"/>
        <v/>
      </c>
      <c r="AC91" s="134" t="str">
        <f t="shared" si="23"/>
        <v/>
      </c>
      <c r="AD91" s="134" t="str">
        <f t="shared" si="23"/>
        <v/>
      </c>
      <c r="AE91" s="134" t="str">
        <f t="shared" si="23"/>
        <v/>
      </c>
      <c r="AF91" s="134" t="str">
        <f t="shared" si="23"/>
        <v/>
      </c>
      <c r="AG91" s="134" t="str">
        <f t="shared" si="23"/>
        <v/>
      </c>
      <c r="AH91" s="134" t="str">
        <f t="shared" si="23"/>
        <v/>
      </c>
      <c r="AI91" s="135" t="str">
        <f t="shared" si="23"/>
        <v/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190" t="str">
        <f>_xll.DBRA(Server&amp;$A$21,$A92,$H$18)</f>
        <v>Net operating WC</v>
      </c>
      <c r="H92" s="191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 t="str">
        <f t="shared" si="23"/>
        <v/>
      </c>
      <c r="AC92" s="134" t="str">
        <f t="shared" si="23"/>
        <v/>
      </c>
      <c r="AD92" s="134" t="str">
        <f t="shared" si="23"/>
        <v/>
      </c>
      <c r="AE92" s="134" t="str">
        <f t="shared" si="23"/>
        <v/>
      </c>
      <c r="AF92" s="134" t="str">
        <f t="shared" si="23"/>
        <v/>
      </c>
      <c r="AG92" s="134" t="str">
        <f t="shared" si="23"/>
        <v/>
      </c>
      <c r="AH92" s="134" t="str">
        <f t="shared" si="23"/>
        <v/>
      </c>
      <c r="AI92" s="135" t="str">
        <f t="shared" si="23"/>
        <v/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190" t="str">
        <f>_xll.DBRA(Server&amp;$A$21,$A93,$H$18)</f>
        <v>Reserves and allowances</v>
      </c>
      <c r="H93" s="191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 t="str">
        <f t="shared" si="23"/>
        <v/>
      </c>
      <c r="AC93" s="134" t="str">
        <f t="shared" si="23"/>
        <v/>
      </c>
      <c r="AD93" s="134" t="str">
        <f t="shared" si="23"/>
        <v/>
      </c>
      <c r="AE93" s="134" t="str">
        <f t="shared" si="23"/>
        <v/>
      </c>
      <c r="AF93" s="134" t="str">
        <f t="shared" si="23"/>
        <v/>
      </c>
      <c r="AG93" s="134" t="str">
        <f t="shared" si="23"/>
        <v/>
      </c>
      <c r="AH93" s="134" t="str">
        <f t="shared" si="23"/>
        <v/>
      </c>
      <c r="AI93" s="135" t="str">
        <f t="shared" si="23"/>
        <v/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189" t="str">
        <f>_xll.DBRA(Server&amp;$A$21,$A94,$H$18)</f>
        <v>CAPITAL EMPLOYED</v>
      </c>
      <c r="H94" s="189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 t="str">
        <f t="shared" si="23"/>
        <v/>
      </c>
      <c r="AC94" s="141" t="str">
        <f t="shared" si="23"/>
        <v/>
      </c>
      <c r="AD94" s="141" t="str">
        <f t="shared" si="23"/>
        <v/>
      </c>
      <c r="AE94" s="141" t="str">
        <f t="shared" si="23"/>
        <v/>
      </c>
      <c r="AF94" s="141" t="str">
        <f t="shared" si="23"/>
        <v/>
      </c>
      <c r="AG94" s="141" t="str">
        <f t="shared" si="23"/>
        <v/>
      </c>
      <c r="AH94" s="141" t="str">
        <f t="shared" si="23"/>
        <v/>
      </c>
      <c r="AI94" s="141" t="str">
        <f t="shared" si="23"/>
        <v/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190" t="str">
        <f>_xll.DBRA(Server&amp;$A$21,$A95,$H$18)</f>
        <v>Operating financial asset (Net)</v>
      </c>
      <c r="H95" s="191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 t="str">
        <f t="shared" si="23"/>
        <v/>
      </c>
      <c r="AC95" s="134" t="str">
        <f t="shared" si="23"/>
        <v/>
      </c>
      <c r="AD95" s="134" t="str">
        <f t="shared" si="23"/>
        <v/>
      </c>
      <c r="AE95" s="134" t="str">
        <f t="shared" si="23"/>
        <v/>
      </c>
      <c r="AF95" s="134" t="str">
        <f t="shared" si="23"/>
        <v/>
      </c>
      <c r="AG95" s="134" t="str">
        <f t="shared" si="23"/>
        <v/>
      </c>
      <c r="AH95" s="134" t="str">
        <f t="shared" si="23"/>
        <v/>
      </c>
      <c r="AI95" s="135" t="str">
        <f t="shared" si="23"/>
        <v/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189" t="str">
        <f>_xll.DBRA(Server&amp;$A$21,$A96,$H$18)</f>
        <v>CAPITAL EMPLOYED incl IFRIC12</v>
      </c>
      <c r="H96" s="189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 t="str">
        <f t="shared" si="23"/>
        <v/>
      </c>
      <c r="AC96" s="141" t="str">
        <f t="shared" si="23"/>
        <v/>
      </c>
      <c r="AD96" s="141" t="str">
        <f t="shared" si="23"/>
        <v/>
      </c>
      <c r="AE96" s="141" t="str">
        <f t="shared" si="23"/>
        <v/>
      </c>
      <c r="AF96" s="141" t="str">
        <f t="shared" si="23"/>
        <v/>
      </c>
      <c r="AG96" s="141" t="str">
        <f t="shared" si="23"/>
        <v/>
      </c>
      <c r="AH96" s="141" t="str">
        <f t="shared" si="23"/>
        <v/>
      </c>
      <c r="AI96" s="141" t="str">
        <f t="shared" si="23"/>
        <v/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189" t="str">
        <f>_xll.DBRA(Server&amp;$A$21,$A97,$H$18)</f>
        <v>NET FINANCIAL DEBT (NFD)</v>
      </c>
      <c r="H97" s="189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 t="str">
        <f t="shared" si="23"/>
        <v/>
      </c>
      <c r="AC97" s="141" t="str">
        <f t="shared" si="23"/>
        <v/>
      </c>
      <c r="AD97" s="141" t="str">
        <f t="shared" si="23"/>
        <v/>
      </c>
      <c r="AE97" s="141" t="str">
        <f t="shared" si="23"/>
        <v/>
      </c>
      <c r="AF97" s="141" t="str">
        <f t="shared" si="23"/>
        <v/>
      </c>
      <c r="AG97" s="141" t="str">
        <f t="shared" si="23"/>
        <v/>
      </c>
      <c r="AH97" s="141" t="str">
        <f t="shared" si="23"/>
        <v/>
      </c>
      <c r="AI97" s="141" t="str">
        <f t="shared" si="23"/>
        <v/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190" t="str">
        <f>_xll.DBRA(Server&amp;$A$21,$A98,$H$18)</f>
        <v>Other financial assets</v>
      </c>
      <c r="H98" s="191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 t="str">
        <f t="shared" si="23"/>
        <v/>
      </c>
      <c r="AC98" s="134" t="str">
        <f t="shared" si="23"/>
        <v/>
      </c>
      <c r="AD98" s="134" t="str">
        <f t="shared" si="23"/>
        <v/>
      </c>
      <c r="AE98" s="134" t="str">
        <f t="shared" si="23"/>
        <v/>
      </c>
      <c r="AF98" s="134" t="str">
        <f t="shared" si="23"/>
        <v/>
      </c>
      <c r="AG98" s="134" t="str">
        <f t="shared" si="23"/>
        <v/>
      </c>
      <c r="AH98" s="134" t="str">
        <f t="shared" si="23"/>
        <v/>
      </c>
      <c r="AI98" s="135" t="str">
        <f t="shared" si="23"/>
        <v/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189" t="str">
        <f>_xll.DBRA(Server&amp;$A$21,$A99,$H$18)</f>
        <v>NET ECONOMICAL DEBT</v>
      </c>
      <c r="H99" s="189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 t="str">
        <f t="shared" ref="AB99:AI104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/>
      </c>
      <c r="AC99" s="141" t="str">
        <f t="shared" si="24"/>
        <v/>
      </c>
      <c r="AD99" s="141" t="str">
        <f t="shared" si="24"/>
        <v/>
      </c>
      <c r="AE99" s="141" t="str">
        <f t="shared" si="24"/>
        <v/>
      </c>
      <c r="AF99" s="141" t="str">
        <f t="shared" si="24"/>
        <v/>
      </c>
      <c r="AG99" s="141" t="str">
        <f t="shared" si="24"/>
        <v/>
      </c>
      <c r="AH99" s="141" t="str">
        <f t="shared" si="24"/>
        <v/>
      </c>
      <c r="AI99" s="141" t="str">
        <f t="shared" si="24"/>
        <v/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190" t="str">
        <f>_xll.DBRA(Server&amp;$A$21,$A100,$H$18)</f>
        <v>Net assets of discontinued activities</v>
      </c>
      <c r="H100" s="191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 t="str">
        <f t="shared" si="24"/>
        <v/>
      </c>
      <c r="AC100" s="134" t="str">
        <f t="shared" si="24"/>
        <v/>
      </c>
      <c r="AD100" s="134" t="str">
        <f t="shared" si="24"/>
        <v/>
      </c>
      <c r="AE100" s="134" t="str">
        <f t="shared" si="24"/>
        <v/>
      </c>
      <c r="AF100" s="134" t="str">
        <f t="shared" si="24"/>
        <v/>
      </c>
      <c r="AG100" s="134" t="str">
        <f t="shared" si="24"/>
        <v/>
      </c>
      <c r="AH100" s="134" t="str">
        <f t="shared" si="24"/>
        <v/>
      </c>
      <c r="AI100" s="135" t="str">
        <f t="shared" si="24"/>
        <v/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190" t="str">
        <f>_xll.DBRA(Server&amp;$A$21,$A101,$H$18)</f>
        <v>Investments in subsidiaries</v>
      </c>
      <c r="H101" s="191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 t="str">
        <f t="shared" si="24"/>
        <v/>
      </c>
      <c r="AC101" s="134" t="str">
        <f t="shared" si="24"/>
        <v/>
      </c>
      <c r="AD101" s="134" t="str">
        <f t="shared" si="24"/>
        <v/>
      </c>
      <c r="AE101" s="134" t="str">
        <f t="shared" si="24"/>
        <v/>
      </c>
      <c r="AF101" s="134" t="str">
        <f t="shared" si="24"/>
        <v/>
      </c>
      <c r="AG101" s="134" t="str">
        <f t="shared" si="24"/>
        <v/>
      </c>
      <c r="AH101" s="134" t="str">
        <f t="shared" si="24"/>
        <v/>
      </c>
      <c r="AI101" s="135" t="str">
        <f t="shared" si="24"/>
        <v/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190" t="str">
        <f>_xll.DBRA(Server&amp;$A$21,$A102,$H$18)</f>
        <v>Link a/c Investments</v>
      </c>
      <c r="H102" s="191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 t="str">
        <f t="shared" si="24"/>
        <v/>
      </c>
      <c r="AC102" s="134" t="str">
        <f t="shared" si="24"/>
        <v/>
      </c>
      <c r="AD102" s="134" t="str">
        <f t="shared" si="24"/>
        <v/>
      </c>
      <c r="AE102" s="134" t="str">
        <f t="shared" si="24"/>
        <v/>
      </c>
      <c r="AF102" s="134" t="str">
        <f t="shared" si="24"/>
        <v/>
      </c>
      <c r="AG102" s="134" t="str">
        <f t="shared" si="24"/>
        <v/>
      </c>
      <c r="AH102" s="134" t="str">
        <f t="shared" si="24"/>
        <v/>
      </c>
      <c r="AI102" s="135" t="str">
        <f t="shared" si="24"/>
        <v/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190" t="str">
        <f>_xll.DBRA(Server&amp;$A$21,$A103,$H$18)</f>
        <v>Group shareholder's equity</v>
      </c>
      <c r="H103" s="191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 t="str">
        <f t="shared" si="24"/>
        <v/>
      </c>
      <c r="AC103" s="134" t="str">
        <f t="shared" si="24"/>
        <v/>
      </c>
      <c r="AD103" s="134" t="str">
        <f t="shared" si="24"/>
        <v/>
      </c>
      <c r="AE103" s="134" t="str">
        <f t="shared" si="24"/>
        <v/>
      </c>
      <c r="AF103" s="134" t="str">
        <f t="shared" si="24"/>
        <v/>
      </c>
      <c r="AG103" s="134" t="str">
        <f t="shared" si="24"/>
        <v/>
      </c>
      <c r="AH103" s="134" t="str">
        <f t="shared" si="24"/>
        <v/>
      </c>
      <c r="AI103" s="135" t="str">
        <f t="shared" si="24"/>
        <v/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190" t="str">
        <f>_xll.DBRA(Server&amp;$A$21,$A104,$H$18)</f>
        <v>Shareholder's equity attributable to non controlling Interest</v>
      </c>
      <c r="H104" s="191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 t="str">
        <f t="shared" si="24"/>
        <v/>
      </c>
      <c r="AC104" s="134" t="str">
        <f t="shared" si="24"/>
        <v/>
      </c>
      <c r="AD104" s="134" t="str">
        <f t="shared" si="24"/>
        <v/>
      </c>
      <c r="AE104" s="134" t="str">
        <f t="shared" si="24"/>
        <v/>
      </c>
      <c r="AF104" s="134" t="str">
        <f t="shared" si="24"/>
        <v/>
      </c>
      <c r="AG104" s="134" t="str">
        <f t="shared" si="24"/>
        <v/>
      </c>
      <c r="AH104" s="134" t="str">
        <f t="shared" si="24"/>
        <v/>
      </c>
      <c r="AI104" s="135" t="str">
        <f t="shared" si="24"/>
        <v/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189" t="str">
        <f>_xll.DBRA(Server&amp;$A$21,$A105,$H$18)</f>
        <v>TOTAL EQUITY AND INVESTMENTS</v>
      </c>
      <c r="H105" s="189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 t="str">
        <f t="shared" ref="AB105:AI105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/>
      </c>
      <c r="AC105" s="141" t="str">
        <f t="shared" si="25"/>
        <v/>
      </c>
      <c r="AD105" s="141" t="str">
        <f t="shared" si="25"/>
        <v/>
      </c>
      <c r="AE105" s="141" t="str">
        <f t="shared" si="25"/>
        <v/>
      </c>
      <c r="AF105" s="141" t="str">
        <f t="shared" si="25"/>
        <v/>
      </c>
      <c r="AG105" s="141" t="str">
        <f t="shared" si="25"/>
        <v/>
      </c>
      <c r="AH105" s="141" t="str">
        <f t="shared" si="25"/>
        <v/>
      </c>
      <c r="AI105" s="141" t="str">
        <f t="shared" si="25"/>
        <v/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26">I96+I99+I105</f>
        <v>0</v>
      </c>
      <c r="J106" s="156">
        <f t="shared" si="26"/>
        <v>0</v>
      </c>
      <c r="K106" s="156">
        <f t="shared" si="26"/>
        <v>0</v>
      </c>
      <c r="L106" s="156">
        <f t="shared" si="26"/>
        <v>0</v>
      </c>
      <c r="M106" s="156">
        <f t="shared" si="26"/>
        <v>0</v>
      </c>
      <c r="N106" s="156">
        <f t="shared" si="26"/>
        <v>0</v>
      </c>
      <c r="O106" s="156">
        <f t="shared" si="26"/>
        <v>0</v>
      </c>
      <c r="P106" s="156">
        <f t="shared" si="26"/>
        <v>0</v>
      </c>
      <c r="Q106" s="138"/>
      <c r="R106" s="138"/>
      <c r="S106" s="156">
        <f t="shared" ref="S106:Z106" si="27">S96+S99+S105</f>
        <v>0</v>
      </c>
      <c r="T106" s="156">
        <f t="shared" si="27"/>
        <v>0</v>
      </c>
      <c r="U106" s="156">
        <f t="shared" si="27"/>
        <v>0</v>
      </c>
      <c r="V106" s="156">
        <f t="shared" si="27"/>
        <v>0</v>
      </c>
      <c r="W106" s="156">
        <f t="shared" si="27"/>
        <v>0</v>
      </c>
      <c r="X106" s="156">
        <f t="shared" si="27"/>
        <v>0</v>
      </c>
      <c r="Y106" s="156">
        <f t="shared" si="27"/>
        <v>0</v>
      </c>
      <c r="Z106" s="156">
        <f t="shared" si="27"/>
        <v>0</v>
      </c>
      <c r="AA106" s="138"/>
      <c r="AB106" s="156"/>
      <c r="AC106" s="156"/>
      <c r="AD106" s="156"/>
      <c r="AE106" s="156"/>
      <c r="AF106" s="156"/>
      <c r="AG106" s="156"/>
      <c r="AH106" s="156"/>
      <c r="AI106" s="156"/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192" t="str">
        <f>IF($H$18="English","IV - OPERATIONAL INVESTMENTS","IV - INVESTISSEMENTS OPERATIONNELS")</f>
        <v>IV - OPERATIONAL INVESTMENTS</v>
      </c>
      <c r="H108" s="192"/>
      <c r="I108" s="128" t="str">
        <f>I$21</f>
        <v xml:space="preserve"> 2020</v>
      </c>
      <c r="J108" s="128" t="str">
        <f t="shared" ref="J108:P108" si="28">J$21</f>
        <v xml:space="preserve"> 2021</v>
      </c>
      <c r="K108" s="128" t="str">
        <f t="shared" si="28"/>
        <v xml:space="preserve"> 2022</v>
      </c>
      <c r="L108" s="128" t="str">
        <f t="shared" si="28"/>
        <v xml:space="preserve"> 2023</v>
      </c>
      <c r="M108" s="128" t="str">
        <f t="shared" si="28"/>
        <v xml:space="preserve"> 2024</v>
      </c>
      <c r="N108" s="128" t="str">
        <f t="shared" si="28"/>
        <v xml:space="preserve"> 2025</v>
      </c>
      <c r="O108" s="128" t="str">
        <f t="shared" si="28"/>
        <v xml:space="preserve"> 2026</v>
      </c>
      <c r="P108" s="128" t="str">
        <f t="shared" si="28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29">T$21</f>
        <v xml:space="preserve"> 2019</v>
      </c>
      <c r="U108" s="128" t="str">
        <f t="shared" si="29"/>
        <v xml:space="preserve"> 2020</v>
      </c>
      <c r="V108" s="128" t="str">
        <f t="shared" si="29"/>
        <v xml:space="preserve"> 2021</v>
      </c>
      <c r="W108" s="128" t="str">
        <f t="shared" si="29"/>
        <v xml:space="preserve"> 2022</v>
      </c>
      <c r="X108" s="128" t="str">
        <f t="shared" si="29"/>
        <v xml:space="preserve"> 2023</v>
      </c>
      <c r="Y108" s="128" t="str">
        <f t="shared" si="29"/>
        <v xml:space="preserve"> 2024</v>
      </c>
      <c r="Z108" s="128" t="str">
        <f t="shared" si="29"/>
        <v xml:space="preserve"> 2025</v>
      </c>
      <c r="AA108" s="138"/>
      <c r="AB108" s="128" t="str">
        <f>I108</f>
        <v xml:space="preserve"> 2020</v>
      </c>
      <c r="AC108" s="128" t="str">
        <f t="shared" ref="AC108:AI108" si="30">J108</f>
        <v xml:space="preserve"> 2021</v>
      </c>
      <c r="AD108" s="128" t="str">
        <f t="shared" si="30"/>
        <v xml:space="preserve"> 2022</v>
      </c>
      <c r="AE108" s="128" t="str">
        <f t="shared" si="30"/>
        <v xml:space="preserve"> 2023</v>
      </c>
      <c r="AF108" s="128" t="str">
        <f t="shared" si="30"/>
        <v xml:space="preserve"> 2024</v>
      </c>
      <c r="AG108" s="128" t="str">
        <f t="shared" si="30"/>
        <v xml:space="preserve"> 2025</v>
      </c>
      <c r="AH108" s="128" t="str">
        <f t="shared" si="30"/>
        <v xml:space="preserve"> 2026</v>
      </c>
      <c r="AI108" s="128" t="str">
        <f t="shared" si="30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">
      <c r="A110" s="52" t="s">
        <v>156</v>
      </c>
      <c r="B110" s="67" t="s">
        <v>147</v>
      </c>
      <c r="C110" s="42"/>
      <c r="D110" s="42">
        <v>89</v>
      </c>
      <c r="G110" s="190" t="str">
        <f>_xll.DBRA(Server&amp;$A$21,$A110,$H$18)</f>
        <v>Gross Industrial CAPEX</v>
      </c>
      <c r="H110" s="191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 t="str">
        <f t="shared" ref="AB110:AI113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/>
      </c>
      <c r="AC110" s="134" t="str">
        <f t="shared" si="31"/>
        <v/>
      </c>
      <c r="AD110" s="134" t="str">
        <f t="shared" si="31"/>
        <v/>
      </c>
      <c r="AE110" s="134" t="str">
        <f t="shared" si="31"/>
        <v/>
      </c>
      <c r="AF110" s="134" t="str">
        <f t="shared" si="31"/>
        <v/>
      </c>
      <c r="AG110" s="134" t="str">
        <f t="shared" si="31"/>
        <v/>
      </c>
      <c r="AH110" s="134" t="str">
        <f t="shared" si="31"/>
        <v/>
      </c>
      <c r="AI110" s="135" t="str">
        <f t="shared" si="31"/>
        <v/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190" t="str">
        <f>_xll.DBRA(Server&amp;$A$21,$A111,$H$18)</f>
        <v>New Operating financial assets - IFRIC 12 bifurcated IFRS16</v>
      </c>
      <c r="H111" s="191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 t="str">
        <f t="shared" si="31"/>
        <v/>
      </c>
      <c r="AC111" s="160" t="str">
        <f t="shared" si="31"/>
        <v/>
      </c>
      <c r="AD111" s="160" t="str">
        <f t="shared" si="31"/>
        <v/>
      </c>
      <c r="AE111" s="160" t="str">
        <f t="shared" si="31"/>
        <v/>
      </c>
      <c r="AF111" s="160" t="str">
        <f t="shared" si="31"/>
        <v/>
      </c>
      <c r="AG111" s="160" t="str">
        <f t="shared" si="31"/>
        <v/>
      </c>
      <c r="AH111" s="160" t="str">
        <f t="shared" si="31"/>
        <v/>
      </c>
      <c r="AI111" s="160" t="str">
        <f t="shared" si="31"/>
        <v/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190" t="str">
        <f>_xll.DBRA(Server&amp;$A$21,$A112,$H$18)</f>
        <v>New Operating financial assets - IFRIC 12 Off Balance sheet</v>
      </c>
      <c r="H112" s="191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 t="str">
        <f t="shared" si="31"/>
        <v/>
      </c>
      <c r="AC112" s="160" t="str">
        <f t="shared" si="31"/>
        <v/>
      </c>
      <c r="AD112" s="160" t="str">
        <f t="shared" si="31"/>
        <v/>
      </c>
      <c r="AE112" s="160" t="str">
        <f t="shared" si="31"/>
        <v/>
      </c>
      <c r="AF112" s="160" t="str">
        <f t="shared" si="31"/>
        <v/>
      </c>
      <c r="AG112" s="160" t="str">
        <f t="shared" si="31"/>
        <v/>
      </c>
      <c r="AH112" s="160" t="str">
        <f t="shared" si="31"/>
        <v/>
      </c>
      <c r="AI112" s="160" t="str">
        <f t="shared" si="31"/>
        <v/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189" t="str">
        <f>IF($H$18="English","Total Gross Investments (all financing modes)","Total des Investissements bruts (tout mode de financement)")</f>
        <v>Total Gross Investments (all financing modes)</v>
      </c>
      <c r="H113" s="189"/>
      <c r="I113" s="141">
        <f t="shared" ref="I113:P113" si="32">SUM(I110:I112)</f>
        <v>0</v>
      </c>
      <c r="J113" s="141">
        <f t="shared" si="32"/>
        <v>0</v>
      </c>
      <c r="K113" s="141">
        <f t="shared" si="32"/>
        <v>0</v>
      </c>
      <c r="L113" s="141">
        <f t="shared" si="32"/>
        <v>0</v>
      </c>
      <c r="M113" s="141">
        <f t="shared" si="32"/>
        <v>0</v>
      </c>
      <c r="N113" s="141">
        <f t="shared" si="32"/>
        <v>0</v>
      </c>
      <c r="O113" s="141">
        <f t="shared" si="32"/>
        <v>0</v>
      </c>
      <c r="P113" s="141">
        <f t="shared" si="32"/>
        <v>0</v>
      </c>
      <c r="Q113" s="138"/>
      <c r="R113" s="138"/>
      <c r="S113" s="141">
        <f t="shared" ref="S113:Z113" si="33">SUM(S110:S112)</f>
        <v>0</v>
      </c>
      <c r="T113" s="141">
        <f t="shared" si="33"/>
        <v>0</v>
      </c>
      <c r="U113" s="141">
        <f t="shared" si="33"/>
        <v>0</v>
      </c>
      <c r="V113" s="141">
        <f t="shared" si="33"/>
        <v>0</v>
      </c>
      <c r="W113" s="141">
        <f t="shared" si="33"/>
        <v>0</v>
      </c>
      <c r="X113" s="141">
        <f t="shared" si="33"/>
        <v>0</v>
      </c>
      <c r="Y113" s="141">
        <f t="shared" si="33"/>
        <v>0</v>
      </c>
      <c r="Z113" s="141">
        <f t="shared" si="33"/>
        <v>0</v>
      </c>
      <c r="AA113" s="138"/>
      <c r="AB113" s="141" t="str">
        <f t="shared" si="31"/>
        <v/>
      </c>
      <c r="AC113" s="141" t="str">
        <f t="shared" si="31"/>
        <v/>
      </c>
      <c r="AD113" s="141" t="str">
        <f t="shared" si="31"/>
        <v/>
      </c>
      <c r="AE113" s="141" t="str">
        <f t="shared" si="31"/>
        <v/>
      </c>
      <c r="AF113" s="141" t="str">
        <f t="shared" si="31"/>
        <v/>
      </c>
      <c r="AG113" s="141" t="str">
        <f t="shared" si="31"/>
        <v/>
      </c>
      <c r="AH113" s="141" t="str">
        <f t="shared" si="31"/>
        <v/>
      </c>
      <c r="AI113" s="141" t="str">
        <f t="shared" si="31"/>
        <v/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192" t="s">
        <v>164</v>
      </c>
      <c r="H115" s="192"/>
      <c r="I115" s="128" t="str">
        <f>I$21</f>
        <v xml:space="preserve"> 2020</v>
      </c>
      <c r="J115" s="128" t="str">
        <f t="shared" ref="J115:P115" si="34">J$21</f>
        <v xml:space="preserve"> 2021</v>
      </c>
      <c r="K115" s="128" t="str">
        <f t="shared" si="34"/>
        <v xml:space="preserve"> 2022</v>
      </c>
      <c r="L115" s="128" t="str">
        <f t="shared" si="34"/>
        <v xml:space="preserve"> 2023</v>
      </c>
      <c r="M115" s="128" t="str">
        <f t="shared" si="34"/>
        <v xml:space="preserve"> 2024</v>
      </c>
      <c r="N115" s="128" t="str">
        <f t="shared" si="34"/>
        <v xml:space="preserve"> 2025</v>
      </c>
      <c r="O115" s="128" t="str">
        <f t="shared" si="34"/>
        <v xml:space="preserve"> 2026</v>
      </c>
      <c r="P115" s="128" t="str">
        <f t="shared" si="34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35">T$21</f>
        <v xml:space="preserve"> 2019</v>
      </c>
      <c r="U115" s="128" t="str">
        <f t="shared" si="35"/>
        <v xml:space="preserve"> 2020</v>
      </c>
      <c r="V115" s="128" t="str">
        <f t="shared" si="35"/>
        <v xml:space="preserve"> 2021</v>
      </c>
      <c r="W115" s="128" t="str">
        <f t="shared" si="35"/>
        <v xml:space="preserve"> 2022</v>
      </c>
      <c r="X115" s="128" t="str">
        <f t="shared" si="35"/>
        <v xml:space="preserve"> 2023</v>
      </c>
      <c r="Y115" s="128" t="str">
        <f t="shared" si="35"/>
        <v xml:space="preserve"> 2024</v>
      </c>
      <c r="Z115" s="128" t="str">
        <f t="shared" si="35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36">IFERROR(I51/I24,"")</f>
        <v/>
      </c>
      <c r="J117" s="164" t="str">
        <f t="shared" si="36"/>
        <v/>
      </c>
      <c r="K117" s="164" t="str">
        <f t="shared" si="36"/>
        <v/>
      </c>
      <c r="L117" s="164" t="str">
        <f t="shared" si="36"/>
        <v/>
      </c>
      <c r="M117" s="164" t="str">
        <f t="shared" si="36"/>
        <v/>
      </c>
      <c r="N117" s="164" t="str">
        <f t="shared" si="36"/>
        <v/>
      </c>
      <c r="O117" s="164" t="str">
        <f t="shared" si="36"/>
        <v/>
      </c>
      <c r="P117" s="164" t="str">
        <f t="shared" si="36"/>
        <v/>
      </c>
      <c r="Q117" s="138"/>
      <c r="R117" s="138"/>
      <c r="S117" s="164" t="str">
        <f t="shared" ref="S117:Z117" si="37">IFERROR(S51/S24,"")</f>
        <v/>
      </c>
      <c r="T117" s="164" t="str">
        <f t="shared" si="37"/>
        <v/>
      </c>
      <c r="U117" s="164" t="str">
        <f t="shared" si="37"/>
        <v/>
      </c>
      <c r="V117" s="164" t="str">
        <f t="shared" si="37"/>
        <v/>
      </c>
      <c r="W117" s="164" t="str">
        <f t="shared" si="37"/>
        <v/>
      </c>
      <c r="X117" s="164" t="str">
        <f t="shared" si="37"/>
        <v/>
      </c>
      <c r="Y117" s="164" t="str">
        <f t="shared" si="37"/>
        <v/>
      </c>
      <c r="Z117" s="164" t="str">
        <f t="shared" si="37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>IFERROR(J132,"-")</f>
        <v>-</v>
      </c>
      <c r="K118" s="164" t="str">
        <f t="shared" ref="K118:P118" si="38">IFERROR(K132,"-")</f>
        <v>-</v>
      </c>
      <c r="L118" s="164" t="str">
        <f t="shared" si="38"/>
        <v>-</v>
      </c>
      <c r="M118" s="164" t="str">
        <f t="shared" si="38"/>
        <v>-</v>
      </c>
      <c r="N118" s="164" t="str">
        <f t="shared" si="38"/>
        <v>-</v>
      </c>
      <c r="O118" s="164" t="str">
        <f t="shared" si="38"/>
        <v>-</v>
      </c>
      <c r="P118" s="164" t="str">
        <f t="shared" si="38"/>
        <v>-</v>
      </c>
      <c r="Q118" s="129"/>
      <c r="R118" s="129"/>
      <c r="S118" s="167" t="s">
        <v>165</v>
      </c>
      <c r="T118" s="164" t="str">
        <f>IFERROR(T132,"-")</f>
        <v>-</v>
      </c>
      <c r="U118" s="164" t="str">
        <f t="shared" ref="U118:Z118" si="39">IFERROR(U132,"-")</f>
        <v>-</v>
      </c>
      <c r="V118" s="164" t="str">
        <f t="shared" si="39"/>
        <v>-</v>
      </c>
      <c r="W118" s="164" t="str">
        <f t="shared" si="39"/>
        <v>-</v>
      </c>
      <c r="X118" s="164" t="str">
        <f t="shared" si="39"/>
        <v>-</v>
      </c>
      <c r="Y118" s="164" t="str">
        <f t="shared" si="39"/>
        <v>-</v>
      </c>
      <c r="Z118" s="164" t="str">
        <f t="shared" si="39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40">IFERROR(J38/AVERAGE(I97:J97),"-")</f>
        <v>-</v>
      </c>
      <c r="K119" s="164" t="str">
        <f t="shared" si="40"/>
        <v>-</v>
      </c>
      <c r="L119" s="164" t="str">
        <f>IFERROR(L38/AVERAGE(K97:L97),"-")</f>
        <v>-</v>
      </c>
      <c r="M119" s="164" t="str">
        <f t="shared" ref="M119:P119" si="41">IFERROR(M38/AVERAGE(L97:M97),"-")</f>
        <v>-</v>
      </c>
      <c r="N119" s="164" t="str">
        <f t="shared" si="41"/>
        <v>-</v>
      </c>
      <c r="O119" s="164" t="str">
        <f t="shared" si="41"/>
        <v>-</v>
      </c>
      <c r="P119" s="164" t="str">
        <f t="shared" si="41"/>
        <v>-</v>
      </c>
      <c r="Q119" s="129"/>
      <c r="R119" s="129"/>
      <c r="S119" s="167" t="s">
        <v>165</v>
      </c>
      <c r="T119" s="164" t="str">
        <f t="shared" ref="T119" si="42">IFERROR(T38/AVERAGE(S97:T97),"-")</f>
        <v>-</v>
      </c>
      <c r="U119" s="164" t="str">
        <f t="shared" ref="U119" si="43">IFERROR(U38/AVERAGE(T97:U97),"-")</f>
        <v>-</v>
      </c>
      <c r="V119" s="164" t="str">
        <f>IFERROR(V38/AVERAGE(U97:V97),"-")</f>
        <v>-</v>
      </c>
      <c r="W119" s="164" t="str">
        <f t="shared" ref="W119" si="44">IFERROR(W38/AVERAGE(V97:W97),"-")</f>
        <v>-</v>
      </c>
      <c r="X119" s="164" t="str">
        <f t="shared" ref="X119" si="45">IFERROR(X38/AVERAGE(W97:X97),"-")</f>
        <v>-</v>
      </c>
      <c r="Y119" s="164" t="str">
        <f t="shared" ref="Y119" si="46">IFERROR(Y38/AVERAGE(X97:Y97),"-")</f>
        <v>-</v>
      </c>
      <c r="Z119" s="164" t="str">
        <f t="shared" ref="Z119" si="47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48">IFERROR(-J41/J40,"-")</f>
        <v>-</v>
      </c>
      <c r="K120" s="167" t="str">
        <f t="shared" si="48"/>
        <v>-</v>
      </c>
      <c r="L120" s="167" t="str">
        <f t="shared" si="48"/>
        <v>-</v>
      </c>
      <c r="M120" s="167" t="str">
        <f t="shared" si="48"/>
        <v>-</v>
      </c>
      <c r="N120" s="167" t="str">
        <f t="shared" si="48"/>
        <v>-</v>
      </c>
      <c r="O120" s="167" t="str">
        <f t="shared" si="48"/>
        <v>-</v>
      </c>
      <c r="P120" s="167" t="str">
        <f t="shared" si="48"/>
        <v>-</v>
      </c>
      <c r="Q120" s="129"/>
      <c r="R120" s="129"/>
      <c r="S120" s="167" t="str">
        <f t="shared" ref="S120:Z120" si="49">IFERROR(-S41/S40,"-")</f>
        <v>-</v>
      </c>
      <c r="T120" s="167" t="str">
        <f t="shared" si="49"/>
        <v>-</v>
      </c>
      <c r="U120" s="167" t="str">
        <f t="shared" si="49"/>
        <v>-</v>
      </c>
      <c r="V120" s="167" t="str">
        <f t="shared" si="49"/>
        <v>-</v>
      </c>
      <c r="W120" s="167" t="str">
        <f t="shared" si="49"/>
        <v>-</v>
      </c>
      <c r="X120" s="167" t="str">
        <f t="shared" si="49"/>
        <v>-</v>
      </c>
      <c r="Y120" s="167" t="str">
        <f t="shared" si="49"/>
        <v>-</v>
      </c>
      <c r="Z120" s="167" t="str">
        <f t="shared" si="49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hidden="1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hidden="1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hidden="1" customHeight="1" outlineLevel="1">
      <c r="G123" s="207" t="s">
        <v>166</v>
      </c>
      <c r="H123" s="207"/>
      <c r="AJ123" s="44"/>
      <c r="AP123" s="120"/>
    </row>
    <row r="124" spans="1:49" ht="21.75" hidden="1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hidden="1" customHeight="1" outlineLevel="1">
      <c r="G125" s="115" t="s">
        <v>167</v>
      </c>
      <c r="H125" s="116">
        <f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hidden="1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hidden="1" customHeight="1" outlineLevel="1">
      <c r="G127" s="43" t="s">
        <v>169</v>
      </c>
      <c r="H127" s="111"/>
      <c r="I127" s="53">
        <f>(I33-I25)</f>
        <v>0</v>
      </c>
      <c r="J127" s="53">
        <f t="shared" ref="J127:P127" si="50">(J33-J25)</f>
        <v>0</v>
      </c>
      <c r="K127" s="53">
        <f t="shared" si="50"/>
        <v>0</v>
      </c>
      <c r="L127" s="53">
        <f t="shared" si="50"/>
        <v>0</v>
      </c>
      <c r="M127" s="53">
        <f t="shared" si="50"/>
        <v>0</v>
      </c>
      <c r="N127" s="53">
        <f t="shared" si="50"/>
        <v>0</v>
      </c>
      <c r="O127" s="53">
        <f t="shared" si="50"/>
        <v>0</v>
      </c>
      <c r="P127" s="53">
        <f t="shared" si="50"/>
        <v>0</v>
      </c>
      <c r="S127" s="53">
        <f>(S33-S25)</f>
        <v>0</v>
      </c>
      <c r="T127" s="53">
        <f t="shared" ref="T127:Z127" si="51">(T33-T25)</f>
        <v>0</v>
      </c>
      <c r="U127" s="53">
        <f t="shared" si="51"/>
        <v>0</v>
      </c>
      <c r="V127" s="53">
        <f t="shared" si="51"/>
        <v>0</v>
      </c>
      <c r="W127" s="53">
        <f t="shared" si="51"/>
        <v>0</v>
      </c>
      <c r="X127" s="53">
        <f t="shared" si="51"/>
        <v>0</v>
      </c>
      <c r="Y127" s="53">
        <f t="shared" si="51"/>
        <v>0</v>
      </c>
      <c r="Z127" s="53">
        <f t="shared" si="51"/>
        <v>0</v>
      </c>
      <c r="AJ127" s="44"/>
      <c r="AS127" s="27"/>
      <c r="AT127" s="26"/>
    </row>
    <row r="128" spans="1:49" ht="21.75" hidden="1" customHeight="1" outlineLevel="1">
      <c r="G128" s="43" t="s">
        <v>170</v>
      </c>
      <c r="H128" s="111"/>
      <c r="I128" s="53">
        <f>IF($G$124="Corporate",0,-$H$126*I24)</f>
        <v>0</v>
      </c>
      <c r="J128" s="53">
        <f t="shared" ref="J128:P128" si="52">IF($G$124="Corporate",0,-$H$126*J24)</f>
        <v>0</v>
      </c>
      <c r="K128" s="53">
        <f t="shared" si="52"/>
        <v>0</v>
      </c>
      <c r="L128" s="53">
        <f t="shared" si="52"/>
        <v>0</v>
      </c>
      <c r="M128" s="53">
        <f t="shared" si="52"/>
        <v>0</v>
      </c>
      <c r="N128" s="53">
        <f t="shared" si="52"/>
        <v>0</v>
      </c>
      <c r="O128" s="53">
        <f t="shared" si="52"/>
        <v>0</v>
      </c>
      <c r="P128" s="53">
        <f t="shared" si="52"/>
        <v>0</v>
      </c>
      <c r="S128" s="53">
        <f>IF($G$124="Corporate",0,-$H$126*S24)</f>
        <v>0</v>
      </c>
      <c r="T128" s="53">
        <f t="shared" ref="T128:Z128" si="53">IF($G$124="Corporate",0,-$H$126*T24)</f>
        <v>0</v>
      </c>
      <c r="U128" s="53">
        <f t="shared" si="53"/>
        <v>0</v>
      </c>
      <c r="V128" s="53">
        <f t="shared" si="53"/>
        <v>0</v>
      </c>
      <c r="W128" s="53">
        <f t="shared" si="53"/>
        <v>0</v>
      </c>
      <c r="X128" s="53">
        <f t="shared" si="53"/>
        <v>0</v>
      </c>
      <c r="Y128" s="53">
        <f t="shared" si="53"/>
        <v>0</v>
      </c>
      <c r="Z128" s="53">
        <f t="shared" si="53"/>
        <v>0</v>
      </c>
      <c r="AJ128" s="44"/>
      <c r="AS128" s="27"/>
      <c r="AT128" s="26"/>
    </row>
    <row r="129" spans="7:46" ht="21.75" hidden="1" customHeight="1" outlineLevel="1">
      <c r="G129" s="43" t="s">
        <v>171</v>
      </c>
      <c r="H129" s="112"/>
      <c r="I129" s="53">
        <f>SUM(I127:I128)</f>
        <v>0</v>
      </c>
      <c r="J129" s="53">
        <f t="shared" ref="J129:P129" si="54">SUM(J127:J128)</f>
        <v>0</v>
      </c>
      <c r="K129" s="53">
        <f t="shared" si="54"/>
        <v>0</v>
      </c>
      <c r="L129" s="53">
        <f t="shared" si="54"/>
        <v>0</v>
      </c>
      <c r="M129" s="53">
        <f t="shared" si="54"/>
        <v>0</v>
      </c>
      <c r="N129" s="53">
        <f t="shared" si="54"/>
        <v>0</v>
      </c>
      <c r="O129" s="53">
        <f t="shared" si="54"/>
        <v>0</v>
      </c>
      <c r="P129" s="53">
        <f t="shared" si="54"/>
        <v>0</v>
      </c>
      <c r="S129" s="53">
        <f>SUM(S127:S128)</f>
        <v>0</v>
      </c>
      <c r="T129" s="53">
        <f t="shared" ref="T129:Z129" si="55">SUM(T127:T128)</f>
        <v>0</v>
      </c>
      <c r="U129" s="53">
        <f t="shared" si="55"/>
        <v>0</v>
      </c>
      <c r="V129" s="53">
        <f t="shared" si="55"/>
        <v>0</v>
      </c>
      <c r="W129" s="53">
        <f t="shared" si="55"/>
        <v>0</v>
      </c>
      <c r="X129" s="53">
        <f t="shared" si="55"/>
        <v>0</v>
      </c>
      <c r="Y129" s="53">
        <f t="shared" si="55"/>
        <v>0</v>
      </c>
      <c r="Z129" s="53">
        <f t="shared" si="55"/>
        <v>0</v>
      </c>
      <c r="AJ129" s="44"/>
      <c r="AS129" s="27"/>
      <c r="AT129" s="26"/>
    </row>
    <row r="130" spans="7:46" ht="21.75" hidden="1" customHeight="1" outlineLevel="1">
      <c r="G130" s="43" t="s">
        <v>167</v>
      </c>
      <c r="H130" s="112"/>
      <c r="I130" s="53">
        <f>I129*-$H$125</f>
        <v>0</v>
      </c>
      <c r="J130" s="53">
        <f t="shared" ref="J130:P130" si="56">J129*-$H$125</f>
        <v>0</v>
      </c>
      <c r="K130" s="53">
        <f t="shared" si="56"/>
        <v>0</v>
      </c>
      <c r="L130" s="53">
        <f t="shared" si="56"/>
        <v>0</v>
      </c>
      <c r="M130" s="53">
        <f t="shared" si="56"/>
        <v>0</v>
      </c>
      <c r="N130" s="53">
        <f t="shared" si="56"/>
        <v>0</v>
      </c>
      <c r="O130" s="53">
        <f t="shared" si="56"/>
        <v>0</v>
      </c>
      <c r="P130" s="53">
        <f t="shared" si="56"/>
        <v>0</v>
      </c>
      <c r="S130" s="53">
        <f>S129*-$H$125</f>
        <v>0</v>
      </c>
      <c r="T130" s="53">
        <f t="shared" ref="T130:Z130" si="57">T129*-$H$125</f>
        <v>0</v>
      </c>
      <c r="U130" s="53">
        <f t="shared" si="57"/>
        <v>0</v>
      </c>
      <c r="V130" s="53">
        <f t="shared" si="57"/>
        <v>0</v>
      </c>
      <c r="W130" s="53">
        <f t="shared" si="57"/>
        <v>0</v>
      </c>
      <c r="X130" s="53">
        <f t="shared" si="57"/>
        <v>0</v>
      </c>
      <c r="Y130" s="53">
        <f t="shared" si="57"/>
        <v>0</v>
      </c>
      <c r="Z130" s="53">
        <f t="shared" si="57"/>
        <v>0</v>
      </c>
      <c r="AJ130" s="44"/>
      <c r="AS130" s="27"/>
      <c r="AT130" s="26"/>
    </row>
    <row r="131" spans="7:46" ht="21.75" hidden="1" customHeight="1" outlineLevel="1">
      <c r="G131" s="79" t="s">
        <v>172</v>
      </c>
      <c r="H131" s="117"/>
      <c r="I131" s="118">
        <f>SUM(I129:I130)</f>
        <v>0</v>
      </c>
      <c r="J131" s="118">
        <f t="shared" ref="J131:P131" si="58">SUM(J129:J130)</f>
        <v>0</v>
      </c>
      <c r="K131" s="118">
        <f t="shared" si="58"/>
        <v>0</v>
      </c>
      <c r="L131" s="118">
        <f t="shared" si="58"/>
        <v>0</v>
      </c>
      <c r="M131" s="118">
        <f t="shared" si="58"/>
        <v>0</v>
      </c>
      <c r="N131" s="118">
        <f t="shared" si="58"/>
        <v>0</v>
      </c>
      <c r="O131" s="118">
        <f t="shared" si="58"/>
        <v>0</v>
      </c>
      <c r="P131" s="118">
        <f t="shared" si="58"/>
        <v>0</v>
      </c>
      <c r="S131" s="118">
        <f>SUM(S129:S130)</f>
        <v>0</v>
      </c>
      <c r="T131" s="118">
        <f t="shared" ref="T131:Z131" si="59">SUM(T129:T130)</f>
        <v>0</v>
      </c>
      <c r="U131" s="118">
        <f t="shared" si="59"/>
        <v>0</v>
      </c>
      <c r="V131" s="118">
        <f t="shared" si="59"/>
        <v>0</v>
      </c>
      <c r="W131" s="118">
        <f t="shared" si="59"/>
        <v>0</v>
      </c>
      <c r="X131" s="118">
        <f t="shared" si="59"/>
        <v>0</v>
      </c>
      <c r="Y131" s="118">
        <f t="shared" si="59"/>
        <v>0</v>
      </c>
      <c r="Z131" s="118">
        <f t="shared" si="59"/>
        <v>0</v>
      </c>
      <c r="AJ131" s="44"/>
      <c r="AS131" s="27"/>
      <c r="AT131" s="26"/>
    </row>
    <row r="132" spans="7:46" ht="23.5" hidden="1" outlineLevel="1">
      <c r="G132" s="97" t="s">
        <v>173</v>
      </c>
      <c r="H132" s="97"/>
      <c r="I132" s="108"/>
      <c r="J132" s="108" t="e">
        <f>J131/AVERAGE(I94:J94)</f>
        <v>#DIV/0!</v>
      </c>
      <c r="K132" s="108" t="e">
        <f t="shared" ref="K132:P132" si="60">K131/AVERAGE(J94:K94)</f>
        <v>#DIV/0!</v>
      </c>
      <c r="L132" s="108" t="e">
        <f t="shared" si="60"/>
        <v>#DIV/0!</v>
      </c>
      <c r="M132" s="108" t="e">
        <f t="shared" si="60"/>
        <v>#DIV/0!</v>
      </c>
      <c r="N132" s="108" t="e">
        <f t="shared" si="60"/>
        <v>#DIV/0!</v>
      </c>
      <c r="O132" s="108" t="e">
        <f t="shared" si="60"/>
        <v>#DIV/0!</v>
      </c>
      <c r="P132" s="108" t="e">
        <f t="shared" si="60"/>
        <v>#DIV/0!</v>
      </c>
      <c r="S132" s="108"/>
      <c r="T132" s="108" t="e">
        <f>T131/AVERAGE(S94:T94)</f>
        <v>#DIV/0!</v>
      </c>
      <c r="U132" s="108" t="e">
        <f t="shared" ref="U132:Z132" si="61">U131/AVERAGE(T94:U94)</f>
        <v>#DIV/0!</v>
      </c>
      <c r="V132" s="108" t="e">
        <f t="shared" si="61"/>
        <v>#DIV/0!</v>
      </c>
      <c r="W132" s="108" t="e">
        <f t="shared" si="61"/>
        <v>#DIV/0!</v>
      </c>
      <c r="X132" s="108" t="e">
        <f t="shared" si="61"/>
        <v>#DIV/0!</v>
      </c>
      <c r="Y132" s="108" t="e">
        <f t="shared" si="61"/>
        <v>#DIV/0!</v>
      </c>
      <c r="Z132" s="108" t="e">
        <f t="shared" si="61"/>
        <v>#DIV/0!</v>
      </c>
    </row>
    <row r="133" spans="7:46" ht="18" hidden="1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 collapsed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</sheetData>
  <sheetProtection formatColumns="0" formatRows="0"/>
  <protectedRanges>
    <protectedRange sqref="AA25:AG28 AB51:AI51 Q24:R28 AA24:AI24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 ca="1"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 ht="13">
      <c r="G19" s="2" t="s">
        <v>70</v>
      </c>
    </row>
    <row r="20" spans="1:7" ht="13">
      <c r="A20">
        <f ca="1">IF(_xll.TM1RPTELISCONSOLIDATED($E$20,$E20),IF(_xll.TM1RPTELLEV($E$20,$E20)&lt;=3,_xll.TM1RPTELLEV($E$20,$E20),"D"),"N")</f>
        <v>0</v>
      </c>
      <c r="D20" s="216" t="str">
        <f ca="1">_xll.TM1RPTROW($D$15,Server&amp;"Legal_Organization","","",Output!$H$18,0,$D$16,,1)</f>
        <v>TRANSDEV All</v>
      </c>
      <c r="E20" s="218" t="str">
        <f ca="1">_xll.TM1RPTROW($D$15,Server&amp;"Activity","",,"",0)</f>
        <v>Tot_act</v>
      </c>
      <c r="F20" s="3" t="str">
        <f ca="1">_xll.DBRA(Server&amp;"Activity",$E20,Output!$H$18)</f>
        <v>All activity</v>
      </c>
      <c r="G20" s="5" t="str">
        <f ca="1">_xll.DBRW($D$15,$D20,$E20,G$19)</f>
        <v>1</v>
      </c>
    </row>
    <row r="21" spans="1:7">
      <c r="A21">
        <f ca="1">IF(_xll.TM1RPTELISCONSOLIDATED($E$20,$E21),IF(_xll.TM1RPTELLEV($E$20,$E21)&lt;=3,_xll.TM1RPTELLEV($E$20,$E21),"D"),"N")</f>
        <v>1</v>
      </c>
      <c r="D21" s="217" t="s">
        <v>175</v>
      </c>
      <c r="E21" s="219" t="s">
        <v>159</v>
      </c>
      <c r="F21" s="4" t="str">
        <f ca="1">_xll.DBRA(Server&amp;"Activity",$E21,Output!$H$18)</f>
        <v>Urban</v>
      </c>
      <c r="G21" s="6" t="str">
        <f ca="1">_xll.DBRW($D$15,$D21,$E21,G$19)</f>
        <v>1</v>
      </c>
    </row>
    <row r="22" spans="1:7">
      <c r="A22" t="str">
        <f ca="1">IF(_xll.TM1RPTELISCONSOLIDATED($E$20,$E22),IF(_xll.TM1RPTELLEV($E$20,$E22)&lt;=3,_xll.TM1RPTELLEV($E$20,$E22),"D"),"N")</f>
        <v>N</v>
      </c>
      <c r="D22" s="217" t="s">
        <v>175</v>
      </c>
      <c r="E22" s="90" t="s">
        <v>160</v>
      </c>
      <c r="F22" t="str">
        <f ca="1">_xll.DBRA(Server&amp;"Activity",$E22,Output!$H$18)</f>
        <v>Bus (Urban)</v>
      </c>
      <c r="G22" s="7" t="str">
        <f ca="1">_xll.DBRW($D$15,$D22,$E22,G$19)</f>
        <v>1</v>
      </c>
    </row>
    <row r="23" spans="1:7">
      <c r="A23" t="str">
        <f ca="1">IF(_xll.TM1RPTELISCONSOLIDATED($E$20,$E23),IF(_xll.TM1RPTELLEV($E$20,$E23)&lt;=3,_xll.TM1RPTELLEV($E$20,$E23),"D"),"N")</f>
        <v>N</v>
      </c>
      <c r="D23" s="217" t="s">
        <v>175</v>
      </c>
      <c r="E23" s="90" t="s">
        <v>161</v>
      </c>
      <c r="F23" t="str">
        <f ca="1">_xll.DBRA(Server&amp;"Activity",$E23,Output!$H$18)</f>
        <v>Light rail</v>
      </c>
      <c r="G23" s="7" t="str">
        <f ca="1">_xll.DBRW($D$15,$D23,$E23,G$19)</f>
        <v>1</v>
      </c>
    </row>
    <row r="24" spans="1:7">
      <c r="A24" t="str">
        <f ca="1">IF(_xll.TM1RPTELISCONSOLIDATED($E$20,$E24),IF(_xll.TM1RPTELLEV($E$20,$E24)&lt;=3,_xll.TM1RPTELLEV($E$20,$E24),"D"),"N")</f>
        <v>N</v>
      </c>
      <c r="D24" s="217" t="s">
        <v>175</v>
      </c>
      <c r="E24" s="90" t="s">
        <v>162</v>
      </c>
      <c r="F24" t="str">
        <f ca="1">_xll.DBRA(Server&amp;"Activity",$E24,Output!$H$18)</f>
        <v>Metro</v>
      </c>
      <c r="G24" s="7" t="str">
        <f ca="1">_xll.DBRW($D$15,$D24,$E24,G$19)</f>
        <v>1</v>
      </c>
    </row>
    <row r="25" spans="1:7">
      <c r="A25" t="str">
        <f ca="1">IF(_xll.TM1RPTELISCONSOLIDATED($E$20,$E25),IF(_xll.TM1RPTELLEV($E$20,$E25)&lt;=3,_xll.TM1RPTELLEV($E$20,$E25),"D"),"N")</f>
        <v>N</v>
      </c>
      <c r="D25" s="217" t="s">
        <v>175</v>
      </c>
      <c r="E25" s="90" t="s">
        <v>176</v>
      </c>
      <c r="F25" t="str">
        <f ca="1">_xll.DBRA(Server&amp;"Activity",$E25,Output!$H$18)</f>
        <v>Multi-modal (Urban)</v>
      </c>
      <c r="G25" s="7" t="str">
        <f ca="1">_xll.DBRW($D$15,$D25,$E25,G$19)</f>
        <v>1</v>
      </c>
    </row>
    <row r="26" spans="1:7">
      <c r="A26" t="str">
        <f ca="1">IF(_xll.TM1RPTELISCONSOLIDATED($E$20,$E26),IF(_xll.TM1RPTELLEV($E$20,$E26)&lt;=3,_xll.TM1RPTELLEV($E$20,$E26),"D"),"N")</f>
        <v>N</v>
      </c>
      <c r="D26" s="217" t="s">
        <v>175</v>
      </c>
      <c r="E26" s="90" t="s">
        <v>177</v>
      </c>
      <c r="F26" t="str">
        <f ca="1">_xll.DBRA(Server&amp;"Activity",$E26,Output!$H$18)</f>
        <v>Cycles sharing</v>
      </c>
      <c r="G26" s="7" t="str">
        <f ca="1">_xll.DBRW($D$15,$D26,$E26,G$19)</f>
        <v>1</v>
      </c>
    </row>
    <row r="27" spans="1:7">
      <c r="A27" t="str">
        <f ca="1">IF(_xll.TM1RPTELISCONSOLIDATED($E$20,$E27),IF(_xll.TM1RPTELLEV($E$20,$E27)&lt;=3,_xll.TM1RPTELLEV($E$20,$E27),"D"),"N")</f>
        <v>N</v>
      </c>
      <c r="D27" s="217" t="s">
        <v>175</v>
      </c>
      <c r="E27" s="90" t="s">
        <v>178</v>
      </c>
      <c r="F27" t="str">
        <f ca="1">_xll.DBRA(Server&amp;"Activity",$E27,Output!$H$18)</f>
        <v>Car sharing</v>
      </c>
      <c r="G27" s="7" t="str">
        <f ca="1">_xll.DBRW($D$15,$D27,$E27,G$19)</f>
        <v>1</v>
      </c>
    </row>
    <row r="28" spans="1:7">
      <c r="A28" t="str">
        <f ca="1">IF(_xll.TM1RPTELISCONSOLIDATED($E$20,$E28),IF(_xll.TM1RPTELLEV($E$20,$E28)&lt;=3,_xll.TM1RPTELLEV($E$20,$E28),"D"),"N")</f>
        <v>N</v>
      </c>
      <c r="D28" s="217" t="s">
        <v>175</v>
      </c>
      <c r="E28" s="90" t="s">
        <v>179</v>
      </c>
      <c r="F28" t="str">
        <f ca="1">_xll.DBRA(Server&amp;"Activity",$E28,Output!$H$18)</f>
        <v>Boat</v>
      </c>
      <c r="G28" s="7" t="str">
        <f ca="1">_xll.DBRW($D$15,$D28,$E28,G$19)</f>
        <v>1</v>
      </c>
    </row>
    <row r="29" spans="1:7">
      <c r="A29" t="str">
        <f ca="1">IF(_xll.TM1RPTELISCONSOLIDATED($E$20,$E29),IF(_xll.TM1RPTELLEV($E$20,$E29)&lt;=3,_xll.TM1RPTELLEV($E$20,$E29),"D"),"N")</f>
        <v>N</v>
      </c>
      <c r="D29" s="217" t="s">
        <v>175</v>
      </c>
      <c r="E29" s="90" t="s">
        <v>180</v>
      </c>
      <c r="F29" t="str">
        <f ca="1">_xll.DBRA(Server&amp;"Activity",$E29,Output!$H$18)</f>
        <v>Urban - Input technical activity</v>
      </c>
      <c r="G29" s="7" t="str">
        <f ca="1">_xll.DBRW($D$15,$D29,$E29,G$19)</f>
        <v>1</v>
      </c>
    </row>
    <row r="30" spans="1:7">
      <c r="A30">
        <f ca="1">IF(_xll.TM1RPTELISCONSOLIDATED($E$20,$E30),IF(_xll.TM1RPTELLEV($E$20,$E30)&lt;=3,_xll.TM1RPTELLEV($E$20,$E30),"D"),"N")</f>
        <v>1</v>
      </c>
      <c r="D30" s="217" t="s">
        <v>175</v>
      </c>
      <c r="E30" s="219" t="s">
        <v>181</v>
      </c>
      <c r="F30" s="4" t="str">
        <f ca="1">_xll.DBRA(Server&amp;"Activity",$E30,Output!$H$18)</f>
        <v>Suburban</v>
      </c>
      <c r="G30" s="6" t="str">
        <f ca="1">_xll.DBRW($D$15,$D30,$E30,G$19)</f>
        <v>1</v>
      </c>
    </row>
    <row r="31" spans="1:7">
      <c r="A31" t="str">
        <f ca="1">IF(_xll.TM1RPTELISCONSOLIDATED($E$20,$E31),IF(_xll.TM1RPTELLEV($E$20,$E31)&lt;=3,_xll.TM1RPTELLEV($E$20,$E31),"D"),"N")</f>
        <v>N</v>
      </c>
      <c r="D31" s="217" t="s">
        <v>175</v>
      </c>
      <c r="E31" s="90" t="s">
        <v>182</v>
      </c>
      <c r="F31" t="str">
        <f ca="1">_xll.DBRA(Server&amp;"Activity",$E31,Output!$H$18)</f>
        <v>Bus/Coach (Suburban)</v>
      </c>
      <c r="G31" s="7" t="str">
        <f ca="1">_xll.DBRW($D$15,$D31,$E31,G$19)</f>
        <v>1</v>
      </c>
    </row>
    <row r="32" spans="1:7">
      <c r="A32" t="str">
        <f ca="1">IF(_xll.TM1RPTELISCONSOLIDATED($E$20,$E32),IF(_xll.TM1RPTELLEV($E$20,$E32)&lt;=3,_xll.TM1RPTELLEV($E$20,$E32),"D"),"N")</f>
        <v>N</v>
      </c>
      <c r="D32" s="217" t="s">
        <v>175</v>
      </c>
      <c r="E32" s="90" t="s">
        <v>183</v>
      </c>
      <c r="F32" t="str">
        <f ca="1">_xll.DBRA(Server&amp;"Activity",$E32,Output!$H$18)</f>
        <v>Heavy Rail (Suburban)</v>
      </c>
      <c r="G32" s="7" t="str">
        <f ca="1">_xll.DBRW($D$15,$D32,$E32,G$19)</f>
        <v>1</v>
      </c>
    </row>
    <row r="33" spans="1:7">
      <c r="A33" t="str">
        <f ca="1">IF(_xll.TM1RPTELISCONSOLIDATED($E$20,$E33),IF(_xll.TM1RPTELLEV($E$20,$E33)&lt;=3,_xll.TM1RPTELLEV($E$20,$E33),"D"),"N")</f>
        <v>N</v>
      </c>
      <c r="D33" s="217" t="s">
        <v>175</v>
      </c>
      <c r="E33" s="90" t="s">
        <v>184</v>
      </c>
      <c r="F33" t="str">
        <f ca="1">_xll.DBRA(Server&amp;"Activity",$E33,Output!$H$18)</f>
        <v>Multi-modal (Suburban)</v>
      </c>
      <c r="G33" s="7" t="str">
        <f ca="1">_xll.DBRW($D$15,$D33,$E33,G$19)</f>
        <v>1</v>
      </c>
    </row>
    <row r="34" spans="1:7">
      <c r="A34" t="str">
        <f ca="1">IF(_xll.TM1RPTELISCONSOLIDATED($E$20,$E34),IF(_xll.TM1RPTELLEV($E$20,$E34)&lt;=3,_xll.TM1RPTELLEV($E$20,$E34),"D"),"N")</f>
        <v>N</v>
      </c>
      <c r="D34" s="217" t="s">
        <v>175</v>
      </c>
      <c r="E34" s="90" t="s">
        <v>185</v>
      </c>
      <c r="F34" t="str">
        <f ca="1">_xll.DBRA(Server&amp;"Activity",$E34,Output!$H$18)</f>
        <v>Suburban - Input technical activity</v>
      </c>
      <c r="G34" s="7" t="str">
        <f ca="1">_xll.DBRW($D$15,$D34,$E34,G$19)</f>
        <v>1</v>
      </c>
    </row>
    <row r="35" spans="1:7">
      <c r="A35">
        <f ca="1">IF(_xll.TM1RPTELISCONSOLIDATED($E$20,$E35),IF(_xll.TM1RPTELLEV($E$20,$E35)&lt;=3,_xll.TM1RPTELLEV($E$20,$E35),"D"),"N")</f>
        <v>1</v>
      </c>
      <c r="D35" s="217" t="s">
        <v>175</v>
      </c>
      <c r="E35" s="219" t="s">
        <v>186</v>
      </c>
      <c r="F35" s="4" t="str">
        <f ca="1">_xll.DBRA(Server&amp;"Activity",$E35,Output!$H$18)</f>
        <v>Subsidized on demand</v>
      </c>
      <c r="G35" s="6" t="str">
        <f ca="1">_xll.DBRW($D$15,$D35,$E35,G$19)</f>
        <v>1</v>
      </c>
    </row>
    <row r="36" spans="1:7">
      <c r="A36" t="str">
        <f ca="1">IF(_xll.TM1RPTELISCONSOLIDATED($E$20,$E36),IF(_xll.TM1RPTELLEV($E$20,$E36)&lt;=3,_xll.TM1RPTELLEV($E$20,$E36),"D"),"N")</f>
        <v>N</v>
      </c>
      <c r="D36" s="217" t="s">
        <v>175</v>
      </c>
      <c r="E36" s="90" t="s">
        <v>187</v>
      </c>
      <c r="F36" t="str">
        <f ca="1">_xll.DBRA(Server&amp;"Activity",$E36,Output!$H$18)</f>
        <v>Paratransit</v>
      </c>
      <c r="G36" s="7" t="str">
        <f ca="1">_xll.DBRW($D$15,$D36,$E36,G$19)</f>
        <v>1</v>
      </c>
    </row>
    <row r="37" spans="1:7">
      <c r="A37" t="str">
        <f ca="1">IF(_xll.TM1RPTELISCONSOLIDATED($E$20,$E37),IF(_xll.TM1RPTELLEV($E$20,$E37)&lt;=3,_xll.TM1RPTELLEV($E$20,$E37),"D"),"N")</f>
        <v>N</v>
      </c>
      <c r="D37" s="217" t="s">
        <v>175</v>
      </c>
      <c r="E37" s="90" t="s">
        <v>188</v>
      </c>
      <c r="F37" t="str">
        <f ca="1">_xll.DBRA(Server&amp;"Activity",$E37,Output!$H$18)</f>
        <v>Ambulance</v>
      </c>
      <c r="G37" s="7" t="str">
        <f ca="1">_xll.DBRW($D$15,$D37,$E37,G$19)</f>
        <v>1</v>
      </c>
    </row>
    <row r="38" spans="1:7">
      <c r="A38" t="str">
        <f ca="1">IF(_xll.TM1RPTELISCONSOLIDATED($E$20,$E38),IF(_xll.TM1RPTELLEV($E$20,$E38)&lt;=3,_xll.TM1RPTELLEV($E$20,$E38),"D"),"N")</f>
        <v>N</v>
      </c>
      <c r="D38" s="217" t="s">
        <v>175</v>
      </c>
      <c r="E38" s="90" t="s">
        <v>189</v>
      </c>
      <c r="F38" t="str">
        <f ca="1">_xll.DBRA(Server&amp;"Activity",$E38,Output!$H$18)</f>
        <v>Subsidized on demand - Input technical activity</v>
      </c>
      <c r="G38" s="7" t="str">
        <f ca="1">_xll.DBRW($D$15,$D38,$E38,G$19)</f>
        <v>1</v>
      </c>
    </row>
    <row r="39" spans="1:7">
      <c r="A39">
        <f ca="1">IF(_xll.TM1RPTELISCONSOLIDATED($E$20,$E39),IF(_xll.TM1RPTELLEV($E$20,$E39)&lt;=3,_xll.TM1RPTELLEV($E$20,$E39),"D"),"N")</f>
        <v>1</v>
      </c>
      <c r="D39" s="217" t="s">
        <v>175</v>
      </c>
      <c r="E39" s="219" t="s">
        <v>190</v>
      </c>
      <c r="F39" s="4" t="str">
        <f ca="1">_xll.DBRA(Server&amp;"Activity",$E39,Output!$H$18)</f>
        <v>Interurban</v>
      </c>
      <c r="G39" s="6" t="str">
        <f ca="1">_xll.DBRW($D$15,$D39,$E39,G$19)</f>
        <v>1</v>
      </c>
    </row>
    <row r="40" spans="1:7">
      <c r="A40" t="str">
        <f ca="1">IF(_xll.TM1RPTELISCONSOLIDATED($E$20,$E40),IF(_xll.TM1RPTELLEV($E$20,$E40)&lt;=3,_xll.TM1RPTELLEV($E$20,$E40),"D"),"N")</f>
        <v>N</v>
      </c>
      <c r="D40" s="217" t="s">
        <v>175</v>
      </c>
      <c r="E40" s="90" t="s">
        <v>191</v>
      </c>
      <c r="F40" t="str">
        <f ca="1">_xll.DBRA(Server&amp;"Activity",$E40,Output!$H$18)</f>
        <v>Schools</v>
      </c>
      <c r="G40" s="7" t="str">
        <f ca="1">_xll.DBRW($D$15,$D40,$E40,G$19)</f>
        <v>1</v>
      </c>
    </row>
    <row r="41" spans="1:7">
      <c r="A41" t="str">
        <f ca="1">IF(_xll.TM1RPTELISCONSOLIDATED($E$20,$E41),IF(_xll.TM1RPTELLEV($E$20,$E41)&lt;=3,_xll.TM1RPTELLEV($E$20,$E41),"D"),"N")</f>
        <v>N</v>
      </c>
      <c r="D41" s="217" t="s">
        <v>175</v>
      </c>
      <c r="E41" s="90" t="s">
        <v>192</v>
      </c>
      <c r="F41" t="str">
        <f ca="1">_xll.DBRA(Server&amp;"Activity",$E41,Output!$H$18)</f>
        <v>Regular lines</v>
      </c>
      <c r="G41" s="7" t="str">
        <f ca="1">_xll.DBRW($D$15,$D41,$E41,G$19)</f>
        <v>1</v>
      </c>
    </row>
    <row r="42" spans="1:7">
      <c r="A42" t="str">
        <f ca="1">IF(_xll.TM1RPTELISCONSOLIDATED($E$20,$E42),IF(_xll.TM1RPTELLEV($E$20,$E42)&lt;=3,_xll.TM1RPTELLEV($E$20,$E42),"D"),"N")</f>
        <v>N</v>
      </c>
      <c r="D42" s="217" t="s">
        <v>175</v>
      </c>
      <c r="E42" s="90" t="s">
        <v>193</v>
      </c>
      <c r="F42" t="str">
        <f ca="1">_xll.DBRA(Server&amp;"Activity",$E42,Output!$H$18)</f>
        <v>Charter / Occasional</v>
      </c>
      <c r="G42" s="7" t="str">
        <f ca="1">_xll.DBRW($D$15,$D42,$E42,G$19)</f>
        <v>1</v>
      </c>
    </row>
    <row r="43" spans="1:7">
      <c r="A43" t="str">
        <f ca="1">IF(_xll.TM1RPTELISCONSOLIDATED($E$20,$E43),IF(_xll.TM1RPTELLEV($E$20,$E43)&lt;=3,_xll.TM1RPTELLEV($E$20,$E43),"D"),"N")</f>
        <v>N</v>
      </c>
      <c r="D43" s="217" t="s">
        <v>175</v>
      </c>
      <c r="E43" s="90" t="s">
        <v>194</v>
      </c>
      <c r="F43" t="str">
        <f ca="1">_xll.DBRA(Server&amp;"Activity",$E43,Output!$H$18)</f>
        <v>Urban sub contracting</v>
      </c>
      <c r="G43" s="7" t="str">
        <f ca="1">_xll.DBRW($D$15,$D43,$E43,G$19)</f>
        <v>1</v>
      </c>
    </row>
    <row r="44" spans="1:7">
      <c r="A44" t="str">
        <f ca="1">IF(_xll.TM1RPTELISCONSOLIDATED($E$20,$E44),IF(_xll.TM1RPTELLEV($E$20,$E44)&lt;=3,_xll.TM1RPTELLEV($E$20,$E44),"D"),"N")</f>
        <v>N</v>
      </c>
      <c r="D44" s="217" t="s">
        <v>175</v>
      </c>
      <c r="E44" s="90" t="s">
        <v>195</v>
      </c>
      <c r="F44" t="str">
        <f ca="1">_xll.DBRA(Server&amp;"Activity",$E44,Output!$H$18)</f>
        <v>Shared (Regional coach)</v>
      </c>
      <c r="G44" s="7" t="str">
        <f ca="1">_xll.DBRW($D$15,$D44,$E44,G$19)</f>
        <v>1</v>
      </c>
    </row>
    <row r="45" spans="1:7">
      <c r="A45" t="str">
        <f ca="1">IF(_xll.TM1RPTELISCONSOLIDATED($E$20,$E45),IF(_xll.TM1RPTELLEV($E$20,$E45)&lt;=3,_xll.TM1RPTELLEV($E$20,$E45),"D"),"N")</f>
        <v>N</v>
      </c>
      <c r="D45" s="217" t="s">
        <v>175</v>
      </c>
      <c r="E45" s="90" t="s">
        <v>196</v>
      </c>
      <c r="F45" t="str">
        <f ca="1">_xll.DBRA(Server&amp;"Activity",$E45,Output!$H$18)</f>
        <v>Regional Coach - Input technical activity</v>
      </c>
      <c r="G45" s="7" t="str">
        <f ca="1">_xll.DBRW($D$15,$D45,$E45,G$19)</f>
        <v>1</v>
      </c>
    </row>
    <row r="46" spans="1:7">
      <c r="A46" t="str">
        <f ca="1">IF(_xll.TM1RPTELISCONSOLIDATED($E$20,$E46),IF(_xll.TM1RPTELLEV($E$20,$E46)&lt;=3,_xll.TM1RPTELLEV($E$20,$E46),"D"),"N")</f>
        <v>N</v>
      </c>
      <c r="D46" s="217" t="s">
        <v>175</v>
      </c>
      <c r="E46" s="90" t="s">
        <v>197</v>
      </c>
      <c r="F46" t="str">
        <f ca="1">_xll.DBRA(Server&amp;"Activity",$E46,Output!$H$18)</f>
        <v>Long Distance coaches</v>
      </c>
      <c r="G46" s="7" t="str">
        <f ca="1">_xll.DBRW($D$15,$D46,$E46,G$19)</f>
        <v>1</v>
      </c>
    </row>
    <row r="47" spans="1:7">
      <c r="A47">
        <f ca="1">IF(_xll.TM1RPTELISCONSOLIDATED($E$20,$E47),IF(_xll.TM1RPTELLEV($E$20,$E47)&lt;=3,_xll.TM1RPTELLEV($E$20,$E47),"D"),"N")</f>
        <v>1</v>
      </c>
      <c r="D47" s="217" t="s">
        <v>175</v>
      </c>
      <c r="E47" s="219" t="s">
        <v>198</v>
      </c>
      <c r="F47" s="4" t="str">
        <f ca="1">_xll.DBRA(Server&amp;"Activity",$E47,Output!$H$18)</f>
        <v>Heavy rail activities</v>
      </c>
      <c r="G47" s="6" t="str">
        <f ca="1">_xll.DBRW($D$15,$D47,$E47,G$19)</f>
        <v>1</v>
      </c>
    </row>
    <row r="48" spans="1:7">
      <c r="A48" t="str">
        <f ca="1">IF(_xll.TM1RPTELISCONSOLIDATED($E$20,$E48),IF(_xll.TM1RPTELLEV($E$20,$E48)&lt;=3,_xll.TM1RPTELLEV($E$20,$E48),"D"),"N")</f>
        <v>N</v>
      </c>
      <c r="D48" s="217" t="s">
        <v>175</v>
      </c>
      <c r="E48" s="90" t="s">
        <v>199</v>
      </c>
      <c r="F48" t="str">
        <f ca="1">_xll.DBRA(Server&amp;"Activity",$E48,Output!$H$18)</f>
        <v>Regional heavy rail</v>
      </c>
      <c r="G48" s="7" t="str">
        <f ca="1">_xll.DBRW($D$15,$D48,$E48,G$19)</f>
        <v>1</v>
      </c>
    </row>
    <row r="49" spans="1:7">
      <c r="A49" t="str">
        <f ca="1">IF(_xll.TM1RPTELISCONSOLIDATED($E$20,$E49),IF(_xll.TM1RPTELLEV($E$20,$E49)&lt;=3,_xll.TM1RPTELLEV($E$20,$E49),"D"),"N")</f>
        <v>N</v>
      </c>
      <c r="D49" s="217" t="s">
        <v>175</v>
      </c>
      <c r="E49" s="90" t="s">
        <v>200</v>
      </c>
      <c r="F49" t="str">
        <f ca="1">_xll.DBRA(Server&amp;"Activity",$E49,Output!$H$18)</f>
        <v>National / International heavy rail</v>
      </c>
      <c r="G49" s="7" t="str">
        <f ca="1">_xll.DBRW($D$15,$D49,$E49,G$19)</f>
        <v>1</v>
      </c>
    </row>
    <row r="50" spans="1:7">
      <c r="A50" t="str">
        <f ca="1">IF(_xll.TM1RPTELISCONSOLIDATED($E$20,$E50),IF(_xll.TM1RPTELLEV($E$20,$E50)&lt;=3,_xll.TM1RPTELLEV($E$20,$E50),"D"),"N")</f>
        <v>N</v>
      </c>
      <c r="D50" s="217" t="s">
        <v>175</v>
      </c>
      <c r="E50" s="90" t="s">
        <v>201</v>
      </c>
      <c r="F50" t="str">
        <f ca="1">_xll.DBRA(Server&amp;"Activity",$E50,Output!$H$18)</f>
        <v>Heavy rail - Input technical activity</v>
      </c>
      <c r="G50" s="7" t="str">
        <f ca="1">_xll.DBRW($D$15,$D50,$E50,G$19)</f>
        <v>1</v>
      </c>
    </row>
    <row r="51" spans="1:7">
      <c r="A51" t="str">
        <f ca="1">IF(_xll.TM1RPTELISCONSOLIDATED($E$20,$E51),IF(_xll.TM1RPTELLEV($E$20,$E51)&lt;=3,_xll.TM1RPTELLEV($E$20,$E51),"D"),"N")</f>
        <v>N</v>
      </c>
      <c r="D51" s="217" t="s">
        <v>175</v>
      </c>
      <c r="E51" s="90" t="s">
        <v>202</v>
      </c>
      <c r="F51" t="str">
        <f ca="1">_xll.DBRA(Server&amp;"Activity",$E51,Output!$H$18)</f>
        <v>Rail Maintenance</v>
      </c>
      <c r="G51" s="7" t="str">
        <f ca="1">_xll.DBRW($D$15,$D51,$E51,G$19)</f>
        <v>1</v>
      </c>
    </row>
    <row r="52" spans="1:7">
      <c r="A52" t="str">
        <f ca="1">IF(_xll.TM1RPTELISCONSOLIDATED($E$20,$E52),IF(_xll.TM1RPTELLEV($E$20,$E52)&lt;=3,_xll.TM1RPTELLEV($E$20,$E52),"D"),"N")</f>
        <v>N</v>
      </c>
      <c r="D52" s="217" t="s">
        <v>175</v>
      </c>
      <c r="E52" s="21" t="s">
        <v>203</v>
      </c>
      <c r="F52" t="str">
        <f ca="1">_xll.DBRA(Server&amp;"Activity",$E52,Output!$H$18)</f>
        <v>Ferries</v>
      </c>
      <c r="G52" s="7" t="str">
        <f ca="1">_xll.DBRW($D$15,$D52,$E52,G$19)</f>
        <v>1</v>
      </c>
    </row>
    <row r="53" spans="1:7">
      <c r="A53">
        <f ca="1">IF(_xll.TM1RPTELISCONSOLIDATED($E$20,$E53),IF(_xll.TM1RPTELLEV($E$20,$E53)&lt;=3,_xll.TM1RPTELLEV($E$20,$E53),"D"),"N")</f>
        <v>1</v>
      </c>
      <c r="D53" s="217" t="s">
        <v>175</v>
      </c>
      <c r="E53" s="219" t="s">
        <v>204</v>
      </c>
      <c r="F53" s="4" t="str">
        <f ca="1">_xll.DBRA(Server&amp;"Activity",$E53,Output!$H$18)</f>
        <v>Commercial on demand</v>
      </c>
      <c r="G53" s="6" t="str">
        <f ca="1">_xll.DBRW($D$15,$D53,$E53,G$19)</f>
        <v>1</v>
      </c>
    </row>
    <row r="54" spans="1:7">
      <c r="A54" t="str">
        <f ca="1">IF(_xll.TM1RPTELISCONSOLIDATED($E$20,$E54),IF(_xll.TM1RPTELLEV($E$20,$E54)&lt;=3,_xll.TM1RPTELLEV($E$20,$E54),"D"),"N")</f>
        <v>N</v>
      </c>
      <c r="D54" s="217" t="s">
        <v>175</v>
      </c>
      <c r="E54" s="90" t="s">
        <v>205</v>
      </c>
      <c r="F54" t="str">
        <f ca="1">_xll.DBRA(Server&amp;"Activity",$E54,Output!$H$18)</f>
        <v>Single ride</v>
      </c>
      <c r="G54" s="7" t="str">
        <f ca="1">_xll.DBRW($D$15,$D54,$E54,G$19)</f>
        <v>1</v>
      </c>
    </row>
    <row r="55" spans="1:7">
      <c r="A55" t="str">
        <f ca="1">IF(_xll.TM1RPTELISCONSOLIDATED($E$20,$E55),IF(_xll.TM1RPTELLEV($E$20,$E55)&lt;=3,_xll.TM1RPTELLEV($E$20,$E55),"D"),"N")</f>
        <v>N</v>
      </c>
      <c r="D55" s="217" t="s">
        <v>175</v>
      </c>
      <c r="E55" s="90" t="s">
        <v>206</v>
      </c>
      <c r="F55" t="str">
        <f ca="1">_xll.DBRA(Server&amp;"Activity",$E55,Output!$H$18)</f>
        <v>Shared ride</v>
      </c>
      <c r="G55" s="7" t="str">
        <f ca="1">_xll.DBRW($D$15,$D55,$E55,G$19)</f>
        <v>1</v>
      </c>
    </row>
    <row r="56" spans="1:7">
      <c r="A56" t="str">
        <f ca="1">IF(_xll.TM1RPTELISCONSOLIDATED($E$20,$E56),IF(_xll.TM1RPTELLEV($E$20,$E56)&lt;=3,_xll.TM1RPTELLEV($E$20,$E56),"D"),"N")</f>
        <v>N</v>
      </c>
      <c r="D56" s="217" t="s">
        <v>175</v>
      </c>
      <c r="E56" s="90" t="s">
        <v>207</v>
      </c>
      <c r="F56" t="str">
        <f ca="1">_xll.DBRA(Server&amp;"Activity",$E56,Output!$H$18)</f>
        <v>Commercial on demand - Input technical activity</v>
      </c>
      <c r="G56" s="7" t="str">
        <f ca="1">_xll.DBRW($D$15,$D56,$E56,G$19)</f>
        <v>1</v>
      </c>
    </row>
    <row r="57" spans="1:7">
      <c r="A57">
        <f ca="1">IF(_xll.TM1RPTELISCONSOLIDATED($E$20,$E57),IF(_xll.TM1RPTELLEV($E$20,$E57)&lt;=3,_xll.TM1RPTELLEV($E$20,$E57),"D"),"N")</f>
        <v>1</v>
      </c>
      <c r="D57" s="217" t="s">
        <v>175</v>
      </c>
      <c r="E57" s="219" t="s">
        <v>208</v>
      </c>
      <c r="F57" s="4" t="str">
        <f ca="1">_xll.DBRA(Server&amp;"Activity",$E57,Output!$H$18)</f>
        <v>Airport transportation</v>
      </c>
      <c r="G57" s="6" t="str">
        <f ca="1">_xll.DBRW($D$15,$D57,$E57,G$19)</f>
        <v>1</v>
      </c>
    </row>
    <row r="58" spans="1:7">
      <c r="A58" t="str">
        <f ca="1">IF(_xll.TM1RPTELISCONSOLIDATED($E$20,$E58),IF(_xll.TM1RPTELLEV($E$20,$E58)&lt;=3,_xll.TM1RPTELLEV($E$20,$E58),"D"),"N")</f>
        <v>N</v>
      </c>
      <c r="D58" s="217" t="s">
        <v>175</v>
      </c>
      <c r="E58" s="90" t="s">
        <v>209</v>
      </c>
      <c r="F58" t="str">
        <f ca="1">_xll.DBRA(Server&amp;"Activity",$E58,Output!$H$18)</f>
        <v>Airside</v>
      </c>
      <c r="G58" s="7" t="str">
        <f ca="1">_xll.DBRW($D$15,$D58,$E58,G$19)</f>
        <v>1</v>
      </c>
    </row>
    <row r="59" spans="1:7">
      <c r="A59" t="str">
        <f ca="1">IF(_xll.TM1RPTELISCONSOLIDATED($E$20,$E59),IF(_xll.TM1RPTELLEV($E$20,$E59)&lt;=3,_xll.TM1RPTELLEV($E$20,$E59),"D"),"N")</f>
        <v>N</v>
      </c>
      <c r="D59" s="217" t="s">
        <v>175</v>
      </c>
      <c r="E59" s="90" t="s">
        <v>210</v>
      </c>
      <c r="F59" t="str">
        <f ca="1">_xll.DBRA(Server&amp;"Activity",$E59,Output!$H$18)</f>
        <v>Landside</v>
      </c>
      <c r="G59" s="7" t="str">
        <f ca="1">_xll.DBRW($D$15,$D59,$E59,G$19)</f>
        <v>1</v>
      </c>
    </row>
    <row r="60" spans="1:7">
      <c r="A60" t="str">
        <f ca="1">IF(_xll.TM1RPTELISCONSOLIDATED($E$20,$E60),IF(_xll.TM1RPTELLEV($E$20,$E60)&lt;=3,_xll.TM1RPTELLEV($E$20,$E60),"D"),"N")</f>
        <v>N</v>
      </c>
      <c r="D60" s="217" t="s">
        <v>175</v>
      </c>
      <c r="E60" s="90" t="s">
        <v>211</v>
      </c>
      <c r="F60" t="str">
        <f ca="1">_xll.DBRA(Server&amp;"Activity",$E60,Output!$H$18)</f>
        <v>Airport transportation - Input technical activity</v>
      </c>
      <c r="G60" s="7" t="str">
        <f ca="1">_xll.DBRW($D$15,$D60,$E60,G$19)</f>
        <v>1</v>
      </c>
    </row>
    <row r="61" spans="1:7">
      <c r="A61" t="str">
        <f ca="1">IF(_xll.TM1RPTELISCONSOLIDATED($E$20,$E61),IF(_xll.TM1RPTELLEV($E$20,$E61)&lt;=3,_xll.TM1RPTELLEV($E$20,$E61),"D"),"N")</f>
        <v>N</v>
      </c>
      <c r="D61" s="217" t="s">
        <v>175</v>
      </c>
      <c r="E61" s="90" t="s">
        <v>212</v>
      </c>
      <c r="F61" t="str">
        <f ca="1">_xll.DBRA(Server&amp;"Activity",$E61,Output!$H$18)</f>
        <v>Airport services</v>
      </c>
      <c r="G61" s="7" t="str">
        <f ca="1">_xll.DBRW($D$15,$D61,$E61,G$19)</f>
        <v>1</v>
      </c>
    </row>
    <row r="62" spans="1:7">
      <c r="A62">
        <f ca="1">IF(_xll.TM1RPTELISCONSOLIDATED($E$20,$E62),IF(_xll.TM1RPTELLEV($E$20,$E62)&lt;=3,_xll.TM1RPTELLEV($E$20,$E62),"D"),"N")</f>
        <v>1</v>
      </c>
      <c r="D62" s="217" t="s">
        <v>175</v>
      </c>
      <c r="E62" s="219" t="s">
        <v>213</v>
      </c>
      <c r="F62" s="4" t="str">
        <f ca="1">_xll.DBRA(Server&amp;"Activity",$E62,Output!$H$18)</f>
        <v>Other Services</v>
      </c>
      <c r="G62" s="6" t="str">
        <f ca="1">_xll.DBRW($D$15,$D62,$E62,G$19)</f>
        <v>1</v>
      </c>
    </row>
    <row r="63" spans="1:7">
      <c r="A63" t="str">
        <f ca="1">IF(_xll.TM1RPTELISCONSOLIDATED($E$20,$E63),IF(_xll.TM1RPTELLEV($E$20,$E63)&lt;=3,_xll.TM1RPTELLEV($E$20,$E63),"D"),"N")</f>
        <v>N</v>
      </c>
      <c r="D63" s="217" t="s">
        <v>175</v>
      </c>
      <c r="E63" s="90" t="s">
        <v>163</v>
      </c>
      <c r="F63" t="str">
        <f ca="1">_xll.DBRA(Server&amp;"Activity",$E63,Output!$H$18)</f>
        <v>Consulting/AMO</v>
      </c>
      <c r="G63" s="7" t="str">
        <f ca="1">_xll.DBRW($D$15,$D63,$E63,G$19)</f>
        <v>1</v>
      </c>
    </row>
    <row r="64" spans="1:7">
      <c r="A64" t="str">
        <f ca="1">IF(_xll.TM1RPTELISCONSOLIDATED($E$20,$E64),IF(_xll.TM1RPTELLEV($E$20,$E64)&lt;=3,_xll.TM1RPTELLEV($E$20,$E64),"D"),"N")</f>
        <v>N</v>
      </c>
      <c r="D64" s="217" t="s">
        <v>175</v>
      </c>
      <c r="E64" s="90" t="s">
        <v>214</v>
      </c>
      <c r="F64" t="str">
        <f ca="1">_xll.DBRA(Server&amp;"Activity",$E64,Output!$H$18)</f>
        <v>Intermodality services</v>
      </c>
      <c r="G64" s="7" t="str">
        <f ca="1">_xll.DBRW($D$15,$D64,$E64,G$19)</f>
        <v>1</v>
      </c>
    </row>
    <row r="65" spans="1:7">
      <c r="A65" t="str">
        <f ca="1">IF(_xll.TM1RPTELISCONSOLIDATED($E$20,$E65),IF(_xll.TM1RPTELLEV($E$20,$E65)&lt;=3,_xll.TM1RPTELLEV($E$20,$E65),"D"),"N")</f>
        <v>N</v>
      </c>
      <c r="D65" s="217" t="s">
        <v>175</v>
      </c>
      <c r="E65" s="90" t="s">
        <v>215</v>
      </c>
      <c r="F65" t="str">
        <f ca="1">_xll.DBRA(Server&amp;"Activity",$E65,Output!$H$18)</f>
        <v>Digital services</v>
      </c>
      <c r="G65" s="7" t="str">
        <f ca="1">_xll.DBRW($D$15,$D65,$E65,G$19)</f>
        <v>1</v>
      </c>
    </row>
    <row r="66" spans="1:7">
      <c r="A66" t="str">
        <f ca="1">IF(_xll.TM1RPTELISCONSOLIDATED($E$20,$E66),IF(_xll.TM1RPTELLEV($E$20,$E66)&lt;=3,_xll.TM1RPTELLEV($E$20,$E66),"D"),"N")</f>
        <v>N</v>
      </c>
      <c r="D66" s="217" t="s">
        <v>175</v>
      </c>
      <c r="E66" s="90" t="s">
        <v>216</v>
      </c>
      <c r="F66" t="str">
        <f ca="1">_xll.DBRA(Server&amp;"Activity",$E66,Output!$H$18)</f>
        <v>Diagnosis</v>
      </c>
      <c r="G66" s="7" t="str">
        <f ca="1">_xll.DBRW($D$15,$D66,$E66,G$19)</f>
        <v>1</v>
      </c>
    </row>
    <row r="67" spans="1:7">
      <c r="A67" t="str">
        <f ca="1">IF(_xll.TM1RPTELISCONSOLIDATED($E$20,$E67),IF(_xll.TM1RPTELLEV($E$20,$E67)&lt;=3,_xll.TM1RPTELLEV($E$20,$E67),"D"),"N")</f>
        <v>N</v>
      </c>
      <c r="D67" s="217" t="s">
        <v>175</v>
      </c>
      <c r="E67" s="90" t="s">
        <v>217</v>
      </c>
      <c r="F67" t="str">
        <f ca="1">_xll.DBRA(Server&amp;"Activity",$E67,Output!$H$18)</f>
        <v>Call centers / brokerage</v>
      </c>
      <c r="G67" s="7" t="str">
        <f ca="1">_xll.DBRW($D$15,$D67,$E67,G$19)</f>
        <v>1</v>
      </c>
    </row>
    <row r="68" spans="1:7">
      <c r="A68" t="str">
        <f ca="1">IF(_xll.TM1RPTELISCONSOLIDATED($E$20,$E68),IF(_xll.TM1RPTELLEV($E$20,$E68)&lt;=3,_xll.TM1RPTELLEV($E$20,$E68),"D"),"N")</f>
        <v>N</v>
      </c>
      <c r="D68" s="217" t="s">
        <v>175</v>
      </c>
      <c r="E68" s="90" t="s">
        <v>218</v>
      </c>
      <c r="F68" t="str">
        <f ca="1">_xll.DBRA(Server&amp;"Activity",$E68,Output!$H$18)</f>
        <v>Travel agency</v>
      </c>
      <c r="G68" s="7" t="str">
        <f ca="1">_xll.DBRW($D$15,$D68,$E68,G$19)</f>
        <v>1</v>
      </c>
    </row>
    <row r="69" spans="1:7">
      <c r="A69" t="str">
        <f ca="1">IF(_xll.TM1RPTELISCONSOLIDATED($E$20,$E69),IF(_xll.TM1RPTELLEV($E$20,$E69)&lt;=3,_xll.TM1RPTELLEV($E$20,$E69),"D"),"N")</f>
        <v>N</v>
      </c>
      <c r="D69" s="217" t="s">
        <v>175</v>
      </c>
      <c r="E69" s="90" t="s">
        <v>219</v>
      </c>
      <c r="F69" t="str">
        <f ca="1">_xll.DBRA(Server&amp;"Activity",$E69,Output!$H$18)</f>
        <v>Purchase for resale</v>
      </c>
      <c r="G69" s="7" t="str">
        <f ca="1">_xll.DBRW($D$15,$D69,$E69,G$19)</f>
        <v>1</v>
      </c>
    </row>
    <row r="70" spans="1:7">
      <c r="A70" t="str">
        <f ca="1">IF(_xll.TM1RPTELISCONSOLIDATED($E$20,$E70),IF(_xll.TM1RPTELLEV($E$20,$E70)&lt;=3,_xll.TM1RPTELLEV($E$20,$E70),"D"),"N")</f>
        <v>N</v>
      </c>
      <c r="D70" s="217" t="s">
        <v>175</v>
      </c>
      <c r="E70" s="90" t="s">
        <v>220</v>
      </c>
      <c r="F70" t="str">
        <f ca="1">_xll.DBRA(Server&amp;"Activity",$E70,Output!$H$18)</f>
        <v>Other Services - Input technical activity</v>
      </c>
      <c r="G70" s="7" t="str">
        <f ca="1">_xll.DBRW($D$15,$D70,$E70,G$19)</f>
        <v>1</v>
      </c>
    </row>
    <row r="71" spans="1:7">
      <c r="A71" t="str">
        <f ca="1">IF(_xll.TM1RPTELISCONSOLIDATED($E$20,$E71),IF(_xll.TM1RPTELLEV($E$20,$E71)&lt;=3,_xll.TM1RPTELLEV($E$20,$E71),"D"),"N")</f>
        <v>N</v>
      </c>
      <c r="D71" s="217" t="s">
        <v>175</v>
      </c>
      <c r="E71" s="21" t="s">
        <v>126</v>
      </c>
      <c r="F71" t="str">
        <f ca="1">_xll.DBRA(Server&amp;"Activity",$E71,Output!$H$18)</f>
        <v>Holding</v>
      </c>
      <c r="G71" s="7" t="str">
        <f ca="1"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2024-08-21T16:12:14Z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