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laBarki\AppData\Local\Temp\"/>
    </mc:Choice>
  </mc:AlternateContent>
  <xr:revisionPtr revIDLastSave="0" documentId="8_{D404EB3A-435F-4D1B-828D-29B2E55816B4}" xr6:coauthVersionLast="47" xr6:coauthVersionMax="47" xr10:uidLastSave="{00000000-0000-0000-0000-000000000000}"/>
  <workbookProtection workbookAlgorithmName="SHA-512" workbookHashValue="FJ70S16e1csadSQw7Uzu1P+He+BpfP7rSrzN3p98hzZV0zsx3A/v/OJlUx4nM3E8CI8c5U5CuNy/O/rCnzACcg==" workbookSaltValue="eeC1WFc5Gb+dV4OhbWPEGg==" workbookSpinCount="100000" lockStructure="1"/>
  <bookViews>
    <workbookView xWindow="-90" yWindow="-90" windowWidth="19380" windowHeight="11460" firstSheet="1" activeTab="1" xr2:uid="{00000000-000D-0000-FFFF-FFFF00000000}"/>
  </bookViews>
  <sheets>
    <sheet name="Context" sheetId="33" state="hidden" r:id="rId1"/>
    <sheet name="Output" sheetId="32" r:id="rId2"/>
    <sheet name="Control" sheetId="41" state="hidden" r:id="rId3"/>
  </sheets>
  <functionGroups builtInGroupCount="19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Control!$F$20:$F$72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Output!$H$15</definedName>
    <definedName name="ctx_legal_Context">Output!$H$14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"13a1df8c-14cb-432a-b214-68ee38611ca9"</definedName>
    <definedName name="ID" localSheetId="2" hidden="1">"390225d1-4eef-45f7-b17c-3c534608489f"</definedName>
    <definedName name="ID" localSheetId="1" hidden="1">"eef34da8-21bc-46f7-862e-82f6763cb921"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Control!$20:$71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  <definedName name="_xlnm.Print_Area" localSheetId="1">Output!$F$20:$AI$134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0" i="32" l="1"/>
  <c r="G118" i="32"/>
  <c r="G119" i="32"/>
  <c r="G117" i="32"/>
  <c r="B5" i="33"/>
  <c r="G113" i="32"/>
  <c r="G108" i="32"/>
  <c r="G27" i="32"/>
  <c r="G34" i="32"/>
  <c r="G46" i="32"/>
  <c r="G37" i="32"/>
  <c r="A5" i="41"/>
  <c r="A4" i="41"/>
  <c r="A3" i="41"/>
  <c r="A2" i="41"/>
  <c r="F69" i="41"/>
  <c r="F50" i="41"/>
  <c r="H5" i="32"/>
  <c r="G111" i="32"/>
  <c r="G28" i="32"/>
  <c r="F25" i="41"/>
  <c r="A43" i="41"/>
  <c r="A70" i="41"/>
  <c r="G32" i="32"/>
  <c r="G40" i="32"/>
  <c r="A23" i="41"/>
  <c r="A56" i="41"/>
  <c r="F47" i="41"/>
  <c r="G98" i="32"/>
  <c r="G26" i="32"/>
  <c r="G103" i="32"/>
  <c r="G57" i="32"/>
  <c r="F65" i="41"/>
  <c r="S14" i="32"/>
  <c r="G73" i="32"/>
  <c r="G35" i="32"/>
  <c r="G18" i="32"/>
  <c r="A60" i="41"/>
  <c r="F23" i="41"/>
  <c r="F66" i="41"/>
  <c r="G69" i="32"/>
  <c r="G66" i="32"/>
  <c r="G75" i="32"/>
  <c r="AM88" i="32"/>
  <c r="F45" i="41"/>
  <c r="G52" i="32"/>
  <c r="G101" i="32"/>
  <c r="G89" i="32"/>
  <c r="G42" i="32"/>
  <c r="G44" i="32"/>
  <c r="F33" i="41"/>
  <c r="F62" i="41"/>
  <c r="F35" i="41"/>
  <c r="F36" i="41"/>
  <c r="A58" i="41"/>
  <c r="A66" i="41"/>
  <c r="G68" i="32"/>
  <c r="G99" i="32"/>
  <c r="F54" i="41"/>
  <c r="F26" i="41"/>
  <c r="F68" i="41"/>
  <c r="G112" i="32"/>
  <c r="A49" i="41"/>
  <c r="F40" i="41"/>
  <c r="H14" i="32"/>
  <c r="G102" i="32"/>
  <c r="G24" i="32"/>
  <c r="F38" i="41"/>
  <c r="G48" i="32"/>
  <c r="A33" i="41"/>
  <c r="A26" i="41"/>
  <c r="S13" i="32"/>
  <c r="AM86" i="32"/>
  <c r="G77" i="32"/>
  <c r="A29" i="41"/>
  <c r="G94" i="32"/>
  <c r="G71" i="32"/>
  <c r="A28" i="41"/>
  <c r="A57" i="41"/>
  <c r="A30" i="41"/>
  <c r="F48" i="41"/>
  <c r="A64" i="41"/>
  <c r="F34" i="41"/>
  <c r="F55" i="41"/>
  <c r="U12" i="32"/>
  <c r="H17" i="32"/>
  <c r="S15" i="32"/>
  <c r="G81" i="32"/>
  <c r="G60" i="32"/>
  <c r="G14" i="32"/>
  <c r="AN86" i="32"/>
  <c r="G12" i="32"/>
  <c r="G16" i="32"/>
  <c r="G53" i="32"/>
  <c r="G70" i="32"/>
  <c r="A63" i="41"/>
  <c r="F27" i="41"/>
  <c r="A50" i="41"/>
  <c r="G38" i="32"/>
  <c r="A20" i="41"/>
  <c r="S16" i="32"/>
  <c r="A41" i="41"/>
  <c r="A22" i="41"/>
  <c r="A42" i="41"/>
  <c r="A69" i="41"/>
  <c r="G82" i="32"/>
  <c r="AM41" i="32"/>
  <c r="F46" i="41"/>
  <c r="A35" i="41"/>
  <c r="A34" i="41"/>
  <c r="F70" i="41"/>
  <c r="G84" i="32"/>
  <c r="A62" i="41"/>
  <c r="A24" i="41"/>
  <c r="G91" i="32"/>
  <c r="A48" i="41"/>
  <c r="B15" i="33"/>
  <c r="A47" i="41"/>
  <c r="G65" i="32"/>
  <c r="G80" i="32"/>
  <c r="G74" i="32"/>
  <c r="G92" i="32"/>
  <c r="F32" i="41"/>
  <c r="D15" i="41"/>
  <c r="G61" i="32"/>
  <c r="G64" i="41"/>
  <c r="F58" i="41"/>
  <c r="F60" i="41"/>
  <c r="U14" i="32"/>
  <c r="F30" i="41"/>
  <c r="G104" i="32"/>
  <c r="G39" i="32"/>
  <c r="G43" i="41"/>
  <c r="AN88" i="32"/>
  <c r="G65" i="41"/>
  <c r="G26" i="41"/>
  <c r="G33" i="32"/>
  <c r="F57" i="41"/>
  <c r="G31" i="41"/>
  <c r="A52" i="41"/>
  <c r="A25" i="41"/>
  <c r="A54" i="41"/>
  <c r="A21" i="41"/>
  <c r="F21" i="41"/>
  <c r="A40" i="41"/>
  <c r="A53" i="41"/>
  <c r="A39" i="41"/>
  <c r="A68" i="41"/>
  <c r="G110" i="32"/>
  <c r="AM87" i="32"/>
  <c r="B13" i="33"/>
  <c r="G93" i="32"/>
  <c r="G30" i="32"/>
  <c r="G56" i="32"/>
  <c r="G90" i="32"/>
  <c r="G63" i="32"/>
  <c r="G100" i="32"/>
  <c r="G67" i="41"/>
  <c r="G42" i="41"/>
  <c r="G61" i="41"/>
  <c r="G51" i="41"/>
  <c r="G49" i="41"/>
  <c r="A45" i="41"/>
  <c r="AN28" i="32"/>
  <c r="G54" i="32"/>
  <c r="G59" i="41"/>
  <c r="G58" i="41"/>
  <c r="F49" i="41"/>
  <c r="F22" i="41"/>
  <c r="F51" i="41"/>
  <c r="F52" i="41"/>
  <c r="F37" i="41"/>
  <c r="G78" i="32"/>
  <c r="A44" i="41"/>
  <c r="F42" i="41"/>
  <c r="A46" i="41"/>
  <c r="F64" i="41"/>
  <c r="A37" i="41"/>
  <c r="A32" i="41"/>
  <c r="F44" i="41"/>
  <c r="A71" i="41"/>
  <c r="R1" i="32"/>
  <c r="G72" i="32"/>
  <c r="G21" i="32"/>
  <c r="G105" i="32"/>
  <c r="G67" i="32"/>
  <c r="G79" i="32"/>
  <c r="G29" i="32"/>
  <c r="G64" i="32"/>
  <c r="G25" i="32"/>
  <c r="G41" i="32"/>
  <c r="G69" i="41"/>
  <c r="G57" i="41"/>
  <c r="F41" i="41"/>
  <c r="F28" i="41"/>
  <c r="F43" i="41"/>
  <c r="A59" i="41"/>
  <c r="F39" i="41"/>
  <c r="F29" i="41"/>
  <c r="A31" i="41"/>
  <c r="F71" i="41"/>
  <c r="A67" i="41"/>
  <c r="AM89" i="32"/>
  <c r="G95" i="32"/>
  <c r="G96" i="32"/>
  <c r="G59" i="32"/>
  <c r="G45" i="32"/>
  <c r="G13" i="32"/>
  <c r="G55" i="32"/>
  <c r="G17" i="32"/>
  <c r="S12" i="32"/>
  <c r="G66" i="41"/>
  <c r="G25" i="41"/>
  <c r="G47" i="41"/>
  <c r="G27" i="41"/>
  <c r="A36" i="41"/>
  <c r="A65" i="41"/>
  <c r="A38" i="41"/>
  <c r="F56" i="41"/>
  <c r="A55" i="41"/>
  <c r="A61" i="41"/>
  <c r="F63" i="41"/>
  <c r="F67" i="41"/>
  <c r="E20" i="41"/>
  <c r="F20" i="41" s="1"/>
  <c r="AM29" i="32"/>
  <c r="G83" i="32"/>
  <c r="G50" i="32"/>
  <c r="G15" i="32"/>
  <c r="F18" i="41"/>
  <c r="G43" i="32"/>
  <c r="AN87" i="32"/>
  <c r="G36" i="32"/>
  <c r="G70" i="41"/>
  <c r="G55" i="41"/>
  <c r="G35" i="41"/>
  <c r="A51" i="41"/>
  <c r="AM28" i="32"/>
  <c r="G106" i="32"/>
  <c r="G31" i="32"/>
  <c r="G62" i="32"/>
  <c r="G85" i="32"/>
  <c r="G23" i="41"/>
  <c r="F61" i="41"/>
  <c r="G97" i="32"/>
  <c r="G87" i="32"/>
  <c r="G21" i="41"/>
  <c r="G51" i="32"/>
  <c r="G48" i="41"/>
  <c r="F24" i="41"/>
  <c r="F53" i="41"/>
  <c r="F31" i="41"/>
  <c r="B14" i="33"/>
  <c r="G62" i="41"/>
  <c r="F59" i="41"/>
  <c r="A27" i="41"/>
  <c r="G58" i="32"/>
  <c r="G33" i="41"/>
  <c r="H12" i="32"/>
  <c r="H1" i="32" s="1"/>
  <c r="G68" i="41"/>
  <c r="G124" i="32"/>
  <c r="G36" i="41"/>
  <c r="G34" i="41"/>
  <c r="G37" i="41"/>
  <c r="G38" i="41"/>
  <c r="G60" i="41"/>
  <c r="G30" i="41"/>
  <c r="G32" i="41"/>
  <c r="G63" i="41"/>
  <c r="G52" i="41"/>
  <c r="G50" i="41"/>
  <c r="G53" i="41"/>
  <c r="G40" i="41"/>
  <c r="G22" i="41"/>
  <c r="G24" i="41"/>
  <c r="G71" i="41"/>
  <c r="G45" i="41"/>
  <c r="G54" i="41"/>
  <c r="G56" i="41"/>
  <c r="G39" i="41"/>
  <c r="G46" i="41"/>
  <c r="G29" i="41"/>
  <c r="G41" i="41"/>
  <c r="G44" i="41"/>
  <c r="G28" i="41"/>
  <c r="D16" i="41" l="1"/>
  <c r="G76" i="32"/>
  <c r="H2" i="32"/>
  <c r="R2" i="32"/>
  <c r="H124" i="32"/>
  <c r="I20" i="32"/>
  <c r="S20" i="32"/>
  <c r="AN29" i="32"/>
  <c r="AN89" i="32"/>
  <c r="AN41" i="32"/>
  <c r="U16" i="32"/>
  <c r="H13" i="32"/>
  <c r="U13" i="32"/>
  <c r="H16" i="32"/>
  <c r="D20" i="41"/>
  <c r="G9" i="32" l="1"/>
  <c r="G8" i="32"/>
  <c r="G3" i="32"/>
  <c r="J2" i="32"/>
  <c r="J3" i="32"/>
  <c r="AB20" i="32"/>
  <c r="G10" i="32"/>
  <c r="T3" i="32"/>
  <c r="T2" i="32"/>
  <c r="T22" i="32" l="1"/>
  <c r="J22" i="32"/>
  <c r="G20" i="41"/>
  <c r="T81" i="32"/>
  <c r="T85" i="32"/>
  <c r="T99" i="32"/>
  <c r="T51" i="32"/>
  <c r="T54" i="32"/>
  <c r="T112" i="32"/>
  <c r="J112" i="32"/>
  <c r="J55" i="32"/>
  <c r="J89" i="32"/>
  <c r="J74" i="32"/>
  <c r="J62" i="32"/>
  <c r="J38" i="32"/>
  <c r="J4" i="32"/>
  <c r="T77" i="32"/>
  <c r="T71" i="32"/>
  <c r="T90" i="32"/>
  <c r="T104" i="32"/>
  <c r="T89" i="32"/>
  <c r="J111" i="32"/>
  <c r="J102" i="32"/>
  <c r="J32" i="32"/>
  <c r="J85" i="32"/>
  <c r="J73" i="32"/>
  <c r="J61" i="32"/>
  <c r="J36" i="32"/>
  <c r="I2" i="32"/>
  <c r="I26" i="32"/>
  <c r="I57" i="32"/>
  <c r="I69" i="32"/>
  <c r="I81" i="32"/>
  <c r="I96" i="32"/>
  <c r="I112" i="32"/>
  <c r="I4" i="32"/>
  <c r="T64" i="32"/>
  <c r="T42" i="32"/>
  <c r="J51" i="32"/>
  <c r="T29" i="32"/>
  <c r="T92" i="32"/>
  <c r="J101" i="32"/>
  <c r="T100" i="32"/>
  <c r="T98" i="32"/>
  <c r="J84" i="32"/>
  <c r="J72" i="32"/>
  <c r="J60" i="32"/>
  <c r="J35" i="32"/>
  <c r="K2" i="32"/>
  <c r="I33" i="32"/>
  <c r="I58" i="32"/>
  <c r="I70" i="32"/>
  <c r="I82" i="32"/>
  <c r="I97" i="32"/>
  <c r="I32" i="32"/>
  <c r="K32" i="32"/>
  <c r="K42" i="32"/>
  <c r="K64" i="32"/>
  <c r="K76" i="32"/>
  <c r="K91" i="32"/>
  <c r="K103" i="32"/>
  <c r="K28" i="32"/>
  <c r="T44" i="32"/>
  <c r="T63" i="32"/>
  <c r="T73" i="32"/>
  <c r="T83" i="32"/>
  <c r="T69" i="32"/>
  <c r="J50" i="32"/>
  <c r="T91" i="32"/>
  <c r="J30" i="32"/>
  <c r="J83" i="32"/>
  <c r="J71" i="32"/>
  <c r="J59" i="32"/>
  <c r="J26" i="32"/>
  <c r="AC21" i="32"/>
  <c r="I29" i="32"/>
  <c r="I59" i="32"/>
  <c r="I71" i="32"/>
  <c r="I83" i="32"/>
  <c r="I98" i="32"/>
  <c r="I30" i="32"/>
  <c r="K50" i="32"/>
  <c r="K43" i="32"/>
  <c r="K65" i="32"/>
  <c r="K77" i="32"/>
  <c r="K92" i="32"/>
  <c r="K104" i="32"/>
  <c r="K31" i="32"/>
  <c r="T80" i="32"/>
  <c r="T43" i="32"/>
  <c r="T65" i="32"/>
  <c r="T75" i="32"/>
  <c r="T61" i="32"/>
  <c r="T105" i="32"/>
  <c r="J105" i="32"/>
  <c r="J33" i="32"/>
  <c r="J82" i="32"/>
  <c r="J70" i="32"/>
  <c r="J58" i="32"/>
  <c r="J25" i="32"/>
  <c r="K3" i="32"/>
  <c r="I35" i="32"/>
  <c r="I60" i="32"/>
  <c r="I72" i="32"/>
  <c r="I84" i="32"/>
  <c r="I99" i="32"/>
  <c r="I55" i="32"/>
  <c r="K51" i="32"/>
  <c r="K44" i="32"/>
  <c r="K66" i="32"/>
  <c r="K78" i="32"/>
  <c r="K93" i="32"/>
  <c r="K105" i="32"/>
  <c r="K4" i="32"/>
  <c r="T32" i="32"/>
  <c r="T30" i="32"/>
  <c r="T56" i="32"/>
  <c r="T67" i="32"/>
  <c r="T50" i="32"/>
  <c r="T96" i="32"/>
  <c r="J97" i="32"/>
  <c r="J29" i="32"/>
  <c r="J81" i="32"/>
  <c r="J69" i="32"/>
  <c r="J57" i="32"/>
  <c r="J24" i="32"/>
  <c r="I3" i="32"/>
  <c r="I36" i="32"/>
  <c r="I61" i="32"/>
  <c r="I73" i="32"/>
  <c r="I85" i="32"/>
  <c r="I100" i="32"/>
  <c r="I50" i="32"/>
  <c r="K52" i="32"/>
  <c r="K45" i="32"/>
  <c r="K67" i="32"/>
  <c r="K79" i="32"/>
  <c r="K94" i="32"/>
  <c r="K110" i="32"/>
  <c r="L2" i="32"/>
  <c r="L33" i="32"/>
  <c r="L42" i="32"/>
  <c r="L64" i="32"/>
  <c r="L76" i="32"/>
  <c r="L91" i="32"/>
  <c r="L103" i="32"/>
  <c r="T79" i="32"/>
  <c r="T101" i="32"/>
  <c r="T52" i="32"/>
  <c r="J98" i="32"/>
  <c r="T25" i="32"/>
  <c r="T110" i="32"/>
  <c r="J110" i="32"/>
  <c r="J95" i="32"/>
  <c r="J80" i="32"/>
  <c r="J68" i="32"/>
  <c r="J56" i="32"/>
  <c r="T111" i="32"/>
  <c r="U3" i="32"/>
  <c r="I38" i="32"/>
  <c r="I62" i="32"/>
  <c r="I74" i="32"/>
  <c r="I89" i="32"/>
  <c r="I101" i="32"/>
  <c r="I41" i="32"/>
  <c r="K24" i="32"/>
  <c r="K56" i="32"/>
  <c r="K68" i="32"/>
  <c r="K80" i="32"/>
  <c r="K95" i="32"/>
  <c r="K111" i="32"/>
  <c r="AD21" i="32"/>
  <c r="L50" i="32"/>
  <c r="L43" i="32"/>
  <c r="L65" i="32"/>
  <c r="L77" i="32"/>
  <c r="L92" i="32"/>
  <c r="L104" i="32"/>
  <c r="T36" i="32"/>
  <c r="T26" i="32"/>
  <c r="T103" i="32"/>
  <c r="T84" i="32"/>
  <c r="T78" i="32"/>
  <c r="J104" i="32"/>
  <c r="J100" i="32"/>
  <c r="J94" i="32"/>
  <c r="J79" i="32"/>
  <c r="J67" i="32"/>
  <c r="J45" i="32"/>
  <c r="J40" i="32"/>
  <c r="S3" i="32"/>
  <c r="I39" i="32"/>
  <c r="I63" i="32"/>
  <c r="I75" i="32"/>
  <c r="I90" i="32"/>
  <c r="I102" i="32"/>
  <c r="I51" i="32"/>
  <c r="K25" i="32"/>
  <c r="K57" i="32"/>
  <c r="K69" i="32"/>
  <c r="K81" i="32"/>
  <c r="K96" i="32"/>
  <c r="K112" i="32"/>
  <c r="L3" i="32"/>
  <c r="L32" i="32"/>
  <c r="L44" i="32"/>
  <c r="L66" i="32"/>
  <c r="L78" i="32"/>
  <c r="L93" i="32"/>
  <c r="L105" i="32"/>
  <c r="T35" i="32"/>
  <c r="T72" i="32"/>
  <c r="T94" i="32"/>
  <c r="T76" i="32"/>
  <c r="T70" i="32"/>
  <c r="J96" i="32"/>
  <c r="T102" i="32"/>
  <c r="J93" i="32"/>
  <c r="J78" i="32"/>
  <c r="J66" i="32"/>
  <c r="J44" i="32"/>
  <c r="J54" i="32"/>
  <c r="T4" i="32"/>
  <c r="I42" i="32"/>
  <c r="I64" i="32"/>
  <c r="I76" i="32"/>
  <c r="I91" i="32"/>
  <c r="I103" i="32"/>
  <c r="I40" i="32"/>
  <c r="K26" i="32"/>
  <c r="K58" i="32"/>
  <c r="K70" i="32"/>
  <c r="K82" i="32"/>
  <c r="K97" i="32"/>
  <c r="K41" i="32"/>
  <c r="AB21" i="32"/>
  <c r="L51" i="32"/>
  <c r="L45" i="32"/>
  <c r="L67" i="32"/>
  <c r="L79" i="32"/>
  <c r="L94" i="32"/>
  <c r="L110" i="32"/>
  <c r="T82" i="32"/>
  <c r="T24" i="32"/>
  <c r="T74" i="32"/>
  <c r="T68" i="32"/>
  <c r="T62" i="32"/>
  <c r="T97" i="32"/>
  <c r="T93" i="32"/>
  <c r="J92" i="32"/>
  <c r="J77" i="32"/>
  <c r="J65" i="32"/>
  <c r="J43" i="32"/>
  <c r="J41" i="32"/>
  <c r="S2" i="32"/>
  <c r="I43" i="32"/>
  <c r="I65" i="32"/>
  <c r="I77" i="32"/>
  <c r="I92" i="32"/>
  <c r="I104" i="32"/>
  <c r="I52" i="32"/>
  <c r="K54" i="32"/>
  <c r="K59" i="32"/>
  <c r="K71" i="32"/>
  <c r="K83" i="32"/>
  <c r="K98" i="32"/>
  <c r="K29" i="32"/>
  <c r="V3" i="32"/>
  <c r="S111" i="32"/>
  <c r="S66" i="32"/>
  <c r="S103" i="32"/>
  <c r="S33" i="32"/>
  <c r="S104" i="32"/>
  <c r="S91" i="32"/>
  <c r="L24" i="32"/>
  <c r="L56" i="32"/>
  <c r="L68" i="32"/>
  <c r="L80" i="32"/>
  <c r="L95" i="32"/>
  <c r="L111" i="32"/>
  <c r="J31" i="32"/>
  <c r="T38" i="32"/>
  <c r="T45" i="32"/>
  <c r="T66" i="32"/>
  <c r="T60" i="32"/>
  <c r="T55" i="32"/>
  <c r="J99" i="32"/>
  <c r="J103" i="32"/>
  <c r="J91" i="32"/>
  <c r="J76" i="32"/>
  <c r="J64" i="32"/>
  <c r="J42" i="32"/>
  <c r="J52" i="32"/>
  <c r="U2" i="32"/>
  <c r="I44" i="32"/>
  <c r="I66" i="32"/>
  <c r="I78" i="32"/>
  <c r="I93" i="32"/>
  <c r="I105" i="32"/>
  <c r="I54" i="32"/>
  <c r="K35" i="32"/>
  <c r="K60" i="32"/>
  <c r="K72" i="32"/>
  <c r="K84" i="32"/>
  <c r="K99" i="32"/>
  <c r="K30" i="32"/>
  <c r="S41" i="32"/>
  <c r="S32" i="32"/>
  <c r="S74" i="32"/>
  <c r="S24" i="32"/>
  <c r="S44" i="32"/>
  <c r="S112" i="32"/>
  <c r="S4" i="32"/>
  <c r="U51" i="32"/>
  <c r="U62" i="32"/>
  <c r="U50" i="32"/>
  <c r="U82" i="32"/>
  <c r="U73" i="32"/>
  <c r="U29" i="32"/>
  <c r="L25" i="32"/>
  <c r="L57" i="32"/>
  <c r="L69" i="32"/>
  <c r="L81" i="32"/>
  <c r="L96" i="32"/>
  <c r="L54" i="32"/>
  <c r="J28" i="32"/>
  <c r="T33" i="32"/>
  <c r="T58" i="32"/>
  <c r="T59" i="32"/>
  <c r="T57" i="32"/>
  <c r="T95" i="32"/>
  <c r="T41" i="32"/>
  <c r="T39" i="32"/>
  <c r="J90" i="32"/>
  <c r="J75" i="32"/>
  <c r="J63" i="32"/>
  <c r="J39" i="32"/>
  <c r="T40" i="32"/>
  <c r="I24" i="32"/>
  <c r="I45" i="32"/>
  <c r="I67" i="32"/>
  <c r="I79" i="32"/>
  <c r="I94" i="32"/>
  <c r="I110" i="32"/>
  <c r="I31" i="32"/>
  <c r="K36" i="32"/>
  <c r="K61" i="32"/>
  <c r="K73" i="32"/>
  <c r="K85" i="32"/>
  <c r="K100" i="32"/>
  <c r="K55" i="32"/>
  <c r="S40" i="32"/>
  <c r="S54" i="32"/>
  <c r="S82" i="32"/>
  <c r="S25" i="32"/>
  <c r="S60" i="32"/>
  <c r="S52" i="32"/>
  <c r="U41" i="32"/>
  <c r="U97" i="32"/>
  <c r="U61" i="32"/>
  <c r="U67" i="32"/>
  <c r="U35" i="32"/>
  <c r="U81" i="32"/>
  <c r="V2" i="32"/>
  <c r="L26" i="32"/>
  <c r="L58" i="32"/>
  <c r="L70" i="32"/>
  <c r="L82" i="32"/>
  <c r="L97" i="32"/>
  <c r="L29" i="32"/>
  <c r="V96" i="32"/>
  <c r="V89" i="32"/>
  <c r="V58" i="32"/>
  <c r="V51" i="32"/>
  <c r="V36" i="32"/>
  <c r="V44" i="32"/>
  <c r="I28" i="32"/>
  <c r="I111" i="32"/>
  <c r="I95" i="32"/>
  <c r="I80" i="32"/>
  <c r="I68" i="32"/>
  <c r="I56" i="32"/>
  <c r="I25" i="32"/>
  <c r="K33" i="32"/>
  <c r="K102" i="32"/>
  <c r="K90" i="32"/>
  <c r="K75" i="32"/>
  <c r="K63" i="32"/>
  <c r="K39" i="32"/>
  <c r="K40" i="32"/>
  <c r="K101" i="32"/>
  <c r="K89" i="32"/>
  <c r="K74" i="32"/>
  <c r="K62" i="32"/>
  <c r="K38" i="32"/>
  <c r="M2" i="32"/>
  <c r="L102" i="32"/>
  <c r="L90" i="32"/>
  <c r="L75" i="32"/>
  <c r="L63" i="32"/>
  <c r="L39" i="32"/>
  <c r="L40" i="32"/>
  <c r="L4" i="32"/>
  <c r="L101" i="32"/>
  <c r="L89" i="32"/>
  <c r="L74" i="32"/>
  <c r="L62" i="32"/>
  <c r="L38" i="32"/>
  <c r="L55" i="32"/>
  <c r="L31" i="32"/>
  <c r="L100" i="32"/>
  <c r="L85" i="32"/>
  <c r="L73" i="32"/>
  <c r="L61" i="32"/>
  <c r="L36" i="32"/>
  <c r="L41" i="32"/>
  <c r="L28" i="32"/>
  <c r="L99" i="32"/>
  <c r="L84" i="32"/>
  <c r="L72" i="32"/>
  <c r="L60" i="32"/>
  <c r="L35" i="32"/>
  <c r="L30" i="32"/>
  <c r="L112" i="32"/>
  <c r="L98" i="32"/>
  <c r="L83" i="32"/>
  <c r="L71" i="32"/>
  <c r="L59" i="32"/>
  <c r="L52" i="32"/>
  <c r="M3" i="32"/>
  <c r="AE21" i="32"/>
  <c r="S95" i="32"/>
  <c r="S85" i="32"/>
  <c r="S110" i="32"/>
  <c r="S94" i="32"/>
  <c r="S58" i="32"/>
  <c r="S99" i="32"/>
  <c r="S77" i="32"/>
  <c r="S64" i="32"/>
  <c r="S97" i="32"/>
  <c r="S83" i="32"/>
  <c r="S39" i="32"/>
  <c r="S90" i="32"/>
  <c r="S56" i="32"/>
  <c r="S55" i="32"/>
  <c r="S89" i="32"/>
  <c r="S75" i="32"/>
  <c r="S101" i="32"/>
  <c r="S79" i="32"/>
  <c r="S43" i="32"/>
  <c r="S100" i="32"/>
  <c r="S78" i="32"/>
  <c r="S67" i="32"/>
  <c r="S92" i="32"/>
  <c r="S71" i="32"/>
  <c r="S76" i="32"/>
  <c r="S84" i="32"/>
  <c r="S70" i="32"/>
  <c r="S59" i="32"/>
  <c r="S81" i="32"/>
  <c r="S63" i="32"/>
  <c r="S72" i="32"/>
  <c r="S61" i="32"/>
  <c r="S62" i="32"/>
  <c r="S42" i="32"/>
  <c r="S73" i="32"/>
  <c r="S36" i="32"/>
  <c r="S69" i="32"/>
  <c r="S30" i="32"/>
  <c r="S45" i="32"/>
  <c r="S29" i="32"/>
  <c r="S65" i="32"/>
  <c r="S51" i="32"/>
  <c r="S105" i="32"/>
  <c r="S96" i="32"/>
  <c r="S35" i="32"/>
  <c r="S102" i="32"/>
  <c r="S57" i="32"/>
  <c r="S26" i="32"/>
  <c r="S68" i="32"/>
  <c r="S80" i="32"/>
  <c r="S50" i="32"/>
  <c r="S93" i="32"/>
  <c r="S38" i="32"/>
  <c r="S98" i="32"/>
  <c r="W3" i="32"/>
  <c r="U85" i="32"/>
  <c r="U70" i="32"/>
  <c r="U56" i="32"/>
  <c r="U105" i="32"/>
  <c r="U89" i="32"/>
  <c r="U99" i="32"/>
  <c r="U24" i="32"/>
  <c r="U64" i="32"/>
  <c r="U100" i="32"/>
  <c r="U110" i="32"/>
  <c r="U30" i="32"/>
  <c r="U90" i="32"/>
  <c r="U25" i="32"/>
  <c r="U42" i="32"/>
  <c r="U112" i="32"/>
  <c r="U84" i="32"/>
  <c r="U26" i="32"/>
  <c r="U101" i="32"/>
  <c r="U80" i="32"/>
  <c r="U43" i="32"/>
  <c r="U74" i="32"/>
  <c r="U76" i="32"/>
  <c r="U79" i="32"/>
  <c r="U92" i="32"/>
  <c r="U33" i="32"/>
  <c r="U102" i="32"/>
  <c r="U66" i="32"/>
  <c r="U68" i="32"/>
  <c r="U71" i="32"/>
  <c r="U103" i="32"/>
  <c r="U45" i="32"/>
  <c r="U44" i="32"/>
  <c r="U59" i="32"/>
  <c r="U60" i="32"/>
  <c r="U63" i="32"/>
  <c r="U94" i="32"/>
  <c r="U38" i="32"/>
  <c r="U72" i="32"/>
  <c r="U54" i="32"/>
  <c r="U57" i="32"/>
  <c r="U58" i="32"/>
  <c r="U39" i="32"/>
  <c r="U78" i="32"/>
  <c r="U65" i="32"/>
  <c r="U104" i="32"/>
  <c r="U95" i="32"/>
  <c r="U93" i="32"/>
  <c r="U40" i="32"/>
  <c r="U36" i="32"/>
  <c r="U83" i="32"/>
  <c r="U91" i="32"/>
  <c r="U77" i="32"/>
  <c r="U96" i="32"/>
  <c r="U111" i="32"/>
  <c r="U4" i="32"/>
  <c r="U32" i="32"/>
  <c r="U52" i="32"/>
  <c r="U75" i="32"/>
  <c r="U69" i="32"/>
  <c r="U55" i="32"/>
  <c r="U98" i="32"/>
  <c r="V84" i="32"/>
  <c r="V30" i="32"/>
  <c r="V77" i="32"/>
  <c r="V64" i="32"/>
  <c r="V100" i="32"/>
  <c r="V39" i="32"/>
  <c r="W2" i="32"/>
  <c r="V45" i="32"/>
  <c r="V33" i="32"/>
  <c r="V69" i="32"/>
  <c r="V54" i="32"/>
  <c r="V91" i="32"/>
  <c r="V98" i="32"/>
  <c r="V4" i="32"/>
  <c r="V26" i="32"/>
  <c r="V29" i="32"/>
  <c r="V61" i="32"/>
  <c r="V93" i="32"/>
  <c r="V101" i="32"/>
  <c r="V40" i="32"/>
  <c r="V43" i="32"/>
  <c r="V83" i="32"/>
  <c r="V59" i="32"/>
  <c r="V95" i="32"/>
  <c r="V81" i="32"/>
  <c r="V92" i="32"/>
  <c r="V104" i="32"/>
  <c r="V75" i="32"/>
  <c r="V55" i="32"/>
  <c r="V25" i="32"/>
  <c r="V73" i="32"/>
  <c r="V111" i="32"/>
  <c r="V74" i="32"/>
  <c r="V72" i="32"/>
  <c r="V102" i="32"/>
  <c r="V78" i="32"/>
  <c r="V65" i="32"/>
  <c r="V103" i="32"/>
  <c r="V42" i="32"/>
  <c r="V24" i="32"/>
  <c r="V97" i="32"/>
  <c r="V70" i="32"/>
  <c r="V50" i="32"/>
  <c r="V94" i="32"/>
  <c r="V85" i="32"/>
  <c r="V35" i="32"/>
  <c r="V76" i="32"/>
  <c r="V62" i="32"/>
  <c r="V99" i="32"/>
  <c r="V110" i="32"/>
  <c r="V38" i="32"/>
  <c r="V32" i="32"/>
  <c r="V68" i="32"/>
  <c r="V79" i="32"/>
  <c r="V90" i="32"/>
  <c r="V112" i="32"/>
  <c r="V80" i="32"/>
  <c r="V82" i="32"/>
  <c r="V60" i="32"/>
  <c r="V71" i="32"/>
  <c r="V41" i="32"/>
  <c r="V56" i="32"/>
  <c r="V66" i="32"/>
  <c r="V67" i="32"/>
  <c r="V57" i="32"/>
  <c r="V63" i="32"/>
  <c r="V52" i="32"/>
  <c r="V105" i="32"/>
  <c r="M31" i="32"/>
  <c r="M89" i="32"/>
  <c r="M81" i="32"/>
  <c r="M67" i="32"/>
  <c r="M63" i="32"/>
  <c r="M39" i="32"/>
  <c r="M30" i="32"/>
  <c r="M28" i="32"/>
  <c r="M79" i="32"/>
  <c r="M73" i="32"/>
  <c r="M103" i="32"/>
  <c r="M62" i="32"/>
  <c r="M38" i="32"/>
  <c r="M29" i="32"/>
  <c r="M66" i="32"/>
  <c r="M71" i="32"/>
  <c r="M65" i="32"/>
  <c r="M95" i="32"/>
  <c r="M61" i="32"/>
  <c r="M36" i="32"/>
  <c r="M101" i="32"/>
  <c r="M52" i="32"/>
  <c r="M105" i="32"/>
  <c r="M90" i="32"/>
  <c r="M60" i="32"/>
  <c r="M35" i="32"/>
  <c r="M82" i="32"/>
  <c r="M112" i="32"/>
  <c r="M97" i="32"/>
  <c r="M80" i="32"/>
  <c r="M59" i="32"/>
  <c r="M51" i="32"/>
  <c r="M111" i="32"/>
  <c r="M99" i="32"/>
  <c r="M78" i="32"/>
  <c r="M72" i="32"/>
  <c r="M58" i="32"/>
  <c r="M33" i="32"/>
  <c r="M74" i="32"/>
  <c r="M94" i="32"/>
  <c r="M70" i="32"/>
  <c r="M98" i="32"/>
  <c r="M57" i="32"/>
  <c r="M26" i="32"/>
  <c r="M40" i="32"/>
  <c r="M84" i="32"/>
  <c r="M110" i="32"/>
  <c r="M85" i="32"/>
  <c r="M56" i="32"/>
  <c r="M25" i="32"/>
  <c r="M92" i="32"/>
  <c r="M76" i="32"/>
  <c r="M100" i="32"/>
  <c r="M77" i="32"/>
  <c r="M45" i="32"/>
  <c r="M24" i="32"/>
  <c r="M54" i="32"/>
  <c r="M68" i="32"/>
  <c r="M93" i="32"/>
  <c r="M69" i="32"/>
  <c r="M44" i="32"/>
  <c r="M41" i="32"/>
  <c r="N2" i="32"/>
  <c r="M104" i="32"/>
  <c r="M102" i="32"/>
  <c r="M83" i="32"/>
  <c r="M32" i="32"/>
  <c r="M43" i="32"/>
  <c r="M50" i="32"/>
  <c r="M4" i="32"/>
  <c r="M96" i="32"/>
  <c r="M91" i="32"/>
  <c r="M75" i="32"/>
  <c r="M64" i="32"/>
  <c r="M42" i="32"/>
  <c r="M55" i="32"/>
  <c r="N3" i="32"/>
  <c r="AF21" i="32"/>
  <c r="X3" i="32"/>
  <c r="W30" i="32"/>
  <c r="W82" i="32"/>
  <c r="W70" i="32"/>
  <c r="W81" i="32"/>
  <c r="W97" i="32"/>
  <c r="W50" i="32"/>
  <c r="W43" i="32"/>
  <c r="W91" i="32"/>
  <c r="W62" i="32"/>
  <c r="W73" i="32"/>
  <c r="W112" i="32"/>
  <c r="W51" i="32"/>
  <c r="W78" i="32"/>
  <c r="W76" i="32"/>
  <c r="W54" i="32"/>
  <c r="W65" i="32"/>
  <c r="W92" i="32"/>
  <c r="W99" i="32"/>
  <c r="W74" i="32"/>
  <c r="W69" i="32"/>
  <c r="W95" i="32"/>
  <c r="W66" i="32"/>
  <c r="W102" i="32"/>
  <c r="W90" i="32"/>
  <c r="W68" i="32"/>
  <c r="W57" i="32"/>
  <c r="W79" i="32"/>
  <c r="W59" i="32"/>
  <c r="W93" i="32"/>
  <c r="W40" i="32"/>
  <c r="W4" i="32"/>
  <c r="W35" i="32"/>
  <c r="W25" i="32"/>
  <c r="W71" i="32"/>
  <c r="W56" i="32"/>
  <c r="W110" i="32"/>
  <c r="W41" i="32"/>
  <c r="X2" i="32"/>
  <c r="W29" i="32"/>
  <c r="W60" i="32"/>
  <c r="W63" i="32"/>
  <c r="W52" i="32"/>
  <c r="W103" i="32"/>
  <c r="W39" i="32"/>
  <c r="W84" i="32"/>
  <c r="W33" i="32"/>
  <c r="W42" i="32"/>
  <c r="W55" i="32"/>
  <c r="W100" i="32"/>
  <c r="W94" i="32"/>
  <c r="W44" i="32"/>
  <c r="W26" i="32"/>
  <c r="W85" i="32"/>
  <c r="W80" i="32"/>
  <c r="W83" i="32"/>
  <c r="W105" i="32"/>
  <c r="W38" i="32"/>
  <c r="W61" i="32"/>
  <c r="W77" i="32"/>
  <c r="W72" i="32"/>
  <c r="W75" i="32"/>
  <c r="W96" i="32"/>
  <c r="W32" i="32"/>
  <c r="W24" i="32"/>
  <c r="W89" i="32"/>
  <c r="W64" i="32"/>
  <c r="W67" i="32"/>
  <c r="W111" i="32"/>
  <c r="W45" i="32"/>
  <c r="W36" i="32"/>
  <c r="W104" i="32"/>
  <c r="W98" i="32"/>
  <c r="W101" i="32"/>
  <c r="W58" i="32"/>
  <c r="N94" i="32"/>
  <c r="N105" i="32"/>
  <c r="N39" i="32"/>
  <c r="N74" i="32"/>
  <c r="N54" i="32"/>
  <c r="N83" i="32"/>
  <c r="O2" i="32"/>
  <c r="N84" i="32"/>
  <c r="N97" i="32"/>
  <c r="N75" i="32"/>
  <c r="N35" i="32"/>
  <c r="N66" i="32"/>
  <c r="N32" i="32"/>
  <c r="N41" i="32"/>
  <c r="N4" i="32"/>
  <c r="N76" i="32"/>
  <c r="N78" i="32"/>
  <c r="N67" i="32"/>
  <c r="N25" i="32"/>
  <c r="N63" i="32"/>
  <c r="N28" i="32"/>
  <c r="N68" i="32"/>
  <c r="N70" i="32"/>
  <c r="N103" i="32"/>
  <c r="N98" i="32"/>
  <c r="N59" i="32"/>
  <c r="N52" i="32"/>
  <c r="N95" i="32"/>
  <c r="N85" i="32"/>
  <c r="N44" i="32"/>
  <c r="N33" i="32"/>
  <c r="N31" i="32"/>
  <c r="N62" i="32"/>
  <c r="N61" i="32"/>
  <c r="N104" i="32"/>
  <c r="N58" i="32"/>
  <c r="N57" i="32"/>
  <c r="N90" i="32"/>
  <c r="N77" i="32"/>
  <c r="N38" i="32"/>
  <c r="N89" i="32"/>
  <c r="N43" i="32"/>
  <c r="N42" i="32"/>
  <c r="N80" i="32"/>
  <c r="N69" i="32"/>
  <c r="N50" i="32"/>
  <c r="N79" i="32"/>
  <c r="N102" i="32"/>
  <c r="N36" i="32"/>
  <c r="N72" i="32"/>
  <c r="N51" i="32"/>
  <c r="N24" i="32"/>
  <c r="N96" i="32"/>
  <c r="N91" i="32"/>
  <c r="N26" i="32"/>
  <c r="N64" i="32"/>
  <c r="N111" i="32"/>
  <c r="N55" i="32"/>
  <c r="N71" i="32"/>
  <c r="N81" i="32"/>
  <c r="N110" i="32"/>
  <c r="N60" i="32"/>
  <c r="N101" i="32"/>
  <c r="N30" i="32"/>
  <c r="N112" i="32"/>
  <c r="N73" i="32"/>
  <c r="N100" i="32"/>
  <c r="N56" i="32"/>
  <c r="N92" i="32"/>
  <c r="N29" i="32"/>
  <c r="N99" i="32"/>
  <c r="N65" i="32"/>
  <c r="N93" i="32"/>
  <c r="N45" i="32"/>
  <c r="N82" i="32"/>
  <c r="N40" i="32"/>
  <c r="AG21" i="32"/>
  <c r="O3" i="32"/>
  <c r="Y3" i="32"/>
  <c r="X36" i="32"/>
  <c r="X42" i="32"/>
  <c r="X72" i="32"/>
  <c r="X69" i="32"/>
  <c r="X59" i="32"/>
  <c r="X105" i="32"/>
  <c r="X43" i="32"/>
  <c r="X30" i="32"/>
  <c r="X64" i="32"/>
  <c r="X54" i="32"/>
  <c r="X61" i="32"/>
  <c r="X96" i="32"/>
  <c r="X26" i="32"/>
  <c r="X81" i="32"/>
  <c r="X58" i="32"/>
  <c r="X52" i="32"/>
  <c r="X57" i="32"/>
  <c r="X99" i="32"/>
  <c r="X45" i="32"/>
  <c r="X29" i="32"/>
  <c r="X73" i="32"/>
  <c r="X100" i="32"/>
  <c r="X55" i="32"/>
  <c r="X90" i="32"/>
  <c r="X33" i="32"/>
  <c r="X80" i="32"/>
  <c r="X65" i="32"/>
  <c r="X93" i="32"/>
  <c r="X51" i="32"/>
  <c r="X101" i="32"/>
  <c r="X84" i="32"/>
  <c r="X78" i="32"/>
  <c r="X82" i="32"/>
  <c r="X68" i="32"/>
  <c r="X103" i="32"/>
  <c r="X92" i="32"/>
  <c r="X89" i="32"/>
  <c r="X70" i="32"/>
  <c r="X74" i="32"/>
  <c r="X60" i="32"/>
  <c r="X94" i="32"/>
  <c r="X110" i="32"/>
  <c r="X24" i="32"/>
  <c r="X62" i="32"/>
  <c r="X66" i="32"/>
  <c r="X50" i="32"/>
  <c r="X111" i="32"/>
  <c r="X41" i="32"/>
  <c r="Y2" i="32"/>
  <c r="X63" i="32"/>
  <c r="X44" i="32"/>
  <c r="X56" i="32"/>
  <c r="X102" i="32"/>
  <c r="X39" i="32"/>
  <c r="X98" i="32"/>
  <c r="X4" i="32"/>
  <c r="X38" i="32"/>
  <c r="X32" i="32"/>
  <c r="X83" i="32"/>
  <c r="X97" i="32"/>
  <c r="X104" i="32"/>
  <c r="X40" i="32"/>
  <c r="X35" i="32"/>
  <c r="X25" i="32"/>
  <c r="X79" i="32"/>
  <c r="X75" i="32"/>
  <c r="X85" i="32"/>
  <c r="X95" i="32"/>
  <c r="X71" i="32"/>
  <c r="X76" i="32"/>
  <c r="X91" i="32"/>
  <c r="X67" i="32"/>
  <c r="X77" i="32"/>
  <c r="X112" i="32"/>
  <c r="O31" i="32"/>
  <c r="O89" i="32"/>
  <c r="O62" i="32"/>
  <c r="O91" i="32"/>
  <c r="O65" i="32"/>
  <c r="O26" i="32"/>
  <c r="O93" i="32"/>
  <c r="O64" i="32"/>
  <c r="O45" i="32"/>
  <c r="O30" i="32"/>
  <c r="O92" i="32"/>
  <c r="O112" i="32"/>
  <c r="O29" i="32"/>
  <c r="O78" i="32"/>
  <c r="O67" i="32"/>
  <c r="O55" i="32"/>
  <c r="O66" i="32"/>
  <c r="O76" i="32"/>
  <c r="O70" i="32"/>
  <c r="O103" i="32"/>
  <c r="O25" i="32"/>
  <c r="O63" i="32"/>
  <c r="O41" i="32"/>
  <c r="O43" i="32"/>
  <c r="O61" i="32"/>
  <c r="O95" i="32"/>
  <c r="O98" i="32"/>
  <c r="O59" i="32"/>
  <c r="O32" i="32"/>
  <c r="O94" i="32"/>
  <c r="O57" i="32"/>
  <c r="O90" i="32"/>
  <c r="O85" i="32"/>
  <c r="O44" i="32"/>
  <c r="O54" i="32"/>
  <c r="P2" i="32"/>
  <c r="O68" i="32"/>
  <c r="O42" i="32"/>
  <c r="O80" i="32"/>
  <c r="O77" i="32"/>
  <c r="O38" i="32"/>
  <c r="O33" i="32"/>
  <c r="O4" i="32"/>
  <c r="O102" i="32"/>
  <c r="O36" i="32"/>
  <c r="O72" i="32"/>
  <c r="O69" i="32"/>
  <c r="O24" i="32"/>
  <c r="O52" i="32"/>
  <c r="O40" i="32"/>
  <c r="O51" i="32"/>
  <c r="O28" i="32"/>
  <c r="O81" i="32"/>
  <c r="O110" i="32"/>
  <c r="O60" i="32"/>
  <c r="O111" i="32"/>
  <c r="O104" i="32"/>
  <c r="O50" i="32"/>
  <c r="O84" i="32"/>
  <c r="O73" i="32"/>
  <c r="O100" i="32"/>
  <c r="O56" i="32"/>
  <c r="O101" i="32"/>
  <c r="O96" i="32"/>
  <c r="O58" i="32"/>
  <c r="O105" i="32"/>
  <c r="O83" i="32"/>
  <c r="O39" i="32"/>
  <c r="O82" i="32"/>
  <c r="O79" i="32"/>
  <c r="O99" i="32"/>
  <c r="O97" i="32"/>
  <c r="O75" i="32"/>
  <c r="O35" i="32"/>
  <c r="O74" i="32"/>
  <c r="O71" i="32"/>
  <c r="AH21" i="32"/>
  <c r="P3" i="32"/>
  <c r="Z3" i="32"/>
  <c r="Y39" i="32"/>
  <c r="Y30" i="32"/>
  <c r="Y29" i="32"/>
  <c r="Y85" i="32"/>
  <c r="Y75" i="32"/>
  <c r="Y92" i="32"/>
  <c r="Y33" i="32"/>
  <c r="Y56" i="32"/>
  <c r="Y60" i="32"/>
  <c r="Y77" i="32"/>
  <c r="Y26" i="32"/>
  <c r="Y63" i="32"/>
  <c r="Z2" i="32"/>
  <c r="Y42" i="32"/>
  <c r="Y55" i="32"/>
  <c r="Y57" i="32"/>
  <c r="Y70" i="32"/>
  <c r="Y96" i="32"/>
  <c r="Y98" i="32"/>
  <c r="Y54" i="32"/>
  <c r="Y25" i="32"/>
  <c r="Y64" i="32"/>
  <c r="Y52" i="32"/>
  <c r="Y102" i="32"/>
  <c r="Y97" i="32"/>
  <c r="Y72" i="32"/>
  <c r="Y81" i="32"/>
  <c r="Y35" i="32"/>
  <c r="Y111" i="32"/>
  <c r="Y62" i="32"/>
  <c r="Y51" i="32"/>
  <c r="Y24" i="32"/>
  <c r="Y65" i="32"/>
  <c r="Y58" i="32"/>
  <c r="Y84" i="32"/>
  <c r="Y104" i="32"/>
  <c r="Y99" i="32"/>
  <c r="Y45" i="32"/>
  <c r="Y43" i="32"/>
  <c r="Y74" i="32"/>
  <c r="Y110" i="32"/>
  <c r="Y76" i="32"/>
  <c r="Y90" i="32"/>
  <c r="Y38" i="32"/>
  <c r="Y32" i="32"/>
  <c r="Y66" i="32"/>
  <c r="Y68" i="32"/>
  <c r="Y112" i="32"/>
  <c r="Y101" i="32"/>
  <c r="Y83" i="32"/>
  <c r="Y80" i="32"/>
  <c r="Y50" i="32"/>
  <c r="Y100" i="32"/>
  <c r="Y79" i="32"/>
  <c r="Y103" i="32"/>
  <c r="Y95" i="32"/>
  <c r="Y44" i="32"/>
  <c r="Y89" i="32"/>
  <c r="Y93" i="32"/>
  <c r="Y71" i="32"/>
  <c r="Y94" i="32"/>
  <c r="Y82" i="32"/>
  <c r="Y78" i="32"/>
  <c r="Y67" i="32"/>
  <c r="Y69" i="32"/>
  <c r="Y105" i="32"/>
  <c r="Y40" i="32"/>
  <c r="Y4" i="32"/>
  <c r="Y36" i="32"/>
  <c r="Y73" i="32"/>
  <c r="Y59" i="32"/>
  <c r="Y61" i="32"/>
  <c r="Y91" i="32"/>
  <c r="Y41" i="32"/>
  <c r="P72" i="32"/>
  <c r="P35" i="32"/>
  <c r="P52" i="32"/>
  <c r="P25" i="32"/>
  <c r="P40" i="32"/>
  <c r="P31" i="32"/>
  <c r="P112" i="32"/>
  <c r="P91" i="32"/>
  <c r="P84" i="32"/>
  <c r="P81" i="32"/>
  <c r="H125" i="32"/>
  <c r="P76" i="32"/>
  <c r="P105" i="32"/>
  <c r="P69" i="32"/>
  <c r="P110" i="32"/>
  <c r="P64" i="32"/>
  <c r="P95" i="32"/>
  <c r="P60" i="32"/>
  <c r="P111" i="32"/>
  <c r="P57" i="32"/>
  <c r="P104" i="32"/>
  <c r="P78" i="32"/>
  <c r="P66" i="32"/>
  <c r="P93" i="32"/>
  <c r="P44" i="32"/>
  <c r="P97" i="32"/>
  <c r="P96" i="32"/>
  <c r="P92" i="32"/>
  <c r="P77" i="32"/>
  <c r="P65" i="32"/>
  <c r="P43" i="32"/>
  <c r="P42" i="32"/>
  <c r="P100" i="32"/>
  <c r="P99" i="32"/>
  <c r="P90" i="32"/>
  <c r="P75" i="32"/>
  <c r="P63" i="32"/>
  <c r="P39" i="32"/>
  <c r="P29" i="32"/>
  <c r="P94" i="32"/>
  <c r="P89" i="32"/>
  <c r="P74" i="32"/>
  <c r="P62" i="32"/>
  <c r="P38" i="32"/>
  <c r="P103" i="32"/>
  <c r="P54" i="32"/>
  <c r="P85" i="32"/>
  <c r="P73" i="32"/>
  <c r="P61" i="32"/>
  <c r="P36" i="32"/>
  <c r="P4" i="32"/>
  <c r="P98" i="32"/>
  <c r="P51" i="32"/>
  <c r="P83" i="32"/>
  <c r="P71" i="32"/>
  <c r="P59" i="32"/>
  <c r="P30" i="32"/>
  <c r="P32" i="32"/>
  <c r="P50" i="32"/>
  <c r="P82" i="32"/>
  <c r="P70" i="32"/>
  <c r="P58" i="32"/>
  <c r="P26" i="32"/>
  <c r="P101" i="32"/>
  <c r="P80" i="32"/>
  <c r="P68" i="32"/>
  <c r="P28" i="32"/>
  <c r="P55" i="32"/>
  <c r="P56" i="32"/>
  <c r="P24" i="32"/>
  <c r="P102" i="32"/>
  <c r="P33" i="32"/>
  <c r="P41" i="32"/>
  <c r="P79" i="32"/>
  <c r="P67" i="32"/>
  <c r="P45" i="32"/>
  <c r="AI21" i="32"/>
  <c r="Z77" i="32"/>
  <c r="Z62" i="32"/>
  <c r="Z94" i="32"/>
  <c r="Z26" i="32"/>
  <c r="Z71" i="32"/>
  <c r="Z41" i="32"/>
  <c r="Z35" i="32"/>
  <c r="Z51" i="32"/>
  <c r="Z33" i="32"/>
  <c r="Z83" i="32"/>
  <c r="Z97" i="32"/>
  <c r="Z111" i="32"/>
  <c r="Z43" i="32"/>
  <c r="Z92" i="32"/>
  <c r="Z74" i="32"/>
  <c r="Z42" i="32"/>
  <c r="Z64" i="32"/>
  <c r="Z81" i="32"/>
  <c r="Z30" i="32"/>
  <c r="Z79" i="32"/>
  <c r="Z24" i="32"/>
  <c r="Z105" i="32"/>
  <c r="Z76" i="32"/>
  <c r="Z75" i="32"/>
  <c r="Z60" i="32"/>
  <c r="Z55" i="32"/>
  <c r="Z38" i="32"/>
  <c r="Z69" i="32"/>
  <c r="Z73" i="32"/>
  <c r="Z44" i="32"/>
  <c r="Z57" i="32"/>
  <c r="Z110" i="32"/>
  <c r="Z80" i="32"/>
  <c r="Z93" i="32"/>
  <c r="Z89" i="32"/>
  <c r="Z45" i="32"/>
  <c r="Z78" i="32"/>
  <c r="Z91" i="32"/>
  <c r="Z72" i="32"/>
  <c r="Z84" i="32"/>
  <c r="Z99" i="32"/>
  <c r="Z104" i="32"/>
  <c r="Z52" i="32"/>
  <c r="Z96" i="32"/>
  <c r="Z82" i="32"/>
  <c r="Z66" i="32"/>
  <c r="Z25" i="32"/>
  <c r="Z112" i="32"/>
  <c r="Z100" i="32"/>
  <c r="Z98" i="32"/>
  <c r="Z39" i="32"/>
  <c r="Z4" i="32"/>
  <c r="Z85" i="32"/>
  <c r="Z95" i="32"/>
  <c r="Z70" i="32"/>
  <c r="Z58" i="32"/>
  <c r="Z101" i="32"/>
  <c r="Z40" i="32"/>
  <c r="Z32" i="32"/>
  <c r="Z67" i="32"/>
  <c r="Z68" i="32"/>
  <c r="Z102" i="32"/>
  <c r="Z29" i="32"/>
  <c r="Z103" i="32"/>
  <c r="Z65" i="32"/>
  <c r="Z56" i="32"/>
  <c r="Z63" i="32"/>
  <c r="Z59" i="32"/>
  <c r="Z36" i="32"/>
  <c r="Z61" i="32"/>
  <c r="Z50" i="32"/>
  <c r="Z90" i="32"/>
  <c r="Z54" i="32"/>
  <c r="Z37" i="32" l="1"/>
  <c r="Z21" i="32"/>
  <c r="Z48" i="32" s="1"/>
  <c r="Z106" i="32"/>
  <c r="Z46" i="32"/>
  <c r="Z113" i="32"/>
  <c r="Z119" i="32"/>
  <c r="Z53" i="32"/>
  <c r="Z128" i="32"/>
  <c r="Z127" i="32"/>
  <c r="Z129" i="32" s="1"/>
  <c r="Z34" i="32"/>
  <c r="Z27" i="32"/>
  <c r="Z117" i="32"/>
  <c r="Z120" i="32"/>
  <c r="P46" i="32"/>
  <c r="P120" i="32"/>
  <c r="P27" i="32"/>
  <c r="P34" i="32"/>
  <c r="P127" i="32"/>
  <c r="P129" i="32" s="1"/>
  <c r="P128" i="32"/>
  <c r="P53" i="32"/>
  <c r="Q55" i="32" s="1"/>
  <c r="P117" i="32"/>
  <c r="P21" i="32"/>
  <c r="P37" i="32"/>
  <c r="P119" i="32"/>
  <c r="P106" i="32"/>
  <c r="P113" i="32"/>
  <c r="Y120" i="32"/>
  <c r="Y37" i="32"/>
  <c r="Y21" i="32"/>
  <c r="Y48" i="32" s="1"/>
  <c r="Y119" i="32"/>
  <c r="Y113" i="32"/>
  <c r="Y46" i="32"/>
  <c r="Y128" i="32"/>
  <c r="Y117" i="32"/>
  <c r="Y106" i="32"/>
  <c r="Y53" i="32"/>
  <c r="Y34" i="32"/>
  <c r="Y27" i="32"/>
  <c r="Y127" i="32"/>
  <c r="Y129" i="32" s="1"/>
  <c r="Z22" i="32"/>
  <c r="P22" i="32"/>
  <c r="O106" i="32"/>
  <c r="O113" i="32"/>
  <c r="O117" i="32"/>
  <c r="O128" i="32"/>
  <c r="O37" i="32"/>
  <c r="O21" i="32"/>
  <c r="O87" i="32" s="1"/>
  <c r="AH87" i="32" s="1"/>
  <c r="O34" i="32"/>
  <c r="O127" i="32"/>
  <c r="O129" i="32" s="1"/>
  <c r="O130" i="32" s="1"/>
  <c r="O131" i="32" s="1"/>
  <c r="O132" i="32" s="1"/>
  <c r="O118" i="32" s="1"/>
  <c r="O27" i="32"/>
  <c r="O119" i="32"/>
  <c r="O120" i="32"/>
  <c r="O53" i="32"/>
  <c r="O46" i="32"/>
  <c r="X119" i="32"/>
  <c r="X21" i="32"/>
  <c r="X115" i="32" s="1"/>
  <c r="X120" i="32"/>
  <c r="X128" i="32"/>
  <c r="X113" i="32"/>
  <c r="X117" i="32"/>
  <c r="X27" i="32"/>
  <c r="X34" i="32"/>
  <c r="X127" i="32"/>
  <c r="X129" i="32" s="1"/>
  <c r="X130" i="32" s="1"/>
  <c r="X131" i="32" s="1"/>
  <c r="X132" i="32" s="1"/>
  <c r="X118" i="32" s="1"/>
  <c r="X53" i="32"/>
  <c r="X46" i="32"/>
  <c r="X106" i="32"/>
  <c r="X37" i="32"/>
  <c r="Y22" i="32"/>
  <c r="O22" i="32"/>
  <c r="N46" i="32"/>
  <c r="N113" i="32"/>
  <c r="N53" i="32"/>
  <c r="N106" i="32"/>
  <c r="N128" i="32"/>
  <c r="N117" i="32"/>
  <c r="N37" i="32"/>
  <c r="N119" i="32"/>
  <c r="N27" i="32"/>
  <c r="N34" i="32"/>
  <c r="N127" i="32"/>
  <c r="N129" i="32" s="1"/>
  <c r="N21" i="32"/>
  <c r="N108" i="32" s="1"/>
  <c r="AG108" i="32" s="1"/>
  <c r="N120" i="32"/>
  <c r="W37" i="32"/>
  <c r="W46" i="32"/>
  <c r="W128" i="32"/>
  <c r="W106" i="32"/>
  <c r="W119" i="32"/>
  <c r="W53" i="32"/>
  <c r="W27" i="32"/>
  <c r="W127" i="32"/>
  <c r="W129" i="32" s="1"/>
  <c r="W130" i="32" s="1"/>
  <c r="W34" i="32"/>
  <c r="W120" i="32"/>
  <c r="W113" i="32"/>
  <c r="W21" i="32"/>
  <c r="W117" i="32"/>
  <c r="X22" i="32"/>
  <c r="N22" i="32"/>
  <c r="M53" i="32"/>
  <c r="M106" i="32"/>
  <c r="M21" i="32"/>
  <c r="M115" i="32" s="1"/>
  <c r="M120" i="32"/>
  <c r="M128" i="32"/>
  <c r="M46" i="32"/>
  <c r="M113" i="32"/>
  <c r="M34" i="32"/>
  <c r="M27" i="32"/>
  <c r="M127" i="32"/>
  <c r="M129" i="32" s="1"/>
  <c r="M117" i="32"/>
  <c r="M37" i="32"/>
  <c r="M119" i="32"/>
  <c r="V120" i="32"/>
  <c r="V119" i="32"/>
  <c r="V113" i="32"/>
  <c r="V128" i="32"/>
  <c r="V53" i="32"/>
  <c r="V21" i="32"/>
  <c r="V108" i="32" s="1"/>
  <c r="V34" i="32"/>
  <c r="V27" i="32"/>
  <c r="V127" i="32"/>
  <c r="V129" i="32" s="1"/>
  <c r="V46" i="32"/>
  <c r="U53" i="32"/>
  <c r="U21" i="32"/>
  <c r="U106" i="32"/>
  <c r="U37" i="32"/>
  <c r="U119" i="32"/>
  <c r="U46" i="32"/>
  <c r="U27" i="32"/>
  <c r="U34" i="32"/>
  <c r="U127" i="32"/>
  <c r="U129" i="32" s="1"/>
  <c r="U130" i="32" s="1"/>
  <c r="U113" i="32"/>
  <c r="U128" i="32"/>
  <c r="W22" i="32"/>
  <c r="AA50" i="32"/>
  <c r="AA26" i="32"/>
  <c r="AA96" i="32"/>
  <c r="S106" i="32"/>
  <c r="AA105" i="32"/>
  <c r="S117" i="32"/>
  <c r="S46" i="32"/>
  <c r="AA45" i="32"/>
  <c r="AA36" i="32"/>
  <c r="S37" i="32"/>
  <c r="AA61" i="32"/>
  <c r="AA43" i="32"/>
  <c r="AA75" i="32"/>
  <c r="S53" i="32"/>
  <c r="AA83" i="32"/>
  <c r="AA99" i="32"/>
  <c r="AA58" i="32"/>
  <c r="AA94" i="32"/>
  <c r="S113" i="32"/>
  <c r="AA85" i="32"/>
  <c r="M22" i="32"/>
  <c r="L120" i="32"/>
  <c r="L37" i="32"/>
  <c r="L53" i="32"/>
  <c r="L119" i="32"/>
  <c r="L21" i="32"/>
  <c r="L115" i="32" s="1"/>
  <c r="K119" i="32"/>
  <c r="K127" i="32"/>
  <c r="K129" i="32" s="1"/>
  <c r="K27" i="32"/>
  <c r="K34" i="32"/>
  <c r="V37" i="32"/>
  <c r="V117" i="32"/>
  <c r="V106" i="32"/>
  <c r="U120" i="32"/>
  <c r="AA40" i="32"/>
  <c r="K53" i="32"/>
  <c r="K37" i="32"/>
  <c r="I113" i="32"/>
  <c r="Q94" i="32"/>
  <c r="I46" i="32"/>
  <c r="Q45" i="32"/>
  <c r="I128" i="32"/>
  <c r="T120" i="32"/>
  <c r="T27" i="32"/>
  <c r="T34" i="32"/>
  <c r="T127" i="32"/>
  <c r="T129" i="32" s="1"/>
  <c r="L106" i="32"/>
  <c r="U117" i="32"/>
  <c r="S21" i="32"/>
  <c r="S108" i="32" s="1"/>
  <c r="S128" i="32"/>
  <c r="AA74" i="32"/>
  <c r="S120" i="32"/>
  <c r="Q105" i="32"/>
  <c r="T53" i="32"/>
  <c r="T46" i="32"/>
  <c r="T119" i="32"/>
  <c r="L128" i="32"/>
  <c r="S27" i="32"/>
  <c r="S127" i="32"/>
  <c r="S129" i="32" s="1"/>
  <c r="S130" i="32" s="1"/>
  <c r="S131" i="32" s="1"/>
  <c r="S34" i="32"/>
  <c r="V22" i="32"/>
  <c r="Q43" i="32"/>
  <c r="J120" i="32"/>
  <c r="T128" i="32"/>
  <c r="L113" i="32"/>
  <c r="L46" i="32"/>
  <c r="L117" i="32"/>
  <c r="K120" i="32"/>
  <c r="Q40" i="32"/>
  <c r="T21" i="32"/>
  <c r="J106" i="32"/>
  <c r="L22" i="32"/>
  <c r="K106" i="32"/>
  <c r="I117" i="32"/>
  <c r="Q75" i="32"/>
  <c r="S22" i="32"/>
  <c r="J46" i="32"/>
  <c r="T37" i="32"/>
  <c r="K128" i="32"/>
  <c r="I120" i="32"/>
  <c r="Q74" i="32"/>
  <c r="U22" i="32"/>
  <c r="J113" i="32"/>
  <c r="T113" i="32"/>
  <c r="L27" i="32"/>
  <c r="L34" i="32"/>
  <c r="L127" i="32"/>
  <c r="L129" i="32" s="1"/>
  <c r="L130" i="32" s="1"/>
  <c r="L131" i="32" s="1"/>
  <c r="L132" i="32" s="1"/>
  <c r="L118" i="32" s="1"/>
  <c r="K113" i="32"/>
  <c r="K46" i="32"/>
  <c r="Q50" i="32"/>
  <c r="Q85" i="32"/>
  <c r="Q61" i="32"/>
  <c r="Q36" i="32"/>
  <c r="I37" i="32"/>
  <c r="I22" i="32"/>
  <c r="J128" i="32"/>
  <c r="T106" i="32"/>
  <c r="K21" i="32"/>
  <c r="K117" i="32"/>
  <c r="I53" i="32"/>
  <c r="Q99" i="32"/>
  <c r="K22" i="32"/>
  <c r="J34" i="32"/>
  <c r="J27" i="32"/>
  <c r="Q33" i="32" s="1"/>
  <c r="J127" i="32"/>
  <c r="J129" i="32" s="1"/>
  <c r="J130" i="32" s="1"/>
  <c r="J131" i="32" s="1"/>
  <c r="J132" i="32" s="1"/>
  <c r="J118" i="32" s="1"/>
  <c r="Q83" i="32"/>
  <c r="Q58" i="32"/>
  <c r="I27" i="32"/>
  <c r="I34" i="32"/>
  <c r="I127" i="32"/>
  <c r="I129" i="32" s="1"/>
  <c r="J117" i="32"/>
  <c r="I21" i="32"/>
  <c r="I87" i="32" s="1"/>
  <c r="AB87" i="32" s="1"/>
  <c r="Q96" i="32"/>
  <c r="I106" i="32"/>
  <c r="Q26" i="32"/>
  <c r="J37" i="32"/>
  <c r="J21" i="32"/>
  <c r="J108" i="32" s="1"/>
  <c r="AC108" i="32" s="1"/>
  <c r="J119" i="32"/>
  <c r="J53" i="32"/>
  <c r="T117" i="32"/>
  <c r="T48" i="32"/>
  <c r="T115" i="32"/>
  <c r="M130" i="32"/>
  <c r="M131" i="32"/>
  <c r="M132" i="32" s="1"/>
  <c r="M118" i="32" s="1"/>
  <c r="T130" i="32"/>
  <c r="T131" i="32" s="1"/>
  <c r="T132" i="32" s="1"/>
  <c r="T118" i="32" s="1"/>
  <c r="V130" i="32"/>
  <c r="P48" i="32"/>
  <c r="AI48" i="32" s="1"/>
  <c r="P87" i="32"/>
  <c r="AI87" i="32" s="1"/>
  <c r="P108" i="32"/>
  <c r="AI108" i="32" s="1"/>
  <c r="P115" i="32"/>
  <c r="W48" i="32"/>
  <c r="W87" i="32"/>
  <c r="W108" i="32"/>
  <c r="W115" i="32"/>
  <c r="U31" i="32"/>
  <c r="T31" i="32"/>
  <c r="Z31" i="32"/>
  <c r="V31" i="32"/>
  <c r="Z28" i="32"/>
  <c r="X31" i="32"/>
  <c r="Y31" i="32"/>
  <c r="Y28" i="32" s="1"/>
  <c r="S31" i="32"/>
  <c r="S28" i="32" s="1"/>
  <c r="W31" i="32"/>
  <c r="W28" i="32" s="1"/>
  <c r="T28" i="32"/>
  <c r="X28" i="32"/>
  <c r="V28" i="32"/>
  <c r="U28" i="32"/>
  <c r="Y115" i="32" l="1"/>
  <c r="V131" i="32"/>
  <c r="V132" i="32" s="1"/>
  <c r="V118" i="32" s="1"/>
  <c r="Y87" i="32"/>
  <c r="Y108" i="32"/>
  <c r="J48" i="32"/>
  <c r="AC48" i="32" s="1"/>
  <c r="AD50" i="32"/>
  <c r="O48" i="32"/>
  <c r="AH48" i="32" s="1"/>
  <c r="AE110" i="32"/>
  <c r="J87" i="32"/>
  <c r="AC87" i="32" s="1"/>
  <c r="N115" i="32"/>
  <c r="N87" i="32"/>
  <c r="AG87" i="32" s="1"/>
  <c r="N48" i="32"/>
  <c r="AG48" i="32" s="1"/>
  <c r="Q27" i="32"/>
  <c r="O115" i="32"/>
  <c r="S87" i="32"/>
  <c r="AG85" i="32"/>
  <c r="Z130" i="32"/>
  <c r="Z131" i="32" s="1"/>
  <c r="Z132" i="32" s="1"/>
  <c r="Z118" i="32" s="1"/>
  <c r="AI26" i="32"/>
  <c r="M48" i="32"/>
  <c r="AF48" i="32" s="1"/>
  <c r="AI50" i="32"/>
  <c r="AD39" i="32"/>
  <c r="AC61" i="32"/>
  <c r="AB84" i="32"/>
  <c r="AE112" i="32"/>
  <c r="AE73" i="32"/>
  <c r="AG61" i="32"/>
  <c r="AH36" i="32"/>
  <c r="AG100" i="32"/>
  <c r="AG69" i="32"/>
  <c r="AG50" i="32"/>
  <c r="S48" i="32"/>
  <c r="AG95" i="32"/>
  <c r="S115" i="32"/>
  <c r="Y130" i="32"/>
  <c r="Y131" i="32" s="1"/>
  <c r="Y132" i="32" s="1"/>
  <c r="Y118" i="32" s="1"/>
  <c r="AH92" i="32"/>
  <c r="AG33" i="32"/>
  <c r="AD40" i="32"/>
  <c r="AD41" i="32"/>
  <c r="AB33" i="32"/>
  <c r="AG83" i="32"/>
  <c r="AB60" i="32"/>
  <c r="AC56" i="32"/>
  <c r="AC78" i="32"/>
  <c r="AH59" i="32"/>
  <c r="AB66" i="32"/>
  <c r="P130" i="32"/>
  <c r="P131" i="32" s="1"/>
  <c r="P132" i="32" s="1"/>
  <c r="P118" i="32" s="1"/>
  <c r="AD73" i="32"/>
  <c r="AH60" i="32"/>
  <c r="X108" i="32"/>
  <c r="AC44" i="32"/>
  <c r="AA55" i="32"/>
  <c r="X87" i="32"/>
  <c r="AH99" i="32"/>
  <c r="X48" i="32"/>
  <c r="AE66" i="32"/>
  <c r="AE43" i="32"/>
  <c r="Z108" i="32"/>
  <c r="O108" i="32"/>
  <c r="AH108" i="32" s="1"/>
  <c r="AI53" i="32"/>
  <c r="AE45" i="32"/>
  <c r="V48" i="32"/>
  <c r="AE72" i="32"/>
  <c r="AC90" i="32"/>
  <c r="J115" i="32"/>
  <c r="AE60" i="32"/>
  <c r="AH100" i="32"/>
  <c r="AC32" i="32"/>
  <c r="AF40" i="32"/>
  <c r="AB82" i="32"/>
  <c r="AE57" i="32"/>
  <c r="Z115" i="32"/>
  <c r="AF37" i="32"/>
  <c r="AG46" i="32"/>
  <c r="AG42" i="32"/>
  <c r="AD51" i="32"/>
  <c r="AD85" i="32"/>
  <c r="AC53" i="32"/>
  <c r="AD101" i="32"/>
  <c r="Z87" i="32"/>
  <c r="AH77" i="32"/>
  <c r="AI77" i="32"/>
  <c r="AE81" i="32"/>
  <c r="AI52" i="32"/>
  <c r="U131" i="32"/>
  <c r="U132" i="32" s="1"/>
  <c r="U118" i="32" s="1"/>
  <c r="AE94" i="32"/>
  <c r="AH58" i="32"/>
  <c r="AH105" i="32"/>
  <c r="AD25" i="32"/>
  <c r="AI111" i="32"/>
  <c r="AE84" i="32"/>
  <c r="AF27" i="32"/>
  <c r="AA33" i="32"/>
  <c r="AH80" i="32"/>
  <c r="AF81" i="32"/>
  <c r="AC63" i="32"/>
  <c r="AI28" i="32"/>
  <c r="AF102" i="32"/>
  <c r="AG94" i="32"/>
  <c r="AE65" i="32"/>
  <c r="AD81" i="32"/>
  <c r="AA27" i="32"/>
  <c r="AI94" i="32"/>
  <c r="AE69" i="32"/>
  <c r="AH98" i="32"/>
  <c r="AH32" i="32"/>
  <c r="I48" i="32"/>
  <c r="AB48" i="32" s="1"/>
  <c r="AF111" i="32"/>
  <c r="AD100" i="32"/>
  <c r="AD66" i="32"/>
  <c r="AC28" i="32"/>
  <c r="AG84" i="32"/>
  <c r="AD29" i="32"/>
  <c r="K87" i="32"/>
  <c r="AD87" i="32" s="1"/>
  <c r="K108" i="32"/>
  <c r="AD108" i="32" s="1"/>
  <c r="K115" i="32"/>
  <c r="K48" i="32"/>
  <c r="AD48" i="32" s="1"/>
  <c r="AF53" i="32"/>
  <c r="AH76" i="32"/>
  <c r="AH28" i="32"/>
  <c r="AF75" i="32"/>
  <c r="I108" i="32"/>
  <c r="AB108" i="32" s="1"/>
  <c r="AH112" i="32"/>
  <c r="AB68" i="32"/>
  <c r="AB27" i="32"/>
  <c r="AB31" i="32"/>
  <c r="AF60" i="32"/>
  <c r="AF74" i="32"/>
  <c r="AB97" i="32"/>
  <c r="AF28" i="32"/>
  <c r="AI38" i="32"/>
  <c r="AH101" i="32"/>
  <c r="AD89" i="32"/>
  <c r="AD31" i="32"/>
  <c r="AD28" i="32"/>
  <c r="AB65" i="32"/>
  <c r="AF52" i="32"/>
  <c r="AC33" i="32"/>
  <c r="AC81" i="32"/>
  <c r="AG67" i="32"/>
  <c r="AB95" i="32"/>
  <c r="AC50" i="32"/>
  <c r="AH75" i="32"/>
  <c r="AI41" i="32"/>
  <c r="AI95" i="32"/>
  <c r="AI91" i="32"/>
  <c r="AG74" i="32"/>
  <c r="AB30" i="32"/>
  <c r="AI78" i="32"/>
  <c r="AG79" i="32"/>
  <c r="AH62" i="32"/>
  <c r="AE53" i="32"/>
  <c r="AD30" i="32"/>
  <c r="AD24" i="32"/>
  <c r="AF32" i="32"/>
  <c r="AD38" i="32"/>
  <c r="AB46" i="32"/>
  <c r="AF73" i="32"/>
  <c r="AC39" i="32"/>
  <c r="AC55" i="32"/>
  <c r="AG34" i="32"/>
  <c r="AB34" i="32"/>
  <c r="AC69" i="32"/>
  <c r="AH113" i="32"/>
  <c r="AI96" i="32"/>
  <c r="AI98" i="32"/>
  <c r="AI74" i="32"/>
  <c r="AI29" i="32"/>
  <c r="AG64" i="32"/>
  <c r="AB26" i="32"/>
  <c r="AI30" i="32"/>
  <c r="W131" i="32"/>
  <c r="W132" i="32" s="1"/>
  <c r="W118" i="32" s="1"/>
  <c r="AH42" i="32"/>
  <c r="AE96" i="32"/>
  <c r="AD36" i="32"/>
  <c r="AF112" i="32"/>
  <c r="AD42" i="32"/>
  <c r="AD68" i="32"/>
  <c r="AF82" i="32"/>
  <c r="AC105" i="32"/>
  <c r="AC26" i="32"/>
  <c r="AG60" i="32"/>
  <c r="AD56" i="32"/>
  <c r="AC34" i="32"/>
  <c r="AH40" i="32"/>
  <c r="AF51" i="32"/>
  <c r="AG28" i="32"/>
  <c r="AC35" i="32"/>
  <c r="AD104" i="32"/>
  <c r="AG45" i="32"/>
  <c r="AC85" i="32"/>
  <c r="AE58" i="32"/>
  <c r="AG73" i="32"/>
  <c r="AH25" i="32"/>
  <c r="I115" i="32"/>
  <c r="AB111" i="32"/>
  <c r="AE63" i="32"/>
  <c r="AD79" i="32"/>
  <c r="AF35" i="32"/>
  <c r="AD53" i="32"/>
  <c r="AG32" i="32"/>
  <c r="AH24" i="32"/>
  <c r="AH30" i="32"/>
  <c r="AB72" i="32"/>
  <c r="AH67" i="32"/>
  <c r="AB96" i="32"/>
  <c r="AE68" i="32"/>
  <c r="AB67" i="32"/>
  <c r="AF66" i="32"/>
  <c r="AF34" i="32"/>
  <c r="K130" i="32"/>
  <c r="K131" i="32" s="1"/>
  <c r="K132" i="32" s="1"/>
  <c r="K118" i="32" s="1"/>
  <c r="AH90" i="32"/>
  <c r="AH37" i="32"/>
  <c r="AG113" i="32"/>
  <c r="AB57" i="32"/>
  <c r="AG93" i="32"/>
  <c r="AF39" i="32"/>
  <c r="AD67" i="32"/>
  <c r="AD63" i="32"/>
  <c r="AF80" i="32"/>
  <c r="AG38" i="32"/>
  <c r="AD44" i="32"/>
  <c r="AH103" i="32"/>
  <c r="AI97" i="32"/>
  <c r="AG104" i="32"/>
  <c r="AB101" i="32"/>
  <c r="AG72" i="32"/>
  <c r="AF65" i="32"/>
  <c r="AD59" i="32"/>
  <c r="AH89" i="32"/>
  <c r="AI42" i="32"/>
  <c r="AI44" i="32"/>
  <c r="AI63" i="32"/>
  <c r="AI69" i="32"/>
  <c r="AG96" i="32"/>
  <c r="AE93" i="32"/>
  <c r="AB41" i="32"/>
  <c r="AI34" i="32"/>
  <c r="AH84" i="32"/>
  <c r="AE70" i="32"/>
  <c r="AD61" i="32"/>
  <c r="M108" i="32"/>
  <c r="AF108" i="32" s="1"/>
  <c r="AC94" i="32"/>
  <c r="AF45" i="32"/>
  <c r="AE31" i="32"/>
  <c r="AC96" i="32"/>
  <c r="AC64" i="32"/>
  <c r="AG68" i="32"/>
  <c r="AF59" i="32"/>
  <c r="AC102" i="32"/>
  <c r="AH70" i="32"/>
  <c r="AI45" i="32"/>
  <c r="AI60" i="32"/>
  <c r="AI62" i="32"/>
  <c r="AE97" i="32"/>
  <c r="AB42" i="32"/>
  <c r="AH110" i="32"/>
  <c r="AG26" i="32"/>
  <c r="AE90" i="32"/>
  <c r="AD26" i="32"/>
  <c r="M87" i="32"/>
  <c r="AF87" i="32" s="1"/>
  <c r="AF100" i="32"/>
  <c r="AD43" i="32"/>
  <c r="AE38" i="32"/>
  <c r="AB36" i="32"/>
  <c r="AC24" i="32"/>
  <c r="AC66" i="32"/>
  <c r="AG62" i="32"/>
  <c r="AF44" i="32"/>
  <c r="AE56" i="32"/>
  <c r="AC103" i="32"/>
  <c r="AE76" i="32"/>
  <c r="AF43" i="32"/>
  <c r="AB75" i="32"/>
  <c r="AD84" i="32"/>
  <c r="AC45" i="32"/>
  <c r="AG24" i="32"/>
  <c r="AG29" i="32"/>
  <c r="AE79" i="32"/>
  <c r="AB35" i="32"/>
  <c r="V87" i="32"/>
  <c r="V115" i="32"/>
  <c r="N130" i="32"/>
  <c r="N131" i="32" s="1"/>
  <c r="N132" i="32" s="1"/>
  <c r="N118" i="32" s="1"/>
  <c r="AC42" i="32"/>
  <c r="AB40" i="32"/>
  <c r="AG91" i="32"/>
  <c r="AC113" i="32"/>
  <c r="AE113" i="32"/>
  <c r="AD113" i="32"/>
  <c r="AC97" i="32"/>
  <c r="AF85" i="32"/>
  <c r="AE39" i="32"/>
  <c r="AD35" i="32"/>
  <c r="AD54" i="32"/>
  <c r="AC75" i="32"/>
  <c r="AC51" i="32"/>
  <c r="AD58" i="32"/>
  <c r="AB73" i="32"/>
  <c r="AC38" i="32"/>
  <c r="AD98" i="32"/>
  <c r="AE83" i="32"/>
  <c r="AC98" i="32"/>
  <c r="AE105" i="32"/>
  <c r="AG111" i="32"/>
  <c r="AF64" i="32"/>
  <c r="AF104" i="32"/>
  <c r="AG30" i="32"/>
  <c r="AE102" i="32"/>
  <c r="AF38" i="32"/>
  <c r="AC43" i="32"/>
  <c r="AC100" i="32"/>
  <c r="AD94" i="32"/>
  <c r="AE34" i="32"/>
  <c r="AB85" i="32"/>
  <c r="AF98" i="32"/>
  <c r="AF56" i="32"/>
  <c r="AC58" i="32"/>
  <c r="AB25" i="32"/>
  <c r="AE98" i="32"/>
  <c r="AF26" i="32"/>
  <c r="AB78" i="32"/>
  <c r="AD99" i="32"/>
  <c r="AE80" i="32"/>
  <c r="AD78" i="32"/>
  <c r="AB61" i="32"/>
  <c r="AE77" i="32"/>
  <c r="AF68" i="32"/>
  <c r="AG27" i="32"/>
  <c r="AH94" i="32"/>
  <c r="AG82" i="32"/>
  <c r="AH57" i="32"/>
  <c r="AI84" i="32"/>
  <c r="AD72" i="32"/>
  <c r="AB92" i="32"/>
  <c r="AE111" i="32"/>
  <c r="AF96" i="32"/>
  <c r="AG40" i="32"/>
  <c r="AH53" i="32"/>
  <c r="AI83" i="32"/>
  <c r="AH82" i="32"/>
  <c r="AI90" i="32"/>
  <c r="AH71" i="32"/>
  <c r="AI66" i="32"/>
  <c r="AH63" i="32"/>
  <c r="AI57" i="32"/>
  <c r="AH39" i="32"/>
  <c r="AF91" i="32"/>
  <c r="AH44" i="32"/>
  <c r="AI40" i="32"/>
  <c r="AC92" i="32"/>
  <c r="AB24" i="32"/>
  <c r="AB70" i="32"/>
  <c r="AC62" i="32"/>
  <c r="AD91" i="32"/>
  <c r="AD70" i="32"/>
  <c r="AE59" i="32"/>
  <c r="AG101" i="32"/>
  <c r="AF54" i="32"/>
  <c r="AG44" i="32"/>
  <c r="AE62" i="32"/>
  <c r="AE89" i="32"/>
  <c r="AC112" i="32"/>
  <c r="AD110" i="32"/>
  <c r="AD83" i="32"/>
  <c r="AB58" i="32"/>
  <c r="AF50" i="32"/>
  <c r="AB53" i="32"/>
  <c r="AF77" i="32"/>
  <c r="AF31" i="32"/>
  <c r="AE51" i="32"/>
  <c r="AB76" i="32"/>
  <c r="AE103" i="32"/>
  <c r="AF90" i="32"/>
  <c r="AE54" i="32"/>
  <c r="AE75" i="32"/>
  <c r="AF58" i="32"/>
  <c r="AC74" i="32"/>
  <c r="AF33" i="32"/>
  <c r="AB51" i="32"/>
  <c r="AC36" i="32"/>
  <c r="AD71" i="32"/>
  <c r="AC89" i="32"/>
  <c r="AC31" i="32"/>
  <c r="AB81" i="32"/>
  <c r="AB99" i="32"/>
  <c r="AC65" i="32"/>
  <c r="AB79" i="32"/>
  <c r="AE91" i="32"/>
  <c r="AD52" i="32"/>
  <c r="AG57" i="32"/>
  <c r="AG105" i="32"/>
  <c r="AG112" i="32"/>
  <c r="AF72" i="32"/>
  <c r="AC95" i="32"/>
  <c r="AE61" i="32"/>
  <c r="AE99" i="32"/>
  <c r="AE78" i="32"/>
  <c r="AB59" i="32"/>
  <c r="AE27" i="32"/>
  <c r="AD37" i="32"/>
  <c r="AB93" i="32"/>
  <c r="AD69" i="32"/>
  <c r="AF99" i="32"/>
  <c r="AC111" i="32"/>
  <c r="AB29" i="32"/>
  <c r="AF36" i="32"/>
  <c r="AF93" i="32"/>
  <c r="AB112" i="32"/>
  <c r="AF84" i="32"/>
  <c r="AC93" i="32"/>
  <c r="AE100" i="32"/>
  <c r="AD65" i="32"/>
  <c r="AB100" i="32"/>
  <c r="AE52" i="32"/>
  <c r="AF55" i="32"/>
  <c r="AG98" i="32"/>
  <c r="AI31" i="32"/>
  <c r="AG97" i="32"/>
  <c r="AH81" i="32"/>
  <c r="AI100" i="32"/>
  <c r="AD90" i="32"/>
  <c r="AB102" i="32"/>
  <c r="AE104" i="32"/>
  <c r="AF94" i="32"/>
  <c r="AG71" i="32"/>
  <c r="AH73" i="32"/>
  <c r="AI102" i="32"/>
  <c r="AH64" i="32"/>
  <c r="AI68" i="32"/>
  <c r="AH66" i="32"/>
  <c r="AI112" i="32"/>
  <c r="AH91" i="32"/>
  <c r="AI101" i="32"/>
  <c r="AH74" i="32"/>
  <c r="AI33" i="32"/>
  <c r="AG81" i="32"/>
  <c r="AH68" i="32"/>
  <c r="AI64" i="32"/>
  <c r="AC77" i="32"/>
  <c r="AE35" i="32"/>
  <c r="AC52" i="32"/>
  <c r="AF46" i="32"/>
  <c r="AB83" i="32"/>
  <c r="AG92" i="32"/>
  <c r="AG51" i="32"/>
  <c r="AF62" i="32"/>
  <c r="AC101" i="32"/>
  <c r="AF89" i="32"/>
  <c r="AE101" i="32"/>
  <c r="AB39" i="32"/>
  <c r="AD77" i="32"/>
  <c r="AE44" i="32"/>
  <c r="AD75" i="32"/>
  <c r="AB105" i="32"/>
  <c r="AD33" i="32"/>
  <c r="AF69" i="32"/>
  <c r="AF42" i="32"/>
  <c r="AF110" i="32"/>
  <c r="AE25" i="32"/>
  <c r="AE92" i="32"/>
  <c r="AD55" i="32"/>
  <c r="AB45" i="32"/>
  <c r="AH61" i="32"/>
  <c r="AG41" i="32"/>
  <c r="AG59" i="32"/>
  <c r="AH85" i="32"/>
  <c r="AH83" i="32"/>
  <c r="AD103" i="32"/>
  <c r="AG76" i="32"/>
  <c r="AE41" i="32"/>
  <c r="AE85" i="32"/>
  <c r="AB32" i="32"/>
  <c r="AH33" i="32"/>
  <c r="AG77" i="32"/>
  <c r="AI46" i="32"/>
  <c r="AH102" i="32"/>
  <c r="AI65" i="32"/>
  <c r="AG36" i="32"/>
  <c r="AD76" i="32"/>
  <c r="AH93" i="32"/>
  <c r="AF76" i="32"/>
  <c r="AC71" i="32"/>
  <c r="AC54" i="32"/>
  <c r="AB56" i="32"/>
  <c r="AE40" i="32"/>
  <c r="AG103" i="32"/>
  <c r="AG25" i="32"/>
  <c r="AG66" i="32"/>
  <c r="AC67" i="32"/>
  <c r="AC82" i="32"/>
  <c r="AC25" i="32"/>
  <c r="AB52" i="32"/>
  <c r="AC91" i="32"/>
  <c r="AE29" i="32"/>
  <c r="AB77" i="32"/>
  <c r="AD74" i="32"/>
  <c r="AD60" i="32"/>
  <c r="AD80" i="32"/>
  <c r="AD32" i="32"/>
  <c r="AD112" i="32"/>
  <c r="AF29" i="32"/>
  <c r="AG80" i="32"/>
  <c r="AI79" i="32"/>
  <c r="AG31" i="32"/>
  <c r="AH38" i="32"/>
  <c r="AI92" i="32"/>
  <c r="AD62" i="32"/>
  <c r="AH43" i="32"/>
  <c r="AI37" i="32"/>
  <c r="AH65" i="32"/>
  <c r="AI85" i="32"/>
  <c r="AH35" i="32"/>
  <c r="AI61" i="32"/>
  <c r="AH52" i="32"/>
  <c r="AI43" i="32"/>
  <c r="AG90" i="32"/>
  <c r="AI80" i="32"/>
  <c r="AE50" i="32"/>
  <c r="AD46" i="32"/>
  <c r="AC41" i="32"/>
  <c r="AB98" i="32"/>
  <c r="AG53" i="32"/>
  <c r="AF95" i="32"/>
  <c r="AG58" i="32"/>
  <c r="AC40" i="32"/>
  <c r="AC79" i="32"/>
  <c r="AB28" i="32"/>
  <c r="AC57" i="32"/>
  <c r="AB80" i="32"/>
  <c r="AD97" i="32"/>
  <c r="AB94" i="32"/>
  <c r="AI39" i="32"/>
  <c r="AI51" i="32"/>
  <c r="AH78" i="32"/>
  <c r="AI71" i="32"/>
  <c r="AH95" i="32"/>
  <c r="AI70" i="32"/>
  <c r="AI99" i="32"/>
  <c r="AH54" i="32"/>
  <c r="AG65" i="32"/>
  <c r="AI89" i="32"/>
  <c r="AI35" i="32"/>
  <c r="AH104" i="32"/>
  <c r="AI59" i="32"/>
  <c r="AI113" i="32"/>
  <c r="AG54" i="32"/>
  <c r="AF105" i="32"/>
  <c r="AD96" i="32"/>
  <c r="AB64" i="32"/>
  <c r="AF67" i="32"/>
  <c r="AF97" i="32"/>
  <c r="AH27" i="32"/>
  <c r="AE46" i="32"/>
  <c r="AI104" i="32"/>
  <c r="AI93" i="32"/>
  <c r="AB55" i="32"/>
  <c r="AD27" i="32"/>
  <c r="AG70" i="32"/>
  <c r="AD45" i="32"/>
  <c r="AE28" i="32"/>
  <c r="AB104" i="32"/>
  <c r="AF70" i="32"/>
  <c r="AF103" i="32"/>
  <c r="AE95" i="32"/>
  <c r="AC80" i="32"/>
  <c r="AE64" i="32"/>
  <c r="AD95" i="32"/>
  <c r="AD102" i="32"/>
  <c r="AB74" i="32"/>
  <c r="AF79" i="32"/>
  <c r="AG102" i="32"/>
  <c r="AG75" i="32"/>
  <c r="AH34" i="32"/>
  <c r="AD82" i="32"/>
  <c r="AH26" i="32"/>
  <c r="AI72" i="32"/>
  <c r="AI32" i="32"/>
  <c r="AD111" i="32"/>
  <c r="AH72" i="32"/>
  <c r="AI67" i="32"/>
  <c r="AI25" i="32"/>
  <c r="AD64" i="32"/>
  <c r="AF61" i="32"/>
  <c r="AC30" i="32"/>
  <c r="AC83" i="32"/>
  <c r="AB113" i="32"/>
  <c r="AE30" i="32"/>
  <c r="AI58" i="32"/>
  <c r="AB71" i="32"/>
  <c r="AH56" i="32"/>
  <c r="AI110" i="32"/>
  <c r="AH31" i="32"/>
  <c r="AC59" i="32"/>
  <c r="AB38" i="32"/>
  <c r="AG37" i="32"/>
  <c r="AC46" i="32"/>
  <c r="AF41" i="32"/>
  <c r="AE74" i="32"/>
  <c r="AB54" i="32"/>
  <c r="AC27" i="32"/>
  <c r="AD57" i="32"/>
  <c r="AC110" i="32"/>
  <c r="AB62" i="32"/>
  <c r="AC73" i="32"/>
  <c r="AG56" i="32"/>
  <c r="AF113" i="32"/>
  <c r="AG63" i="32"/>
  <c r="AC84" i="32"/>
  <c r="AC70" i="32"/>
  <c r="AC99" i="32"/>
  <c r="AB63" i="32"/>
  <c r="AE67" i="32"/>
  <c r="AB110" i="32"/>
  <c r="AB37" i="32"/>
  <c r="AB50" i="32"/>
  <c r="AB89" i="32"/>
  <c r="AB43" i="32"/>
  <c r="AD34" i="32"/>
  <c r="AE33" i="32"/>
  <c r="AB103" i="32"/>
  <c r="AE36" i="32"/>
  <c r="AF71" i="32"/>
  <c r="AH41" i="32"/>
  <c r="AI75" i="32"/>
  <c r="AG35" i="32"/>
  <c r="AH29" i="32"/>
  <c r="AI105" i="32"/>
  <c r="AD93" i="32"/>
  <c r="AF25" i="32"/>
  <c r="AG43" i="32"/>
  <c r="AH50" i="32"/>
  <c r="AI82" i="32"/>
  <c r="AH96" i="32"/>
  <c r="AH45" i="32"/>
  <c r="AI27" i="32"/>
  <c r="AH111" i="32"/>
  <c r="AI81" i="32"/>
  <c r="AH97" i="32"/>
  <c r="AI73" i="32"/>
  <c r="AG110" i="32"/>
  <c r="AI36" i="32"/>
  <c r="AC37" i="32"/>
  <c r="AD92" i="32"/>
  <c r="AC104" i="32"/>
  <c r="AB90" i="32"/>
  <c r="AF63" i="32"/>
  <c r="AG52" i="32"/>
  <c r="AG55" i="32"/>
  <c r="AG78" i="32"/>
  <c r="AC60" i="32"/>
  <c r="AB91" i="32"/>
  <c r="AD105" i="32"/>
  <c r="AC68" i="32"/>
  <c r="AB69" i="32"/>
  <c r="AE42" i="32"/>
  <c r="AF24" i="32"/>
  <c r="AE82" i="32"/>
  <c r="AF57" i="32"/>
  <c r="AI55" i="32"/>
  <c r="AH79" i="32"/>
  <c r="AF83" i="32"/>
  <c r="AI76" i="32"/>
  <c r="AI54" i="32"/>
  <c r="AG89" i="32"/>
  <c r="AC76" i="32"/>
  <c r="AE26" i="32"/>
  <c r="AG39" i="32"/>
  <c r="AE37" i="32"/>
  <c r="AE55" i="32"/>
  <c r="AG99" i="32"/>
  <c r="AF92" i="32"/>
  <c r="AH46" i="32"/>
  <c r="AI103" i="32"/>
  <c r="AE32" i="32"/>
  <c r="AF101" i="32"/>
  <c r="AE71" i="32"/>
  <c r="AC29" i="32"/>
  <c r="AC72" i="32"/>
  <c r="AH69" i="32"/>
  <c r="AF30" i="32"/>
  <c r="AF78" i="32"/>
  <c r="AH55" i="32"/>
  <c r="AI24" i="32"/>
  <c r="AE24" i="32"/>
  <c r="AI56" i="32"/>
  <c r="AH51" i="32"/>
  <c r="AB44" i="32"/>
  <c r="I130" i="32"/>
  <c r="I131" i="32" s="1"/>
  <c r="U48" i="32"/>
  <c r="U87" i="32"/>
  <c r="U115" i="32"/>
  <c r="U108" i="32"/>
  <c r="T87" i="32"/>
  <c r="T108" i="32"/>
  <c r="L108" i="32"/>
  <c r="AE108" i="32" s="1"/>
  <c r="L87" i="32"/>
  <c r="AE87" i="32" s="1"/>
  <c r="L48" i="32"/>
  <c r="AE48" i="32" s="1"/>
</calcChain>
</file>

<file path=xl/sharedStrings.xml><?xml version="1.0" encoding="utf-8"?>
<sst xmlns="http://schemas.openxmlformats.org/spreadsheetml/2006/main" count="353" uniqueCount="221">
  <si>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</si>
  <si>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</si>
  <si>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</si>
  <si>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</si>
  <si>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</si>
  <si>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</si>
  <si>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</si>
  <si>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</si>
  <si>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</si>
  <si>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</si>
  <si>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</si>
  <si>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</si>
  <si>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</si>
  <si>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</si>
  <si>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</si>
  <si>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</si>
  <si>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</si>
  <si>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</si>
  <si>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</si>
  <si>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</si>
  <si>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</si>
  <si>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</si>
  <si>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</si>
  <si>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</si>
  <si>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</si>
  <si>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</si>
  <si>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</si>
  <si>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</si>
  <si>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</si>
  <si>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</si>
  <si>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</si>
  <si>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</si>
  <si>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</si>
  <si>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</si>
  <si>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</si>
  <si>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</si>
  <si>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</si>
  <si>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</si>
  <si>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</si>
  <si>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</si>
  <si>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</si>
  <si>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</si>
  <si>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</si>
  <si>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</si>
  <si>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</si>
  <si>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</si>
  <si>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</si>
  <si>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</si>
  <si>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</si>
  <si>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</si>
  <si>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</si>
  <si>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</si>
  <si>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</si>
  <si>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</si>
  <si>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</si>
  <si>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</si>
  <si>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</si>
  <si>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</si>
  <si>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</si>
  <si>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</si>
  <si>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</si>
  <si>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</si>
  <si>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</si>
  <si>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</si>
  <si>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</si>
  <si>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</si>
  <si>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</si>
  <si>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</si>
  <si>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</si>
  <si>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</si>
  <si>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</si>
  <si>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</si>
  <si>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</si>
  <si>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</si>
  <si>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</si>
  <si>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</si>
  <si>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</si>
  <si>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</si>
  <si>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</si>
  <si>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</si>
  <si>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</si>
  <si>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</si>
  <si>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</si>
  <si>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</si>
  <si>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</si>
  <si>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</si>
  <si>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</si>
  <si>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</si>
  <si>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</si>
  <si>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</si>
  <si>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</si>
  <si>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</si>
  <si>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</si>
  <si>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</si>
  <si>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</si>
  <si>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</si>
  <si>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</si>
  <si>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</si>
  <si>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</si>
  <si>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</si>
  <si>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</si>
  <si>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</si>
  <si>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</si>
  <si>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</si>
  <si>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</si>
  <si>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</si>
  <si>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</si>
  <si>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</si>
  <si>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</si>
  <si>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</si>
  <si>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</si>
  <si>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</si>
  <si>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</si>
  <si>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</si>
  <si>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</si>
  <si>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</si>
  <si>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</si>
  <si>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</si>
  <si>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</si>
  <si>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</si>
  <si>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</si>
  <si>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</si>
  <si>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</si>
  <si>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</si>
  <si>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</si>
  <si>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</si>
  <si>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HO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</si>
  <si>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</si>
  <si>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</si>
  <si>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</si>
  <si>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</si>
  <si>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</si>
  <si>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</si>
  <si>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</si>
  <si>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</si>
  <si>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</si>
  <si>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</si>
  <si>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</si>
  <si>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</si>
  <si>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</si>
  <si>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</si>
  <si>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</si>
  <si>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</si>
  <si>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</si>
  <si>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</si>
  <si>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</si>
  <si>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</si>
  <si>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</si>
  <si>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</si>
  <si>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</si>
  <si>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</si>
  <si>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</si>
  <si>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</si>
  <si>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</si>
  <si>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</si>
  <si>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</si>
  <si>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</si>
  <si>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</si>
  <si>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</si>
  <si>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UR</t>
  </si>
  <si>
    <t>UR_BU</t>
  </si>
  <si>
    <t>UR_LR</t>
  </si>
  <si>
    <t>UR_M</t>
  </si>
  <si>
    <t>OS_CO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</si>
  <si>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</si>
  <si>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</si>
  <si>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</si>
  <si>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</si>
  <si>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</si>
  <si>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</si>
  <si>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</si>
  <si>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</si>
  <si>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</si>
  <si>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</si>
  <si>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</si>
  <si>
    <t>TRANSDEV All</t>
  </si>
  <si>
    <t>UR_MM</t>
  </si>
  <si>
    <t>UR_CY</t>
  </si>
  <si>
    <t>UR_CA</t>
  </si>
  <si>
    <t>UR_BO</t>
  </si>
  <si>
    <t>UR_input</t>
  </si>
  <si>
    <t>SU</t>
  </si>
  <si>
    <t>SU_B</t>
  </si>
  <si>
    <t>SU_H</t>
  </si>
  <si>
    <t>SU_MM</t>
  </si>
  <si>
    <t>SU_input</t>
  </si>
  <si>
    <t>SO</t>
  </si>
  <si>
    <t>SD_PA</t>
  </si>
  <si>
    <t>SD_MM</t>
  </si>
  <si>
    <t>SO_input</t>
  </si>
  <si>
    <t>RC</t>
  </si>
  <si>
    <t>RC_S</t>
  </si>
  <si>
    <t>RC_RL</t>
  </si>
  <si>
    <t>RC_CH</t>
  </si>
  <si>
    <t>RC_SC</t>
  </si>
  <si>
    <t>RC_SHC</t>
  </si>
  <si>
    <t>RC_input</t>
  </si>
  <si>
    <t>NIC</t>
  </si>
  <si>
    <t>HRAIL</t>
  </si>
  <si>
    <t>RH</t>
  </si>
  <si>
    <t>NIH</t>
  </si>
  <si>
    <t>HRAIL_input</t>
  </si>
  <si>
    <t>OS_MA</t>
  </si>
  <si>
    <t>FE</t>
  </si>
  <si>
    <t>CO</t>
  </si>
  <si>
    <t>CO_SR</t>
  </si>
  <si>
    <t>CO_SHR</t>
  </si>
  <si>
    <t>CO_input</t>
  </si>
  <si>
    <t>AT</t>
  </si>
  <si>
    <t>AT_AS</t>
  </si>
  <si>
    <t>AT_LS</t>
  </si>
  <si>
    <t>AT_input</t>
  </si>
  <si>
    <t>OS_AS</t>
  </si>
  <si>
    <t>OS</t>
  </si>
  <si>
    <t>OS_IS</t>
  </si>
  <si>
    <t>OS_DS</t>
  </si>
  <si>
    <t>OS_D</t>
  </si>
  <si>
    <t>OS_CC</t>
  </si>
  <si>
    <t>OS_TA</t>
  </si>
  <si>
    <t>OS_PR</t>
  </si>
  <si>
    <t>OS_input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</si>
</sst>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0.0%"/>
    <numFmt numFmtId="174" formatCode="&quot;$&quot;\ \ \ #,##0;\(&quot;$&quot;\ \ \ #,##0\)"/>
    <numFmt numFmtId="175" formatCode="_-* #,##0.000\ [$€]_-;\-* #,##0.000\ [$€]_-;_-* &quot;-&quot;??\ [$€]_-;_-@_-"/>
    <numFmt numFmtId="176" formatCode="#,##0;\(#,##0\)"/>
    <numFmt numFmtId="177" formatCode="#,##0.0;\(#,##0.0\);\-"/>
    <numFmt numFmtId="178" formatCode="_(* #,##0_);_(* \(#,##0\);_(* &quot;&quot;\ \-\ &quot;&quot;_);_(@_)"/>
    <numFmt numFmtId="179" formatCode="_(&quot;€&quot;* #,##0.00_);_(&quot;€&quot;* \(#,##0.00\);_(&quot;€&quot;* &quot;-&quot;??_);_(@_)"/>
    <numFmt numFmtId="180" formatCode="_-* #,##0.00\ [$€]_-;\-* #,##0.00\ [$€]_-;_-* &quot;-&quot;??\ [$€]_-;_-@_-"/>
    <numFmt numFmtId="181" formatCode="_(* #,##0.0_%_);_(* \(#,##0.0_%\);_(* &quot; - &quot;_%_);_(@_)"/>
    <numFmt numFmtId="182" formatCode="_(\ #,##0.0_%_);_(\ \(#,##0.0_%\);_(\ &quot; - &quot;_%_);_(@_)"/>
    <numFmt numFmtId="183" formatCode="_(* #,##0.0%_);_(* \(#,##0.0%\);_(* &quot; - &quot;\%_);_(@_)"/>
    <numFmt numFmtId="184" formatCode="_(\ #,##0.0%_);_(\ \(#,##0.0%\);_(\ &quot; - &quot;\%_);_(@_)"/>
    <numFmt numFmtId="185" formatCode="_(* #,##0_);_(* \(#,##0\);_(* &quot; - &quot;_);_(@_)"/>
    <numFmt numFmtId="186" formatCode="#,##0_);\(#,##0\);&quot; - &quot;_);@_)"/>
    <numFmt numFmtId="187" formatCode="_(* #,##0.0_);_(* \(#,##0.0\);_(* &quot; - &quot;_);_(@_)"/>
    <numFmt numFmtId="188" formatCode="\ #,##0.0_);\(#,##0.0\);&quot; - &quot;_);@_)"/>
    <numFmt numFmtId="189" formatCode="_(* #,##0.00_);_(* \(#,##0.00\);_(* &quot; - &quot;_);_(@_)"/>
    <numFmt numFmtId="190" formatCode="\ #,##0.00_);\(#,##0.00\);&quot; - &quot;_);@_)"/>
    <numFmt numFmtId="191" formatCode="_(* #,##0.000_);_(* \(#,##0.000\);_(* &quot; - &quot;_);_(@_)"/>
    <numFmt numFmtId="192" formatCode="\ #,##0.000_);\(#,##0.000\);&quot; - &quot;_);@_)"/>
    <numFmt numFmtId="193" formatCode="#,##0;\(#,##0\);&quot;-&quot;"/>
    <numFmt numFmtId="194" formatCode="d\ mmmm\ yyyy"/>
    <numFmt numFmtId="195" formatCode="#,##0;[Red]\(#,##0\);0"/>
    <numFmt numFmtId="196" formatCode="#,##0.00;\(#,##0.00\)"/>
    <numFmt numFmtId="197" formatCode="###0.0%;\(###0.0%\)"/>
    <numFmt numFmtId="198" formatCode="#,##0.0_)\x;\(#,##0.0\)\x;#,##0.0_)\x;@_)_x"/>
    <numFmt numFmtId="199" formatCode="_ * #,##0_)\ [$€-1]_ ;_ * \(#,##0\)\ [$€-1]_ ;_ * &quot;-&quot;??_)\ [$€-1]_ "/>
    <numFmt numFmtId="200" formatCode="[$-409]d/m/yy\ h:mm\ AM/PM;@"/>
    <numFmt numFmtId="201" formatCode="0.00;[Red]0.00"/>
    <numFmt numFmtId="202" formatCode="_(* #,##0_);_(* \(#,##0\);_(* &quot;-&quot;_);@_)"/>
    <numFmt numFmtId="203" formatCode="0%_);\(0%\)"/>
    <numFmt numFmtId="204" formatCode="#,##0.0&quot; &quot;;\(#,##0.0\)&quot;&quot;;&quot;- &quot;"/>
    <numFmt numFmtId="205" formatCode="\+\ @"/>
    <numFmt numFmtId="206" formatCode="\-\ @"/>
  </numFmts>
  <fonts count="15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36"/>
      <color indexed="9"/>
      <name val="Calibri"/>
      <family val="2"/>
      <scheme val="minor"/>
    </font>
    <font>
      <sz val="36"/>
      <color indexed="9"/>
      <name val="Calibri"/>
      <family val="2"/>
      <scheme val="minor"/>
    </font>
    <font>
      <i/>
      <sz val="36"/>
      <color indexed="9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theme="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8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9" fontId="24" fillId="27" borderId="0" applyNumberFormat="0" applyBorder="0">
      <alignment horizontal="right" vertical="center"/>
      <protection locked="0"/>
    </xf>
    <xf numFmtId="170" fontId="24" fillId="28" borderId="0" applyNumberFormat="0" applyBorder="0">
      <alignment horizontal="right" vertical="center"/>
      <protection locked="0"/>
    </xf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1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2" fontId="31" fillId="29" borderId="0" applyNumberFormat="0" applyBorder="0">
      <alignment horizontal="left" vertical="center"/>
      <protection locked="0"/>
    </xf>
    <xf numFmtId="172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4" fontId="45" fillId="0" borderId="0" applyAlignment="0"/>
    <xf numFmtId="10" fontId="46" fillId="0" borderId="0"/>
    <xf numFmtId="9" fontId="47" fillId="0" borderId="0"/>
    <xf numFmtId="175" fontId="47" fillId="0" borderId="0"/>
    <xf numFmtId="10" fontId="47" fillId="0" borderId="0"/>
    <xf numFmtId="175" fontId="47" fillId="0" borderId="0" applyFont="0" applyFill="0" applyBorder="0" applyAlignment="0" applyProtection="0"/>
    <xf numFmtId="175" fontId="47" fillId="0" borderId="0" applyFont="0" applyFill="0" applyBorder="0" applyAlignment="0" applyProtection="0"/>
    <xf numFmtId="176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5" fontId="48" fillId="0" borderId="35" applyFont="0" applyFill="0" applyBorder="0" applyAlignment="0" applyProtection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5" fontId="50" fillId="0" borderId="36" applyFont="0">
      <alignment horizontal="centerContinuous"/>
    </xf>
    <xf numFmtId="0" fontId="33" fillId="0" borderId="0" applyNumberFormat="0" applyFill="0" applyBorder="0" applyAlignment="0" applyProtection="0"/>
    <xf numFmtId="175" fontId="32" fillId="0" borderId="0"/>
    <xf numFmtId="9" fontId="46" fillId="0" borderId="0"/>
    <xf numFmtId="175" fontId="46" fillId="0" borderId="0"/>
    <xf numFmtId="175" fontId="46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175" fontId="46" fillId="0" borderId="0"/>
    <xf numFmtId="175" fontId="46" fillId="0" borderId="0"/>
    <xf numFmtId="175" fontId="1" fillId="0" borderId="0"/>
    <xf numFmtId="175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5" fontId="52" fillId="0" borderId="0" applyNumberFormat="0" applyFill="0" applyBorder="0" applyAlignment="0" applyProtection="0"/>
    <xf numFmtId="175" fontId="47" fillId="0" borderId="0"/>
    <xf numFmtId="175" fontId="50" fillId="0" borderId="36" applyNumberFormat="0" applyFill="0" applyAlignment="0" applyProtection="0"/>
    <xf numFmtId="175" fontId="51" fillId="0" borderId="36" applyNumberFormat="0" applyFont="0" applyFill="0" applyAlignment="0" applyProtection="0"/>
    <xf numFmtId="175" fontId="32" fillId="0" borderId="37"/>
    <xf numFmtId="175" fontId="47" fillId="0" borderId="36">
      <alignment horizontal="centerContinuous"/>
    </xf>
    <xf numFmtId="175" fontId="1" fillId="0" borderId="38" applyBorder="0">
      <alignment horizontal="centerContinuous"/>
    </xf>
    <xf numFmtId="3" fontId="53" fillId="0" borderId="39"/>
    <xf numFmtId="0" fontId="1" fillId="0" borderId="40" applyBorder="0">
      <alignment horizontal="center" vertical="center"/>
    </xf>
    <xf numFmtId="175" fontId="47" fillId="0" borderId="0" applyFont="0" applyFill="0" applyBorder="0" applyAlignment="0" applyProtection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175" fontId="46" fillId="0" borderId="0"/>
    <xf numFmtId="175" fontId="46" fillId="0" borderId="0"/>
    <xf numFmtId="0" fontId="46" fillId="0" borderId="0"/>
    <xf numFmtId="175" fontId="54" fillId="0" borderId="0"/>
    <xf numFmtId="175" fontId="54" fillId="0" borderId="0"/>
    <xf numFmtId="0" fontId="54" fillId="0" borderId="0"/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5" fontId="50" fillId="0" borderId="0"/>
    <xf numFmtId="0" fontId="8" fillId="11" borderId="41" applyNumberFormat="0" applyAlignment="0" applyProtection="0"/>
    <xf numFmtId="0" fontId="8" fillId="11" borderId="41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7" fontId="1" fillId="0" borderId="0">
      <alignment horizontal="right" wrapText="1"/>
    </xf>
    <xf numFmtId="175" fontId="47" fillId="0" borderId="0"/>
    <xf numFmtId="175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175" fontId="56" fillId="0" borderId="0" applyFont="0" applyFill="0" applyBorder="0" applyAlignment="0" applyProtection="0"/>
    <xf numFmtId="175" fontId="56" fillId="0" borderId="0" applyFont="0" applyFill="0" applyBorder="0" applyAlignment="0" applyProtection="0"/>
    <xf numFmtId="49" fontId="57" fillId="44" borderId="0">
      <alignment vertical="center"/>
    </xf>
    <xf numFmtId="175" fontId="47" fillId="0" borderId="0" applyFont="0" applyFill="0" applyBorder="0" applyAlignment="0" applyProtection="0"/>
    <xf numFmtId="178" fontId="35" fillId="45" borderId="0">
      <alignment horizontal="right"/>
    </xf>
    <xf numFmtId="165" fontId="1" fillId="0" borderId="0" applyFont="0" applyFill="0" applyBorder="0" applyAlignment="0" applyProtection="0"/>
    <xf numFmtId="0" fontId="21" fillId="6" borderId="41" applyNumberFormat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1" fontId="59" fillId="0" borderId="0">
      <alignment horizontal="right" vertical="top"/>
    </xf>
    <xf numFmtId="182" fontId="60" fillId="0" borderId="0" applyBorder="0">
      <alignment horizontal="right" vertical="top"/>
    </xf>
    <xf numFmtId="183" fontId="61" fillId="0" borderId="0">
      <alignment horizontal="right" vertical="top"/>
    </xf>
    <xf numFmtId="184" fontId="58" fillId="0" borderId="0" applyBorder="0">
      <alignment horizontal="right" vertical="top"/>
    </xf>
    <xf numFmtId="183" fontId="59" fillId="0" borderId="0">
      <alignment horizontal="right" vertical="top"/>
    </xf>
    <xf numFmtId="184" fontId="60" fillId="0" borderId="0" applyBorder="0">
      <alignment horizontal="right" vertical="top"/>
    </xf>
    <xf numFmtId="185" fontId="61" fillId="0" borderId="0" applyFill="0" applyBorder="0">
      <alignment horizontal="right" vertical="top"/>
    </xf>
    <xf numFmtId="186" fontId="58" fillId="0" borderId="0" applyFill="0" applyBorder="0">
      <alignment horizontal="right" vertical="top"/>
    </xf>
    <xf numFmtId="187" fontId="61" fillId="0" borderId="0" applyFill="0" applyBorder="0">
      <alignment horizontal="right" vertical="top"/>
    </xf>
    <xf numFmtId="188" fontId="58" fillId="0" borderId="0" applyFill="0" applyBorder="0">
      <alignment horizontal="right" vertical="top"/>
    </xf>
    <xf numFmtId="189" fontId="61" fillId="0" borderId="0" applyFill="0" applyBorder="0">
      <alignment horizontal="right" vertical="top"/>
    </xf>
    <xf numFmtId="190" fontId="58" fillId="0" borderId="0" applyFill="0" applyBorder="0">
      <alignment horizontal="right" vertical="top"/>
    </xf>
    <xf numFmtId="191" fontId="61" fillId="0" borderId="0" applyFill="0" applyBorder="0">
      <alignment horizontal="right" vertical="top"/>
    </xf>
    <xf numFmtId="192" fontId="58" fillId="0" borderId="0" applyFill="0" applyBorder="0">
      <alignment horizontal="right" vertical="top"/>
    </xf>
    <xf numFmtId="0" fontId="62" fillId="0" borderId="0">
      <alignment horizontal="center" wrapText="1"/>
    </xf>
    <xf numFmtId="175" fontId="63" fillId="0" borderId="43">
      <alignment horizontal="right"/>
    </xf>
    <xf numFmtId="175" fontId="62" fillId="0" borderId="0">
      <alignment horizontal="center" wrapText="1"/>
    </xf>
    <xf numFmtId="0" fontId="62" fillId="0" borderId="0">
      <alignment horizontal="center" wrapText="1"/>
    </xf>
    <xf numFmtId="193" fontId="64" fillId="0" borderId="43">
      <alignment horizontal="left"/>
    </xf>
    <xf numFmtId="0" fontId="65" fillId="0" borderId="0">
      <alignment vertical="center"/>
    </xf>
    <xf numFmtId="194" fontId="65" fillId="0" borderId="0">
      <alignment horizontal="left" vertical="center"/>
    </xf>
    <xf numFmtId="195" fontId="66" fillId="0" borderId="0">
      <alignment vertical="center"/>
    </xf>
    <xf numFmtId="0" fontId="67" fillId="0" borderId="0">
      <alignment vertical="center"/>
    </xf>
    <xf numFmtId="193" fontId="64" fillId="0" borderId="43">
      <alignment horizontal="left"/>
    </xf>
    <xf numFmtId="193" fontId="68" fillId="0" borderId="0" applyFill="0" applyBorder="0">
      <alignment vertical="top"/>
    </xf>
    <xf numFmtId="193" fontId="69" fillId="0" borderId="0" applyFill="0" applyBorder="0" applyProtection="0">
      <alignment vertical="top"/>
    </xf>
    <xf numFmtId="193" fontId="70" fillId="0" borderId="0">
      <alignment vertical="top"/>
    </xf>
    <xf numFmtId="193" fontId="58" fillId="0" borderId="0">
      <alignment horizontal="center"/>
    </xf>
    <xf numFmtId="193" fontId="71" fillId="0" borderId="43">
      <alignment horizontal="center"/>
    </xf>
    <xf numFmtId="164" fontId="61" fillId="0" borderId="0" applyFill="0" applyBorder="0" applyAlignment="0" applyProtection="0">
      <alignment horizontal="right" vertical="top"/>
    </xf>
    <xf numFmtId="164" fontId="58" fillId="0" borderId="43" applyFill="0" applyBorder="0" applyProtection="0">
      <alignment horizontal="right" vertical="top"/>
    </xf>
    <xf numFmtId="193" fontId="43" fillId="0" borderId="0"/>
    <xf numFmtId="193" fontId="72" fillId="0" borderId="0"/>
    <xf numFmtId="193" fontId="73" fillId="0" borderId="0"/>
    <xf numFmtId="193" fontId="1" fillId="0" borderId="0"/>
    <xf numFmtId="193" fontId="74" fillId="0" borderId="0">
      <alignment horizontal="left" vertical="top"/>
    </xf>
    <xf numFmtId="0" fontId="61" fillId="0" borderId="0" applyFill="0" applyBorder="0">
      <alignment horizontal="left" vertical="top"/>
    </xf>
    <xf numFmtId="175" fontId="58" fillId="0" borderId="0" applyFill="0" applyBorder="0">
      <alignment horizontal="left" vertical="top" wrapText="1"/>
    </xf>
    <xf numFmtId="175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5" fontId="77" fillId="0" borderId="0" applyNumberFormat="0" applyFill="0" applyBorder="0" applyAlignment="0" applyProtection="0"/>
    <xf numFmtId="175" fontId="57" fillId="46" borderId="0">
      <alignment horizontal="right" vertical="center"/>
    </xf>
    <xf numFmtId="0" fontId="1" fillId="47" borderId="0"/>
    <xf numFmtId="196" fontId="78" fillId="0" borderId="0"/>
    <xf numFmtId="197" fontId="78" fillId="0" borderId="0"/>
    <xf numFmtId="0" fontId="12" fillId="7" borderId="0" applyNumberFormat="0" applyBorder="0" applyAlignment="0" applyProtection="0"/>
    <xf numFmtId="175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5" fontId="80" fillId="0" borderId="0" applyNumberFormat="0" applyFill="0" applyBorder="0" applyAlignment="0" applyProtection="0"/>
    <xf numFmtId="0" fontId="21" fillId="11" borderId="41" applyNumberFormat="0" applyAlignment="0" applyProtection="0"/>
    <xf numFmtId="175" fontId="46" fillId="0" borderId="0" applyNumberFormat="0" applyFill="0" applyBorder="0" applyAlignment="0">
      <protection locked="0"/>
    </xf>
    <xf numFmtId="175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5" fontId="86" fillId="0" borderId="0"/>
    <xf numFmtId="175" fontId="86" fillId="0" borderId="0"/>
    <xf numFmtId="175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5" fontId="57" fillId="48" borderId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79" fontId="88" fillId="0" borderId="0" applyFont="0" applyFill="0" applyBorder="0" applyAlignment="0" applyProtection="0"/>
    <xf numFmtId="198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5" fontId="32" fillId="0" borderId="0">
      <alignment horizontal="left"/>
    </xf>
    <xf numFmtId="0" fontId="91" fillId="0" borderId="0"/>
    <xf numFmtId="0" fontId="91" fillId="0" borderId="0"/>
    <xf numFmtId="175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99" fontId="1" fillId="0" borderId="0"/>
    <xf numFmtId="0" fontId="1" fillId="0" borderId="0"/>
    <xf numFmtId="0" fontId="4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0" fontId="1" fillId="0" borderId="0"/>
    <xf numFmtId="175" fontId="4" fillId="0" borderId="0"/>
    <xf numFmtId="175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4" fillId="8" borderId="42" applyNumberFormat="0" applyFont="0" applyAlignment="0" applyProtection="0"/>
    <xf numFmtId="175" fontId="93" fillId="45" borderId="0">
      <alignment horizontal="left" vertical="top" wrapText="1"/>
    </xf>
    <xf numFmtId="0" fontId="28" fillId="4" borderId="44" applyNumberFormat="0" applyAlignment="0" applyProtection="0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49" fontId="94" fillId="0" borderId="36" applyFill="0" applyProtection="0">
      <alignment vertical="center"/>
    </xf>
    <xf numFmtId="175" fontId="32" fillId="0" borderId="0"/>
    <xf numFmtId="175" fontId="95" fillId="0" borderId="0"/>
    <xf numFmtId="9" fontId="51" fillId="0" borderId="0" applyFont="0" applyFill="0" applyBorder="0" applyAlignment="0" applyProtection="0"/>
    <xf numFmtId="175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98" fillId="0" borderId="36"/>
    <xf numFmtId="10" fontId="32" fillId="0" borderId="3"/>
    <xf numFmtId="10" fontId="1" fillId="0" borderId="0"/>
    <xf numFmtId="2" fontId="47" fillId="0" borderId="0">
      <alignment horizontal="right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0"/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99" fillId="0" borderId="0">
      <alignment horizontal="center"/>
    </xf>
    <xf numFmtId="175" fontId="99" fillId="0" borderId="0">
      <alignment horizontal="center"/>
    </xf>
    <xf numFmtId="0" fontId="99" fillId="0" borderId="0">
      <alignment horizontal="center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10" fillId="46" borderId="46" applyNumberFormat="0" applyProtection="0">
      <alignment horizontal="left" vertical="center" indent="1"/>
    </xf>
    <xf numFmtId="201" fontId="100" fillId="49" borderId="46" applyProtection="0">
      <alignment horizontal="right" vertical="center"/>
    </xf>
    <xf numFmtId="0" fontId="12" fillId="7" borderId="0" applyNumberFormat="0" applyBorder="0" applyAlignment="0" applyProtection="0"/>
    <xf numFmtId="175" fontId="101" fillId="47" borderId="0" applyNumberFormat="0" applyFont="0" applyBorder="0" applyAlignment="0" applyProtection="0"/>
    <xf numFmtId="175" fontId="57" fillId="44" borderId="0">
      <alignment horizontal="right" vertical="center"/>
    </xf>
    <xf numFmtId="202" fontId="102" fillId="0" borderId="0" applyNumberFormat="0" applyFill="0" applyBorder="0" applyAlignment="0" applyProtection="0"/>
    <xf numFmtId="202" fontId="103" fillId="50" borderId="0" applyNumberFormat="0" applyFont="0" applyBorder="0" applyAlignment="0" applyProtection="0"/>
    <xf numFmtId="0" fontId="103" fillId="0" borderId="0" applyFill="0" applyBorder="0" applyProtection="0"/>
    <xf numFmtId="202" fontId="103" fillId="31" borderId="0" applyNumberFormat="0" applyFont="0" applyBorder="0" applyAlignment="0" applyProtection="0"/>
    <xf numFmtId="203" fontId="103" fillId="0" borderId="0" applyFill="0" applyBorder="0" applyAlignment="0" applyProtection="0"/>
    <xf numFmtId="202" fontId="104" fillId="0" borderId="0" applyNumberFormat="0" applyAlignment="0" applyProtection="0"/>
    <xf numFmtId="0" fontId="105" fillId="0" borderId="47" applyProtection="0">
      <alignment horizontal="right" wrapText="1"/>
    </xf>
    <xf numFmtId="0" fontId="105" fillId="0" borderId="0" applyProtection="0">
      <alignment wrapText="1"/>
    </xf>
    <xf numFmtId="202" fontId="106" fillId="0" borderId="48" applyNumberFormat="0" applyFill="0" applyAlignment="0" applyProtection="0"/>
    <xf numFmtId="0" fontId="107" fillId="0" borderId="0" applyAlignment="0" applyProtection="0"/>
    <xf numFmtId="202" fontId="106" fillId="0" borderId="49" applyNumberFormat="0" applyFill="0" applyAlignment="0" applyProtection="0"/>
    <xf numFmtId="0" fontId="28" fillId="11" borderId="4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0" fontId="1" fillId="0" borderId="0"/>
    <xf numFmtId="0" fontId="100" fillId="0" borderId="0" applyNumberFormat="0" applyBorder="0" applyAlignment="0"/>
    <xf numFmtId="175" fontId="100" fillId="0" borderId="0" applyNumberFormat="0" applyBorder="0" applyAlignment="0"/>
    <xf numFmtId="0" fontId="108" fillId="0" borderId="0" applyNumberFormat="0" applyBorder="0" applyAlignment="0"/>
    <xf numFmtId="175" fontId="108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10" fillId="0" borderId="0" applyNumberFormat="0" applyBorder="0" applyAlignment="0"/>
    <xf numFmtId="175" fontId="110" fillId="0" borderId="0" applyNumberFormat="0" applyBorder="0" applyAlignment="0"/>
    <xf numFmtId="0" fontId="111" fillId="7" borderId="0" applyNumberFormat="0" applyBorder="0" applyAlignment="0"/>
    <xf numFmtId="175" fontId="111" fillId="7" borderId="0" applyNumberFormat="0" applyBorder="0" applyAlignment="0"/>
    <xf numFmtId="0" fontId="112" fillId="7" borderId="0" applyNumberFormat="0" applyBorder="0" applyAlignment="0"/>
    <xf numFmtId="175" fontId="112" fillId="7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114" fillId="45" borderId="0"/>
    <xf numFmtId="175" fontId="35" fillId="45" borderId="0">
      <alignment horizontal="left"/>
    </xf>
    <xf numFmtId="175" fontId="35" fillId="45" borderId="0">
      <alignment horizontal="left" indent="1"/>
    </xf>
    <xf numFmtId="175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5" fontId="115" fillId="0" borderId="50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5" fontId="51" fillId="0" borderId="51" applyNumberFormat="0" applyFont="0" applyFill="0" applyAlignment="0" applyProtection="0"/>
    <xf numFmtId="175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36">
      <alignment horizontal="center"/>
    </xf>
    <xf numFmtId="204" fontId="47" fillId="0" borderId="0" applyFont="0" applyFill="0" applyBorder="0" applyAlignment="0" applyProtection="0">
      <alignment horizontal="right" vertical="center"/>
    </xf>
    <xf numFmtId="175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0"/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99" fillId="0" borderId="0">
      <alignment horizontal="center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"/>
    </xf>
  </cellStyleXfs>
  <cellXfs count="220">
    <xf numFmtId="0" fontId="0" fillId="0" borderId="0" xfId="0"/>
    <xf numFmtId="0" fontId="37" fillId="33" borderId="3" xfId="0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Font="1" applyFill="1"/>
    <xf numFmtId="0" fontId="3" fillId="8" borderId="0" xfId="0" applyFont="1" applyFill="1"/>
    <xf numFmtId="0" fontId="3" fillId="0" borderId="0" xfId="0" applyFont="1"/>
    <xf numFmtId="0" fontId="39" fillId="0" borderId="0" xfId="0" applyFont="1"/>
    <xf numFmtId="0" fontId="1" fillId="0" borderId="0" xfId="0" applyFont="1"/>
    <xf numFmtId="0" fontId="40" fillId="39" borderId="26" xfId="0" applyFont="1" applyFill="1" applyBorder="1" applyAlignment="1">
      <alignment horizontal="left"/>
    </xf>
    <xf numFmtId="0" fontId="36" fillId="39" borderId="27" xfId="0" applyFont="1" applyFill="1" applyBorder="1"/>
    <xf numFmtId="0" fontId="41" fillId="31" borderId="28" xfId="0" applyFont="1" applyFill="1" applyBorder="1"/>
    <xf numFmtId="0" fontId="41" fillId="0" borderId="28" xfId="0" applyFont="1" applyBorder="1"/>
    <xf numFmtId="0" fontId="42" fillId="0" borderId="0" xfId="0" applyFont="1"/>
    <xf numFmtId="0" fontId="41" fillId="0" borderId="30" xfId="0" applyFont="1" applyBorder="1"/>
    <xf numFmtId="0" fontId="0" fillId="34" borderId="3" xfId="0" applyFill="1" applyBorder="1"/>
    <xf numFmtId="0" fontId="0" fillId="0" borderId="3" xfId="0" applyBorder="1"/>
    <xf numFmtId="0" fontId="34" fillId="0" borderId="0" xfId="3" applyFont="1"/>
    <xf numFmtId="0" fontId="10" fillId="12" borderId="20" xfId="0" applyFont="1" applyFill="1" applyBorder="1"/>
    <xf numFmtId="0" fontId="0" fillId="12" borderId="20" xfId="0" applyFill="1" applyBorder="1"/>
    <xf numFmtId="49" fontId="0" fillId="0" borderId="0" xfId="0" applyNumberFormat="1" applyAlignment="1">
      <alignment horizontal="left" indent="1"/>
    </xf>
    <xf numFmtId="0" fontId="120" fillId="32" borderId="0" xfId="1" applyFont="1" applyFill="1" applyAlignment="1">
      <alignment horizontal="center" vertical="center"/>
    </xf>
    <xf numFmtId="0" fontId="120" fillId="32" borderId="0" xfId="1" applyFont="1" applyFill="1" applyAlignment="1" applyProtection="1">
      <alignment horizontal="center" vertical="center"/>
      <protection locked="0"/>
    </xf>
    <xf numFmtId="0" fontId="121" fillId="32" borderId="3" xfId="305" applyFont="1" applyFill="1" applyBorder="1"/>
    <xf numFmtId="0" fontId="122" fillId="32" borderId="3" xfId="305" applyFont="1" applyFill="1" applyBorder="1"/>
    <xf numFmtId="0" fontId="122" fillId="32" borderId="0" xfId="1" applyFont="1" applyFill="1" applyAlignment="1">
      <alignment vertical="center"/>
    </xf>
    <xf numFmtId="0" fontId="123" fillId="32" borderId="0" xfId="1" applyFont="1" applyFill="1" applyAlignment="1">
      <alignment vertical="center"/>
    </xf>
    <xf numFmtId="0" fontId="122" fillId="32" borderId="0" xfId="0" applyFont="1" applyFill="1"/>
    <xf numFmtId="0" fontId="122" fillId="32" borderId="24" xfId="305" applyFont="1" applyFill="1" applyBorder="1"/>
    <xf numFmtId="0" fontId="121" fillId="32" borderId="3" xfId="305" applyFont="1" applyFill="1" applyBorder="1" applyAlignment="1">
      <alignment horizontal="center"/>
    </xf>
    <xf numFmtId="0" fontId="122" fillId="32" borderId="0" xfId="305" applyFont="1" applyFill="1" applyAlignment="1">
      <alignment horizontal="center"/>
    </xf>
    <xf numFmtId="0" fontId="122" fillId="32" borderId="0" xfId="1" applyFont="1" applyFill="1" applyAlignment="1">
      <alignment horizontal="left" vertical="center"/>
    </xf>
    <xf numFmtId="0" fontId="124" fillId="33" borderId="3" xfId="0" applyFont="1" applyFill="1" applyBorder="1" applyAlignment="1">
      <alignment horizontal="center"/>
    </xf>
    <xf numFmtId="0" fontId="122" fillId="32" borderId="3" xfId="305" applyFont="1" applyFill="1" applyBorder="1" applyAlignment="1">
      <alignment horizontal="center"/>
    </xf>
    <xf numFmtId="0" fontId="125" fillId="32" borderId="0" xfId="3" applyFont="1" applyFill="1" applyAlignment="1">
      <alignment vertical="center"/>
    </xf>
    <xf numFmtId="0" fontId="126" fillId="32" borderId="0" xfId="2" applyFont="1" applyFill="1" applyAlignment="1">
      <alignment horizontal="right" vertical="center"/>
    </xf>
    <xf numFmtId="0" fontId="120" fillId="32" borderId="0" xfId="1" applyFont="1" applyFill="1" applyAlignment="1">
      <alignment vertical="center"/>
    </xf>
    <xf numFmtId="0" fontId="122" fillId="32" borderId="0" xfId="2" applyFont="1" applyFill="1" applyAlignment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Alignment="1" applyProtection="1">
      <alignment horizontal="left" vertical="center"/>
      <protection locked="0"/>
    </xf>
    <xf numFmtId="0" fontId="127" fillId="0" borderId="0" xfId="1" applyFont="1" applyAlignment="1" applyProtection="1">
      <alignment vertical="center"/>
      <protection locked="0"/>
    </xf>
    <xf numFmtId="0" fontId="120" fillId="30" borderId="0" xfId="1" applyFont="1" applyFill="1" applyAlignment="1">
      <alignment horizontal="center" vertical="center"/>
    </xf>
    <xf numFmtId="0" fontId="122" fillId="0" borderId="0" xfId="1" applyFont="1" applyAlignment="1">
      <alignment horizontal="left" vertical="center"/>
    </xf>
    <xf numFmtId="0" fontId="122" fillId="0" borderId="0" xfId="1" applyFont="1" applyAlignment="1">
      <alignment vertical="center"/>
    </xf>
    <xf numFmtId="0" fontId="123" fillId="0" borderId="0" xfId="1" applyFont="1" applyAlignment="1">
      <alignment vertical="center"/>
    </xf>
    <xf numFmtId="0" fontId="122" fillId="0" borderId="0" xfId="0" applyFont="1"/>
    <xf numFmtId="0" fontId="120" fillId="0" borderId="0" xfId="1" applyFont="1" applyAlignment="1" applyProtection="1">
      <alignment horizontal="center" vertical="center"/>
      <protection locked="0"/>
    </xf>
    <xf numFmtId="0" fontId="129" fillId="0" borderId="0" xfId="1" applyFont="1" applyAlignment="1">
      <alignment vertical="center"/>
    </xf>
    <xf numFmtId="0" fontId="123" fillId="30" borderId="0" xfId="1" applyFont="1" applyFill="1" applyAlignment="1">
      <alignment vertical="center"/>
    </xf>
    <xf numFmtId="0" fontId="120" fillId="0" borderId="0" xfId="1" applyFont="1" applyAlignment="1">
      <alignment horizontal="center" vertical="center"/>
    </xf>
    <xf numFmtId="0" fontId="127" fillId="0" borderId="15" xfId="1" applyFont="1" applyBorder="1" applyAlignment="1">
      <alignment vertical="center"/>
    </xf>
    <xf numFmtId="0" fontId="127" fillId="37" borderId="0" xfId="1" applyFont="1" applyFill="1" applyAlignment="1">
      <alignment horizontal="left" vertical="center"/>
    </xf>
    <xf numFmtId="166" fontId="129" fillId="0" borderId="22" xfId="0" applyNumberFormat="1" applyFont="1" applyBorder="1" applyAlignment="1">
      <alignment horizontal="right" vertical="center" indent="1"/>
    </xf>
    <xf numFmtId="166" fontId="122" fillId="32" borderId="0" xfId="1" applyNumberFormat="1" applyFont="1" applyFill="1" applyAlignment="1">
      <alignment vertical="center"/>
    </xf>
    <xf numFmtId="0" fontId="127" fillId="35" borderId="25" xfId="1" applyFont="1" applyFill="1" applyBorder="1" applyAlignment="1">
      <alignment horizontal="center" vertical="center"/>
    </xf>
    <xf numFmtId="0" fontId="127" fillId="30" borderId="14" xfId="1" applyFont="1" applyFill="1" applyBorder="1" applyAlignment="1">
      <alignment horizontal="center" vertical="center"/>
    </xf>
    <xf numFmtId="0" fontId="121" fillId="30" borderId="16" xfId="1" applyFont="1" applyFill="1" applyBorder="1" applyAlignment="1">
      <alignment vertical="center"/>
    </xf>
    <xf numFmtId="0" fontId="127" fillId="0" borderId="14" xfId="1" applyFont="1" applyBorder="1" applyAlignment="1">
      <alignment vertical="center"/>
    </xf>
    <xf numFmtId="0" fontId="132" fillId="0" borderId="16" xfId="0" applyFont="1" applyBorder="1" applyAlignment="1">
      <alignment horizontal="center"/>
    </xf>
    <xf numFmtId="0" fontId="131" fillId="30" borderId="19" xfId="0" applyFont="1" applyFill="1" applyBorder="1"/>
    <xf numFmtId="0" fontId="131" fillId="30" borderId="14" xfId="0" applyFont="1" applyFill="1" applyBorder="1"/>
    <xf numFmtId="0" fontId="122" fillId="30" borderId="0" xfId="305" applyFont="1" applyFill="1"/>
    <xf numFmtId="0" fontId="127" fillId="0" borderId="17" xfId="1" applyFont="1" applyBorder="1" applyAlignment="1">
      <alignment vertical="center"/>
    </xf>
    <xf numFmtId="0" fontId="131" fillId="0" borderId="14" xfId="0" applyFont="1" applyBorder="1"/>
    <xf numFmtId="0" fontId="131" fillId="30" borderId="15" xfId="0" applyFont="1" applyFill="1" applyBorder="1"/>
    <xf numFmtId="0" fontId="129" fillId="0" borderId="17" xfId="1" applyFont="1" applyBorder="1" applyAlignment="1">
      <alignment vertical="center"/>
    </xf>
    <xf numFmtId="0" fontId="120" fillId="30" borderId="0" xfId="1" applyFont="1" applyFill="1" applyAlignment="1">
      <alignment horizontal="left" vertical="center"/>
    </xf>
    <xf numFmtId="0" fontId="120" fillId="0" borderId="15" xfId="3" applyFont="1" applyBorder="1"/>
    <xf numFmtId="0" fontId="132" fillId="0" borderId="14" xfId="0" applyFont="1" applyBorder="1" applyAlignment="1">
      <alignment horizontal="center"/>
    </xf>
    <xf numFmtId="0" fontId="131" fillId="30" borderId="0" xfId="0" applyFont="1" applyFill="1"/>
    <xf numFmtId="0" fontId="132" fillId="0" borderId="0" xfId="0" applyFont="1" applyAlignment="1">
      <alignment horizontal="center"/>
    </xf>
    <xf numFmtId="0" fontId="131" fillId="0" borderId="0" xfId="0" applyFont="1"/>
    <xf numFmtId="0" fontId="122" fillId="30" borderId="0" xfId="3" applyFont="1" applyFill="1"/>
    <xf numFmtId="0" fontId="133" fillId="51" borderId="0" xfId="973" applyFont="1" applyFill="1" applyAlignment="1">
      <alignment horizontal="left" vertical="center"/>
    </xf>
    <xf numFmtId="0" fontId="131" fillId="40" borderId="15" xfId="0" applyFont="1" applyFill="1" applyBorder="1"/>
    <xf numFmtId="0" fontId="122" fillId="30" borderId="0" xfId="1" applyFont="1" applyFill="1" applyAlignment="1">
      <alignment horizontal="center" vertical="center"/>
    </xf>
    <xf numFmtId="0" fontId="122" fillId="32" borderId="0" xfId="1" applyFont="1" applyFill="1" applyAlignment="1">
      <alignment horizontal="center" vertical="center"/>
    </xf>
    <xf numFmtId="0" fontId="122" fillId="0" borderId="0" xfId="1" applyFont="1" applyAlignment="1" applyProtection="1">
      <alignment horizontal="center" vertical="center"/>
      <protection locked="0"/>
    </xf>
    <xf numFmtId="0" fontId="120" fillId="0" borderId="0" xfId="1" applyFont="1" applyAlignment="1">
      <alignment horizontal="left" vertical="center"/>
    </xf>
    <xf numFmtId="0" fontId="128" fillId="37" borderId="0" xfId="1" applyFont="1" applyFill="1" applyAlignment="1">
      <alignment horizontal="left" vertical="center"/>
    </xf>
    <xf numFmtId="0" fontId="121" fillId="30" borderId="0" xfId="1" applyFont="1" applyFill="1" applyAlignment="1">
      <alignment horizontal="center" vertical="center"/>
    </xf>
    <xf numFmtId="0" fontId="130" fillId="32" borderId="0" xfId="1" applyFont="1" applyFill="1" applyAlignment="1">
      <alignment vertical="center"/>
    </xf>
    <xf numFmtId="0" fontId="130" fillId="32" borderId="0" xfId="305" applyFont="1" applyFill="1" applyAlignment="1">
      <alignment horizontal="center"/>
    </xf>
    <xf numFmtId="0" fontId="130" fillId="32" borderId="0" xfId="2" applyFont="1" applyFill="1" applyAlignment="1">
      <alignment vertical="center"/>
    </xf>
    <xf numFmtId="0" fontId="130" fillId="0" borderId="0" xfId="1" applyFont="1" applyAlignment="1">
      <alignment vertical="center"/>
    </xf>
    <xf numFmtId="0" fontId="130" fillId="0" borderId="0" xfId="0" applyFont="1"/>
    <xf numFmtId="0" fontId="122" fillId="32" borderId="0" xfId="2" quotePrefix="1" applyFont="1" applyFill="1" applyAlignment="1">
      <alignment vertical="center"/>
    </xf>
    <xf numFmtId="0" fontId="131" fillId="40" borderId="0" xfId="0" applyFont="1" applyFill="1"/>
    <xf numFmtId="0" fontId="122" fillId="0" borderId="0" xfId="305" applyFont="1" applyAlignment="1">
      <alignment horizontal="center"/>
    </xf>
    <xf numFmtId="49" fontId="0" fillId="0" borderId="0" xfId="0" applyNumberFormat="1" applyAlignment="1">
      <alignment horizontal="left" indent="2"/>
    </xf>
    <xf numFmtId="173" fontId="122" fillId="0" borderId="0" xfId="3339" applyNumberFormat="1" applyFont="1" applyFill="1" applyBorder="1" applyAlignment="1" applyProtection="1">
      <alignment vertical="center"/>
    </xf>
    <xf numFmtId="0" fontId="134" fillId="40" borderId="0" xfId="0" applyFont="1" applyFill="1"/>
    <xf numFmtId="0" fontId="119" fillId="30" borderId="0" xfId="1" applyFont="1" applyFill="1" applyAlignment="1">
      <alignment horizontal="left" vertical="center"/>
    </xf>
    <xf numFmtId="0" fontId="119" fillId="30" borderId="0" xfId="1" applyFont="1" applyFill="1" applyAlignment="1">
      <alignment horizontal="center" vertical="center"/>
    </xf>
    <xf numFmtId="0" fontId="119" fillId="32" borderId="0" xfId="1" applyFont="1" applyFill="1" applyAlignment="1">
      <alignment horizontal="center" vertical="center"/>
    </xf>
    <xf numFmtId="0" fontId="119" fillId="0" borderId="0" xfId="1" applyFont="1" applyAlignment="1" applyProtection="1">
      <alignment horizontal="center" vertical="center"/>
      <protection locked="0"/>
    </xf>
    <xf numFmtId="0" fontId="136" fillId="0" borderId="0" xfId="1" applyFont="1" applyAlignment="1">
      <alignment vertical="center"/>
    </xf>
    <xf numFmtId="0" fontId="136" fillId="30" borderId="0" xfId="305" applyFont="1" applyFill="1"/>
    <xf numFmtId="0" fontId="135" fillId="0" borderId="17" xfId="1" applyFont="1" applyBorder="1" applyAlignment="1">
      <alignment vertical="center"/>
    </xf>
    <xf numFmtId="0" fontId="137" fillId="0" borderId="0" xfId="1" applyFont="1" applyAlignment="1">
      <alignment vertical="center"/>
    </xf>
    <xf numFmtId="0" fontId="136" fillId="30" borderId="0" xfId="1" applyFont="1" applyFill="1" applyAlignment="1">
      <alignment vertical="center"/>
    </xf>
    <xf numFmtId="0" fontId="134" fillId="30" borderId="15" xfId="0" applyFont="1" applyFill="1" applyBorder="1"/>
    <xf numFmtId="0" fontId="136" fillId="32" borderId="0" xfId="1" applyFont="1" applyFill="1" applyAlignment="1">
      <alignment vertical="center"/>
    </xf>
    <xf numFmtId="166" fontId="136" fillId="32" borderId="0" xfId="1" applyNumberFormat="1" applyFont="1" applyFill="1" applyAlignment="1">
      <alignment vertical="center"/>
    </xf>
    <xf numFmtId="0" fontId="136" fillId="0" borderId="0" xfId="0" applyFont="1"/>
    <xf numFmtId="0" fontId="135" fillId="0" borderId="15" xfId="1" applyFont="1" applyBorder="1" applyAlignment="1">
      <alignment vertical="center"/>
    </xf>
    <xf numFmtId="0" fontId="134" fillId="30" borderId="0" xfId="0" applyFont="1" applyFill="1"/>
    <xf numFmtId="173" fontId="136" fillId="0" borderId="0" xfId="3339" applyNumberFormat="1" applyFont="1" applyFill="1" applyBorder="1" applyAlignment="1" applyProtection="1">
      <alignment vertical="center"/>
    </xf>
    <xf numFmtId="0" fontId="119" fillId="0" borderId="0" xfId="1" applyFont="1" applyAlignment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6" fontId="122" fillId="0" borderId="0" xfId="1" applyNumberFormat="1" applyFont="1" applyAlignment="1">
      <alignment vertical="center"/>
    </xf>
    <xf numFmtId="0" fontId="122" fillId="38" borderId="0" xfId="1" applyFont="1" applyFill="1" applyAlignment="1">
      <alignment horizontal="left" vertical="center"/>
    </xf>
    <xf numFmtId="0" fontId="122" fillId="38" borderId="0" xfId="1" applyFont="1" applyFill="1" applyAlignment="1">
      <alignment vertical="center"/>
    </xf>
    <xf numFmtId="173" fontId="138" fillId="38" borderId="0" xfId="3339" applyNumberFormat="1" applyFont="1" applyFill="1" applyAlignment="1">
      <alignment horizontal="right"/>
    </xf>
    <xf numFmtId="9" fontId="139" fillId="0" borderId="0" xfId="285" applyFont="1" applyAlignment="1">
      <alignment horizontal="center"/>
    </xf>
    <xf numFmtId="166" fontId="127" fillId="0" borderId="22" xfId="0" applyNumberFormat="1" applyFont="1" applyBorder="1" applyAlignment="1">
      <alignment horizontal="right" vertical="center" indent="1"/>
    </xf>
    <xf numFmtId="0" fontId="134" fillId="0" borderId="15" xfId="0" applyFont="1" applyBorder="1"/>
    <xf numFmtId="0" fontId="131" fillId="0" borderId="15" xfId="0" applyFont="1" applyBorder="1"/>
    <xf numFmtId="0" fontId="140" fillId="30" borderId="0" xfId="1" applyFont="1" applyFill="1" applyAlignment="1">
      <alignment horizontal="center" vertical="center"/>
    </xf>
    <xf numFmtId="0" fontId="140" fillId="32" borderId="0" xfId="1" applyFont="1" applyFill="1" applyAlignment="1">
      <alignment horizontal="center" vertical="center"/>
    </xf>
    <xf numFmtId="0" fontId="140" fillId="0" borderId="0" xfId="1" applyFont="1" applyAlignment="1" applyProtection="1">
      <alignment horizontal="center" vertical="center"/>
      <protection locked="0"/>
    </xf>
    <xf numFmtId="0" fontId="141" fillId="0" borderId="0" xfId="1" applyFont="1" applyAlignment="1">
      <alignment vertical="center"/>
    </xf>
    <xf numFmtId="0" fontId="142" fillId="32" borderId="0" xfId="1" applyFont="1" applyFill="1" applyAlignment="1">
      <alignment vertical="center"/>
    </xf>
    <xf numFmtId="0" fontId="142" fillId="0" borderId="0" xfId="1" applyFont="1" applyAlignment="1">
      <alignment vertical="center"/>
    </xf>
    <xf numFmtId="0" fontId="142" fillId="0" borderId="0" xfId="0" applyFont="1"/>
    <xf numFmtId="0" fontId="143" fillId="52" borderId="0" xfId="0" applyFont="1" applyFill="1" applyAlignment="1">
      <alignment horizontal="center" vertical="center"/>
    </xf>
    <xf numFmtId="0" fontId="144" fillId="0" borderId="0" xfId="1" applyFont="1" applyAlignment="1">
      <alignment vertical="center"/>
    </xf>
    <xf numFmtId="0" fontId="142" fillId="0" borderId="52" xfId="0" applyFont="1" applyBorder="1" applyAlignment="1">
      <alignment horizontal="left" vertical="center"/>
    </xf>
    <xf numFmtId="0" fontId="142" fillId="0" borderId="52" xfId="0" applyFont="1" applyBorder="1" applyAlignment="1">
      <alignment vertical="center"/>
    </xf>
    <xf numFmtId="3" fontId="144" fillId="0" borderId="52" xfId="0" applyNumberFormat="1" applyFont="1" applyBorder="1" applyAlignment="1">
      <alignment vertical="center"/>
    </xf>
    <xf numFmtId="166" fontId="145" fillId="0" borderId="22" xfId="0" applyNumberFormat="1" applyFont="1" applyBorder="1" applyAlignment="1">
      <alignment horizontal="right" vertical="center" indent="1"/>
    </xf>
    <xf numFmtId="166" fontId="145" fillId="0" borderId="18" xfId="0" applyNumberFormat="1" applyFont="1" applyBorder="1" applyAlignment="1">
      <alignment horizontal="right" vertical="center" indent="1"/>
    </xf>
    <xf numFmtId="166" fontId="145" fillId="0" borderId="23" xfId="0" applyNumberFormat="1" applyFont="1" applyBorder="1" applyAlignment="1">
      <alignment horizontal="right" vertical="center" indent="1"/>
    </xf>
    <xf numFmtId="166" fontId="146" fillId="0" borderId="0" xfId="0" applyNumberFormat="1" applyFont="1" applyAlignment="1">
      <alignment horizontal="right" vertical="center" indent="1"/>
    </xf>
    <xf numFmtId="166" fontId="147" fillId="42" borderId="33" xfId="0" applyNumberFormat="1" applyFont="1" applyFill="1" applyBorder="1" applyAlignment="1">
      <alignment horizontal="right" vertical="center" indent="1"/>
    </xf>
    <xf numFmtId="4" fontId="149" fillId="0" borderId="0" xfId="1" applyNumberFormat="1" applyFont="1" applyAlignment="1">
      <alignment vertical="center"/>
    </xf>
    <xf numFmtId="0" fontId="151" fillId="38" borderId="0" xfId="2" applyFont="1" applyFill="1" applyAlignment="1">
      <alignment horizontal="left" vertical="center"/>
    </xf>
    <xf numFmtId="173" fontId="151" fillId="38" borderId="0" xfId="3339" applyNumberFormat="1" applyFont="1" applyFill="1" applyBorder="1" applyAlignment="1" applyProtection="1">
      <alignment horizontal="right" vertical="center" indent="1"/>
    </xf>
    <xf numFmtId="166" fontId="147" fillId="41" borderId="33" xfId="0" applyNumberFormat="1" applyFont="1" applyFill="1" applyBorder="1" applyAlignment="1">
      <alignment horizontal="right" vertical="center" indent="1"/>
    </xf>
    <xf numFmtId="0" fontId="140" fillId="0" borderId="0" xfId="0" applyFont="1" applyAlignment="1">
      <alignment horizontal="left" vertical="center"/>
    </xf>
    <xf numFmtId="0" fontId="140" fillId="0" borderId="0" xfId="0" applyFont="1" applyAlignment="1">
      <alignment vertical="center"/>
    </xf>
    <xf numFmtId="3" fontId="140" fillId="0" borderId="0" xfId="0" applyNumberFormat="1" applyFont="1" applyAlignment="1">
      <alignment vertical="center"/>
    </xf>
    <xf numFmtId="166" fontId="147" fillId="41" borderId="0" xfId="0" applyNumberFormat="1" applyFont="1" applyFill="1" applyAlignment="1">
      <alignment horizontal="right" vertical="center" indent="1"/>
    </xf>
    <xf numFmtId="166" fontId="145" fillId="0" borderId="32" xfId="0" applyNumberFormat="1" applyFont="1" applyBorder="1" applyAlignment="1">
      <alignment horizontal="right" vertical="center" indent="1"/>
    </xf>
    <xf numFmtId="166" fontId="145" fillId="32" borderId="22" xfId="0" applyNumberFormat="1" applyFont="1" applyFill="1" applyBorder="1" applyAlignment="1">
      <alignment horizontal="right" vertical="center" indent="1"/>
    </xf>
    <xf numFmtId="166" fontId="145" fillId="32" borderId="18" xfId="0" applyNumberFormat="1" applyFont="1" applyFill="1" applyBorder="1" applyAlignment="1">
      <alignment horizontal="right" vertical="center" indent="1"/>
    </xf>
    <xf numFmtId="166" fontId="145" fillId="32" borderId="23" xfId="0" applyNumberFormat="1" applyFont="1" applyFill="1" applyBorder="1" applyAlignment="1">
      <alignment horizontal="right" vertical="center" indent="1"/>
    </xf>
    <xf numFmtId="166" fontId="147" fillId="0" borderId="34" xfId="0" applyNumberFormat="1" applyFont="1" applyBorder="1" applyAlignment="1">
      <alignment horizontal="right" vertical="center" indent="1"/>
    </xf>
    <xf numFmtId="166" fontId="147" fillId="0" borderId="18" xfId="0" applyNumberFormat="1" applyFont="1" applyBorder="1" applyAlignment="1">
      <alignment horizontal="right" vertical="center" indent="1"/>
    </xf>
    <xf numFmtId="166" fontId="147" fillId="0" borderId="0" xfId="0" applyNumberFormat="1" applyFont="1" applyAlignment="1">
      <alignment horizontal="right" vertical="center" indent="1"/>
    </xf>
    <xf numFmtId="166" fontId="149" fillId="0" borderId="0" xfId="1" applyNumberFormat="1" applyFont="1" applyAlignment="1">
      <alignment vertical="center"/>
    </xf>
    <xf numFmtId="0" fontId="150" fillId="32" borderId="0" xfId="2" applyFont="1" applyFill="1" applyAlignment="1">
      <alignment horizontal="left" vertical="center"/>
    </xf>
    <xf numFmtId="0" fontId="150" fillId="32" borderId="21" xfId="2" applyFont="1" applyFill="1" applyBorder="1" applyAlignment="1">
      <alignment vertical="center"/>
    </xf>
    <xf numFmtId="166" fontId="150" fillId="0" borderId="18" xfId="0" applyNumberFormat="1" applyFont="1" applyBorder="1" applyAlignment="1">
      <alignment vertical="center"/>
    </xf>
    <xf numFmtId="0" fontId="142" fillId="0" borderId="0" xfId="1" applyFont="1" applyAlignment="1">
      <alignment horizontal="left" vertical="center"/>
    </xf>
    <xf numFmtId="0" fontId="142" fillId="0" borderId="0" xfId="0" applyFont="1" applyAlignment="1">
      <alignment horizontal="left" indent="1"/>
    </xf>
    <xf numFmtId="166" fontId="142" fillId="0" borderId="0" xfId="0" applyNumberFormat="1" applyFont="1"/>
    <xf numFmtId="166" fontId="145" fillId="0" borderId="0" xfId="0" applyNumberFormat="1" applyFont="1" applyAlignment="1">
      <alignment horizontal="right" vertical="center" indent="1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52" fillId="0" borderId="0" xfId="1" applyFont="1" applyAlignment="1">
      <alignment vertical="center"/>
    </xf>
    <xf numFmtId="173" fontId="152" fillId="0" borderId="0" xfId="3339" applyNumberFormat="1" applyFont="1" applyFill="1" applyBorder="1" applyAlignment="1" applyProtection="1">
      <alignment vertical="center"/>
    </xf>
    <xf numFmtId="0" fontId="153" fillId="0" borderId="0" xfId="2" applyFont="1" applyAlignment="1">
      <alignment horizontal="left" vertical="center"/>
    </xf>
    <xf numFmtId="0" fontId="153" fillId="0" borderId="21" xfId="2" applyFont="1" applyBorder="1" applyAlignment="1">
      <alignment vertical="center"/>
    </xf>
    <xf numFmtId="173" fontId="152" fillId="0" borderId="0" xfId="3339" applyNumberFormat="1" applyFont="1" applyFill="1" applyBorder="1" applyAlignment="1" applyProtection="1">
      <alignment horizontal="right" vertical="center"/>
    </xf>
    <xf numFmtId="0" fontId="141" fillId="30" borderId="0" xfId="1" applyFont="1" applyFill="1" applyAlignment="1">
      <alignment vertical="center"/>
    </xf>
    <xf numFmtId="0" fontId="147" fillId="0" borderId="15" xfId="1" applyFont="1" applyBorder="1" applyAlignment="1">
      <alignment vertical="center"/>
    </xf>
    <xf numFmtId="0" fontId="148" fillId="30" borderId="0" xfId="0" applyFont="1" applyFill="1"/>
    <xf numFmtId="0" fontId="141" fillId="32" borderId="0" xfId="1" applyFont="1" applyFill="1" applyAlignment="1">
      <alignment vertical="center"/>
    </xf>
    <xf numFmtId="166" fontId="142" fillId="32" borderId="0" xfId="1" applyNumberFormat="1" applyFont="1" applyFill="1" applyAlignment="1">
      <alignment vertical="center"/>
    </xf>
    <xf numFmtId="0" fontId="142" fillId="30" borderId="0" xfId="305" applyFont="1" applyFill="1"/>
    <xf numFmtId="0" fontId="147" fillId="0" borderId="17" xfId="1" applyFont="1" applyBorder="1" applyAlignment="1">
      <alignment vertical="center"/>
    </xf>
    <xf numFmtId="0" fontId="148" fillId="0" borderId="14" xfId="0" applyFont="1" applyBorder="1"/>
    <xf numFmtId="0" fontId="148" fillId="30" borderId="15" xfId="0" applyFont="1" applyFill="1" applyBorder="1"/>
    <xf numFmtId="0" fontId="147" fillId="37" borderId="0" xfId="1" applyFont="1" applyFill="1" applyAlignment="1">
      <alignment horizontal="left" vertical="center"/>
    </xf>
    <xf numFmtId="0" fontId="140" fillId="30" borderId="0" xfId="1" applyFont="1" applyFill="1" applyAlignment="1">
      <alignment horizontal="left" vertical="center"/>
    </xf>
    <xf numFmtId="0" fontId="126" fillId="0" borderId="0" xfId="2" applyFont="1" applyAlignment="1">
      <alignment horizontal="left" vertical="center"/>
    </xf>
    <xf numFmtId="0" fontId="122" fillId="0" borderId="0" xfId="2" applyFont="1" applyAlignment="1">
      <alignment vertical="center"/>
    </xf>
    <xf numFmtId="0" fontId="143" fillId="52" borderId="0" xfId="2" applyFont="1" applyFill="1" applyAlignment="1">
      <alignment horizontal="left" vertical="center"/>
    </xf>
    <xf numFmtId="3" fontId="144" fillId="0" borderId="0" xfId="0" applyNumberFormat="1" applyFont="1" applyAlignment="1">
      <alignment vertical="center"/>
    </xf>
    <xf numFmtId="0" fontId="143" fillId="0" borderId="53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166" fontId="122" fillId="32" borderId="0" xfId="2" applyNumberFormat="1" applyFont="1" applyFill="1" applyAlignment="1">
      <alignment vertical="center"/>
    </xf>
    <xf numFmtId="206" fontId="0" fillId="8" borderId="0" xfId="0" applyNumberFormat="1" applyFill="1" applyAlignment="1">
      <alignment horizontal="left" indent="1"/>
    </xf>
    <xf numFmtId="0" fontId="36" fillId="39" borderId="29" xfId="0" applyFont="1" applyFill="1" applyBorder="1" applyAlignment="1">
      <alignment horizontal="left" vertical="center"/>
    </xf>
    <xf numFmtId="0" fontId="36" fillId="39" borderId="18" xfId="0" applyFont="1" applyFill="1" applyBorder="1" applyAlignment="1">
      <alignment horizontal="left" vertical="center"/>
    </xf>
    <xf numFmtId="0" fontId="36" fillId="39" borderId="31" xfId="0" applyFont="1" applyFill="1" applyBorder="1" applyAlignment="1">
      <alignment horizontal="left" vertical="center"/>
    </xf>
    <xf numFmtId="0" fontId="143" fillId="52" borderId="53" xfId="0" applyFont="1" applyFill="1" applyBorder="1" applyAlignment="1">
      <alignment horizontal="center" vertical="center"/>
    </xf>
    <xf numFmtId="0" fontId="154" fillId="53" borderId="0" xfId="0" applyFont="1" applyFill="1" applyAlignment="1">
      <alignment horizontal="center" vertical="center" wrapText="1"/>
    </xf>
    <xf numFmtId="0" fontId="155" fillId="53" borderId="0" xfId="0" applyFont="1" applyFill="1" applyAlignment="1">
      <alignment horizontal="center" vertical="center" wrapText="1"/>
    </xf>
    <xf numFmtId="0" fontId="156" fillId="53" borderId="0" xfId="0" applyFont="1" applyFill="1" applyAlignment="1">
      <alignment horizontal="center" vertical="center" wrapText="1"/>
    </xf>
    <xf numFmtId="0" fontId="127" fillId="30" borderId="54" xfId="3" applyFont="1" applyFill="1" applyBorder="1" applyAlignment="1">
      <alignment horizontal="left" vertical="center"/>
    </xf>
    <xf numFmtId="0" fontId="127" fillId="30" borderId="55" xfId="3" applyFont="1" applyFill="1" applyBorder="1" applyAlignment="1">
      <alignment horizontal="left" vertical="center"/>
    </xf>
    <xf numFmtId="0" fontId="127" fillId="0" borderId="56" xfId="1" applyFont="1" applyBorder="1" applyAlignment="1" applyProtection="1">
      <alignment horizontal="left" vertical="center"/>
      <protection locked="0"/>
    </xf>
    <xf numFmtId="0" fontId="127" fillId="0" borderId="0" xfId="1" applyFont="1" applyAlignment="1" applyProtection="1">
      <alignment horizontal="left" vertical="center"/>
      <protection locked="0"/>
    </xf>
    <xf numFmtId="0" fontId="38" fillId="52" borderId="0" xfId="2" applyFont="1" applyFill="1" applyAlignment="1">
      <alignment horizontal="left" vertical="center"/>
    </xf>
    <xf numFmtId="0" fontId="145" fillId="0" borderId="0" xfId="2" applyFont="1" applyAlignment="1">
      <alignment horizontal="left" vertical="center" indent="3"/>
    </xf>
    <xf numFmtId="0" fontId="145" fillId="0" borderId="21" xfId="2" applyFont="1" applyBorder="1" applyAlignment="1">
      <alignment horizontal="left" vertical="center" indent="3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47" fillId="41" borderId="33" xfId="2" applyFont="1" applyFill="1" applyBorder="1" applyAlignment="1">
      <alignment horizontal="left" vertical="center"/>
    </xf>
    <xf numFmtId="0" fontId="145" fillId="0" borderId="32" xfId="2" applyFont="1" applyBorder="1" applyAlignment="1">
      <alignment horizontal="left" vertical="center"/>
    </xf>
    <xf numFmtId="0" fontId="143" fillId="52" borderId="0" xfId="2" applyFont="1" applyFill="1" applyAlignment="1">
      <alignment horizontal="left" vertical="center"/>
    </xf>
    <xf numFmtId="0" fontId="147" fillId="42" borderId="33" xfId="0" applyFont="1" applyFill="1" applyBorder="1" applyAlignment="1">
      <alignment horizontal="left" vertical="center"/>
    </xf>
    <xf numFmtId="0" fontId="148" fillId="42" borderId="33" xfId="0" applyFont="1" applyFill="1" applyBorder="1" applyAlignment="1">
      <alignment horizontal="left" vertical="center"/>
    </xf>
    <xf numFmtId="0" fontId="145" fillId="32" borderId="0" xfId="2" applyFont="1" applyFill="1" applyAlignment="1">
      <alignment horizontal="left" vertical="center"/>
    </xf>
    <xf numFmtId="0" fontId="145" fillId="32" borderId="21" xfId="2" applyFont="1" applyFill="1" applyBorder="1" applyAlignment="1">
      <alignment horizontal="left" vertical="center"/>
    </xf>
    <xf numFmtId="0" fontId="147" fillId="41" borderId="33" xfId="0" applyFont="1" applyFill="1" applyBorder="1" applyAlignment="1">
      <alignment horizontal="left" vertical="center"/>
    </xf>
    <xf numFmtId="0" fontId="148" fillId="41" borderId="33" xfId="0" applyFont="1" applyFill="1" applyBorder="1" applyAlignment="1">
      <alignment horizontal="left" vertical="center"/>
    </xf>
    <xf numFmtId="0" fontId="147" fillId="41" borderId="0" xfId="2" applyFont="1" applyFill="1" applyAlignment="1">
      <alignment horizontal="left" vertical="center"/>
    </xf>
    <xf numFmtId="0" fontId="147" fillId="42" borderId="33" xfId="2" applyFont="1" applyFill="1" applyBorder="1" applyAlignment="1">
      <alignment horizontal="left" vertical="center"/>
    </xf>
    <xf numFmtId="0" fontId="150" fillId="42" borderId="33" xfId="2" applyFont="1" applyFill="1" applyBorder="1" applyAlignment="1">
      <alignment horizontal="left" vertical="center"/>
    </xf>
    <xf numFmtId="0" fontId="147" fillId="0" borderId="0" xfId="2" applyFont="1" applyAlignment="1">
      <alignment horizontal="left" vertical="center"/>
    </xf>
    <xf numFmtId="0" fontId="147" fillId="0" borderId="21" xfId="2" applyFont="1" applyBorder="1" applyAlignment="1">
      <alignment horizontal="left" vertical="center"/>
    </xf>
    <xf numFmtId="205" fontId="10" fillId="12" borderId="20" xfId="0" applyNumberFormat="1" applyFont="1" applyFill="1" applyBorder="1" applyAlignment="1"/>
    <xf numFmtId="205" fontId="0" fillId="12" borderId="20" xfId="0" applyNumberFormat="1" applyFill="1" applyBorder="1" applyAlignment="1"/>
    <xf numFmtId="206" fontId="0" fillId="12" borderId="0" xfId="0" applyNumberFormat="1" applyFill="1" applyAlignment="1"/>
  </cellXfs>
  <cellStyles count="3467">
    <cellStyle name="_x000a_386grabber=M" xfId="307" xr:uid="{00000000-0005-0000-0000-000000000000}"/>
    <cellStyle name="_x000a_386grabber=M 2" xfId="308" xr:uid="{00000000-0005-0000-0000-000001000000}"/>
    <cellStyle name="_x000a_386grabber=M 2 2" xfId="309" xr:uid="{00000000-0005-0000-0000-000002000000}"/>
    <cellStyle name="$   0,000" xfId="310" xr:uid="{00000000-0005-0000-0000-000003000000}"/>
    <cellStyle name="%" xfId="311" xr:uid="{00000000-0005-0000-0000-000004000000}"/>
    <cellStyle name="%0" xfId="312" xr:uid="{00000000-0005-0000-0000-000005000000}"/>
    <cellStyle name="%1" xfId="313" xr:uid="{00000000-0005-0000-0000-000006000000}"/>
    <cellStyle name="%2" xfId="314" xr:uid="{00000000-0005-0000-0000-000007000000}"/>
    <cellStyle name="£ BP" xfId="315" xr:uid="{00000000-0005-0000-0000-000008000000}"/>
    <cellStyle name="¥ JY" xfId="316" xr:uid="{00000000-0005-0000-0000-000009000000}"/>
    <cellStyle name="0" xfId="317" xr:uid="{00000000-0005-0000-0000-00000A000000}"/>
    <cellStyle name="0,000" xfId="318" xr:uid="{00000000-0005-0000-0000-00000B000000}"/>
    <cellStyle name="0.00" xfId="319" xr:uid="{00000000-0005-0000-0000-00000C000000}"/>
    <cellStyle name="0.00%" xfId="320" xr:uid="{00000000-0005-0000-0000-00000D000000}"/>
    <cellStyle name="0.00_CAPEM BY COUNTRY" xfId="321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324" xr:uid="{00000000-0005-0000-0000-000011000000}"/>
    <cellStyle name="0_Actualisation provision contrat déficitaire SNCM 2011 V3 30 05 2011" xfId="325" xr:uid="{00000000-0005-0000-0000-000012000000}"/>
    <cellStyle name="0_Actualisation provision contrat déficitaire SNCM 2011 V3 30 05 2011_Bridge_Zone_Sud" xfId="326" xr:uid="{00000000-0005-0000-0000-000013000000}"/>
    <cellStyle name="0_Bridge_Zone_Sud" xfId="327" xr:uid="{00000000-0005-0000-0000-000014000000}"/>
    <cellStyle name="0_PPA SNCM - présentation CAC 28 06 2011" xfId="328" xr:uid="{00000000-0005-0000-0000-000015000000}"/>
    <cellStyle name="0_PPA SNCM - présentation CAC 28 06 2011_Bridge_Zone_Sud" xfId="329" xr:uid="{00000000-0005-0000-0000-000016000000}"/>
    <cellStyle name="0_Simul location facturée par Trenitalia" xfId="330" xr:uid="{00000000-0005-0000-0000-000017000000}"/>
    <cellStyle name="20 % - Accent1 2" xfId="331" xr:uid="{00000000-0005-0000-0000-000018000000}"/>
    <cellStyle name="20 % - Accent2 2" xfId="332" xr:uid="{00000000-0005-0000-0000-000019000000}"/>
    <cellStyle name="20 % - Accent2 3" xfId="333" xr:uid="{00000000-0005-0000-0000-00001A000000}"/>
    <cellStyle name="20 % - Accent2 4" xfId="334" xr:uid="{00000000-0005-0000-0000-00001B000000}"/>
    <cellStyle name="20 % - Accent2 5" xfId="335" xr:uid="{00000000-0005-0000-0000-00001C000000}"/>
    <cellStyle name="20 % - Accent2 6" xfId="336" xr:uid="{00000000-0005-0000-0000-00001D000000}"/>
    <cellStyle name="20 % - Accent3 2" xfId="337" xr:uid="{00000000-0005-0000-0000-00001E000000}"/>
    <cellStyle name="20 % - Accent4 2" xfId="338" xr:uid="{00000000-0005-0000-0000-00001F000000}"/>
    <cellStyle name="20 % - Accent5 2" xfId="339" xr:uid="{00000000-0005-0000-0000-000020000000}"/>
    <cellStyle name="20 % - Accent6 2" xfId="340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41" xr:uid="{00000000-0005-0000-0000-000046000000}"/>
    <cellStyle name="40 % - Accent2 2" xfId="342" xr:uid="{00000000-0005-0000-0000-000047000000}"/>
    <cellStyle name="40 % - Accent3 2" xfId="343" xr:uid="{00000000-0005-0000-0000-000048000000}"/>
    <cellStyle name="40 % - Accent4 2" xfId="344" xr:uid="{00000000-0005-0000-0000-000049000000}"/>
    <cellStyle name="40 % - Accent5 2" xfId="345" xr:uid="{00000000-0005-0000-0000-00004A000000}"/>
    <cellStyle name="40 % - Accent6 2" xfId="346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7" xr:uid="{00000000-0005-0000-0000-000070000000}"/>
    <cellStyle name="60 % - Accent2 2" xfId="348" xr:uid="{00000000-0005-0000-0000-000071000000}"/>
    <cellStyle name="60 % - Accent3 2" xfId="349" xr:uid="{00000000-0005-0000-0000-000072000000}"/>
    <cellStyle name="60 % - Accent4 2" xfId="350" xr:uid="{00000000-0005-0000-0000-000073000000}"/>
    <cellStyle name="60 % - Accent5 2" xfId="351" xr:uid="{00000000-0005-0000-0000-000074000000}"/>
    <cellStyle name="60 % - Accent6 2" xfId="352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53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4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5" xr:uid="{00000000-0005-0000-0000-0000B8000000}"/>
    <cellStyle name="Avertissement 2" xfId="356" xr:uid="{00000000-0005-0000-0000-0000B9000000}"/>
    <cellStyle name="b" xfId="357" xr:uid="{00000000-0005-0000-0000-0000BA000000}"/>
    <cellStyle name="b%0" xfId="358" xr:uid="{00000000-0005-0000-0000-0000BB000000}"/>
    <cellStyle name="b%1" xfId="359" xr:uid="{00000000-0005-0000-0000-0000BC000000}"/>
    <cellStyle name="b%2" xfId="360" xr:uid="{00000000-0005-0000-0000-0000BD000000}"/>
    <cellStyle name="b_Actualisation provision contrat déficitaire SNCM 2010 V Def" xfId="361" xr:uid="{00000000-0005-0000-0000-0000BE000000}"/>
    <cellStyle name="b_Actualisation provision contrat déficitaire SNCM 2010 V Def_B14_E2_2210" xfId="362" xr:uid="{00000000-0005-0000-0000-0000BF000000}"/>
    <cellStyle name="b_Actualisation provision contrat déficitaire SNCM 2010 V Def_B14_E2_2210_Bridge_Zone_Sud" xfId="363" xr:uid="{00000000-0005-0000-0000-0000C0000000}"/>
    <cellStyle name="b_Actualisation provision contrat déficitaire SNCM 2010 V Def_B14_Frais_Pôles" xfId="364" xr:uid="{00000000-0005-0000-0000-0000C1000000}"/>
    <cellStyle name="b_Actualisation provision contrat déficitaire SNCM 2010 V Def_B14_Frais_Pôles_Bridge_Zone_Sud" xfId="365" xr:uid="{00000000-0005-0000-0000-0000C2000000}"/>
    <cellStyle name="b_Actualisation provision contrat déficitaire SNCM 2010 V Def_Bridge_Zone_Sud" xfId="366" xr:uid="{00000000-0005-0000-0000-0000C3000000}"/>
    <cellStyle name="b_Actualisation provision contrat déficitaire SNCM 2010 V Def_CAPEM BY COUNTRY" xfId="367" xr:uid="{00000000-0005-0000-0000-0000C4000000}"/>
    <cellStyle name="b_Actualisation provision contrat déficitaire SNCM 2010 V Def_focus par entités CAFOPE2AMF" xfId="368" xr:uid="{00000000-0005-0000-0000-0000C5000000}"/>
    <cellStyle name="b_Actualisation provision contrat déficitaire SNCM 2010 V Def_focus par entités CAFOPE2AMF_Bridge_Zone_Sud" xfId="369" xr:uid="{00000000-0005-0000-0000-0000C6000000}"/>
    <cellStyle name="b_Actualisation provision contrat déficitaire SNCM 2010 V Def_Maquette PLT" xfId="370" xr:uid="{00000000-0005-0000-0000-0000C7000000}"/>
    <cellStyle name="b_Actualisation provision contrat déficitaire SNCM 2010 V Def_Output" xfId="3341" xr:uid="{00000000-0005-0000-0000-0000C8000000}"/>
    <cellStyle name="b_Actualisation provision contrat déficitaire SNCM 2010 V Def_PAO-CAF-RESOP_04_13_pro_format_variante T1" xfId="371" xr:uid="{00000000-0005-0000-0000-0000C9000000}"/>
    <cellStyle name="b_Actualisation provision contrat déficitaire SNCM 2010 V Def_PAO-CAF-RESOP_04_13_pro_format_variante T1_Bridge_Zone_Sud" xfId="372" xr:uid="{00000000-0005-0000-0000-0000CA000000}"/>
    <cellStyle name="b_Actualisation provision contrat déficitaire SNCM 2010 V Def_PAO-CAF-RESOP_06_13" xfId="373" xr:uid="{00000000-0005-0000-0000-0000CB000000}"/>
    <cellStyle name="b_Actualisation provision contrat déficitaire SNCM 2010 V Def_PAO-CAF-RESOP_06_13_Bridge_Zone_Sud" xfId="374" xr:uid="{00000000-0005-0000-0000-0000CC000000}"/>
    <cellStyle name="b_Actualisation provision contrat déficitaire SNCM 2010 V Def_PAO-CAF-RESOP_08_13" xfId="375" xr:uid="{00000000-0005-0000-0000-0000CD000000}"/>
    <cellStyle name="b_Actualisation provision contrat déficitaire SNCM 2010 V Def_PAO-CAF-RESOP_08_13_Bridge_Zone_Sud" xfId="376" xr:uid="{00000000-0005-0000-0000-0000CE000000}"/>
    <cellStyle name="b_Actualisation provision contrat déficitaire SNCM 2010 V Def_PAO-CAF-RESOP_09_13" xfId="377" xr:uid="{00000000-0005-0000-0000-0000CF000000}"/>
    <cellStyle name="b_Actualisation provision contrat déficitaire SNCM 2010 V Def_PAO-CAF-RESOP_09_13_Bridge_Zone_Sud" xfId="378" xr:uid="{00000000-0005-0000-0000-0000D0000000}"/>
    <cellStyle name="b_Actualisation provision contrat déficitaire SNCM 2010 V Def_PAO-CAF-RESOP_09_2013_Zone_IDF (version 2)" xfId="379" xr:uid="{00000000-0005-0000-0000-0000D1000000}"/>
    <cellStyle name="b_Actualisation provision contrat déficitaire SNCM 2010 V Def_PAO-CAF-RESOP_10_12" xfId="380" xr:uid="{00000000-0005-0000-0000-0000D2000000}"/>
    <cellStyle name="b_Actualisation provision contrat déficitaire SNCM 2010 V Def_PAO-CAF-RESOP_10_12_Bridge_Zone_Sud" xfId="381" xr:uid="{00000000-0005-0000-0000-0000D3000000}"/>
    <cellStyle name="b_Actualisation provision contrat déficitaire SNCM 2010 V Def_PAO-CAF-RESOP_10_12_focus par entités CAFOP" xfId="382" xr:uid="{00000000-0005-0000-0000-0000D4000000}"/>
    <cellStyle name="b_Actualisation provision contrat déficitaire SNCM 2010 V Def_PAO-CAF-RESOP_10_12_focus par entités CAFOP_Bridge_Zone_Sud" xfId="383" xr:uid="{00000000-0005-0000-0000-0000D5000000}"/>
    <cellStyle name="b_Actualisation provision contrat déficitaire SNCM 2010 V Def_PAO-CAF-RESOP_11_13" xfId="384" xr:uid="{00000000-0005-0000-0000-0000D6000000}"/>
    <cellStyle name="b_Actualisation provision contrat déficitaire SNCM 2010 V Def_PAO-CAF-RESOP_B13" xfId="385" xr:uid="{00000000-0005-0000-0000-0000D7000000}"/>
    <cellStyle name="b_Actualisation provision contrat déficitaire SNCM 2010 V Def_PAO-CAF-RESOP_B13_Bridge_Zone_Sud" xfId="386" xr:uid="{00000000-0005-0000-0000-0000D8000000}"/>
    <cellStyle name="b_Actualisation provision contrat déficitaire SNCM 2010 V Def_PAO-CAF-RESOP_B13_focus par entités CAFOP" xfId="387" xr:uid="{00000000-0005-0000-0000-0000D9000000}"/>
    <cellStyle name="b_Actualisation provision contrat déficitaire SNCM 2010 V Def_PAO-CAF-RESOP_B13_focus par entités CAFOP_Bridge_Zone_Sud" xfId="388" xr:uid="{00000000-0005-0000-0000-0000DA000000}"/>
    <cellStyle name="b_Actualisation provision contrat déficitaire SNCM 2010 V Def_PAO-CAF-RESOP_B2014" xfId="389" xr:uid="{00000000-0005-0000-0000-0000DB000000}"/>
    <cellStyle name="b_Actualisation provision contrat déficitaire SNCM 2010 V Def_PAO-CAF-RESOP_B2014_Bridge_Zone_Sud" xfId="390" xr:uid="{00000000-0005-0000-0000-0000DC000000}"/>
    <cellStyle name="b_Actualisation provision contrat déficitaire SNCM 2010 V Def_PAO-CAF-RESOP_B2014_v2" xfId="391" xr:uid="{00000000-0005-0000-0000-0000DD000000}"/>
    <cellStyle name="b_Actualisation provision contrat déficitaire SNCM 2010 V Def_PAO-CAF-RESOP_E2_13" xfId="392" xr:uid="{00000000-0005-0000-0000-0000DE000000}"/>
    <cellStyle name="b_Actualisation provision contrat déficitaire SNCM 2010 V Def_PAO-CAF-RESOP_E2_13_Bridge_Zone_Sud" xfId="393" xr:uid="{00000000-0005-0000-0000-0000DF000000}"/>
    <cellStyle name="b_Actualisation provision contrat déficitaire SNCM 2010 V Def_PAO-CAF-RESOP_E2_2013_03_10_19H" xfId="394" xr:uid="{00000000-0005-0000-0000-0000E0000000}"/>
    <cellStyle name="b_Actualisation provision contrat déficitaire SNCM 2010 V Def_PAO-CAF-RESOP_E2_2013_03_10_19H_Bridge_Zone_Sud" xfId="395" xr:uid="{00000000-0005-0000-0000-0000E1000000}"/>
    <cellStyle name="b_Actualisation provision contrat déficitaire SNCM 2010 V Def_Synthèse_Présentation_conso_retraitée" xfId="396" xr:uid="{00000000-0005-0000-0000-0000E2000000}"/>
    <cellStyle name="b_Actualisation provision contrat déficitaire SNCM 2011 V3 30 05 2011" xfId="397" xr:uid="{00000000-0005-0000-0000-0000E3000000}"/>
    <cellStyle name="b_Actualisation provision contrat déficitaire SNCM 2011 V3 30 05 2011_B14_E2_2210" xfId="398" xr:uid="{00000000-0005-0000-0000-0000E4000000}"/>
    <cellStyle name="b_Actualisation provision contrat déficitaire SNCM 2011 V3 30 05 2011_B14_E2_2210_Bridge_Zone_Sud" xfId="399" xr:uid="{00000000-0005-0000-0000-0000E5000000}"/>
    <cellStyle name="b_Actualisation provision contrat déficitaire SNCM 2011 V3 30 05 2011_B14_Frais_Pôles" xfId="400" xr:uid="{00000000-0005-0000-0000-0000E6000000}"/>
    <cellStyle name="b_Actualisation provision contrat déficitaire SNCM 2011 V3 30 05 2011_B14_Frais_Pôles_Bridge_Zone_Sud" xfId="401" xr:uid="{00000000-0005-0000-0000-0000E7000000}"/>
    <cellStyle name="b_Actualisation provision contrat déficitaire SNCM 2011 V3 30 05 2011_Bridge_Zone_Sud" xfId="402" xr:uid="{00000000-0005-0000-0000-0000E8000000}"/>
    <cellStyle name="b_Actualisation provision contrat déficitaire SNCM 2011 V3 30 05 2011_CAPEM BY COUNTRY" xfId="403" xr:uid="{00000000-0005-0000-0000-0000E9000000}"/>
    <cellStyle name="b_Actualisation provision contrat déficitaire SNCM 2011 V3 30 05 2011_focus par entités CAFOPE2AMF" xfId="404" xr:uid="{00000000-0005-0000-0000-0000EA000000}"/>
    <cellStyle name="b_Actualisation provision contrat déficitaire SNCM 2011 V3 30 05 2011_focus par entités CAFOPE2AMF_Bridge_Zone_Sud" xfId="405" xr:uid="{00000000-0005-0000-0000-0000EB000000}"/>
    <cellStyle name="b_Actualisation provision contrat déficitaire SNCM 2011 V3 30 05 2011_Maquette PLT" xfId="406" xr:uid="{00000000-0005-0000-0000-0000EC000000}"/>
    <cellStyle name="b_Actualisation provision contrat déficitaire SNCM 2011 V3 30 05 2011_Output" xfId="3342" xr:uid="{00000000-0005-0000-0000-0000ED000000}"/>
    <cellStyle name="b_Actualisation provision contrat déficitaire SNCM 2011 V3 30 05 2011_PAO-CAF-RESOP_04_13_pro_format_variante T1" xfId="407" xr:uid="{00000000-0005-0000-0000-0000EE000000}"/>
    <cellStyle name="b_Actualisation provision contrat déficitaire SNCM 2011 V3 30 05 2011_PAO-CAF-RESOP_04_13_pro_format_variante T1_Bridge_Zone_Sud" xfId="408" xr:uid="{00000000-0005-0000-0000-0000EF000000}"/>
    <cellStyle name="b_Actualisation provision contrat déficitaire SNCM 2011 V3 30 05 2011_PAO-CAF-RESOP_06_13" xfId="409" xr:uid="{00000000-0005-0000-0000-0000F0000000}"/>
    <cellStyle name="b_Actualisation provision contrat déficitaire SNCM 2011 V3 30 05 2011_PAO-CAF-RESOP_06_13_Bridge_Zone_Sud" xfId="410" xr:uid="{00000000-0005-0000-0000-0000F1000000}"/>
    <cellStyle name="b_Actualisation provision contrat déficitaire SNCM 2011 V3 30 05 2011_PAO-CAF-RESOP_08_13" xfId="411" xr:uid="{00000000-0005-0000-0000-0000F2000000}"/>
    <cellStyle name="b_Actualisation provision contrat déficitaire SNCM 2011 V3 30 05 2011_PAO-CAF-RESOP_08_13_Bridge_Zone_Sud" xfId="412" xr:uid="{00000000-0005-0000-0000-0000F3000000}"/>
    <cellStyle name="b_Actualisation provision contrat déficitaire SNCM 2011 V3 30 05 2011_PAO-CAF-RESOP_09_13" xfId="413" xr:uid="{00000000-0005-0000-0000-0000F4000000}"/>
    <cellStyle name="b_Actualisation provision contrat déficitaire SNCM 2011 V3 30 05 2011_PAO-CAF-RESOP_09_13_Bridge_Zone_Sud" xfId="414" xr:uid="{00000000-0005-0000-0000-0000F5000000}"/>
    <cellStyle name="b_Actualisation provision contrat déficitaire SNCM 2011 V3 30 05 2011_PAO-CAF-RESOP_09_2013_Zone_IDF (version 2)" xfId="415" xr:uid="{00000000-0005-0000-0000-0000F6000000}"/>
    <cellStyle name="b_Actualisation provision contrat déficitaire SNCM 2011 V3 30 05 2011_PAO-CAF-RESOP_10_12" xfId="416" xr:uid="{00000000-0005-0000-0000-0000F7000000}"/>
    <cellStyle name="b_Actualisation provision contrat déficitaire SNCM 2011 V3 30 05 2011_PAO-CAF-RESOP_10_12_Bridge_Zone_Sud" xfId="417" xr:uid="{00000000-0005-0000-0000-0000F8000000}"/>
    <cellStyle name="b_Actualisation provision contrat déficitaire SNCM 2011 V3 30 05 2011_PAO-CAF-RESOP_10_12_focus par entités CAFOP" xfId="418" xr:uid="{00000000-0005-0000-0000-0000F9000000}"/>
    <cellStyle name="b_Actualisation provision contrat déficitaire SNCM 2011 V3 30 05 2011_PAO-CAF-RESOP_10_12_focus par entités CAFOP_Bridge_Zone_Sud" xfId="419" xr:uid="{00000000-0005-0000-0000-0000FA000000}"/>
    <cellStyle name="b_Actualisation provision contrat déficitaire SNCM 2011 V3 30 05 2011_PAO-CAF-RESOP_11_13" xfId="420" xr:uid="{00000000-0005-0000-0000-0000FB000000}"/>
    <cellStyle name="b_Actualisation provision contrat déficitaire SNCM 2011 V3 30 05 2011_PAO-CAF-RESOP_B13" xfId="421" xr:uid="{00000000-0005-0000-0000-0000FC000000}"/>
    <cellStyle name="b_Actualisation provision contrat déficitaire SNCM 2011 V3 30 05 2011_PAO-CAF-RESOP_B13_Bridge_Zone_Sud" xfId="422" xr:uid="{00000000-0005-0000-0000-0000FD000000}"/>
    <cellStyle name="b_Actualisation provision contrat déficitaire SNCM 2011 V3 30 05 2011_PAO-CAF-RESOP_B13_focus par entités CAFOP" xfId="423" xr:uid="{00000000-0005-0000-0000-0000FE000000}"/>
    <cellStyle name="b_Actualisation provision contrat déficitaire SNCM 2011 V3 30 05 2011_PAO-CAF-RESOP_B13_focus par entités CAFOP_Bridge_Zone_Sud" xfId="424" xr:uid="{00000000-0005-0000-0000-0000FF000000}"/>
    <cellStyle name="b_Actualisation provision contrat déficitaire SNCM 2011 V3 30 05 2011_PAO-CAF-RESOP_B2014" xfId="425" xr:uid="{00000000-0005-0000-0000-000000010000}"/>
    <cellStyle name="b_Actualisation provision contrat déficitaire SNCM 2011 V3 30 05 2011_PAO-CAF-RESOP_B2014_Bridge_Zone_Sud" xfId="426" xr:uid="{00000000-0005-0000-0000-000001010000}"/>
    <cellStyle name="b_Actualisation provision contrat déficitaire SNCM 2011 V3 30 05 2011_PAO-CAF-RESOP_B2014_v2" xfId="427" xr:uid="{00000000-0005-0000-0000-000002010000}"/>
    <cellStyle name="b_Actualisation provision contrat déficitaire SNCM 2011 V3 30 05 2011_PAO-CAF-RESOP_E2_13" xfId="428" xr:uid="{00000000-0005-0000-0000-000003010000}"/>
    <cellStyle name="b_Actualisation provision contrat déficitaire SNCM 2011 V3 30 05 2011_PAO-CAF-RESOP_E2_13_Bridge_Zone_Sud" xfId="429" xr:uid="{00000000-0005-0000-0000-000004010000}"/>
    <cellStyle name="b_Actualisation provision contrat déficitaire SNCM 2011 V3 30 05 2011_PAO-CAF-RESOP_E2_2013_03_10_19H" xfId="430" xr:uid="{00000000-0005-0000-0000-000005010000}"/>
    <cellStyle name="b_Actualisation provision contrat déficitaire SNCM 2011 V3 30 05 2011_PAO-CAF-RESOP_E2_2013_03_10_19H_Bridge_Zone_Sud" xfId="431" xr:uid="{00000000-0005-0000-0000-000006010000}"/>
    <cellStyle name="b_Actualisation provision contrat déficitaire SNCM 2011 V3 30 05 2011_Synthèse_Présentation_conso_retraitée" xfId="432" xr:uid="{00000000-0005-0000-0000-000007010000}"/>
    <cellStyle name="b_BFR_TD_2014.02" xfId="433" xr:uid="{00000000-0005-0000-0000-000008010000}"/>
    <cellStyle name="b_Bridge_Zone_Nord" xfId="434" xr:uid="{00000000-0005-0000-0000-000009010000}"/>
    <cellStyle name="b_CAPEM BY COUNTRY" xfId="435" xr:uid="{00000000-0005-0000-0000-00000A010000}"/>
    <cellStyle name="b_LI819L_B13" xfId="436" xr:uid="{00000000-0005-0000-0000-00000B010000}"/>
    <cellStyle name="b_LI819L_B13_CAPEM BY COUNTRY" xfId="437" xr:uid="{00000000-0005-0000-0000-00000C010000}"/>
    <cellStyle name="b_LI819L_B13_Maquette PLT" xfId="438" xr:uid="{00000000-0005-0000-0000-00000D010000}"/>
    <cellStyle name="b_LI819L_B13_Output" xfId="3343" xr:uid="{00000000-0005-0000-0000-00000E010000}"/>
    <cellStyle name="b_Maquette PLT" xfId="439" xr:uid="{00000000-0005-0000-0000-00000F010000}"/>
    <cellStyle name="b_Output" xfId="3340" xr:uid="{00000000-0005-0000-0000-000010010000}"/>
    <cellStyle name="b_PAO-CAF-RESOP_14_01_13 à 20h" xfId="440" xr:uid="{00000000-0005-0000-0000-000011010000}"/>
    <cellStyle name="b_PAO-CAF-RESOP_14_01_13 à 20h_CAPEM BY COUNTRY" xfId="441" xr:uid="{00000000-0005-0000-0000-000012010000}"/>
    <cellStyle name="b_PAO-CAF-RESOP_14_01_13 à 20h_Maquette PLT" xfId="442" xr:uid="{00000000-0005-0000-0000-000013010000}"/>
    <cellStyle name="b_PAO-CAF-RESOP_14_01_13 à 20h_Output" xfId="3344" xr:uid="{00000000-0005-0000-0000-000014010000}"/>
    <cellStyle name="b_PAO-CAF-RESOP_2014.02" xfId="443" xr:uid="{00000000-0005-0000-0000-000015010000}"/>
    <cellStyle name="b_PAO-CAF-RESOP_2014.02_Bridge_Zone_Sud" xfId="444" xr:uid="{00000000-0005-0000-0000-000016010000}"/>
    <cellStyle name="b0" xfId="445" xr:uid="{00000000-0005-0000-0000-000017010000}"/>
    <cellStyle name="b09" xfId="446" xr:uid="{00000000-0005-0000-0000-000018010000}"/>
    <cellStyle name="b1" xfId="447" xr:uid="{00000000-0005-0000-0000-000019010000}"/>
    <cellStyle name="b2" xfId="448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449" xr:uid="{00000000-0005-0000-0000-000021010000}"/>
    <cellStyle name="Black" xfId="450" xr:uid="{00000000-0005-0000-0000-000022010000}"/>
    <cellStyle name="blp_column_header" xfId="451" xr:uid="{00000000-0005-0000-0000-000023010000}"/>
    <cellStyle name="blue" xfId="452" xr:uid="{00000000-0005-0000-0000-000024010000}"/>
    <cellStyle name="bo" xfId="453" xr:uid="{00000000-0005-0000-0000-000025010000}"/>
    <cellStyle name="Bold/Border" xfId="454" xr:uid="{00000000-0005-0000-0000-000026010000}"/>
    <cellStyle name="Bottom" xfId="455" xr:uid="{00000000-0005-0000-0000-000027010000}"/>
    <cellStyle name="bout" xfId="456" xr:uid="{00000000-0005-0000-0000-000028010000}"/>
    <cellStyle name="bt" xfId="457" xr:uid="{00000000-0005-0000-0000-000029010000}"/>
    <cellStyle name="btit" xfId="458" xr:uid="{00000000-0005-0000-0000-00002A010000}"/>
    <cellStyle name="budget" xfId="459" xr:uid="{00000000-0005-0000-0000-00002B010000}"/>
    <cellStyle name="budget1" xfId="460" xr:uid="{00000000-0005-0000-0000-00002C010000}"/>
    <cellStyle name="Bullet" xfId="461" xr:uid="{00000000-0005-0000-0000-00002D010000}"/>
    <cellStyle name="c" xfId="462" xr:uid="{00000000-0005-0000-0000-00002E010000}"/>
    <cellStyle name="c_Actualisation provision contrat déficitaire SNCM 2010 V Def" xfId="463" xr:uid="{00000000-0005-0000-0000-00002F010000}"/>
    <cellStyle name="c_Actualisation provision contrat déficitaire SNCM 2010 V Def_B14_E2_2210" xfId="464" xr:uid="{00000000-0005-0000-0000-000030010000}"/>
    <cellStyle name="c_Actualisation provision contrat déficitaire SNCM 2010 V Def_B14_E2_2210_Bridge_Zone_Sud" xfId="465" xr:uid="{00000000-0005-0000-0000-000031010000}"/>
    <cellStyle name="c_Actualisation provision contrat déficitaire SNCM 2010 V Def_B14_Frais_Pôles" xfId="466" xr:uid="{00000000-0005-0000-0000-000032010000}"/>
    <cellStyle name="c_Actualisation provision contrat déficitaire SNCM 2010 V Def_B14_Frais_Pôles_Bridge_Zone_Sud" xfId="467" xr:uid="{00000000-0005-0000-0000-000033010000}"/>
    <cellStyle name="c_Actualisation provision contrat déficitaire SNCM 2010 V Def_Bridge_Zone_Sud" xfId="468" xr:uid="{00000000-0005-0000-0000-000034010000}"/>
    <cellStyle name="c_Actualisation provision contrat déficitaire SNCM 2010 V Def_CAPEM BY COUNTRY" xfId="469" xr:uid="{00000000-0005-0000-0000-000035010000}"/>
    <cellStyle name="c_Actualisation provision contrat déficitaire SNCM 2010 V Def_focus par entités CAFOPE2AMF" xfId="470" xr:uid="{00000000-0005-0000-0000-000036010000}"/>
    <cellStyle name="c_Actualisation provision contrat déficitaire SNCM 2010 V Def_focus par entités CAFOPE2AMF_Bridge_Zone_Sud" xfId="471" xr:uid="{00000000-0005-0000-0000-000037010000}"/>
    <cellStyle name="c_Actualisation provision contrat déficitaire SNCM 2010 V Def_Maquette PLT" xfId="472" xr:uid="{00000000-0005-0000-0000-000038010000}"/>
    <cellStyle name="c_Actualisation provision contrat déficitaire SNCM 2010 V Def_Output" xfId="3346" xr:uid="{00000000-0005-0000-0000-000039010000}"/>
    <cellStyle name="c_Actualisation provision contrat déficitaire SNCM 2010 V Def_PAO-CAF-RESOP_04_13_pro_format_variante T1" xfId="473" xr:uid="{00000000-0005-0000-0000-00003A010000}"/>
    <cellStyle name="c_Actualisation provision contrat déficitaire SNCM 2010 V Def_PAO-CAF-RESOP_04_13_pro_format_variante T1_Bridge_Zone_Sud" xfId="474" xr:uid="{00000000-0005-0000-0000-00003B010000}"/>
    <cellStyle name="c_Actualisation provision contrat déficitaire SNCM 2010 V Def_PAO-CAF-RESOP_06_13" xfId="475" xr:uid="{00000000-0005-0000-0000-00003C010000}"/>
    <cellStyle name="c_Actualisation provision contrat déficitaire SNCM 2010 V Def_PAO-CAF-RESOP_06_13_Bridge_Zone_Sud" xfId="476" xr:uid="{00000000-0005-0000-0000-00003D010000}"/>
    <cellStyle name="c_Actualisation provision contrat déficitaire SNCM 2010 V Def_PAO-CAF-RESOP_08_13" xfId="477" xr:uid="{00000000-0005-0000-0000-00003E010000}"/>
    <cellStyle name="c_Actualisation provision contrat déficitaire SNCM 2010 V Def_PAO-CAF-RESOP_08_13_Bridge_Zone_Sud" xfId="478" xr:uid="{00000000-0005-0000-0000-00003F010000}"/>
    <cellStyle name="c_Actualisation provision contrat déficitaire SNCM 2010 V Def_PAO-CAF-RESOP_09_13" xfId="479" xr:uid="{00000000-0005-0000-0000-000040010000}"/>
    <cellStyle name="c_Actualisation provision contrat déficitaire SNCM 2010 V Def_PAO-CAF-RESOP_09_13_Bridge_Zone_Sud" xfId="480" xr:uid="{00000000-0005-0000-0000-000041010000}"/>
    <cellStyle name="c_Actualisation provision contrat déficitaire SNCM 2010 V Def_PAO-CAF-RESOP_09_2013_Zone_IDF (version 2)" xfId="481" xr:uid="{00000000-0005-0000-0000-000042010000}"/>
    <cellStyle name="c_Actualisation provision contrat déficitaire SNCM 2010 V Def_PAO-CAF-RESOP_10_12" xfId="482" xr:uid="{00000000-0005-0000-0000-000043010000}"/>
    <cellStyle name="c_Actualisation provision contrat déficitaire SNCM 2010 V Def_PAO-CAF-RESOP_10_12_Bridge_Zone_Sud" xfId="483" xr:uid="{00000000-0005-0000-0000-000044010000}"/>
    <cellStyle name="c_Actualisation provision contrat déficitaire SNCM 2010 V Def_PAO-CAF-RESOP_10_12_focus par entités CAFOP" xfId="484" xr:uid="{00000000-0005-0000-0000-000045010000}"/>
    <cellStyle name="c_Actualisation provision contrat déficitaire SNCM 2010 V Def_PAO-CAF-RESOP_10_12_focus par entités CAFOP_Bridge_Zone_Sud" xfId="485" xr:uid="{00000000-0005-0000-0000-000046010000}"/>
    <cellStyle name="c_Actualisation provision contrat déficitaire SNCM 2010 V Def_PAO-CAF-RESOP_11_13" xfId="486" xr:uid="{00000000-0005-0000-0000-000047010000}"/>
    <cellStyle name="c_Actualisation provision contrat déficitaire SNCM 2010 V Def_PAO-CAF-RESOP_B13" xfId="487" xr:uid="{00000000-0005-0000-0000-000048010000}"/>
    <cellStyle name="c_Actualisation provision contrat déficitaire SNCM 2010 V Def_PAO-CAF-RESOP_B13_Bridge_Zone_Sud" xfId="488" xr:uid="{00000000-0005-0000-0000-000049010000}"/>
    <cellStyle name="c_Actualisation provision contrat déficitaire SNCM 2010 V Def_PAO-CAF-RESOP_B13_focus par entités CAFOP" xfId="489" xr:uid="{00000000-0005-0000-0000-00004A010000}"/>
    <cellStyle name="c_Actualisation provision contrat déficitaire SNCM 2010 V Def_PAO-CAF-RESOP_B13_focus par entités CAFOP_Bridge_Zone_Sud" xfId="490" xr:uid="{00000000-0005-0000-0000-00004B010000}"/>
    <cellStyle name="c_Actualisation provision contrat déficitaire SNCM 2010 V Def_PAO-CAF-RESOP_B2014" xfId="491" xr:uid="{00000000-0005-0000-0000-00004C010000}"/>
    <cellStyle name="c_Actualisation provision contrat déficitaire SNCM 2010 V Def_PAO-CAF-RESOP_B2014_Bridge_Zone_Sud" xfId="492" xr:uid="{00000000-0005-0000-0000-00004D010000}"/>
    <cellStyle name="c_Actualisation provision contrat déficitaire SNCM 2010 V Def_PAO-CAF-RESOP_B2014_v2" xfId="493" xr:uid="{00000000-0005-0000-0000-00004E010000}"/>
    <cellStyle name="c_Actualisation provision contrat déficitaire SNCM 2010 V Def_PAO-CAF-RESOP_E2_13" xfId="494" xr:uid="{00000000-0005-0000-0000-00004F010000}"/>
    <cellStyle name="c_Actualisation provision contrat déficitaire SNCM 2010 V Def_PAO-CAF-RESOP_E2_13_Bridge_Zone_Sud" xfId="495" xr:uid="{00000000-0005-0000-0000-000050010000}"/>
    <cellStyle name="c_Actualisation provision contrat déficitaire SNCM 2010 V Def_PAO-CAF-RESOP_E2_2013_03_10_19H" xfId="496" xr:uid="{00000000-0005-0000-0000-000051010000}"/>
    <cellStyle name="c_Actualisation provision contrat déficitaire SNCM 2010 V Def_PAO-CAF-RESOP_E2_2013_03_10_19H_Bridge_Zone_Sud" xfId="497" xr:uid="{00000000-0005-0000-0000-000052010000}"/>
    <cellStyle name="c_Actualisation provision contrat déficitaire SNCM 2010 V Def_Synthèse_Présentation_conso_retraitée" xfId="498" xr:uid="{00000000-0005-0000-0000-000053010000}"/>
    <cellStyle name="c_Actualisation provision contrat déficitaire SNCM 2011 V3 30 05 2011" xfId="499" xr:uid="{00000000-0005-0000-0000-000054010000}"/>
    <cellStyle name="c_Actualisation provision contrat déficitaire SNCM 2011 V3 30 05 2011_B14_E2_2210" xfId="500" xr:uid="{00000000-0005-0000-0000-000055010000}"/>
    <cellStyle name="c_Actualisation provision contrat déficitaire SNCM 2011 V3 30 05 2011_B14_E2_2210_Bridge_Zone_Sud" xfId="501" xr:uid="{00000000-0005-0000-0000-000056010000}"/>
    <cellStyle name="c_Actualisation provision contrat déficitaire SNCM 2011 V3 30 05 2011_Bridge_Zone_Sud" xfId="502" xr:uid="{00000000-0005-0000-0000-000057010000}"/>
    <cellStyle name="c_Actualisation provision contrat déficitaire SNCM 2011 V3 30 05 2011_CAPEM BY COUNTRY" xfId="503" xr:uid="{00000000-0005-0000-0000-000058010000}"/>
    <cellStyle name="c_Actualisation provision contrat déficitaire SNCM 2011 V3 30 05 2011_focus par entités CAFOPE2AMF" xfId="504" xr:uid="{00000000-0005-0000-0000-000059010000}"/>
    <cellStyle name="c_Actualisation provision contrat déficitaire SNCM 2011 V3 30 05 2011_focus par entités CAFOPE2AMF_Bridge_Zone_Sud" xfId="505" xr:uid="{00000000-0005-0000-0000-00005A010000}"/>
    <cellStyle name="c_Actualisation provision contrat déficitaire SNCM 2011 V3 30 05 2011_Maquette PLT" xfId="506" xr:uid="{00000000-0005-0000-0000-00005B010000}"/>
    <cellStyle name="c_Actualisation provision contrat déficitaire SNCM 2011 V3 30 05 2011_Output" xfId="3347" xr:uid="{00000000-0005-0000-0000-00005C010000}"/>
    <cellStyle name="c_Actualisation provision contrat déficitaire SNCM 2011 V3 30 05 2011_PAO-CAF-RESOP_04_13_pro_format_variante T1" xfId="507" xr:uid="{00000000-0005-0000-0000-00005D010000}"/>
    <cellStyle name="c_Actualisation provision contrat déficitaire SNCM 2011 V3 30 05 2011_PAO-CAF-RESOP_04_13_pro_format_variante T1_Bridge_Zone_Sud" xfId="508" xr:uid="{00000000-0005-0000-0000-00005E010000}"/>
    <cellStyle name="c_Actualisation provision contrat déficitaire SNCM 2011 V3 30 05 2011_PAO-CAF-RESOP_06_13" xfId="509" xr:uid="{00000000-0005-0000-0000-00005F010000}"/>
    <cellStyle name="c_Actualisation provision contrat déficitaire SNCM 2011 V3 30 05 2011_PAO-CAF-RESOP_06_13_Bridge_Zone_Sud" xfId="510" xr:uid="{00000000-0005-0000-0000-000060010000}"/>
    <cellStyle name="c_Actualisation provision contrat déficitaire SNCM 2011 V3 30 05 2011_PAO-CAF-RESOP_08_13" xfId="511" xr:uid="{00000000-0005-0000-0000-000061010000}"/>
    <cellStyle name="c_Actualisation provision contrat déficitaire SNCM 2011 V3 30 05 2011_PAO-CAF-RESOP_08_13_Bridge_Zone_Sud" xfId="512" xr:uid="{00000000-0005-0000-0000-000062010000}"/>
    <cellStyle name="c_Actualisation provision contrat déficitaire SNCM 2011 V3 30 05 2011_PAO-CAF-RESOP_09_13" xfId="513" xr:uid="{00000000-0005-0000-0000-000063010000}"/>
    <cellStyle name="c_Actualisation provision contrat déficitaire SNCM 2011 V3 30 05 2011_PAO-CAF-RESOP_09_13_Bridge_Zone_Sud" xfId="514" xr:uid="{00000000-0005-0000-0000-000064010000}"/>
    <cellStyle name="c_Actualisation provision contrat déficitaire SNCM 2011 V3 30 05 2011_PAO-CAF-RESOP_09_2013_Zone_IDF (version 2)" xfId="515" xr:uid="{00000000-0005-0000-0000-000065010000}"/>
    <cellStyle name="c_Actualisation provision contrat déficitaire SNCM 2011 V3 30 05 2011_PAO-CAF-RESOP_10_12" xfId="516" xr:uid="{00000000-0005-0000-0000-000066010000}"/>
    <cellStyle name="c_Actualisation provision contrat déficitaire SNCM 2011 V3 30 05 2011_PAO-CAF-RESOP_10_12_Bridge_Zone_Sud" xfId="517" xr:uid="{00000000-0005-0000-0000-000067010000}"/>
    <cellStyle name="c_Actualisation provision contrat déficitaire SNCM 2011 V3 30 05 2011_PAO-CAF-RESOP_10_12_focus par entités CAFOP" xfId="518" xr:uid="{00000000-0005-0000-0000-000068010000}"/>
    <cellStyle name="c_Actualisation provision contrat déficitaire SNCM 2011 V3 30 05 2011_PAO-CAF-RESOP_10_12_focus par entités CAFOP_Bridge_Zone_Sud" xfId="519" xr:uid="{00000000-0005-0000-0000-000069010000}"/>
    <cellStyle name="c_Actualisation provision contrat déficitaire SNCM 2011 V3 30 05 2011_PAO-CAF-RESOP_11_13" xfId="520" xr:uid="{00000000-0005-0000-0000-00006A010000}"/>
    <cellStyle name="c_Actualisation provision contrat déficitaire SNCM 2011 V3 30 05 2011_PAO-CAF-RESOP_B13" xfId="521" xr:uid="{00000000-0005-0000-0000-00006B010000}"/>
    <cellStyle name="c_Actualisation provision contrat déficitaire SNCM 2011 V3 30 05 2011_PAO-CAF-RESOP_B13_Bridge_Zone_Sud" xfId="522" xr:uid="{00000000-0005-0000-0000-00006C010000}"/>
    <cellStyle name="c_Actualisation provision contrat déficitaire SNCM 2011 V3 30 05 2011_PAO-CAF-RESOP_B13_focus par entités CAFOP" xfId="523" xr:uid="{00000000-0005-0000-0000-00006D010000}"/>
    <cellStyle name="c_Actualisation provision contrat déficitaire SNCM 2011 V3 30 05 2011_PAO-CAF-RESOP_B13_focus par entités CAFOP_Bridge_Zone_Sud" xfId="524" xr:uid="{00000000-0005-0000-0000-00006E010000}"/>
    <cellStyle name="c_Actualisation provision contrat déficitaire SNCM 2011 V3 30 05 2011_PAO-CAF-RESOP_B2014" xfId="525" xr:uid="{00000000-0005-0000-0000-00006F010000}"/>
    <cellStyle name="c_Actualisation provision contrat déficitaire SNCM 2011 V3 30 05 2011_PAO-CAF-RESOP_B2014_Bridge_Zone_Sud" xfId="526" xr:uid="{00000000-0005-0000-0000-000070010000}"/>
    <cellStyle name="c_Actualisation provision contrat déficitaire SNCM 2011 V3 30 05 2011_PAO-CAF-RESOP_B2014_v2" xfId="527" xr:uid="{00000000-0005-0000-0000-000071010000}"/>
    <cellStyle name="c_Actualisation provision contrat déficitaire SNCM 2011 V3 30 05 2011_PAO-CAF-RESOP_E2_13" xfId="528" xr:uid="{00000000-0005-0000-0000-000072010000}"/>
    <cellStyle name="c_Actualisation provision contrat déficitaire SNCM 2011 V3 30 05 2011_PAO-CAF-RESOP_E2_13_Bridge_Zone_Sud" xfId="529" xr:uid="{00000000-0005-0000-0000-000073010000}"/>
    <cellStyle name="c_Actualisation provision contrat déficitaire SNCM 2011 V3 30 05 2011_PAO-CAF-RESOP_E2_2013_03_10_19H" xfId="530" xr:uid="{00000000-0005-0000-0000-000074010000}"/>
    <cellStyle name="c_Actualisation provision contrat déficitaire SNCM 2011 V3 30 05 2011_PAO-CAF-RESOP_E2_2013_03_10_19H_Bridge_Zone_Sud" xfId="531" xr:uid="{00000000-0005-0000-0000-000075010000}"/>
    <cellStyle name="c_Actualisation provision contrat déficitaire SNCM 2011 V3 30 05 2011_Synthèse_Présentation_conso_retraitée" xfId="532" xr:uid="{00000000-0005-0000-0000-000076010000}"/>
    <cellStyle name="c_BFR_TD_2014.02" xfId="533" xr:uid="{00000000-0005-0000-0000-000077010000}"/>
    <cellStyle name="c_Bridge_Zone_Nord" xfId="534" xr:uid="{00000000-0005-0000-0000-000078010000}"/>
    <cellStyle name="c_CAPEM BY COUNTRY" xfId="535" xr:uid="{00000000-0005-0000-0000-000079010000}"/>
    <cellStyle name="c_Grouse+Pelican" xfId="536" xr:uid="{00000000-0005-0000-0000-00007A010000}"/>
    <cellStyle name="c_Grouse+Pelican_CAPEM BY COUNTRY" xfId="537" xr:uid="{00000000-0005-0000-0000-00007B010000}"/>
    <cellStyle name="c_Grouse+Pelican_Maquette PLT" xfId="538" xr:uid="{00000000-0005-0000-0000-00007C010000}"/>
    <cellStyle name="c_Grouse+Pelican_Output" xfId="3348" xr:uid="{00000000-0005-0000-0000-00007D010000}"/>
    <cellStyle name="c_LI819L_B13" xfId="539" xr:uid="{00000000-0005-0000-0000-00007E010000}"/>
    <cellStyle name="c_LI819L_B13_CAPEM BY COUNTRY" xfId="540" xr:uid="{00000000-0005-0000-0000-00007F010000}"/>
    <cellStyle name="c_LI819L_B13_Maquette PLT" xfId="541" xr:uid="{00000000-0005-0000-0000-000080010000}"/>
    <cellStyle name="c_LI819L_B13_Output" xfId="3349" xr:uid="{00000000-0005-0000-0000-000081010000}"/>
    <cellStyle name="c_Macros" xfId="542" xr:uid="{00000000-0005-0000-0000-000082010000}"/>
    <cellStyle name="c_Macros (2)" xfId="543" xr:uid="{00000000-0005-0000-0000-000083010000}"/>
    <cellStyle name="c_Macros (2)_Actualisation provision contrat déficitaire SNCM 2010 V Def" xfId="544" xr:uid="{00000000-0005-0000-0000-000084010000}"/>
    <cellStyle name="c_Macros (2)_Actualisation provision contrat déficitaire SNCM 2010 V Def_B14_E2_2210" xfId="545" xr:uid="{00000000-0005-0000-0000-000085010000}"/>
    <cellStyle name="c_Macros (2)_Actualisation provision contrat déficitaire SNCM 2010 V Def_B14_E2_2210_Bridge_Zone_Sud" xfId="546" xr:uid="{00000000-0005-0000-0000-000086010000}"/>
    <cellStyle name="c_Macros (2)_Actualisation provision contrat déficitaire SNCM 2010 V Def_Bridge_Zone_Sud" xfId="547" xr:uid="{00000000-0005-0000-0000-000087010000}"/>
    <cellStyle name="c_Macros (2)_Actualisation provision contrat déficitaire SNCM 2010 V Def_CAPEM BY COUNTRY" xfId="548" xr:uid="{00000000-0005-0000-0000-000088010000}"/>
    <cellStyle name="c_Macros (2)_Actualisation provision contrat déficitaire SNCM 2010 V Def_focus par entités CAFOPE2AMF" xfId="549" xr:uid="{00000000-0005-0000-0000-000089010000}"/>
    <cellStyle name="c_Macros (2)_Actualisation provision contrat déficitaire SNCM 2010 V Def_focus par entités CAFOPE2AMF_Bridge_Zone_Sud" xfId="550" xr:uid="{00000000-0005-0000-0000-00008A010000}"/>
    <cellStyle name="c_Macros (2)_Actualisation provision contrat déficitaire SNCM 2010 V Def_Maquette PLT" xfId="551" xr:uid="{00000000-0005-0000-0000-00008B010000}"/>
    <cellStyle name="c_Macros (2)_Actualisation provision contrat déficitaire SNCM 2010 V Def_Output" xfId="3352" xr:uid="{00000000-0005-0000-0000-00008C010000}"/>
    <cellStyle name="c_Macros (2)_Actualisation provision contrat déficitaire SNCM 2010 V Def_PAO-CAF-RESOP_04_13_pro_format_variante T1" xfId="552" xr:uid="{00000000-0005-0000-0000-00008D010000}"/>
    <cellStyle name="c_Macros (2)_Actualisation provision contrat déficitaire SNCM 2010 V Def_PAO-CAF-RESOP_04_13_pro_format_variante T1_Bridge_Zone_Sud" xfId="553" xr:uid="{00000000-0005-0000-0000-00008E010000}"/>
    <cellStyle name="c_Macros (2)_Actualisation provision contrat déficitaire SNCM 2010 V Def_PAO-CAF-RESOP_06_13" xfId="554" xr:uid="{00000000-0005-0000-0000-00008F010000}"/>
    <cellStyle name="c_Macros (2)_Actualisation provision contrat déficitaire SNCM 2010 V Def_PAO-CAF-RESOP_06_13_Bridge_Zone_Sud" xfId="555" xr:uid="{00000000-0005-0000-0000-000090010000}"/>
    <cellStyle name="c_Macros (2)_Actualisation provision contrat déficitaire SNCM 2010 V Def_PAO-CAF-RESOP_08_13" xfId="556" xr:uid="{00000000-0005-0000-0000-000091010000}"/>
    <cellStyle name="c_Macros (2)_Actualisation provision contrat déficitaire SNCM 2010 V Def_PAO-CAF-RESOP_08_13_Bridge_Zone_Sud" xfId="557" xr:uid="{00000000-0005-0000-0000-000092010000}"/>
    <cellStyle name="c_Macros (2)_Actualisation provision contrat déficitaire SNCM 2010 V Def_PAO-CAF-RESOP_09_13" xfId="558" xr:uid="{00000000-0005-0000-0000-000093010000}"/>
    <cellStyle name="c_Macros (2)_Actualisation provision contrat déficitaire SNCM 2010 V Def_PAO-CAF-RESOP_09_13_Bridge_Zone_Sud" xfId="559" xr:uid="{00000000-0005-0000-0000-000094010000}"/>
    <cellStyle name="c_Macros (2)_Actualisation provision contrat déficitaire SNCM 2010 V Def_PAO-CAF-RESOP_09_2013_Zone_IDF (version 2)" xfId="560" xr:uid="{00000000-0005-0000-0000-000095010000}"/>
    <cellStyle name="c_Macros (2)_Actualisation provision contrat déficitaire SNCM 2010 V Def_PAO-CAF-RESOP_10_12" xfId="561" xr:uid="{00000000-0005-0000-0000-000096010000}"/>
    <cellStyle name="c_Macros (2)_Actualisation provision contrat déficitaire SNCM 2010 V Def_PAO-CAF-RESOP_10_12_Bridge_Zone_Sud" xfId="562" xr:uid="{00000000-0005-0000-0000-000097010000}"/>
    <cellStyle name="c_Macros (2)_Actualisation provision contrat déficitaire SNCM 2010 V Def_PAO-CAF-RESOP_10_12_focus par entités CAFOP" xfId="563" xr:uid="{00000000-0005-0000-0000-000098010000}"/>
    <cellStyle name="c_Macros (2)_Actualisation provision contrat déficitaire SNCM 2010 V Def_PAO-CAF-RESOP_10_12_focus par entités CAFOP_Bridge_Zone_Sud" xfId="564" xr:uid="{00000000-0005-0000-0000-000099010000}"/>
    <cellStyle name="c_Macros (2)_Actualisation provision contrat déficitaire SNCM 2010 V Def_PAO-CAF-RESOP_11_13" xfId="565" xr:uid="{00000000-0005-0000-0000-00009A010000}"/>
    <cellStyle name="c_Macros (2)_Actualisation provision contrat déficitaire SNCM 2010 V Def_PAO-CAF-RESOP_B13" xfId="566" xr:uid="{00000000-0005-0000-0000-00009B010000}"/>
    <cellStyle name="c_Macros (2)_Actualisation provision contrat déficitaire SNCM 2010 V Def_PAO-CAF-RESOP_B13_Bridge_Zone_Sud" xfId="567" xr:uid="{00000000-0005-0000-0000-00009C010000}"/>
    <cellStyle name="c_Macros (2)_Actualisation provision contrat déficitaire SNCM 2010 V Def_PAO-CAF-RESOP_B13_focus par entités CAFOP" xfId="568" xr:uid="{00000000-0005-0000-0000-00009D010000}"/>
    <cellStyle name="c_Macros (2)_Actualisation provision contrat déficitaire SNCM 2010 V Def_PAO-CAF-RESOP_B13_focus par entités CAFOP_Bridge_Zone_Sud" xfId="569" xr:uid="{00000000-0005-0000-0000-00009E010000}"/>
    <cellStyle name="c_Macros (2)_Actualisation provision contrat déficitaire SNCM 2010 V Def_PAO-CAF-RESOP_B2014" xfId="570" xr:uid="{00000000-0005-0000-0000-00009F010000}"/>
    <cellStyle name="c_Macros (2)_Actualisation provision contrat déficitaire SNCM 2010 V Def_PAO-CAF-RESOP_B2014_Bridge_Zone_Sud" xfId="571" xr:uid="{00000000-0005-0000-0000-0000A0010000}"/>
    <cellStyle name="c_Macros (2)_Actualisation provision contrat déficitaire SNCM 2010 V Def_PAO-CAF-RESOP_B2014_v2" xfId="572" xr:uid="{00000000-0005-0000-0000-0000A1010000}"/>
    <cellStyle name="c_Macros (2)_Actualisation provision contrat déficitaire SNCM 2010 V Def_PAO-CAF-RESOP_E2_13" xfId="573" xr:uid="{00000000-0005-0000-0000-0000A2010000}"/>
    <cellStyle name="c_Macros (2)_Actualisation provision contrat déficitaire SNCM 2010 V Def_PAO-CAF-RESOP_E2_13_Bridge_Zone_Sud" xfId="574" xr:uid="{00000000-0005-0000-0000-0000A3010000}"/>
    <cellStyle name="c_Macros (2)_Actualisation provision contrat déficitaire SNCM 2010 V Def_PAO-CAF-RESOP_E2_2013_03_10_19H" xfId="575" xr:uid="{00000000-0005-0000-0000-0000A4010000}"/>
    <cellStyle name="c_Macros (2)_Actualisation provision contrat déficitaire SNCM 2010 V Def_PAO-CAF-RESOP_E2_2013_03_10_19H_Bridge_Zone_Sud" xfId="576" xr:uid="{00000000-0005-0000-0000-0000A5010000}"/>
    <cellStyle name="c_Macros (2)_Actualisation provision contrat déficitaire SNCM 2010 V Def_Synthèse_Présentation_conso_retraitée" xfId="577" xr:uid="{00000000-0005-0000-0000-0000A6010000}"/>
    <cellStyle name="c_Macros (2)_Actualisation provision contrat déficitaire SNCM 2011 V3 30 05 2011" xfId="578" xr:uid="{00000000-0005-0000-0000-0000A7010000}"/>
    <cellStyle name="c_Macros (2)_Actualisation provision contrat déficitaire SNCM 2011 V3 30 05 2011_B14_E2_2210" xfId="579" xr:uid="{00000000-0005-0000-0000-0000A8010000}"/>
    <cellStyle name="c_Macros (2)_Actualisation provision contrat déficitaire SNCM 2011 V3 30 05 2011_B14_E2_2210_Bridge_Zone_Sud" xfId="580" xr:uid="{00000000-0005-0000-0000-0000A9010000}"/>
    <cellStyle name="c_Macros (2)_Actualisation provision contrat déficitaire SNCM 2011 V3 30 05 2011_Bridge_Zone_Sud" xfId="581" xr:uid="{00000000-0005-0000-0000-0000AA010000}"/>
    <cellStyle name="c_Macros (2)_Actualisation provision contrat déficitaire SNCM 2011 V3 30 05 2011_CAPEM BY COUNTRY" xfId="582" xr:uid="{00000000-0005-0000-0000-0000AB010000}"/>
    <cellStyle name="c_Macros (2)_Actualisation provision contrat déficitaire SNCM 2011 V3 30 05 2011_focus par entités CAFOPE2AMF" xfId="583" xr:uid="{00000000-0005-0000-0000-0000AC010000}"/>
    <cellStyle name="c_Macros (2)_Actualisation provision contrat déficitaire SNCM 2011 V3 30 05 2011_focus par entités CAFOPE2AMF_Bridge_Zone_Sud" xfId="584" xr:uid="{00000000-0005-0000-0000-0000AD010000}"/>
    <cellStyle name="c_Macros (2)_Actualisation provision contrat déficitaire SNCM 2011 V3 30 05 2011_Maquette PLT" xfId="585" xr:uid="{00000000-0005-0000-0000-0000AE010000}"/>
    <cellStyle name="c_Macros (2)_Actualisation provision contrat déficitaire SNCM 2011 V3 30 05 2011_Output" xfId="3353" xr:uid="{00000000-0005-0000-0000-0000AF010000}"/>
    <cellStyle name="c_Macros (2)_Actualisation provision contrat déficitaire SNCM 2011 V3 30 05 2011_PAO-CAF-RESOP_04_13_pro_format_variante T1" xfId="586" xr:uid="{00000000-0005-0000-0000-0000B0010000}"/>
    <cellStyle name="c_Macros (2)_Actualisation provision contrat déficitaire SNCM 2011 V3 30 05 2011_PAO-CAF-RESOP_04_13_pro_format_variante T1_Bridge_Zone_Sud" xfId="587" xr:uid="{00000000-0005-0000-0000-0000B1010000}"/>
    <cellStyle name="c_Macros (2)_Actualisation provision contrat déficitaire SNCM 2011 V3 30 05 2011_PAO-CAF-RESOP_06_13" xfId="588" xr:uid="{00000000-0005-0000-0000-0000B2010000}"/>
    <cellStyle name="c_Macros (2)_Actualisation provision contrat déficitaire SNCM 2011 V3 30 05 2011_PAO-CAF-RESOP_06_13_Bridge_Zone_Sud" xfId="589" xr:uid="{00000000-0005-0000-0000-0000B3010000}"/>
    <cellStyle name="c_Macros (2)_Actualisation provision contrat déficitaire SNCM 2011 V3 30 05 2011_PAO-CAF-RESOP_08_13" xfId="590" xr:uid="{00000000-0005-0000-0000-0000B4010000}"/>
    <cellStyle name="c_Macros (2)_Actualisation provision contrat déficitaire SNCM 2011 V3 30 05 2011_PAO-CAF-RESOP_08_13_Bridge_Zone_Sud" xfId="591" xr:uid="{00000000-0005-0000-0000-0000B5010000}"/>
    <cellStyle name="c_Macros (2)_Actualisation provision contrat déficitaire SNCM 2011 V3 30 05 2011_PAO-CAF-RESOP_09_13" xfId="592" xr:uid="{00000000-0005-0000-0000-0000B6010000}"/>
    <cellStyle name="c_Macros (2)_Actualisation provision contrat déficitaire SNCM 2011 V3 30 05 2011_PAO-CAF-RESOP_09_13_Bridge_Zone_Sud" xfId="593" xr:uid="{00000000-0005-0000-0000-0000B7010000}"/>
    <cellStyle name="c_Macros (2)_Actualisation provision contrat déficitaire SNCM 2011 V3 30 05 2011_PAO-CAF-RESOP_09_2013_Zone_IDF (version 2)" xfId="594" xr:uid="{00000000-0005-0000-0000-0000B8010000}"/>
    <cellStyle name="c_Macros (2)_Actualisation provision contrat déficitaire SNCM 2011 V3 30 05 2011_PAO-CAF-RESOP_10_12" xfId="595" xr:uid="{00000000-0005-0000-0000-0000B9010000}"/>
    <cellStyle name="c_Macros (2)_Actualisation provision contrat déficitaire SNCM 2011 V3 30 05 2011_PAO-CAF-RESOP_10_12_Bridge_Zone_Sud" xfId="596" xr:uid="{00000000-0005-0000-0000-0000BA010000}"/>
    <cellStyle name="c_Macros (2)_Actualisation provision contrat déficitaire SNCM 2011 V3 30 05 2011_PAO-CAF-RESOP_10_12_focus par entités CAFOP" xfId="597" xr:uid="{00000000-0005-0000-0000-0000BB010000}"/>
    <cellStyle name="c_Macros (2)_Actualisation provision contrat déficitaire SNCM 2011 V3 30 05 2011_PAO-CAF-RESOP_10_12_focus par entités CAFOP_Bridge_Zone_Sud" xfId="598" xr:uid="{00000000-0005-0000-0000-0000BC010000}"/>
    <cellStyle name="c_Macros (2)_Actualisation provision contrat déficitaire SNCM 2011 V3 30 05 2011_PAO-CAF-RESOP_11_13" xfId="599" xr:uid="{00000000-0005-0000-0000-0000BD010000}"/>
    <cellStyle name="c_Macros (2)_Actualisation provision contrat déficitaire SNCM 2011 V3 30 05 2011_PAO-CAF-RESOP_B13" xfId="600" xr:uid="{00000000-0005-0000-0000-0000BE010000}"/>
    <cellStyle name="c_Macros (2)_Actualisation provision contrat déficitaire SNCM 2011 V3 30 05 2011_PAO-CAF-RESOP_B13_Bridge_Zone_Sud" xfId="601" xr:uid="{00000000-0005-0000-0000-0000BF010000}"/>
    <cellStyle name="c_Macros (2)_Actualisation provision contrat déficitaire SNCM 2011 V3 30 05 2011_PAO-CAF-RESOP_B13_focus par entités CAFOP" xfId="602" xr:uid="{00000000-0005-0000-0000-0000C0010000}"/>
    <cellStyle name="c_Macros (2)_Actualisation provision contrat déficitaire SNCM 2011 V3 30 05 2011_PAO-CAF-RESOP_B13_focus par entités CAFOP_Bridge_Zone_Sud" xfId="603" xr:uid="{00000000-0005-0000-0000-0000C1010000}"/>
    <cellStyle name="c_Macros (2)_Actualisation provision contrat déficitaire SNCM 2011 V3 30 05 2011_PAO-CAF-RESOP_B2014" xfId="604" xr:uid="{00000000-0005-0000-0000-0000C2010000}"/>
    <cellStyle name="c_Macros (2)_Actualisation provision contrat déficitaire SNCM 2011 V3 30 05 2011_PAO-CAF-RESOP_B2014_Bridge_Zone_Sud" xfId="605" xr:uid="{00000000-0005-0000-0000-0000C3010000}"/>
    <cellStyle name="c_Macros (2)_Actualisation provision contrat déficitaire SNCM 2011 V3 30 05 2011_PAO-CAF-RESOP_B2014_v2" xfId="606" xr:uid="{00000000-0005-0000-0000-0000C4010000}"/>
    <cellStyle name="c_Macros (2)_Actualisation provision contrat déficitaire SNCM 2011 V3 30 05 2011_PAO-CAF-RESOP_E2_13" xfId="607" xr:uid="{00000000-0005-0000-0000-0000C5010000}"/>
    <cellStyle name="c_Macros (2)_Actualisation provision contrat déficitaire SNCM 2011 V3 30 05 2011_PAO-CAF-RESOP_E2_13_Bridge_Zone_Sud" xfId="608" xr:uid="{00000000-0005-0000-0000-0000C6010000}"/>
    <cellStyle name="c_Macros (2)_Actualisation provision contrat déficitaire SNCM 2011 V3 30 05 2011_PAO-CAF-RESOP_E2_2013_03_10_19H" xfId="609" xr:uid="{00000000-0005-0000-0000-0000C7010000}"/>
    <cellStyle name="c_Macros (2)_Actualisation provision contrat déficitaire SNCM 2011 V3 30 05 2011_PAO-CAF-RESOP_E2_2013_03_10_19H_Bridge_Zone_Sud" xfId="610" xr:uid="{00000000-0005-0000-0000-0000C8010000}"/>
    <cellStyle name="c_Macros (2)_Actualisation provision contrat déficitaire SNCM 2011 V3 30 05 2011_Synthèse_Présentation_conso_retraitée" xfId="611" xr:uid="{00000000-0005-0000-0000-0000C9010000}"/>
    <cellStyle name="c_Macros (2)_BFR_TD_2014.02" xfId="612" xr:uid="{00000000-0005-0000-0000-0000CA010000}"/>
    <cellStyle name="c_Macros (2)_Bridge_Zone_Nord" xfId="613" xr:uid="{00000000-0005-0000-0000-0000CB010000}"/>
    <cellStyle name="c_Macros (2)_CAPEM BY COUNTRY" xfId="614" xr:uid="{00000000-0005-0000-0000-0000CC010000}"/>
    <cellStyle name="c_Macros (2)_LI819L_B13" xfId="615" xr:uid="{00000000-0005-0000-0000-0000CD010000}"/>
    <cellStyle name="c_Macros (2)_LI819L_B13_CAPEM BY COUNTRY" xfId="616" xr:uid="{00000000-0005-0000-0000-0000CE010000}"/>
    <cellStyle name="c_Macros (2)_LI819L_B13_Maquette PLT" xfId="617" xr:uid="{00000000-0005-0000-0000-0000CF010000}"/>
    <cellStyle name="c_Macros (2)_LI819L_B13_Output" xfId="3354" xr:uid="{00000000-0005-0000-0000-0000D0010000}"/>
    <cellStyle name="c_Macros (2)_Maquette PLT" xfId="618" xr:uid="{00000000-0005-0000-0000-0000D1010000}"/>
    <cellStyle name="c_Macros (2)_Output" xfId="3351" xr:uid="{00000000-0005-0000-0000-0000D2010000}"/>
    <cellStyle name="c_Macros (2)_PAO-CAF-RESOP_14_01_13 à 20h" xfId="619" xr:uid="{00000000-0005-0000-0000-0000D3010000}"/>
    <cellStyle name="c_Macros (2)_PAO-CAF-RESOP_14_01_13 à 20h_CAPEM BY COUNTRY" xfId="620" xr:uid="{00000000-0005-0000-0000-0000D4010000}"/>
    <cellStyle name="c_Macros (2)_PAO-CAF-RESOP_14_01_13 à 20h_Maquette PLT" xfId="621" xr:uid="{00000000-0005-0000-0000-0000D5010000}"/>
    <cellStyle name="c_Macros (2)_PAO-CAF-RESOP_14_01_13 à 20h_Output" xfId="3355" xr:uid="{00000000-0005-0000-0000-0000D6010000}"/>
    <cellStyle name="c_Macros (2)_PAO-CAF-RESOP_2014.02" xfId="622" xr:uid="{00000000-0005-0000-0000-0000D7010000}"/>
    <cellStyle name="c_Macros (2)_PAO-CAF-RESOP_2014.02_Bridge_Zone_Sud" xfId="623" xr:uid="{00000000-0005-0000-0000-0000D8010000}"/>
    <cellStyle name="c_Macros_Actualisation provision contrat déficitaire SNCM 2010 V Def" xfId="624" xr:uid="{00000000-0005-0000-0000-0000D9010000}"/>
    <cellStyle name="c_Macros_Actualisation provision contrat déficitaire SNCM 2010 V Def_B14_E2_2210" xfId="625" xr:uid="{00000000-0005-0000-0000-0000DA010000}"/>
    <cellStyle name="c_Macros_Actualisation provision contrat déficitaire SNCM 2010 V Def_B14_E2_2210_Bridge_Zone_Sud" xfId="626" xr:uid="{00000000-0005-0000-0000-0000DB010000}"/>
    <cellStyle name="c_Macros_Actualisation provision contrat déficitaire SNCM 2010 V Def_Bridge_Zone_Sud" xfId="627" xr:uid="{00000000-0005-0000-0000-0000DC010000}"/>
    <cellStyle name="c_Macros_Actualisation provision contrat déficitaire SNCM 2010 V Def_CAPEM BY COUNTRY" xfId="628" xr:uid="{00000000-0005-0000-0000-0000DD010000}"/>
    <cellStyle name="c_Macros_Actualisation provision contrat déficitaire SNCM 2010 V Def_focus par entités CAFOPE2AMF" xfId="629" xr:uid="{00000000-0005-0000-0000-0000DE010000}"/>
    <cellStyle name="c_Macros_Actualisation provision contrat déficitaire SNCM 2010 V Def_focus par entités CAFOPE2AMF_Bridge_Zone_Sud" xfId="630" xr:uid="{00000000-0005-0000-0000-0000DF010000}"/>
    <cellStyle name="c_Macros_Actualisation provision contrat déficitaire SNCM 2010 V Def_Maquette PLT" xfId="631" xr:uid="{00000000-0005-0000-0000-0000E0010000}"/>
    <cellStyle name="c_Macros_Actualisation provision contrat déficitaire SNCM 2010 V Def_Output" xfId="3356" xr:uid="{00000000-0005-0000-0000-0000E1010000}"/>
    <cellStyle name="c_Macros_Actualisation provision contrat déficitaire SNCM 2010 V Def_PAO-CAF-RESOP_04_13_pro_format_variante T1" xfId="632" xr:uid="{00000000-0005-0000-0000-0000E2010000}"/>
    <cellStyle name="c_Macros_Actualisation provision contrat déficitaire SNCM 2010 V Def_PAO-CAF-RESOP_04_13_pro_format_variante T1_Bridge_Zone_Sud" xfId="633" xr:uid="{00000000-0005-0000-0000-0000E3010000}"/>
    <cellStyle name="c_Macros_Actualisation provision contrat déficitaire SNCM 2010 V Def_PAO-CAF-RESOP_06_13" xfId="634" xr:uid="{00000000-0005-0000-0000-0000E4010000}"/>
    <cellStyle name="c_Macros_Actualisation provision contrat déficitaire SNCM 2010 V Def_PAO-CAF-RESOP_06_13_Bridge_Zone_Sud" xfId="635" xr:uid="{00000000-0005-0000-0000-0000E5010000}"/>
    <cellStyle name="c_Macros_Actualisation provision contrat déficitaire SNCM 2010 V Def_PAO-CAF-RESOP_08_13" xfId="636" xr:uid="{00000000-0005-0000-0000-0000E6010000}"/>
    <cellStyle name="c_Macros_Actualisation provision contrat déficitaire SNCM 2010 V Def_PAO-CAF-RESOP_08_13_Bridge_Zone_Sud" xfId="637" xr:uid="{00000000-0005-0000-0000-0000E7010000}"/>
    <cellStyle name="c_Macros_Actualisation provision contrat déficitaire SNCM 2010 V Def_PAO-CAF-RESOP_09_13" xfId="638" xr:uid="{00000000-0005-0000-0000-0000E8010000}"/>
    <cellStyle name="c_Macros_Actualisation provision contrat déficitaire SNCM 2010 V Def_PAO-CAF-RESOP_09_13_Bridge_Zone_Sud" xfId="639" xr:uid="{00000000-0005-0000-0000-0000E9010000}"/>
    <cellStyle name="c_Macros_Actualisation provision contrat déficitaire SNCM 2010 V Def_PAO-CAF-RESOP_09_2013_Zone_IDF (version 2)" xfId="640" xr:uid="{00000000-0005-0000-0000-0000EA010000}"/>
    <cellStyle name="c_Macros_Actualisation provision contrat déficitaire SNCM 2010 V Def_PAO-CAF-RESOP_10_12" xfId="641" xr:uid="{00000000-0005-0000-0000-0000EB010000}"/>
    <cellStyle name="c_Macros_Actualisation provision contrat déficitaire SNCM 2010 V Def_PAO-CAF-RESOP_10_12_Bridge_Zone_Sud" xfId="642" xr:uid="{00000000-0005-0000-0000-0000EC010000}"/>
    <cellStyle name="c_Macros_Actualisation provision contrat déficitaire SNCM 2010 V Def_PAO-CAF-RESOP_10_12_focus par entités CAFOP" xfId="643" xr:uid="{00000000-0005-0000-0000-0000ED010000}"/>
    <cellStyle name="c_Macros_Actualisation provision contrat déficitaire SNCM 2010 V Def_PAO-CAF-RESOP_10_12_focus par entités CAFOP_Bridge_Zone_Sud" xfId="644" xr:uid="{00000000-0005-0000-0000-0000EE010000}"/>
    <cellStyle name="c_Macros_Actualisation provision contrat déficitaire SNCM 2010 V Def_PAO-CAF-RESOP_11_13" xfId="645" xr:uid="{00000000-0005-0000-0000-0000EF010000}"/>
    <cellStyle name="c_Macros_Actualisation provision contrat déficitaire SNCM 2010 V Def_PAO-CAF-RESOP_B13" xfId="646" xr:uid="{00000000-0005-0000-0000-0000F0010000}"/>
    <cellStyle name="c_Macros_Actualisation provision contrat déficitaire SNCM 2010 V Def_PAO-CAF-RESOP_B13_Bridge_Zone_Sud" xfId="647" xr:uid="{00000000-0005-0000-0000-0000F1010000}"/>
    <cellStyle name="c_Macros_Actualisation provision contrat déficitaire SNCM 2010 V Def_PAO-CAF-RESOP_B13_focus par entités CAFOP" xfId="648" xr:uid="{00000000-0005-0000-0000-0000F2010000}"/>
    <cellStyle name="c_Macros_Actualisation provision contrat déficitaire SNCM 2010 V Def_PAO-CAF-RESOP_B13_focus par entités CAFOP_Bridge_Zone_Sud" xfId="649" xr:uid="{00000000-0005-0000-0000-0000F3010000}"/>
    <cellStyle name="c_Macros_Actualisation provision contrat déficitaire SNCM 2010 V Def_PAO-CAF-RESOP_B2014" xfId="650" xr:uid="{00000000-0005-0000-0000-0000F4010000}"/>
    <cellStyle name="c_Macros_Actualisation provision contrat déficitaire SNCM 2010 V Def_PAO-CAF-RESOP_B2014_Bridge_Zone_Sud" xfId="651" xr:uid="{00000000-0005-0000-0000-0000F5010000}"/>
    <cellStyle name="c_Macros_Actualisation provision contrat déficitaire SNCM 2010 V Def_PAO-CAF-RESOP_B2014_v2" xfId="652" xr:uid="{00000000-0005-0000-0000-0000F6010000}"/>
    <cellStyle name="c_Macros_Actualisation provision contrat déficitaire SNCM 2010 V Def_PAO-CAF-RESOP_E2_13" xfId="653" xr:uid="{00000000-0005-0000-0000-0000F7010000}"/>
    <cellStyle name="c_Macros_Actualisation provision contrat déficitaire SNCM 2010 V Def_PAO-CAF-RESOP_E2_13_Bridge_Zone_Sud" xfId="654" xr:uid="{00000000-0005-0000-0000-0000F8010000}"/>
    <cellStyle name="c_Macros_Actualisation provision contrat déficitaire SNCM 2010 V Def_PAO-CAF-RESOP_E2_2013_03_10_19H" xfId="655" xr:uid="{00000000-0005-0000-0000-0000F9010000}"/>
    <cellStyle name="c_Macros_Actualisation provision contrat déficitaire SNCM 2010 V Def_PAO-CAF-RESOP_E2_2013_03_10_19H_Bridge_Zone_Sud" xfId="656" xr:uid="{00000000-0005-0000-0000-0000FA010000}"/>
    <cellStyle name="c_Macros_Actualisation provision contrat déficitaire SNCM 2010 V Def_Synthèse_Présentation_conso_retraitée" xfId="657" xr:uid="{00000000-0005-0000-0000-0000FB010000}"/>
    <cellStyle name="c_Macros_Actualisation provision contrat déficitaire SNCM 2011 V3 30 05 2011" xfId="658" xr:uid="{00000000-0005-0000-0000-0000FC010000}"/>
    <cellStyle name="c_Macros_Actualisation provision contrat déficitaire SNCM 2011 V3 30 05 2011_B14_E2_2210" xfId="659" xr:uid="{00000000-0005-0000-0000-0000FD010000}"/>
    <cellStyle name="c_Macros_Actualisation provision contrat déficitaire SNCM 2011 V3 30 05 2011_B14_E2_2210_Bridge_Zone_Sud" xfId="660" xr:uid="{00000000-0005-0000-0000-0000FE010000}"/>
    <cellStyle name="c_Macros_Actualisation provision contrat déficitaire SNCM 2011 V3 30 05 2011_Bridge_Zone_Sud" xfId="661" xr:uid="{00000000-0005-0000-0000-0000FF010000}"/>
    <cellStyle name="c_Macros_Actualisation provision contrat déficitaire SNCM 2011 V3 30 05 2011_CAPEM BY COUNTRY" xfId="662" xr:uid="{00000000-0005-0000-0000-000000020000}"/>
    <cellStyle name="c_Macros_Actualisation provision contrat déficitaire SNCM 2011 V3 30 05 2011_focus par entités CAFOPE2AMF" xfId="663" xr:uid="{00000000-0005-0000-0000-000001020000}"/>
    <cellStyle name="c_Macros_Actualisation provision contrat déficitaire SNCM 2011 V3 30 05 2011_focus par entités CAFOPE2AMF_Bridge_Zone_Sud" xfId="664" xr:uid="{00000000-0005-0000-0000-000002020000}"/>
    <cellStyle name="c_Macros_Actualisation provision contrat déficitaire SNCM 2011 V3 30 05 2011_Maquette PLT" xfId="665" xr:uid="{00000000-0005-0000-0000-000003020000}"/>
    <cellStyle name="c_Macros_Actualisation provision contrat déficitaire SNCM 2011 V3 30 05 2011_Output" xfId="3357" xr:uid="{00000000-0005-0000-0000-000004020000}"/>
    <cellStyle name="c_Macros_Actualisation provision contrat déficitaire SNCM 2011 V3 30 05 2011_PAO-CAF-RESOP_04_13_pro_format_variante T1" xfId="666" xr:uid="{00000000-0005-0000-0000-000005020000}"/>
    <cellStyle name="c_Macros_Actualisation provision contrat déficitaire SNCM 2011 V3 30 05 2011_PAO-CAF-RESOP_04_13_pro_format_variante T1_Bridge_Zone_Sud" xfId="667" xr:uid="{00000000-0005-0000-0000-000006020000}"/>
    <cellStyle name="c_Macros_Actualisation provision contrat déficitaire SNCM 2011 V3 30 05 2011_PAO-CAF-RESOP_06_13" xfId="668" xr:uid="{00000000-0005-0000-0000-000007020000}"/>
    <cellStyle name="c_Macros_Actualisation provision contrat déficitaire SNCM 2011 V3 30 05 2011_PAO-CAF-RESOP_06_13_Bridge_Zone_Sud" xfId="669" xr:uid="{00000000-0005-0000-0000-000008020000}"/>
    <cellStyle name="c_Macros_Actualisation provision contrat déficitaire SNCM 2011 V3 30 05 2011_PAO-CAF-RESOP_08_13" xfId="670" xr:uid="{00000000-0005-0000-0000-000009020000}"/>
    <cellStyle name="c_Macros_Actualisation provision contrat déficitaire SNCM 2011 V3 30 05 2011_PAO-CAF-RESOP_08_13_Bridge_Zone_Sud" xfId="671" xr:uid="{00000000-0005-0000-0000-00000A020000}"/>
    <cellStyle name="c_Macros_Actualisation provision contrat déficitaire SNCM 2011 V3 30 05 2011_PAO-CAF-RESOP_09_13" xfId="672" xr:uid="{00000000-0005-0000-0000-00000B020000}"/>
    <cellStyle name="c_Macros_Actualisation provision contrat déficitaire SNCM 2011 V3 30 05 2011_PAO-CAF-RESOP_09_13_Bridge_Zone_Sud" xfId="673" xr:uid="{00000000-0005-0000-0000-00000C020000}"/>
    <cellStyle name="c_Macros_Actualisation provision contrat déficitaire SNCM 2011 V3 30 05 2011_PAO-CAF-RESOP_09_2013_Zone_IDF (version 2)" xfId="674" xr:uid="{00000000-0005-0000-0000-00000D020000}"/>
    <cellStyle name="c_Macros_Actualisation provision contrat déficitaire SNCM 2011 V3 30 05 2011_PAO-CAF-RESOP_10_12" xfId="675" xr:uid="{00000000-0005-0000-0000-00000E020000}"/>
    <cellStyle name="c_Macros_Actualisation provision contrat déficitaire SNCM 2011 V3 30 05 2011_PAO-CAF-RESOP_10_12_Bridge_Zone_Sud" xfId="676" xr:uid="{00000000-0005-0000-0000-00000F020000}"/>
    <cellStyle name="c_Macros_Actualisation provision contrat déficitaire SNCM 2011 V3 30 05 2011_PAO-CAF-RESOP_10_12_focus par entités CAFOP" xfId="677" xr:uid="{00000000-0005-0000-0000-000010020000}"/>
    <cellStyle name="c_Macros_Actualisation provision contrat déficitaire SNCM 2011 V3 30 05 2011_PAO-CAF-RESOP_10_12_focus par entités CAFOP_Bridge_Zone_Sud" xfId="678" xr:uid="{00000000-0005-0000-0000-000011020000}"/>
    <cellStyle name="c_Macros_Actualisation provision contrat déficitaire SNCM 2011 V3 30 05 2011_PAO-CAF-RESOP_11_13" xfId="679" xr:uid="{00000000-0005-0000-0000-000012020000}"/>
    <cellStyle name="c_Macros_Actualisation provision contrat déficitaire SNCM 2011 V3 30 05 2011_PAO-CAF-RESOP_B13" xfId="680" xr:uid="{00000000-0005-0000-0000-000013020000}"/>
    <cellStyle name="c_Macros_Actualisation provision contrat déficitaire SNCM 2011 V3 30 05 2011_PAO-CAF-RESOP_B13_Bridge_Zone_Sud" xfId="681" xr:uid="{00000000-0005-0000-0000-000014020000}"/>
    <cellStyle name="c_Macros_Actualisation provision contrat déficitaire SNCM 2011 V3 30 05 2011_PAO-CAF-RESOP_B13_focus par entités CAFOP" xfId="682" xr:uid="{00000000-0005-0000-0000-000015020000}"/>
    <cellStyle name="c_Macros_Actualisation provision contrat déficitaire SNCM 2011 V3 30 05 2011_PAO-CAF-RESOP_B13_focus par entités CAFOP_Bridge_Zone_Sud" xfId="683" xr:uid="{00000000-0005-0000-0000-000016020000}"/>
    <cellStyle name="c_Macros_Actualisation provision contrat déficitaire SNCM 2011 V3 30 05 2011_PAO-CAF-RESOP_B2014" xfId="684" xr:uid="{00000000-0005-0000-0000-000017020000}"/>
    <cellStyle name="c_Macros_Actualisation provision contrat déficitaire SNCM 2011 V3 30 05 2011_PAO-CAF-RESOP_B2014_Bridge_Zone_Sud" xfId="685" xr:uid="{00000000-0005-0000-0000-000018020000}"/>
    <cellStyle name="c_Macros_Actualisation provision contrat déficitaire SNCM 2011 V3 30 05 2011_PAO-CAF-RESOP_B2014_v2" xfId="686" xr:uid="{00000000-0005-0000-0000-000019020000}"/>
    <cellStyle name="c_Macros_Actualisation provision contrat déficitaire SNCM 2011 V3 30 05 2011_PAO-CAF-RESOP_E2_13" xfId="687" xr:uid="{00000000-0005-0000-0000-00001A020000}"/>
    <cellStyle name="c_Macros_Actualisation provision contrat déficitaire SNCM 2011 V3 30 05 2011_PAO-CAF-RESOP_E2_13_Bridge_Zone_Sud" xfId="688" xr:uid="{00000000-0005-0000-0000-00001B020000}"/>
    <cellStyle name="c_Macros_Actualisation provision contrat déficitaire SNCM 2011 V3 30 05 2011_PAO-CAF-RESOP_E2_2013_03_10_19H" xfId="689" xr:uid="{00000000-0005-0000-0000-00001C020000}"/>
    <cellStyle name="c_Macros_Actualisation provision contrat déficitaire SNCM 2011 V3 30 05 2011_PAO-CAF-RESOP_E2_2013_03_10_19H_Bridge_Zone_Sud" xfId="690" xr:uid="{00000000-0005-0000-0000-00001D020000}"/>
    <cellStyle name="c_Macros_Actualisation provision contrat déficitaire SNCM 2011 V3 30 05 2011_Synthèse_Présentation_conso_retraitée" xfId="691" xr:uid="{00000000-0005-0000-0000-00001E020000}"/>
    <cellStyle name="c_Macros_BFR_TD_2014.02" xfId="692" xr:uid="{00000000-0005-0000-0000-00001F020000}"/>
    <cellStyle name="c_Macros_Bridge_Zone_Nord" xfId="693" xr:uid="{00000000-0005-0000-0000-000020020000}"/>
    <cellStyle name="c_Macros_CAPEM BY COUNTRY" xfId="694" xr:uid="{00000000-0005-0000-0000-000021020000}"/>
    <cellStyle name="c_Macros_LI819L_B13" xfId="695" xr:uid="{00000000-0005-0000-0000-000022020000}"/>
    <cellStyle name="c_Macros_LI819L_B13_CAPEM BY COUNTRY" xfId="696" xr:uid="{00000000-0005-0000-0000-000023020000}"/>
    <cellStyle name="c_Macros_LI819L_B13_Maquette PLT" xfId="697" xr:uid="{00000000-0005-0000-0000-000024020000}"/>
    <cellStyle name="c_Macros_LI819L_B13_Output" xfId="3358" xr:uid="{00000000-0005-0000-0000-000025020000}"/>
    <cellStyle name="c_Macros_Maquette PLT" xfId="698" xr:uid="{00000000-0005-0000-0000-000026020000}"/>
    <cellStyle name="c_Macros_Output" xfId="3350" xr:uid="{00000000-0005-0000-0000-000027020000}"/>
    <cellStyle name="c_Macros_PAO-CAF-RESOP_14_01_13 à 20h" xfId="699" xr:uid="{00000000-0005-0000-0000-000028020000}"/>
    <cellStyle name="c_Macros_PAO-CAF-RESOP_14_01_13 à 20h_CAPEM BY COUNTRY" xfId="700" xr:uid="{00000000-0005-0000-0000-000029020000}"/>
    <cellStyle name="c_Macros_PAO-CAF-RESOP_14_01_13 à 20h_Maquette PLT" xfId="701" xr:uid="{00000000-0005-0000-0000-00002A020000}"/>
    <cellStyle name="c_Macros_PAO-CAF-RESOP_14_01_13 à 20h_Output" xfId="3359" xr:uid="{00000000-0005-0000-0000-00002B020000}"/>
    <cellStyle name="c_Macros_PAO-CAF-RESOP_2014.02" xfId="702" xr:uid="{00000000-0005-0000-0000-00002C020000}"/>
    <cellStyle name="c_Macros_PAO-CAF-RESOP_2014.02_Bridge_Zone_Sud" xfId="703" xr:uid="{00000000-0005-0000-0000-00002D020000}"/>
    <cellStyle name="c_Manager (2)" xfId="704" xr:uid="{00000000-0005-0000-0000-00002E020000}"/>
    <cellStyle name="c_Manager (2)_Actualisation provision contrat déficitaire SNCM 2010 V Def" xfId="705" xr:uid="{00000000-0005-0000-0000-00002F020000}"/>
    <cellStyle name="c_Manager (2)_Actualisation provision contrat déficitaire SNCM 2010 V Def_B14_E2_2210" xfId="706" xr:uid="{00000000-0005-0000-0000-000030020000}"/>
    <cellStyle name="c_Manager (2)_Actualisation provision contrat déficitaire SNCM 2010 V Def_B14_E2_2210_Bridge_Zone_Sud" xfId="707" xr:uid="{00000000-0005-0000-0000-000031020000}"/>
    <cellStyle name="c_Manager (2)_Actualisation provision contrat déficitaire SNCM 2010 V Def_Bridge_Zone_Sud" xfId="708" xr:uid="{00000000-0005-0000-0000-000032020000}"/>
    <cellStyle name="c_Manager (2)_Actualisation provision contrat déficitaire SNCM 2010 V Def_CAPEM BY COUNTRY" xfId="709" xr:uid="{00000000-0005-0000-0000-000033020000}"/>
    <cellStyle name="c_Manager (2)_Actualisation provision contrat déficitaire SNCM 2010 V Def_focus par entités CAFOPE2AMF" xfId="710" xr:uid="{00000000-0005-0000-0000-000034020000}"/>
    <cellStyle name="c_Manager (2)_Actualisation provision contrat déficitaire SNCM 2010 V Def_focus par entités CAFOPE2AMF_Bridge_Zone_Sud" xfId="711" xr:uid="{00000000-0005-0000-0000-000035020000}"/>
    <cellStyle name="c_Manager (2)_Actualisation provision contrat déficitaire SNCM 2010 V Def_Maquette PLT" xfId="712" xr:uid="{00000000-0005-0000-0000-000036020000}"/>
    <cellStyle name="c_Manager (2)_Actualisation provision contrat déficitaire SNCM 2010 V Def_Output" xfId="3361" xr:uid="{00000000-0005-0000-0000-000037020000}"/>
    <cellStyle name="c_Manager (2)_Actualisation provision contrat déficitaire SNCM 2010 V Def_PAO-CAF-RESOP_04_13_pro_format_variante T1" xfId="713" xr:uid="{00000000-0005-0000-0000-000038020000}"/>
    <cellStyle name="c_Manager (2)_Actualisation provision contrat déficitaire SNCM 2010 V Def_PAO-CAF-RESOP_04_13_pro_format_variante T1_Bridge_Zone_Sud" xfId="714" xr:uid="{00000000-0005-0000-0000-000039020000}"/>
    <cellStyle name="c_Manager (2)_Actualisation provision contrat déficitaire SNCM 2010 V Def_PAO-CAF-RESOP_06_13" xfId="715" xr:uid="{00000000-0005-0000-0000-00003A020000}"/>
    <cellStyle name="c_Manager (2)_Actualisation provision contrat déficitaire SNCM 2010 V Def_PAO-CAF-RESOP_06_13_Bridge_Zone_Sud" xfId="716" xr:uid="{00000000-0005-0000-0000-00003B020000}"/>
    <cellStyle name="c_Manager (2)_Actualisation provision contrat déficitaire SNCM 2010 V Def_PAO-CAF-RESOP_08_13" xfId="717" xr:uid="{00000000-0005-0000-0000-00003C020000}"/>
    <cellStyle name="c_Manager (2)_Actualisation provision contrat déficitaire SNCM 2010 V Def_PAO-CAF-RESOP_08_13_Bridge_Zone_Sud" xfId="718" xr:uid="{00000000-0005-0000-0000-00003D020000}"/>
    <cellStyle name="c_Manager (2)_Actualisation provision contrat déficitaire SNCM 2010 V Def_PAO-CAF-RESOP_09_13" xfId="719" xr:uid="{00000000-0005-0000-0000-00003E020000}"/>
    <cellStyle name="c_Manager (2)_Actualisation provision contrat déficitaire SNCM 2010 V Def_PAO-CAF-RESOP_09_13_Bridge_Zone_Sud" xfId="720" xr:uid="{00000000-0005-0000-0000-00003F020000}"/>
    <cellStyle name="c_Manager (2)_Actualisation provision contrat déficitaire SNCM 2010 V Def_PAO-CAF-RESOP_09_2013_Zone_IDF (version 2)" xfId="721" xr:uid="{00000000-0005-0000-0000-000040020000}"/>
    <cellStyle name="c_Manager (2)_Actualisation provision contrat déficitaire SNCM 2010 V Def_PAO-CAF-RESOP_10_12" xfId="722" xr:uid="{00000000-0005-0000-0000-000041020000}"/>
    <cellStyle name="c_Manager (2)_Actualisation provision contrat déficitaire SNCM 2010 V Def_PAO-CAF-RESOP_10_12_Bridge_Zone_Sud" xfId="723" xr:uid="{00000000-0005-0000-0000-000042020000}"/>
    <cellStyle name="c_Manager (2)_Actualisation provision contrat déficitaire SNCM 2010 V Def_PAO-CAF-RESOP_10_12_focus par entités CAFOP" xfId="724" xr:uid="{00000000-0005-0000-0000-000043020000}"/>
    <cellStyle name="c_Manager (2)_Actualisation provision contrat déficitaire SNCM 2010 V Def_PAO-CAF-RESOP_10_12_focus par entités CAFOP_Bridge_Zone_Sud" xfId="725" xr:uid="{00000000-0005-0000-0000-000044020000}"/>
    <cellStyle name="c_Manager (2)_Actualisation provision contrat déficitaire SNCM 2010 V Def_PAO-CAF-RESOP_11_13" xfId="726" xr:uid="{00000000-0005-0000-0000-000045020000}"/>
    <cellStyle name="c_Manager (2)_Actualisation provision contrat déficitaire SNCM 2010 V Def_PAO-CAF-RESOP_B13" xfId="727" xr:uid="{00000000-0005-0000-0000-000046020000}"/>
    <cellStyle name="c_Manager (2)_Actualisation provision contrat déficitaire SNCM 2010 V Def_PAO-CAF-RESOP_B13_Bridge_Zone_Sud" xfId="728" xr:uid="{00000000-0005-0000-0000-000047020000}"/>
    <cellStyle name="c_Manager (2)_Actualisation provision contrat déficitaire SNCM 2010 V Def_PAO-CAF-RESOP_B13_focus par entités CAFOP" xfId="729" xr:uid="{00000000-0005-0000-0000-000048020000}"/>
    <cellStyle name="c_Manager (2)_Actualisation provision contrat déficitaire SNCM 2010 V Def_PAO-CAF-RESOP_B13_focus par entités CAFOP_Bridge_Zone_Sud" xfId="730" xr:uid="{00000000-0005-0000-0000-000049020000}"/>
    <cellStyle name="c_Manager (2)_Actualisation provision contrat déficitaire SNCM 2010 V Def_PAO-CAF-RESOP_B2014" xfId="731" xr:uid="{00000000-0005-0000-0000-00004A020000}"/>
    <cellStyle name="c_Manager (2)_Actualisation provision contrat déficitaire SNCM 2010 V Def_PAO-CAF-RESOP_B2014_Bridge_Zone_Sud" xfId="732" xr:uid="{00000000-0005-0000-0000-00004B020000}"/>
    <cellStyle name="c_Manager (2)_Actualisation provision contrat déficitaire SNCM 2010 V Def_PAO-CAF-RESOP_B2014_v2" xfId="733" xr:uid="{00000000-0005-0000-0000-00004C020000}"/>
    <cellStyle name="c_Manager (2)_Actualisation provision contrat déficitaire SNCM 2010 V Def_PAO-CAF-RESOP_E2_13" xfId="734" xr:uid="{00000000-0005-0000-0000-00004D020000}"/>
    <cellStyle name="c_Manager (2)_Actualisation provision contrat déficitaire SNCM 2010 V Def_PAO-CAF-RESOP_E2_13_Bridge_Zone_Sud" xfId="735" xr:uid="{00000000-0005-0000-0000-00004E020000}"/>
    <cellStyle name="c_Manager (2)_Actualisation provision contrat déficitaire SNCM 2010 V Def_PAO-CAF-RESOP_E2_2013_03_10_19H" xfId="736" xr:uid="{00000000-0005-0000-0000-00004F020000}"/>
    <cellStyle name="c_Manager (2)_Actualisation provision contrat déficitaire SNCM 2010 V Def_PAO-CAF-RESOP_E2_2013_03_10_19H_Bridge_Zone_Sud" xfId="737" xr:uid="{00000000-0005-0000-0000-000050020000}"/>
    <cellStyle name="c_Manager (2)_Actualisation provision contrat déficitaire SNCM 2010 V Def_Synthèse_Présentation_conso_retraitée" xfId="738" xr:uid="{00000000-0005-0000-0000-000051020000}"/>
    <cellStyle name="c_Manager (2)_Actualisation provision contrat déficitaire SNCM 2011 V3 30 05 2011" xfId="739" xr:uid="{00000000-0005-0000-0000-000052020000}"/>
    <cellStyle name="c_Manager (2)_Actualisation provision contrat déficitaire SNCM 2011 V3 30 05 2011_B14_E2_2210" xfId="740" xr:uid="{00000000-0005-0000-0000-000053020000}"/>
    <cellStyle name="c_Manager (2)_Actualisation provision contrat déficitaire SNCM 2011 V3 30 05 2011_B14_E2_2210_Bridge_Zone_Sud" xfId="741" xr:uid="{00000000-0005-0000-0000-000054020000}"/>
    <cellStyle name="c_Manager (2)_Actualisation provision contrat déficitaire SNCM 2011 V3 30 05 2011_Bridge_Zone_Sud" xfId="742" xr:uid="{00000000-0005-0000-0000-000055020000}"/>
    <cellStyle name="c_Manager (2)_Actualisation provision contrat déficitaire SNCM 2011 V3 30 05 2011_CAPEM BY COUNTRY" xfId="743" xr:uid="{00000000-0005-0000-0000-000056020000}"/>
    <cellStyle name="c_Manager (2)_Actualisation provision contrat déficitaire SNCM 2011 V3 30 05 2011_focus par entités CAFOPE2AMF" xfId="744" xr:uid="{00000000-0005-0000-0000-000057020000}"/>
    <cellStyle name="c_Manager (2)_Actualisation provision contrat déficitaire SNCM 2011 V3 30 05 2011_focus par entités CAFOPE2AMF_Bridge_Zone_Sud" xfId="745" xr:uid="{00000000-0005-0000-0000-000058020000}"/>
    <cellStyle name="c_Manager (2)_Actualisation provision contrat déficitaire SNCM 2011 V3 30 05 2011_Maquette PLT" xfId="746" xr:uid="{00000000-0005-0000-0000-000059020000}"/>
    <cellStyle name="c_Manager (2)_Actualisation provision contrat déficitaire SNCM 2011 V3 30 05 2011_Output" xfId="3362" xr:uid="{00000000-0005-0000-0000-00005A020000}"/>
    <cellStyle name="c_Manager (2)_Actualisation provision contrat déficitaire SNCM 2011 V3 30 05 2011_PAO-CAF-RESOP_04_13_pro_format_variante T1" xfId="747" xr:uid="{00000000-0005-0000-0000-00005B020000}"/>
    <cellStyle name="c_Manager (2)_Actualisation provision contrat déficitaire SNCM 2011 V3 30 05 2011_PAO-CAF-RESOP_04_13_pro_format_variante T1_Bridge_Zone_Sud" xfId="748" xr:uid="{00000000-0005-0000-0000-00005C020000}"/>
    <cellStyle name="c_Manager (2)_Actualisation provision contrat déficitaire SNCM 2011 V3 30 05 2011_PAO-CAF-RESOP_06_13" xfId="749" xr:uid="{00000000-0005-0000-0000-00005D020000}"/>
    <cellStyle name="c_Manager (2)_Actualisation provision contrat déficitaire SNCM 2011 V3 30 05 2011_PAO-CAF-RESOP_06_13_Bridge_Zone_Sud" xfId="750" xr:uid="{00000000-0005-0000-0000-00005E020000}"/>
    <cellStyle name="c_Manager (2)_Actualisation provision contrat déficitaire SNCM 2011 V3 30 05 2011_PAO-CAF-RESOP_08_13" xfId="751" xr:uid="{00000000-0005-0000-0000-00005F020000}"/>
    <cellStyle name="c_Manager (2)_Actualisation provision contrat déficitaire SNCM 2011 V3 30 05 2011_PAO-CAF-RESOP_08_13_Bridge_Zone_Sud" xfId="752" xr:uid="{00000000-0005-0000-0000-000060020000}"/>
    <cellStyle name="c_Manager (2)_Actualisation provision contrat déficitaire SNCM 2011 V3 30 05 2011_PAO-CAF-RESOP_09_13" xfId="753" xr:uid="{00000000-0005-0000-0000-000061020000}"/>
    <cellStyle name="c_Manager (2)_Actualisation provision contrat déficitaire SNCM 2011 V3 30 05 2011_PAO-CAF-RESOP_09_13_Bridge_Zone_Sud" xfId="754" xr:uid="{00000000-0005-0000-0000-000062020000}"/>
    <cellStyle name="c_Manager (2)_Actualisation provision contrat déficitaire SNCM 2011 V3 30 05 2011_PAO-CAF-RESOP_09_2013_Zone_IDF (version 2)" xfId="755" xr:uid="{00000000-0005-0000-0000-000063020000}"/>
    <cellStyle name="c_Manager (2)_Actualisation provision contrat déficitaire SNCM 2011 V3 30 05 2011_PAO-CAF-RESOP_10_12" xfId="756" xr:uid="{00000000-0005-0000-0000-000064020000}"/>
    <cellStyle name="c_Manager (2)_Actualisation provision contrat déficitaire SNCM 2011 V3 30 05 2011_PAO-CAF-RESOP_10_12_Bridge_Zone_Sud" xfId="757" xr:uid="{00000000-0005-0000-0000-000065020000}"/>
    <cellStyle name="c_Manager (2)_Actualisation provision contrat déficitaire SNCM 2011 V3 30 05 2011_PAO-CAF-RESOP_10_12_focus par entités CAFOP" xfId="758" xr:uid="{00000000-0005-0000-0000-000066020000}"/>
    <cellStyle name="c_Manager (2)_Actualisation provision contrat déficitaire SNCM 2011 V3 30 05 2011_PAO-CAF-RESOP_10_12_focus par entités CAFOP_Bridge_Zone_Sud" xfId="759" xr:uid="{00000000-0005-0000-0000-000067020000}"/>
    <cellStyle name="c_Manager (2)_Actualisation provision contrat déficitaire SNCM 2011 V3 30 05 2011_PAO-CAF-RESOP_11_13" xfId="760" xr:uid="{00000000-0005-0000-0000-000068020000}"/>
    <cellStyle name="c_Manager (2)_Actualisation provision contrat déficitaire SNCM 2011 V3 30 05 2011_PAO-CAF-RESOP_B13" xfId="761" xr:uid="{00000000-0005-0000-0000-000069020000}"/>
    <cellStyle name="c_Manager (2)_Actualisation provision contrat déficitaire SNCM 2011 V3 30 05 2011_PAO-CAF-RESOP_B13_Bridge_Zone_Sud" xfId="762" xr:uid="{00000000-0005-0000-0000-00006A020000}"/>
    <cellStyle name="c_Manager (2)_Actualisation provision contrat déficitaire SNCM 2011 V3 30 05 2011_PAO-CAF-RESOP_B13_focus par entités CAFOP" xfId="763" xr:uid="{00000000-0005-0000-0000-00006B020000}"/>
    <cellStyle name="c_Manager (2)_Actualisation provision contrat déficitaire SNCM 2011 V3 30 05 2011_PAO-CAF-RESOP_B13_focus par entités CAFOP_Bridge_Zone_Sud" xfId="764" xr:uid="{00000000-0005-0000-0000-00006C020000}"/>
    <cellStyle name="c_Manager (2)_Actualisation provision contrat déficitaire SNCM 2011 V3 30 05 2011_PAO-CAF-RESOP_B2014" xfId="765" xr:uid="{00000000-0005-0000-0000-00006D020000}"/>
    <cellStyle name="c_Manager (2)_Actualisation provision contrat déficitaire SNCM 2011 V3 30 05 2011_PAO-CAF-RESOP_B2014_Bridge_Zone_Sud" xfId="766" xr:uid="{00000000-0005-0000-0000-00006E020000}"/>
    <cellStyle name="c_Manager (2)_Actualisation provision contrat déficitaire SNCM 2011 V3 30 05 2011_PAO-CAF-RESOP_B2014_v2" xfId="767" xr:uid="{00000000-0005-0000-0000-00006F020000}"/>
    <cellStyle name="c_Manager (2)_Actualisation provision contrat déficitaire SNCM 2011 V3 30 05 2011_PAO-CAF-RESOP_E2_13" xfId="768" xr:uid="{00000000-0005-0000-0000-000070020000}"/>
    <cellStyle name="c_Manager (2)_Actualisation provision contrat déficitaire SNCM 2011 V3 30 05 2011_PAO-CAF-RESOP_E2_13_Bridge_Zone_Sud" xfId="769" xr:uid="{00000000-0005-0000-0000-000071020000}"/>
    <cellStyle name="c_Manager (2)_Actualisation provision contrat déficitaire SNCM 2011 V3 30 05 2011_PAO-CAF-RESOP_E2_2013_03_10_19H" xfId="770" xr:uid="{00000000-0005-0000-0000-000072020000}"/>
    <cellStyle name="c_Manager (2)_Actualisation provision contrat déficitaire SNCM 2011 V3 30 05 2011_PAO-CAF-RESOP_E2_2013_03_10_19H_Bridge_Zone_Sud" xfId="771" xr:uid="{00000000-0005-0000-0000-000073020000}"/>
    <cellStyle name="c_Manager (2)_Actualisation provision contrat déficitaire SNCM 2011 V3 30 05 2011_Synthèse_Présentation_conso_retraitée" xfId="772" xr:uid="{00000000-0005-0000-0000-000074020000}"/>
    <cellStyle name="c_Manager (2)_BFR_TD_2014.02" xfId="773" xr:uid="{00000000-0005-0000-0000-000075020000}"/>
    <cellStyle name="c_Manager (2)_Bridge_Zone_Nord" xfId="774" xr:uid="{00000000-0005-0000-0000-000076020000}"/>
    <cellStyle name="c_Manager (2)_CAPEM BY COUNTRY" xfId="775" xr:uid="{00000000-0005-0000-0000-000077020000}"/>
    <cellStyle name="c_Manager (2)_LI819L_B13" xfId="776" xr:uid="{00000000-0005-0000-0000-000078020000}"/>
    <cellStyle name="c_Manager (2)_LI819L_B13_CAPEM BY COUNTRY" xfId="777" xr:uid="{00000000-0005-0000-0000-000079020000}"/>
    <cellStyle name="c_Manager (2)_LI819L_B13_Maquette PLT" xfId="778" xr:uid="{00000000-0005-0000-0000-00007A020000}"/>
    <cellStyle name="c_Manager (2)_LI819L_B13_Output" xfId="3363" xr:uid="{00000000-0005-0000-0000-00007B020000}"/>
    <cellStyle name="c_Manager (2)_Maquette PLT" xfId="779" xr:uid="{00000000-0005-0000-0000-00007C020000}"/>
    <cellStyle name="c_Manager (2)_Output" xfId="3360" xr:uid="{00000000-0005-0000-0000-00007D020000}"/>
    <cellStyle name="c_Manager (2)_PAO-CAF-RESOP_14_01_13 à 20h" xfId="780" xr:uid="{00000000-0005-0000-0000-00007E020000}"/>
    <cellStyle name="c_Manager (2)_PAO-CAF-RESOP_14_01_13 à 20h_CAPEM BY COUNTRY" xfId="781" xr:uid="{00000000-0005-0000-0000-00007F020000}"/>
    <cellStyle name="c_Manager (2)_PAO-CAF-RESOP_14_01_13 à 20h_Maquette PLT" xfId="782" xr:uid="{00000000-0005-0000-0000-000080020000}"/>
    <cellStyle name="c_Manager (2)_PAO-CAF-RESOP_14_01_13 à 20h_Output" xfId="3364" xr:uid="{00000000-0005-0000-0000-000081020000}"/>
    <cellStyle name="c_Manager (2)_PAO-CAF-RESOP_2014.02" xfId="783" xr:uid="{00000000-0005-0000-0000-000082020000}"/>
    <cellStyle name="c_Manager (2)_PAO-CAF-RESOP_2014.02_Bridge_Zone_Sud" xfId="784" xr:uid="{00000000-0005-0000-0000-000083020000}"/>
    <cellStyle name="c_Maquette PLT" xfId="785" xr:uid="{00000000-0005-0000-0000-000084020000}"/>
    <cellStyle name="c_Output" xfId="3345" xr:uid="{00000000-0005-0000-0000-000085020000}"/>
    <cellStyle name="c_PAO-CAF-RESOP_14_01_13 à 20h" xfId="786" xr:uid="{00000000-0005-0000-0000-000086020000}"/>
    <cellStyle name="c_PAO-CAF-RESOP_14_01_13 à 20h_CAPEM BY COUNTRY" xfId="787" xr:uid="{00000000-0005-0000-0000-000087020000}"/>
    <cellStyle name="c_PAO-CAF-RESOP_14_01_13 à 20h_Maquette PLT" xfId="788" xr:uid="{00000000-0005-0000-0000-000088020000}"/>
    <cellStyle name="c_PAO-CAF-RESOP_14_01_13 à 20h_Output" xfId="3365" xr:uid="{00000000-0005-0000-0000-000089020000}"/>
    <cellStyle name="c_PAO-CAF-RESOP_2014.02" xfId="789" xr:uid="{00000000-0005-0000-0000-00008A020000}"/>
    <cellStyle name="c_PAO-CAF-RESOP_2014.02_Bridge_Zone_Sud" xfId="790" xr:uid="{00000000-0005-0000-0000-00008B020000}"/>
    <cellStyle name="c0" xfId="791" xr:uid="{00000000-0005-0000-0000-00008C020000}"/>
    <cellStyle name="cach" xfId="792" xr:uid="{00000000-0005-0000-0000-00008D020000}"/>
    <cellStyle name="Calcul 2" xfId="793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794" xr:uid="{00000000-0005-0000-0000-000094020000}"/>
    <cellStyle name="Cellule liée 2" xfId="795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796" xr:uid="{00000000-0005-0000-0000-00009C020000}"/>
    <cellStyle name="chiffre" xfId="797" xr:uid="{00000000-0005-0000-0000-00009D020000}"/>
    <cellStyle name="co" xfId="798" xr:uid="{00000000-0005-0000-0000-00009E020000}"/>
    <cellStyle name="ColumnHeading" xfId="158" xr:uid="{00000000-0005-0000-0000-00009F020000}"/>
    <cellStyle name="Comma [1]" xfId="799" xr:uid="{00000000-0005-0000-0000-0000A0020000}"/>
    <cellStyle name="Comma [2]" xfId="800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entaire 2" xfId="801" xr:uid="{00000000-0005-0000-0000-0000A9020000}"/>
    <cellStyle name="Commentaire 3" xfId="802" xr:uid="{00000000-0005-0000-0000-0000AA020000}"/>
    <cellStyle name="Commentaire 4" xfId="803" xr:uid="{00000000-0005-0000-0000-0000AB020000}"/>
    <cellStyle name="Currency [1]" xfId="804" xr:uid="{00000000-0005-0000-0000-0000AC020000}"/>
    <cellStyle name="Currency [2]" xfId="805" xr:uid="{00000000-0005-0000-0000-0000AD020000}"/>
    <cellStyle name="Currency-Denomination" xfId="806" xr:uid="{00000000-0005-0000-0000-0000AE020000}"/>
    <cellStyle name="Dash" xfId="807" xr:uid="{00000000-0005-0000-0000-0000AF020000}"/>
    <cellStyle name="Decimal_0dp" xfId="808" xr:uid="{00000000-0005-0000-0000-0000B0020000}"/>
    <cellStyle name="Dezimal__Utopia Index Index und Guidance (Deutsch)" xfId="809" xr:uid="{00000000-0005-0000-0000-0000B1020000}"/>
    <cellStyle name="Entrée 2" xfId="810" xr:uid="{00000000-0005-0000-0000-0000B2020000}"/>
    <cellStyle name="Euro" xfId="166" xr:uid="{00000000-0005-0000-0000-0000B3020000}"/>
    <cellStyle name="Euro 2" xfId="811" xr:uid="{00000000-0005-0000-0000-0000B4020000}"/>
    <cellStyle name="Euro 3" xfId="812" xr:uid="{00000000-0005-0000-0000-0000B5020000}"/>
    <cellStyle name="Euro 3 2" xfId="813" xr:uid="{00000000-0005-0000-0000-0000B6020000}"/>
    <cellStyle name="Euro 3_IFRIC 12 classique" xfId="814" xr:uid="{00000000-0005-0000-0000-0000B7020000}"/>
    <cellStyle name="Euro_BFR_TD_2014.02" xfId="815" xr:uid="{00000000-0005-0000-0000-0000B8020000}"/>
    <cellStyle name="Explanatory Text" xfId="167" xr:uid="{00000000-0005-0000-0000-0000B9020000}"/>
    <cellStyle name="Explanatory Text 2" xfId="168" xr:uid="{00000000-0005-0000-0000-0000BA020000}"/>
    <cellStyle name="Explanatory Text 3" xfId="169" xr:uid="{00000000-0005-0000-0000-0000BB020000}"/>
    <cellStyle name="Explanatory Text 4" xfId="170" xr:uid="{00000000-0005-0000-0000-0000BC020000}"/>
    <cellStyle name="Explanatory Text 5" xfId="171" xr:uid="{00000000-0005-0000-0000-0000BD020000}"/>
    <cellStyle name="Explanatory Text 6" xfId="172" xr:uid="{00000000-0005-0000-0000-0000BE020000}"/>
    <cellStyle name="Explanatory Text_Decote croissance organique" xfId="816" xr:uid="{00000000-0005-0000-0000-0000BF020000}"/>
    <cellStyle name="EY Narrative text" xfId="817" xr:uid="{00000000-0005-0000-0000-0000C0020000}"/>
    <cellStyle name="EY%colcalc" xfId="818" xr:uid="{00000000-0005-0000-0000-0000C1020000}"/>
    <cellStyle name="EY%colcalc 2" xfId="819" xr:uid="{00000000-0005-0000-0000-0000C2020000}"/>
    <cellStyle name="EY%input" xfId="820" xr:uid="{00000000-0005-0000-0000-0000C3020000}"/>
    <cellStyle name="EY%input 2" xfId="821" xr:uid="{00000000-0005-0000-0000-0000C4020000}"/>
    <cellStyle name="EY%rowcalc" xfId="822" xr:uid="{00000000-0005-0000-0000-0000C5020000}"/>
    <cellStyle name="EY%rowcalc 2" xfId="823" xr:uid="{00000000-0005-0000-0000-0000C6020000}"/>
    <cellStyle name="EY0dp" xfId="824" xr:uid="{00000000-0005-0000-0000-0000C7020000}"/>
    <cellStyle name="EY0dp 2" xfId="825" xr:uid="{00000000-0005-0000-0000-0000C8020000}"/>
    <cellStyle name="EY1dp" xfId="826" xr:uid="{00000000-0005-0000-0000-0000C9020000}"/>
    <cellStyle name="EY1dp 2" xfId="827" xr:uid="{00000000-0005-0000-0000-0000CA020000}"/>
    <cellStyle name="EY2dp" xfId="828" xr:uid="{00000000-0005-0000-0000-0000CB020000}"/>
    <cellStyle name="EY2dp 2" xfId="829" xr:uid="{00000000-0005-0000-0000-0000CC020000}"/>
    <cellStyle name="EY3dp" xfId="830" xr:uid="{00000000-0005-0000-0000-0000CD020000}"/>
    <cellStyle name="EY3dp 2" xfId="831" xr:uid="{00000000-0005-0000-0000-0000CE020000}"/>
    <cellStyle name="EYColumnHeading" xfId="832" xr:uid="{00000000-0005-0000-0000-0000CF020000}"/>
    <cellStyle name="EYColumnHeading 2" xfId="833" xr:uid="{00000000-0005-0000-0000-0000D0020000}"/>
    <cellStyle name="EYColumnHeading 3" xfId="834" xr:uid="{00000000-0005-0000-0000-0000D1020000}"/>
    <cellStyle name="EYColumnHeading_Decote croissance organique" xfId="835" xr:uid="{00000000-0005-0000-0000-0000D2020000}"/>
    <cellStyle name="EYColumnHeadingItalic" xfId="836" xr:uid="{00000000-0005-0000-0000-0000D3020000}"/>
    <cellStyle name="EYCoverDatabookName" xfId="837" xr:uid="{00000000-0005-0000-0000-0000D4020000}"/>
    <cellStyle name="EYCoverDate" xfId="838" xr:uid="{00000000-0005-0000-0000-0000D5020000}"/>
    <cellStyle name="EYCoverDraft" xfId="839" xr:uid="{00000000-0005-0000-0000-0000D6020000}"/>
    <cellStyle name="EYCoverProjectName" xfId="840" xr:uid="{00000000-0005-0000-0000-0000D7020000}"/>
    <cellStyle name="EYCurrency" xfId="841" xr:uid="{00000000-0005-0000-0000-0000D8020000}"/>
    <cellStyle name="EYHeading1" xfId="842" xr:uid="{00000000-0005-0000-0000-0000D9020000}"/>
    <cellStyle name="EYheading2" xfId="843" xr:uid="{00000000-0005-0000-0000-0000DA020000}"/>
    <cellStyle name="EYheading3" xfId="844" xr:uid="{00000000-0005-0000-0000-0000DB020000}"/>
    <cellStyle name="EYNotes" xfId="845" xr:uid="{00000000-0005-0000-0000-0000DC020000}"/>
    <cellStyle name="EYNotesHeading" xfId="846" xr:uid="{00000000-0005-0000-0000-0000DD020000}"/>
    <cellStyle name="EYnumber" xfId="847" xr:uid="{00000000-0005-0000-0000-0000DE020000}"/>
    <cellStyle name="EYnumber 2" xfId="848" xr:uid="{00000000-0005-0000-0000-0000DF020000}"/>
    <cellStyle name="EYSectionHeading" xfId="849" xr:uid="{00000000-0005-0000-0000-0000E0020000}"/>
    <cellStyle name="EYSheetHeader1" xfId="850" xr:uid="{00000000-0005-0000-0000-0000E1020000}"/>
    <cellStyle name="EYSheetHeading" xfId="851" xr:uid="{00000000-0005-0000-0000-0000E2020000}"/>
    <cellStyle name="EYsmallheading" xfId="852" xr:uid="{00000000-0005-0000-0000-0000E3020000}"/>
    <cellStyle name="EYSource" xfId="853" xr:uid="{00000000-0005-0000-0000-0000E4020000}"/>
    <cellStyle name="EYtext" xfId="854" xr:uid="{00000000-0005-0000-0000-0000E5020000}"/>
    <cellStyle name="EYtext 2" xfId="855" xr:uid="{00000000-0005-0000-0000-0000E6020000}"/>
    <cellStyle name="EYtext 3" xfId="856" xr:uid="{00000000-0005-0000-0000-0000E7020000}"/>
    <cellStyle name="EYtext_Decote croissance organique" xfId="857" xr:uid="{00000000-0005-0000-0000-0000E8020000}"/>
    <cellStyle name="EYtextbold" xfId="858" xr:uid="{00000000-0005-0000-0000-0000E9020000}"/>
    <cellStyle name="EYtextbolditalic" xfId="859" xr:uid="{00000000-0005-0000-0000-0000EA020000}"/>
    <cellStyle name="EYtextitalic" xfId="860" xr:uid="{00000000-0005-0000-0000-0000EB020000}"/>
    <cellStyle name="Followed Hyperlink" xfId="861" xr:uid="{00000000-0005-0000-0000-0000EC020000}"/>
    <cellStyle name="Forecast Cell Column Heading" xfId="862" xr:uid="{00000000-0005-0000-0000-0000ED020000}"/>
    <cellStyle name="FormattingSheetDelimitor" xfId="863" xr:uid="{00000000-0005-0000-0000-0000EE020000}"/>
    <cellStyle name="FRxAmtStyle" xfId="864" xr:uid="{00000000-0005-0000-0000-0000EF020000}"/>
    <cellStyle name="FRxPcntStyle" xfId="865" xr:uid="{00000000-0005-0000-0000-0000F0020000}"/>
    <cellStyle name="Good" xfId="173" xr:uid="{00000000-0005-0000-0000-0000F1020000}"/>
    <cellStyle name="Good 2" xfId="174" xr:uid="{00000000-0005-0000-0000-0000F2020000}"/>
    <cellStyle name="Good 3" xfId="175" xr:uid="{00000000-0005-0000-0000-0000F3020000}"/>
    <cellStyle name="Good 4" xfId="176" xr:uid="{00000000-0005-0000-0000-0000F4020000}"/>
    <cellStyle name="Good 5" xfId="177" xr:uid="{00000000-0005-0000-0000-0000F5020000}"/>
    <cellStyle name="Good 6" xfId="178" xr:uid="{00000000-0005-0000-0000-0000F6020000}"/>
    <cellStyle name="Good_Decote croissance organique" xfId="866" xr:uid="{00000000-0005-0000-0000-0000F7020000}"/>
    <cellStyle name="h" xfId="867" xr:uid="{00000000-0005-0000-0000-0000F8020000}"/>
    <cellStyle name="Heading 1" xfId="179" xr:uid="{00000000-0005-0000-0000-0000F9020000}"/>
    <cellStyle name="Heading 1 2" xfId="180" xr:uid="{00000000-0005-0000-0000-0000FA020000}"/>
    <cellStyle name="Heading 1 3" xfId="181" xr:uid="{00000000-0005-0000-0000-0000FB020000}"/>
    <cellStyle name="Heading 1 4" xfId="182" xr:uid="{00000000-0005-0000-0000-0000FC020000}"/>
    <cellStyle name="Heading 1 5" xfId="183" xr:uid="{00000000-0005-0000-0000-0000FD020000}"/>
    <cellStyle name="Heading 1 6" xfId="184" xr:uid="{00000000-0005-0000-0000-0000FE020000}"/>
    <cellStyle name="Heading 1_Decote croissance organique" xfId="868" xr:uid="{00000000-0005-0000-0000-0000FF020000}"/>
    <cellStyle name="Heading 2" xfId="185" xr:uid="{00000000-0005-0000-0000-000000030000}"/>
    <cellStyle name="Heading 2 2" xfId="186" xr:uid="{00000000-0005-0000-0000-000001030000}"/>
    <cellStyle name="Heading 2 3" xfId="187" xr:uid="{00000000-0005-0000-0000-000002030000}"/>
    <cellStyle name="Heading 2 4" xfId="188" xr:uid="{00000000-0005-0000-0000-000003030000}"/>
    <cellStyle name="Heading 2 5" xfId="189" xr:uid="{00000000-0005-0000-0000-000004030000}"/>
    <cellStyle name="Heading 2 6" xfId="190" xr:uid="{00000000-0005-0000-0000-000005030000}"/>
    <cellStyle name="Heading 2_Decote croissance organique" xfId="869" xr:uid="{00000000-0005-0000-0000-000006030000}"/>
    <cellStyle name="Heading 3" xfId="191" xr:uid="{00000000-0005-0000-0000-000007030000}"/>
    <cellStyle name="Heading 3 2" xfId="192" xr:uid="{00000000-0005-0000-0000-000008030000}"/>
    <cellStyle name="Heading 3 3" xfId="193" xr:uid="{00000000-0005-0000-0000-000009030000}"/>
    <cellStyle name="Heading 3 4" xfId="194" xr:uid="{00000000-0005-0000-0000-00000A030000}"/>
    <cellStyle name="Heading 3 5" xfId="195" xr:uid="{00000000-0005-0000-0000-00000B030000}"/>
    <cellStyle name="Heading 3 6" xfId="196" xr:uid="{00000000-0005-0000-0000-00000C030000}"/>
    <cellStyle name="Heading 3_Decote croissance organique" xfId="870" xr:uid="{00000000-0005-0000-0000-00000D030000}"/>
    <cellStyle name="Heading 4" xfId="197" xr:uid="{00000000-0005-0000-0000-00000E030000}"/>
    <cellStyle name="Heading 4 2" xfId="198" xr:uid="{00000000-0005-0000-0000-00000F030000}"/>
    <cellStyle name="Heading 4 3" xfId="199" xr:uid="{00000000-0005-0000-0000-000010030000}"/>
    <cellStyle name="Heading 4 4" xfId="200" xr:uid="{00000000-0005-0000-0000-000011030000}"/>
    <cellStyle name="Heading 4 5" xfId="201" xr:uid="{00000000-0005-0000-0000-000012030000}"/>
    <cellStyle name="Heading 4 6" xfId="202" xr:uid="{00000000-0005-0000-0000-000013030000}"/>
    <cellStyle name="Heading 4_Decote croissance organique" xfId="871" xr:uid="{00000000-0005-0000-0000-000014030000}"/>
    <cellStyle name="Hyperlink" xfId="872" xr:uid="{00000000-0005-0000-0000-000015030000}"/>
    <cellStyle name="Hyperlink 2" xfId="203" xr:uid="{00000000-0005-0000-0000-000016030000}"/>
    <cellStyle name="Hyperlink 3" xfId="204" xr:uid="{00000000-0005-0000-0000-000017030000}"/>
    <cellStyle name="Input" xfId="205" xr:uid="{00000000-0005-0000-0000-000018030000}"/>
    <cellStyle name="Input 2" xfId="206" xr:uid="{00000000-0005-0000-0000-000019030000}"/>
    <cellStyle name="Input 3" xfId="207" xr:uid="{00000000-0005-0000-0000-00001A030000}"/>
    <cellStyle name="Input 4" xfId="208" xr:uid="{00000000-0005-0000-0000-00001B030000}"/>
    <cellStyle name="Input 5" xfId="209" xr:uid="{00000000-0005-0000-0000-00001C030000}"/>
    <cellStyle name="Input_Action Plan" xfId="873" xr:uid="{00000000-0005-0000-0000-00001D030000}"/>
    <cellStyle name="InputBlueFont" xfId="874" xr:uid="{00000000-0005-0000-0000-00001E030000}"/>
    <cellStyle name="InputBlueFontLocked" xfId="875" xr:uid="{00000000-0005-0000-0000-00001F030000}"/>
    <cellStyle name="Insatisfaisant 2" xfId="876" xr:uid="{00000000-0005-0000-0000-000020030000}"/>
    <cellStyle name="KPMG Heading 1" xfId="877" xr:uid="{00000000-0005-0000-0000-000021030000}"/>
    <cellStyle name="KPMG Heading 2" xfId="878" xr:uid="{00000000-0005-0000-0000-000022030000}"/>
    <cellStyle name="KPMG Heading 3" xfId="879" xr:uid="{00000000-0005-0000-0000-000023030000}"/>
    <cellStyle name="KPMG Heading 4" xfId="880" xr:uid="{00000000-0005-0000-0000-000024030000}"/>
    <cellStyle name="KPMG Normal" xfId="881" xr:uid="{00000000-0005-0000-0000-000025030000}"/>
    <cellStyle name="KPMG Normal Text" xfId="882" xr:uid="{00000000-0005-0000-0000-000026030000}"/>
    <cellStyle name="KPMG Normal_CAPEM BY COUNTRY" xfId="883" xr:uid="{00000000-0005-0000-0000-000027030000}"/>
    <cellStyle name="Lien hypertexte 2" xfId="884" xr:uid="{00000000-0005-0000-0000-000028030000}"/>
    <cellStyle name="Lien hypertexte 3" xfId="210" xr:uid="{00000000-0005-0000-0000-000029030000}"/>
    <cellStyle name="Ligne détail" xfId="211" xr:uid="{00000000-0005-0000-0000-00002A030000}"/>
    <cellStyle name="Linked Cell" xfId="212" xr:uid="{00000000-0005-0000-0000-00002B030000}"/>
    <cellStyle name="Linked Cell 2" xfId="213" xr:uid="{00000000-0005-0000-0000-00002C030000}"/>
    <cellStyle name="Linked Cell 3" xfId="214" xr:uid="{00000000-0005-0000-0000-00002D030000}"/>
    <cellStyle name="Linked Cell 4" xfId="215" xr:uid="{00000000-0005-0000-0000-00002E030000}"/>
    <cellStyle name="Linked Cell 5" xfId="216" xr:uid="{00000000-0005-0000-0000-00002F030000}"/>
    <cellStyle name="Linked Cell_Business Review - Saisie" xfId="217" xr:uid="{00000000-0005-0000-0000-000030030000}"/>
    <cellStyle name="LTM Cell Column Heading" xfId="885" xr:uid="{00000000-0005-0000-0000-000031030000}"/>
    <cellStyle name="MEV4" xfId="218" xr:uid="{00000000-0005-0000-0000-000032030000}"/>
    <cellStyle name="MEV5" xfId="219" xr:uid="{00000000-0005-0000-0000-000033030000}"/>
    <cellStyle name="Milliers 2" xfId="220" xr:uid="{00000000-0005-0000-0000-000034030000}"/>
    <cellStyle name="Milliers 2 2" xfId="886" xr:uid="{00000000-0005-0000-0000-000035030000}"/>
    <cellStyle name="Milliers 2_Decote croissance organique" xfId="887" xr:uid="{00000000-0005-0000-0000-000036030000}"/>
    <cellStyle name="Milliers 3" xfId="221" xr:uid="{00000000-0005-0000-0000-000037030000}"/>
    <cellStyle name="Milliers 4" xfId="222" xr:uid="{00000000-0005-0000-0000-000038030000}"/>
    <cellStyle name="Milliers 5" xfId="888" xr:uid="{00000000-0005-0000-0000-000039030000}"/>
    <cellStyle name="Milliers 6" xfId="889" xr:uid="{00000000-0005-0000-0000-00003A030000}"/>
    <cellStyle name="Milliers 7" xfId="890" xr:uid="{00000000-0005-0000-0000-00003B030000}"/>
    <cellStyle name="Monétaire 2" xfId="891" xr:uid="{00000000-0005-0000-0000-00003C030000}"/>
    <cellStyle name="Multiple" xfId="892" xr:uid="{00000000-0005-0000-0000-00003D030000}"/>
    <cellStyle name="Multiple Cell Column Heading" xfId="893" xr:uid="{00000000-0005-0000-0000-00003E030000}"/>
    <cellStyle name="N?rmal_la?oux_larou?" xfId="223" xr:uid="{00000000-0005-0000-0000-00003F030000}"/>
    <cellStyle name="Navadno 2" xfId="894" xr:uid="{00000000-0005-0000-0000-000040030000}"/>
    <cellStyle name="Neutral" xfId="224" xr:uid="{00000000-0005-0000-0000-000041030000}"/>
    <cellStyle name="Neutral 2" xfId="225" xr:uid="{00000000-0005-0000-0000-000042030000}"/>
    <cellStyle name="Neutral 3" xfId="226" xr:uid="{00000000-0005-0000-0000-000043030000}"/>
    <cellStyle name="Neutral 4" xfId="227" xr:uid="{00000000-0005-0000-0000-000044030000}"/>
    <cellStyle name="Neutral 5" xfId="228" xr:uid="{00000000-0005-0000-0000-000045030000}"/>
    <cellStyle name="Neutral 6" xfId="229" xr:uid="{00000000-0005-0000-0000-000046030000}"/>
    <cellStyle name="Neutral_Decote croissance organique" xfId="895" xr:uid="{00000000-0005-0000-0000-000047030000}"/>
    <cellStyle name="Neutre 2" xfId="896" xr:uid="{00000000-0005-0000-0000-000048030000}"/>
    <cellStyle name="no" xfId="897" xr:uid="{00000000-0005-0000-0000-000049030000}"/>
    <cellStyle name="No-definido" xfId="898" xr:uid="{00000000-0005-0000-0000-00004A030000}"/>
    <cellStyle name="Non d‚fini" xfId="899" xr:uid="{00000000-0005-0000-0000-00004B030000}"/>
    <cellStyle name="Non d‚fini 2" xfId="900" xr:uid="{00000000-0005-0000-0000-00004C030000}"/>
    <cellStyle name="Non d‚fini_Decote croissance organique" xfId="901" xr:uid="{00000000-0005-0000-0000-00004D030000}"/>
    <cellStyle name="Norma?_On Hol?" xfId="230" xr:uid="{00000000-0005-0000-0000-00004E030000}"/>
    <cellStyle name="Normaᷬ_On Holᷤ" xfId="231" xr:uid="{00000000-0005-0000-0000-00004F030000}"/>
    <cellStyle name="Normaali 2" xfId="902" xr:uid="{00000000-0005-0000-0000-000050030000}"/>
    <cellStyle name="Normaali 2 2" xfId="903" xr:uid="{00000000-0005-0000-0000-000051030000}"/>
    <cellStyle name="Normaali 2 2 2" xfId="904" xr:uid="{00000000-0005-0000-0000-000052030000}"/>
    <cellStyle name="Normaali 2 3" xfId="905" xr:uid="{00000000-0005-0000-0000-000053030000}"/>
    <cellStyle name="Normaali 3" xfId="906" xr:uid="{00000000-0005-0000-0000-000054030000}"/>
    <cellStyle name="Normaali 3 2" xfId="907" xr:uid="{00000000-0005-0000-0000-000055030000}"/>
    <cellStyle name="Normaali 3_Action Plan" xfId="908" xr:uid="{00000000-0005-0000-0000-000056030000}"/>
    <cellStyle name="Normaali 4" xfId="909" xr:uid="{00000000-0005-0000-0000-000057030000}"/>
    <cellStyle name="Normaali 5" xfId="910" xr:uid="{00000000-0005-0000-0000-000058030000}"/>
    <cellStyle name="Normal" xfId="0" builtinId="0"/>
    <cellStyle name="Normal - Style1" xfId="232" xr:uid="{00000000-0005-0000-0000-00005A030000}"/>
    <cellStyle name="Normal - Style2" xfId="911" xr:uid="{00000000-0005-0000-0000-00005B030000}"/>
    <cellStyle name="Normal - Style3" xfId="912" xr:uid="{00000000-0005-0000-0000-00005C030000}"/>
    <cellStyle name="Normal - Style4" xfId="913" xr:uid="{00000000-0005-0000-0000-00005D030000}"/>
    <cellStyle name="Normal - Style5" xfId="914" xr:uid="{00000000-0005-0000-0000-00005E030000}"/>
    <cellStyle name="Normal - Style6" xfId="915" xr:uid="{00000000-0005-0000-0000-00005F030000}"/>
    <cellStyle name="Normal - Style7" xfId="916" xr:uid="{00000000-0005-0000-0000-000060030000}"/>
    <cellStyle name="Normal - Style8" xfId="917" xr:uid="{00000000-0005-0000-0000-000061030000}"/>
    <cellStyle name="Normal 10" xfId="3" xr:uid="{00000000-0005-0000-0000-000062030000}"/>
    <cellStyle name="Normal 10 2" xfId="918" xr:uid="{00000000-0005-0000-0000-000063030000}"/>
    <cellStyle name="Normal 10 2 2" xfId="919" xr:uid="{00000000-0005-0000-0000-000064030000}"/>
    <cellStyle name="Normal 10 2 3" xfId="920" xr:uid="{00000000-0005-0000-0000-000065030000}"/>
    <cellStyle name="Normal 10 2_CAPEM BY COUNTRY" xfId="921" xr:uid="{00000000-0005-0000-0000-000066030000}"/>
    <cellStyle name="Normal 10 3" xfId="922" xr:uid="{00000000-0005-0000-0000-000067030000}"/>
    <cellStyle name="Normal 10 4" xfId="923" xr:uid="{00000000-0005-0000-0000-000068030000}"/>
    <cellStyle name="Normal 10 5" xfId="924" xr:uid="{00000000-0005-0000-0000-000069030000}"/>
    <cellStyle name="Normal 10_CAPEX" xfId="925" xr:uid="{00000000-0005-0000-0000-00006A030000}"/>
    <cellStyle name="Normal 11" xfId="233" xr:uid="{00000000-0005-0000-0000-00006B030000}"/>
    <cellStyle name="Normal 11 2" xfId="926" xr:uid="{00000000-0005-0000-0000-00006C030000}"/>
    <cellStyle name="Normal 12" xfId="234" xr:uid="{00000000-0005-0000-0000-00006D030000}"/>
    <cellStyle name="Normal 13" xfId="235" xr:uid="{00000000-0005-0000-0000-00006E030000}"/>
    <cellStyle name="Normal 14" xfId="306" xr:uid="{00000000-0005-0000-0000-00006F030000}"/>
    <cellStyle name="Normal 15" xfId="927" xr:uid="{00000000-0005-0000-0000-000070030000}"/>
    <cellStyle name="Normal 15 2" xfId="928" xr:uid="{00000000-0005-0000-0000-000071030000}"/>
    <cellStyle name="Normal 15 2 2" xfId="929" xr:uid="{00000000-0005-0000-0000-000072030000}"/>
    <cellStyle name="Normal 15 2_Action Plan" xfId="930" xr:uid="{00000000-0005-0000-0000-000073030000}"/>
    <cellStyle name="Normal 15_Decote croissance organique" xfId="931" xr:uid="{00000000-0005-0000-0000-000074030000}"/>
    <cellStyle name="Normal 16" xfId="932" xr:uid="{00000000-0005-0000-0000-000075030000}"/>
    <cellStyle name="Normal 17" xfId="933" xr:uid="{00000000-0005-0000-0000-000076030000}"/>
    <cellStyle name="Normal 18" xfId="934" xr:uid="{00000000-0005-0000-0000-000077030000}"/>
    <cellStyle name="Normal 19" xfId="935" xr:uid="{00000000-0005-0000-0000-000078030000}"/>
    <cellStyle name="Normal 2" xfId="236" xr:uid="{00000000-0005-0000-0000-000079030000}"/>
    <cellStyle name="Normal 2 10" xfId="936" xr:uid="{00000000-0005-0000-0000-00007A030000}"/>
    <cellStyle name="Normal 2 11" xfId="937" xr:uid="{00000000-0005-0000-0000-00007B030000}"/>
    <cellStyle name="Normal 2 12" xfId="938" xr:uid="{00000000-0005-0000-0000-00007C030000}"/>
    <cellStyle name="Normal 2 13" xfId="939" xr:uid="{00000000-0005-0000-0000-00007D030000}"/>
    <cellStyle name="Normal 2 14" xfId="940" xr:uid="{00000000-0005-0000-0000-00007E030000}"/>
    <cellStyle name="Normal 2 15" xfId="941" xr:uid="{00000000-0005-0000-0000-00007F030000}"/>
    <cellStyle name="Normal 2 16" xfId="942" xr:uid="{00000000-0005-0000-0000-000080030000}"/>
    <cellStyle name="Normal 2 17" xfId="943" xr:uid="{00000000-0005-0000-0000-000081030000}"/>
    <cellStyle name="Normal 2 18" xfId="944" xr:uid="{00000000-0005-0000-0000-000082030000}"/>
    <cellStyle name="Normal 2 19" xfId="945" xr:uid="{00000000-0005-0000-0000-000083030000}"/>
    <cellStyle name="Normal 2 2" xfId="237" xr:uid="{00000000-0005-0000-0000-000084030000}"/>
    <cellStyle name="Normal 2 2 2" xfId="946" xr:uid="{00000000-0005-0000-0000-000085030000}"/>
    <cellStyle name="Normal 2 2_CAPEX" xfId="947" xr:uid="{00000000-0005-0000-0000-000086030000}"/>
    <cellStyle name="Normal 2 3" xfId="238" xr:uid="{00000000-0005-0000-0000-000087030000}"/>
    <cellStyle name="Normal 2 4" xfId="239" xr:uid="{00000000-0005-0000-0000-000088030000}"/>
    <cellStyle name="Normal 2 5" xfId="240" xr:uid="{00000000-0005-0000-0000-000089030000}"/>
    <cellStyle name="Normal 2 6" xfId="948" xr:uid="{00000000-0005-0000-0000-00008A030000}"/>
    <cellStyle name="Normal 2 7" xfId="949" xr:uid="{00000000-0005-0000-0000-00008B030000}"/>
    <cellStyle name="Normal 2 8" xfId="950" xr:uid="{00000000-0005-0000-0000-00008C030000}"/>
    <cellStyle name="Normal 2 9" xfId="951" xr:uid="{00000000-0005-0000-0000-00008D030000}"/>
    <cellStyle name="Normal 2_B14_E2_2210" xfId="952" xr:uid="{00000000-0005-0000-0000-00008E030000}"/>
    <cellStyle name="Normal 20" xfId="953" xr:uid="{00000000-0005-0000-0000-00008F030000}"/>
    <cellStyle name="Normal 21" xfId="954" xr:uid="{00000000-0005-0000-0000-000090030000}"/>
    <cellStyle name="Normal 22" xfId="955" xr:uid="{00000000-0005-0000-0000-000091030000}"/>
    <cellStyle name="Normal 23" xfId="956" xr:uid="{00000000-0005-0000-0000-000092030000}"/>
    <cellStyle name="Normal 24" xfId="957" xr:uid="{00000000-0005-0000-0000-000093030000}"/>
    <cellStyle name="Normal 25" xfId="958" xr:uid="{00000000-0005-0000-0000-000094030000}"/>
    <cellStyle name="Normal 26" xfId="959" xr:uid="{00000000-0005-0000-0000-000095030000}"/>
    <cellStyle name="Normal 27" xfId="960" xr:uid="{00000000-0005-0000-0000-000096030000}"/>
    <cellStyle name="Normal 28" xfId="961" xr:uid="{00000000-0005-0000-0000-000097030000}"/>
    <cellStyle name="Normal 28 2" xfId="962" xr:uid="{00000000-0005-0000-0000-000098030000}"/>
    <cellStyle name="Normal 28_Action Plan" xfId="963" xr:uid="{00000000-0005-0000-0000-000099030000}"/>
    <cellStyle name="Normal 29" xfId="964" xr:uid="{00000000-0005-0000-0000-00009A030000}"/>
    <cellStyle name="Normal 29 2" xfId="965" xr:uid="{00000000-0005-0000-0000-00009B030000}"/>
    <cellStyle name="Normal 29_Action Plan" xfId="966" xr:uid="{00000000-0005-0000-0000-00009C030000}"/>
    <cellStyle name="Normal 3" xfId="241" xr:uid="{00000000-0005-0000-0000-00009D030000}"/>
    <cellStyle name="Normal 3 10" xfId="967" xr:uid="{00000000-0005-0000-0000-00009E030000}"/>
    <cellStyle name="Normal 3 11" xfId="968" xr:uid="{00000000-0005-0000-0000-00009F030000}"/>
    <cellStyle name="Normal 3 12" xfId="969" xr:uid="{00000000-0005-0000-0000-0000A0030000}"/>
    <cellStyle name="Normal 3 13" xfId="970" xr:uid="{00000000-0005-0000-0000-0000A1030000}"/>
    <cellStyle name="Normal 3 14" xfId="971" xr:uid="{00000000-0005-0000-0000-0000A2030000}"/>
    <cellStyle name="Normal 3 2" xfId="1" xr:uid="{00000000-0005-0000-0000-0000A3030000}"/>
    <cellStyle name="Normal 3 2 2" xfId="972" xr:uid="{00000000-0005-0000-0000-0000A4030000}"/>
    <cellStyle name="Normal 3 2 3" xfId="973" xr:uid="{00000000-0005-0000-0000-0000A5030000}"/>
    <cellStyle name="Normal 3 2_CAPEX" xfId="974" xr:uid="{00000000-0005-0000-0000-0000A6030000}"/>
    <cellStyle name="Normal 3 3" xfId="242" xr:uid="{00000000-0005-0000-0000-0000A7030000}"/>
    <cellStyle name="Normal 3 4" xfId="243" xr:uid="{00000000-0005-0000-0000-0000A8030000}"/>
    <cellStyle name="Normal 3 5" xfId="244" xr:uid="{00000000-0005-0000-0000-0000A9030000}"/>
    <cellStyle name="Normal 3 6" xfId="245" xr:uid="{00000000-0005-0000-0000-0000AA030000}"/>
    <cellStyle name="Normal 3 7" xfId="246" xr:uid="{00000000-0005-0000-0000-0000AB030000}"/>
    <cellStyle name="Normal 3 8" xfId="975" xr:uid="{00000000-0005-0000-0000-0000AC030000}"/>
    <cellStyle name="Normal 3 9" xfId="976" xr:uid="{00000000-0005-0000-0000-0000AD030000}"/>
    <cellStyle name="Normal 3_0. Investissement" xfId="247" xr:uid="{00000000-0005-0000-0000-0000AE030000}"/>
    <cellStyle name="Normal 30" xfId="977" xr:uid="{00000000-0005-0000-0000-0000AF030000}"/>
    <cellStyle name="Normal 30 2" xfId="978" xr:uid="{00000000-0005-0000-0000-0000B0030000}"/>
    <cellStyle name="Normal 30 3" xfId="979" xr:uid="{00000000-0005-0000-0000-0000B1030000}"/>
    <cellStyle name="Normal 30_Action Plan" xfId="980" xr:uid="{00000000-0005-0000-0000-0000B2030000}"/>
    <cellStyle name="Normal 31" xfId="981" xr:uid="{00000000-0005-0000-0000-0000B3030000}"/>
    <cellStyle name="Normal 32" xfId="982" xr:uid="{00000000-0005-0000-0000-0000B4030000}"/>
    <cellStyle name="Normal 32 2" xfId="983" xr:uid="{00000000-0005-0000-0000-0000B5030000}"/>
    <cellStyle name="Normal 32_Action Plan" xfId="984" xr:uid="{00000000-0005-0000-0000-0000B6030000}"/>
    <cellStyle name="Normal 33" xfId="985" xr:uid="{00000000-0005-0000-0000-0000B7030000}"/>
    <cellStyle name="Normal 33 2" xfId="986" xr:uid="{00000000-0005-0000-0000-0000B8030000}"/>
    <cellStyle name="Normal 33_Action Plan" xfId="987" xr:uid="{00000000-0005-0000-0000-0000B9030000}"/>
    <cellStyle name="Normal 34" xfId="988" xr:uid="{00000000-0005-0000-0000-0000BA030000}"/>
    <cellStyle name="Normal 35" xfId="989" xr:uid="{00000000-0005-0000-0000-0000BB030000}"/>
    <cellStyle name="Normal 36" xfId="990" xr:uid="{00000000-0005-0000-0000-0000BC030000}"/>
    <cellStyle name="Normal 37" xfId="991" xr:uid="{00000000-0005-0000-0000-0000BD030000}"/>
    <cellStyle name="Normal 38" xfId="992" xr:uid="{00000000-0005-0000-0000-0000BE030000}"/>
    <cellStyle name="Normal 38 2" xfId="993" xr:uid="{00000000-0005-0000-0000-0000BF030000}"/>
    <cellStyle name="Normal 38 2 2" xfId="994" xr:uid="{00000000-0005-0000-0000-0000C0030000}"/>
    <cellStyle name="Normal 38 2_Action Plan" xfId="995" xr:uid="{00000000-0005-0000-0000-0000C1030000}"/>
    <cellStyle name="Normal 38_Action Plan" xfId="996" xr:uid="{00000000-0005-0000-0000-0000C2030000}"/>
    <cellStyle name="Normal 39" xfId="997" xr:uid="{00000000-0005-0000-0000-0000C3030000}"/>
    <cellStyle name="Normal 4" xfId="248" xr:uid="{00000000-0005-0000-0000-0000C4030000}"/>
    <cellStyle name="Normal 4 2" xfId="998" xr:uid="{00000000-0005-0000-0000-0000C5030000}"/>
    <cellStyle name="Normal 4 3" xfId="999" xr:uid="{00000000-0005-0000-0000-0000C6030000}"/>
    <cellStyle name="Normal 4 5" xfId="1000" xr:uid="{00000000-0005-0000-0000-0000C7030000}"/>
    <cellStyle name="Normal 4_B14_E2_2210" xfId="1001" xr:uid="{00000000-0005-0000-0000-0000C8030000}"/>
    <cellStyle name="Normal 40" xfId="1002" xr:uid="{00000000-0005-0000-0000-0000C9030000}"/>
    <cellStyle name="Normal 41" xfId="1003" xr:uid="{00000000-0005-0000-0000-0000CA030000}"/>
    <cellStyle name="Normal 42" xfId="1004" xr:uid="{00000000-0005-0000-0000-0000CB030000}"/>
    <cellStyle name="Normal 42 2" xfId="1005" xr:uid="{00000000-0005-0000-0000-0000CC030000}"/>
    <cellStyle name="Normal 42_Action Plan" xfId="1006" xr:uid="{00000000-0005-0000-0000-0000CD030000}"/>
    <cellStyle name="Normal 43" xfId="1007" xr:uid="{00000000-0005-0000-0000-0000CE030000}"/>
    <cellStyle name="Normal 43 2" xfId="1008" xr:uid="{00000000-0005-0000-0000-0000CF030000}"/>
    <cellStyle name="Normal 43 3" xfId="1009" xr:uid="{00000000-0005-0000-0000-0000D0030000}"/>
    <cellStyle name="Normal 43 4" xfId="1010" xr:uid="{00000000-0005-0000-0000-0000D1030000}"/>
    <cellStyle name="Normal 43 5" xfId="1011" xr:uid="{00000000-0005-0000-0000-0000D2030000}"/>
    <cellStyle name="Normal 43_Action Plan" xfId="1012" xr:uid="{00000000-0005-0000-0000-0000D3030000}"/>
    <cellStyle name="Normal 44" xfId="1013" xr:uid="{00000000-0005-0000-0000-0000D4030000}"/>
    <cellStyle name="Normal 45" xfId="1014" xr:uid="{00000000-0005-0000-0000-0000D5030000}"/>
    <cellStyle name="Normal 45 2" xfId="1015" xr:uid="{00000000-0005-0000-0000-0000D6030000}"/>
    <cellStyle name="Normal 45_Action Plan" xfId="1016" xr:uid="{00000000-0005-0000-0000-0000D7030000}"/>
    <cellStyle name="Normal 46" xfId="1017" xr:uid="{00000000-0005-0000-0000-0000D8030000}"/>
    <cellStyle name="Normal 46 2" xfId="1018" xr:uid="{00000000-0005-0000-0000-0000D9030000}"/>
    <cellStyle name="Normal 46 2 2" xfId="1019" xr:uid="{00000000-0005-0000-0000-0000DA030000}"/>
    <cellStyle name="Normal 46_CAPEX" xfId="1020" xr:uid="{00000000-0005-0000-0000-0000DB030000}"/>
    <cellStyle name="Normal 47" xfId="1021" xr:uid="{00000000-0005-0000-0000-0000DC030000}"/>
    <cellStyle name="Normal 48" xfId="1022" xr:uid="{00000000-0005-0000-0000-0000DD030000}"/>
    <cellStyle name="Normal 49" xfId="1023" xr:uid="{00000000-0005-0000-0000-0000DE030000}"/>
    <cellStyle name="Normal 5" xfId="249" xr:uid="{00000000-0005-0000-0000-0000DF030000}"/>
    <cellStyle name="Normal 5 2" xfId="1024" xr:uid="{00000000-0005-0000-0000-0000E0030000}"/>
    <cellStyle name="Normal 5_CAPEX" xfId="1025" xr:uid="{00000000-0005-0000-0000-0000E1030000}"/>
    <cellStyle name="Normal 6" xfId="250" xr:uid="{00000000-0005-0000-0000-0000E2030000}"/>
    <cellStyle name="Normal 6 2" xfId="251" xr:uid="{00000000-0005-0000-0000-0000E3030000}"/>
    <cellStyle name="Normal 6 2 2" xfId="1026" xr:uid="{00000000-0005-0000-0000-0000E4030000}"/>
    <cellStyle name="Normal 6 2 3" xfId="1027" xr:uid="{00000000-0005-0000-0000-0000E5030000}"/>
    <cellStyle name="Normal 6 2_CAPEX" xfId="1028" xr:uid="{00000000-0005-0000-0000-0000E6030000}"/>
    <cellStyle name="Normal 6 3" xfId="252" xr:uid="{00000000-0005-0000-0000-0000E7030000}"/>
    <cellStyle name="Normal 6 4" xfId="253" xr:uid="{00000000-0005-0000-0000-0000E8030000}"/>
    <cellStyle name="Normal 6 5" xfId="254" xr:uid="{00000000-0005-0000-0000-0000E9030000}"/>
    <cellStyle name="Normal 6_0. Investissement" xfId="255" xr:uid="{00000000-0005-0000-0000-0000EA030000}"/>
    <cellStyle name="Normal 60" xfId="1029" xr:uid="{00000000-0005-0000-0000-0000EB030000}"/>
    <cellStyle name="Normal 60 2" xfId="1030" xr:uid="{00000000-0005-0000-0000-0000EC030000}"/>
    <cellStyle name="Normal 60_Action Plan" xfId="1031" xr:uid="{00000000-0005-0000-0000-0000ED030000}"/>
    <cellStyle name="Normal 62" xfId="1032" xr:uid="{00000000-0005-0000-0000-0000EE030000}"/>
    <cellStyle name="Normal 7" xfId="256" xr:uid="{00000000-0005-0000-0000-0000EF030000}"/>
    <cellStyle name="Normal 7 2" xfId="1033" xr:uid="{00000000-0005-0000-0000-0000F0030000}"/>
    <cellStyle name="Normal 7 2 2" xfId="1034" xr:uid="{00000000-0005-0000-0000-0000F1030000}"/>
    <cellStyle name="Normal 7 2 3" xfId="1035" xr:uid="{00000000-0005-0000-0000-0000F2030000}"/>
    <cellStyle name="Normal 7 2_CAPEM BY COUNTRY" xfId="1036" xr:uid="{00000000-0005-0000-0000-0000F3030000}"/>
    <cellStyle name="Normal 7 3" xfId="1037" xr:uid="{00000000-0005-0000-0000-0000F4030000}"/>
    <cellStyle name="Normal 7 4" xfId="1038" xr:uid="{00000000-0005-0000-0000-0000F5030000}"/>
    <cellStyle name="Normal 7 5" xfId="1039" xr:uid="{00000000-0005-0000-0000-0000F6030000}"/>
    <cellStyle name="Normal 7_CAPEX" xfId="1040" xr:uid="{00000000-0005-0000-0000-0000F7030000}"/>
    <cellStyle name="Normal 8" xfId="257" xr:uid="{00000000-0005-0000-0000-0000F8030000}"/>
    <cellStyle name="Normal 8 2" xfId="1041" xr:uid="{00000000-0005-0000-0000-0000F9030000}"/>
    <cellStyle name="Normal 8 2 2" xfId="1042" xr:uid="{00000000-0005-0000-0000-0000FA030000}"/>
    <cellStyle name="Normal 8 2 3" xfId="1043" xr:uid="{00000000-0005-0000-0000-0000FB030000}"/>
    <cellStyle name="Normal 8 2_CAPEM BY COUNTRY" xfId="1044" xr:uid="{00000000-0005-0000-0000-0000FC030000}"/>
    <cellStyle name="Normal 8 3" xfId="1045" xr:uid="{00000000-0005-0000-0000-0000FD030000}"/>
    <cellStyle name="Normal 8 4" xfId="1046" xr:uid="{00000000-0005-0000-0000-0000FE030000}"/>
    <cellStyle name="Normal 8_CAPEX" xfId="1047" xr:uid="{00000000-0005-0000-0000-0000FF030000}"/>
    <cellStyle name="Normal 9" xfId="258" xr:uid="{00000000-0005-0000-0000-000000040000}"/>
    <cellStyle name="Normal 9 2" xfId="1048" xr:uid="{00000000-0005-0000-0000-000001040000}"/>
    <cellStyle name="Normal 9 2 2" xfId="1049" xr:uid="{00000000-0005-0000-0000-000002040000}"/>
    <cellStyle name="Normal 9 2 3" xfId="1050" xr:uid="{00000000-0005-0000-0000-000003040000}"/>
    <cellStyle name="Normal 9 2_CAPEM BY COUNTRY" xfId="1051" xr:uid="{00000000-0005-0000-0000-000004040000}"/>
    <cellStyle name="Normal 9 3" xfId="1052" xr:uid="{00000000-0005-0000-0000-000005040000}"/>
    <cellStyle name="Normal 9 4" xfId="1053" xr:uid="{00000000-0005-0000-0000-000006040000}"/>
    <cellStyle name="Normal 9_CAPEX" xfId="1054" xr:uid="{00000000-0005-0000-0000-000007040000}"/>
    <cellStyle name="Normal_Copie de CRD_CRC_domaine TER_ergo" xfId="2" xr:uid="{00000000-0005-0000-0000-000008040000}"/>
    <cellStyle name="Normal_LTP 2010 - analysis v5" xfId="305" xr:uid="{00000000-0005-0000-0000-000009040000}"/>
    <cellStyle name="Note" xfId="259" xr:uid="{00000000-0005-0000-0000-00000A040000}"/>
    <cellStyle name="Note 2" xfId="260" xr:uid="{00000000-0005-0000-0000-00000B040000}"/>
    <cellStyle name="Note 3" xfId="261" xr:uid="{00000000-0005-0000-0000-00000C040000}"/>
    <cellStyle name="Note 4" xfId="262" xr:uid="{00000000-0005-0000-0000-00000D040000}"/>
    <cellStyle name="Note 5" xfId="263" xr:uid="{00000000-0005-0000-0000-00000E040000}"/>
    <cellStyle name="Note_Action Plan" xfId="1055" xr:uid="{00000000-0005-0000-0000-00000F040000}"/>
    <cellStyle name="Notes_multi" xfId="1056" xr:uid="{00000000-0005-0000-0000-000010040000}"/>
    <cellStyle name="N䃯rmal_la䇲oux_larou᷸" xfId="264" xr:uid="{00000000-0005-0000-0000-000011040000}"/>
    <cellStyle name="Output" xfId="265" xr:uid="{00000000-0005-0000-0000-000012040000}"/>
    <cellStyle name="Output 2" xfId="266" xr:uid="{00000000-0005-0000-0000-000013040000}"/>
    <cellStyle name="Output 3" xfId="267" xr:uid="{00000000-0005-0000-0000-000014040000}"/>
    <cellStyle name="Output 4" xfId="268" xr:uid="{00000000-0005-0000-0000-000015040000}"/>
    <cellStyle name="Output 5" xfId="269" xr:uid="{00000000-0005-0000-0000-000016040000}"/>
    <cellStyle name="Output 6" xfId="270" xr:uid="{00000000-0005-0000-0000-000017040000}"/>
    <cellStyle name="Output_Action Plan" xfId="1057" xr:uid="{00000000-0005-0000-0000-000018040000}"/>
    <cellStyle name="p" xfId="1058" xr:uid="{00000000-0005-0000-0000-000019040000}"/>
    <cellStyle name="p_Actualisation provision contrat déficitaire SNCM 2010 V Def" xfId="1059" xr:uid="{00000000-0005-0000-0000-00001A040000}"/>
    <cellStyle name="p_Actualisation provision contrat déficitaire SNCM 2010 V Def_B14_E2_2210" xfId="1060" xr:uid="{00000000-0005-0000-0000-00001B040000}"/>
    <cellStyle name="p_Actualisation provision contrat déficitaire SNCM 2010 V Def_B14_E2_2210_Bridge_Zone_Sud" xfId="1061" xr:uid="{00000000-0005-0000-0000-00001C040000}"/>
    <cellStyle name="p_Actualisation provision contrat déficitaire SNCM 2010 V Def_Bridge_Zone_Sud" xfId="1062" xr:uid="{00000000-0005-0000-0000-00001D040000}"/>
    <cellStyle name="p_Actualisation provision contrat déficitaire SNCM 2011 V3 30 05 2011" xfId="1063" xr:uid="{00000000-0005-0000-0000-00001E040000}"/>
    <cellStyle name="p_Actualisation provision contrat déficitaire SNCM 2011 V3 30 05 2011_B14_E2_2210" xfId="1064" xr:uid="{00000000-0005-0000-0000-00001F040000}"/>
    <cellStyle name="p_Actualisation provision contrat déficitaire SNCM 2011 V3 30 05 2011_B14_E2_2210_Bridge_Zone_Sud" xfId="1065" xr:uid="{00000000-0005-0000-0000-000020040000}"/>
    <cellStyle name="p_Actualisation provision contrat déficitaire SNCM 2011 V3 30 05 2011_Bridge_Zone_Sud" xfId="1066" xr:uid="{00000000-0005-0000-0000-000021040000}"/>
    <cellStyle name="p_B14_E2_2210" xfId="1067" xr:uid="{00000000-0005-0000-0000-000022040000}"/>
    <cellStyle name="p_B14_E2_2210_Bridge_Zone_Sud" xfId="1068" xr:uid="{00000000-0005-0000-0000-000023040000}"/>
    <cellStyle name="p_Bridge_Zone_Sud" xfId="1069" xr:uid="{00000000-0005-0000-0000-000024040000}"/>
    <cellStyle name="p_PPA SNCM - présentation CAC 28 06 2011" xfId="1070" xr:uid="{00000000-0005-0000-0000-000025040000}"/>
    <cellStyle name="p_PPA SNCM - présentation CAC 28 06 2011_B14_E2_2210" xfId="1071" xr:uid="{00000000-0005-0000-0000-000026040000}"/>
    <cellStyle name="p_PPA SNCM - présentation CAC 28 06 2011_B14_E2_2210_Bridge_Zone_Sud" xfId="1072" xr:uid="{00000000-0005-0000-0000-000027040000}"/>
    <cellStyle name="p_PPA SNCM - présentation CAC 28 06 2011_Bridge_Zone_Sud" xfId="1073" xr:uid="{00000000-0005-0000-0000-000028040000}"/>
    <cellStyle name="pb_page_heading_LS" xfId="1074" xr:uid="{00000000-0005-0000-0000-000029040000}"/>
    <cellStyle name="pe" xfId="1075" xr:uid="{00000000-0005-0000-0000-00002A040000}"/>
    <cellStyle name="per" xfId="1076" xr:uid="{00000000-0005-0000-0000-00002B040000}"/>
    <cellStyle name="Percent [0]" xfId="1077" xr:uid="{00000000-0005-0000-0000-00002D040000}"/>
    <cellStyle name="Percent [1]" xfId="1078" xr:uid="{00000000-0005-0000-0000-00002E040000}"/>
    <cellStyle name="Percent [2]" xfId="1079" xr:uid="{00000000-0005-0000-0000-00002F040000}"/>
    <cellStyle name="Percent 10" xfId="271" xr:uid="{00000000-0005-0000-0000-000030040000}"/>
    <cellStyle name="Percent 2" xfId="272" xr:uid="{00000000-0005-0000-0000-000031040000}"/>
    <cellStyle name="Percent 2 2" xfId="273" xr:uid="{00000000-0005-0000-0000-000032040000}"/>
    <cellStyle name="Percent 3" xfId="274" xr:uid="{00000000-0005-0000-0000-000033040000}"/>
    <cellStyle name="Percent 3 2" xfId="1080" xr:uid="{00000000-0005-0000-0000-000034040000}"/>
    <cellStyle name="Percent 32" xfId="1081" xr:uid="{00000000-0005-0000-0000-000035040000}"/>
    <cellStyle name="Percent 32 3" xfId="1082" xr:uid="{00000000-0005-0000-0000-000036040000}"/>
    <cellStyle name="Percent 4" xfId="275" xr:uid="{00000000-0005-0000-0000-000037040000}"/>
    <cellStyle name="Percent 5" xfId="276" xr:uid="{00000000-0005-0000-0000-000038040000}"/>
    <cellStyle name="Percent 5 2" xfId="277" xr:uid="{00000000-0005-0000-0000-000039040000}"/>
    <cellStyle name="Percent 5 3" xfId="278" xr:uid="{00000000-0005-0000-0000-00003A040000}"/>
    <cellStyle name="Percent 5 4" xfId="279" xr:uid="{00000000-0005-0000-0000-00003B040000}"/>
    <cellStyle name="Percent 5 5" xfId="280" xr:uid="{00000000-0005-0000-0000-00003C040000}"/>
    <cellStyle name="Percent 6" xfId="281" xr:uid="{00000000-0005-0000-0000-00003D040000}"/>
    <cellStyle name="Percent 7" xfId="282" xr:uid="{00000000-0005-0000-0000-00003E040000}"/>
    <cellStyle name="Percent 8" xfId="283" xr:uid="{00000000-0005-0000-0000-00003F040000}"/>
    <cellStyle name="Percent 9" xfId="284" xr:uid="{00000000-0005-0000-0000-000040040000}"/>
    <cellStyle name="Pound" xfId="1083" xr:uid="{00000000-0005-0000-0000-000041040000}"/>
    <cellStyle name="Pound [1]" xfId="1084" xr:uid="{00000000-0005-0000-0000-000042040000}"/>
    <cellStyle name="Pound [2]" xfId="1085" xr:uid="{00000000-0005-0000-0000-000043040000}"/>
    <cellStyle name="Pound_CAPEM BY COUNTRY" xfId="1086" xr:uid="{00000000-0005-0000-0000-000044040000}"/>
    <cellStyle name="Pourcentage" xfId="3339" builtinId="5"/>
    <cellStyle name="Pourcentage 10" xfId="1087" xr:uid="{00000000-0005-0000-0000-000045040000}"/>
    <cellStyle name="Pourcentage 11" xfId="1088" xr:uid="{00000000-0005-0000-0000-000046040000}"/>
    <cellStyle name="Pourcentage 12" xfId="1089" xr:uid="{00000000-0005-0000-0000-000047040000}"/>
    <cellStyle name="Pourcentage 13" xfId="1090" xr:uid="{00000000-0005-0000-0000-000048040000}"/>
    <cellStyle name="Pourcentage 14" xfId="1091" xr:uid="{00000000-0005-0000-0000-000049040000}"/>
    <cellStyle name="Pourcentage 15" xfId="1092" xr:uid="{00000000-0005-0000-0000-00004A040000}"/>
    <cellStyle name="Pourcentage 16" xfId="1093" xr:uid="{00000000-0005-0000-0000-00004B040000}"/>
    <cellStyle name="Pourcentage 17" xfId="1094" xr:uid="{00000000-0005-0000-0000-00004C040000}"/>
    <cellStyle name="Pourcentage 17 2" xfId="1095" xr:uid="{00000000-0005-0000-0000-00004D040000}"/>
    <cellStyle name="Pourcentage 18" xfId="1096" xr:uid="{00000000-0005-0000-0000-00004E040000}"/>
    <cellStyle name="Pourcentage 18 2" xfId="1097" xr:uid="{00000000-0005-0000-0000-00004F040000}"/>
    <cellStyle name="Pourcentage 19" xfId="1098" xr:uid="{00000000-0005-0000-0000-000050040000}"/>
    <cellStyle name="Pourcentage 2" xfId="285" xr:uid="{00000000-0005-0000-0000-000051040000}"/>
    <cellStyle name="Pourcentage 2 2" xfId="1099" xr:uid="{00000000-0005-0000-0000-000052040000}"/>
    <cellStyle name="Pourcentage 2 3" xfId="1100" xr:uid="{00000000-0005-0000-0000-000053040000}"/>
    <cellStyle name="Pourcentage 2 3 2" xfId="1101" xr:uid="{00000000-0005-0000-0000-000054040000}"/>
    <cellStyle name="Pourcentage 2 4" xfId="1102" xr:uid="{00000000-0005-0000-0000-000055040000}"/>
    <cellStyle name="Pourcentage 2 5" xfId="1103" xr:uid="{00000000-0005-0000-0000-000056040000}"/>
    <cellStyle name="Pourcentage 2 6" xfId="1104" xr:uid="{00000000-0005-0000-0000-000057040000}"/>
    <cellStyle name="Pourcentage 2 7" xfId="1105" xr:uid="{00000000-0005-0000-0000-000058040000}"/>
    <cellStyle name="Pourcentage 2 8" xfId="1106" xr:uid="{00000000-0005-0000-0000-000059040000}"/>
    <cellStyle name="Pourcentage 3" xfId="286" xr:uid="{00000000-0005-0000-0000-00005A040000}"/>
    <cellStyle name="Pourcentage 3 2" xfId="1107" xr:uid="{00000000-0005-0000-0000-00005B040000}"/>
    <cellStyle name="Pourcentage 4" xfId="4" xr:uid="{00000000-0005-0000-0000-00005C040000}"/>
    <cellStyle name="Pourcentage 4 2" xfId="1108" xr:uid="{00000000-0005-0000-0000-00005D040000}"/>
    <cellStyle name="Pourcentage 5" xfId="1109" xr:uid="{00000000-0005-0000-0000-00005E040000}"/>
    <cellStyle name="Pourcentage 5 2" xfId="1110" xr:uid="{00000000-0005-0000-0000-00005F040000}"/>
    <cellStyle name="Pourcentage 6" xfId="1111" xr:uid="{00000000-0005-0000-0000-000060040000}"/>
    <cellStyle name="Pourcentage 6 2" xfId="1112" xr:uid="{00000000-0005-0000-0000-000061040000}"/>
    <cellStyle name="Pourcentage 7" xfId="1113" xr:uid="{00000000-0005-0000-0000-000062040000}"/>
    <cellStyle name="Pourcentage 8" xfId="1114" xr:uid="{00000000-0005-0000-0000-000063040000}"/>
    <cellStyle name="Pourcentage 8 2" xfId="1115" xr:uid="{00000000-0005-0000-0000-000064040000}"/>
    <cellStyle name="Pourcentage 9" xfId="1116" xr:uid="{00000000-0005-0000-0000-000065040000}"/>
    <cellStyle name="Prosenttia 10" xfId="1117" xr:uid="{00000000-0005-0000-0000-000066040000}"/>
    <cellStyle name="Prosenttia 2" xfId="1118" xr:uid="{00000000-0005-0000-0000-000067040000}"/>
    <cellStyle name="ptit" xfId="1119" xr:uid="{00000000-0005-0000-0000-000068040000}"/>
    <cellStyle name="rat" xfId="1120" xr:uid="{00000000-0005-0000-0000-000069040000}"/>
    <cellStyle name="rate" xfId="1121" xr:uid="{00000000-0005-0000-0000-00006A040000}"/>
    <cellStyle name="ratio" xfId="1122" xr:uid="{00000000-0005-0000-0000-00006B040000}"/>
    <cellStyle name="s" xfId="1123" xr:uid="{00000000-0005-0000-0000-00006C040000}"/>
    <cellStyle name="s_Actualisation provision contrat déficitaire SNCM 2010 V Def" xfId="1124" xr:uid="{00000000-0005-0000-0000-00006D040000}"/>
    <cellStyle name="s_Actualisation provision contrat déficitaire SNCM 2010 V Def_B14_E2_2210" xfId="1125" xr:uid="{00000000-0005-0000-0000-00006E040000}"/>
    <cellStyle name="s_Actualisation provision contrat déficitaire SNCM 2010 V Def_B14_E2_2210_Bridge_Zone_Sud" xfId="1126" xr:uid="{00000000-0005-0000-0000-00006F040000}"/>
    <cellStyle name="s_Actualisation provision contrat déficitaire SNCM 2010 V Def_Bridge_Zone_Sud" xfId="1127" xr:uid="{00000000-0005-0000-0000-000070040000}"/>
    <cellStyle name="s_Actualisation provision contrat déficitaire SNCM 2010 V Def_CAPEM BY COUNTRY" xfId="1128" xr:uid="{00000000-0005-0000-0000-000071040000}"/>
    <cellStyle name="s_Actualisation provision contrat déficitaire SNCM 2010 V Def_focus par entités CAFOPE2AMF" xfId="1129" xr:uid="{00000000-0005-0000-0000-000072040000}"/>
    <cellStyle name="s_Actualisation provision contrat déficitaire SNCM 2010 V Def_focus par entités CAFOPE2AMF_Bridge_Zone_Sud" xfId="1130" xr:uid="{00000000-0005-0000-0000-000073040000}"/>
    <cellStyle name="s_Actualisation provision contrat déficitaire SNCM 2010 V Def_Maquette PLT" xfId="1131" xr:uid="{00000000-0005-0000-0000-000074040000}"/>
    <cellStyle name="s_Actualisation provision contrat déficitaire SNCM 2010 V Def_Output" xfId="3367" xr:uid="{00000000-0005-0000-0000-000075040000}"/>
    <cellStyle name="s_Actualisation provision contrat déficitaire SNCM 2010 V Def_PAO-CAF-RESOP_04_13_pro_format_variante T1" xfId="1132" xr:uid="{00000000-0005-0000-0000-000076040000}"/>
    <cellStyle name="s_Actualisation provision contrat déficitaire SNCM 2010 V Def_PAO-CAF-RESOP_04_13_pro_format_variante T1_B14_E2_2210" xfId="1133" xr:uid="{00000000-0005-0000-0000-000077040000}"/>
    <cellStyle name="s_Actualisation provision contrat déficitaire SNCM 2010 V Def_PAO-CAF-RESOP_04_13_pro_format_variante T1_B14_E2_2210_Bridge_Zone_Sud" xfId="1134" xr:uid="{00000000-0005-0000-0000-000078040000}"/>
    <cellStyle name="s_Actualisation provision contrat déficitaire SNCM 2010 V Def_PAO-CAF-RESOP_04_13_pro_format_variante T1_Bridge_Zone_Sud" xfId="1135" xr:uid="{00000000-0005-0000-0000-000079040000}"/>
    <cellStyle name="s_Actualisation provision contrat déficitaire SNCM 2010 V Def_PAO-CAF-RESOP_06_13" xfId="1136" xr:uid="{00000000-0005-0000-0000-00007A040000}"/>
    <cellStyle name="s_Actualisation provision contrat déficitaire SNCM 2010 V Def_PAO-CAF-RESOP_06_13_B14_E2_2210" xfId="1137" xr:uid="{00000000-0005-0000-0000-00007B040000}"/>
    <cellStyle name="s_Actualisation provision contrat déficitaire SNCM 2010 V Def_PAO-CAF-RESOP_06_13_B14_E2_2210_Bridge_Zone_Sud" xfId="1138" xr:uid="{00000000-0005-0000-0000-00007C040000}"/>
    <cellStyle name="s_Actualisation provision contrat déficitaire SNCM 2010 V Def_PAO-CAF-RESOP_06_13_Bridge_Zone_Sud" xfId="1139" xr:uid="{00000000-0005-0000-0000-00007D040000}"/>
    <cellStyle name="s_Actualisation provision contrat déficitaire SNCM 2010 V Def_PAO-CAF-RESOP_08_13" xfId="1140" xr:uid="{00000000-0005-0000-0000-00007E040000}"/>
    <cellStyle name="s_Actualisation provision contrat déficitaire SNCM 2010 V Def_PAO-CAF-RESOP_08_13_B14_E2_2210" xfId="1141" xr:uid="{00000000-0005-0000-0000-00007F040000}"/>
    <cellStyle name="s_Actualisation provision contrat déficitaire SNCM 2010 V Def_PAO-CAF-RESOP_08_13_B14_E2_2210_Bridge_Zone_Sud" xfId="1142" xr:uid="{00000000-0005-0000-0000-000080040000}"/>
    <cellStyle name="s_Actualisation provision contrat déficitaire SNCM 2010 V Def_PAO-CAF-RESOP_08_13_Bridge_Zone_Sud" xfId="1143" xr:uid="{00000000-0005-0000-0000-000081040000}"/>
    <cellStyle name="s_Actualisation provision contrat déficitaire SNCM 2010 V Def_PAO-CAF-RESOP_09_13" xfId="1144" xr:uid="{00000000-0005-0000-0000-000082040000}"/>
    <cellStyle name="s_Actualisation provision contrat déficitaire SNCM 2010 V Def_PAO-CAF-RESOP_09_13_Bridge_Zone_Sud" xfId="1145" xr:uid="{00000000-0005-0000-0000-000083040000}"/>
    <cellStyle name="s_Actualisation provision contrat déficitaire SNCM 2010 V Def_PAO-CAF-RESOP_09_2013_Zone_IDF (version 2)" xfId="1146" xr:uid="{00000000-0005-0000-0000-000084040000}"/>
    <cellStyle name="s_Actualisation provision contrat déficitaire SNCM 2010 V Def_PAO-CAF-RESOP_10_12" xfId="1147" xr:uid="{00000000-0005-0000-0000-000085040000}"/>
    <cellStyle name="s_Actualisation provision contrat déficitaire SNCM 2010 V Def_PAO-CAF-RESOP_10_12_Bridge_Zone_Sud" xfId="1148" xr:uid="{00000000-0005-0000-0000-000086040000}"/>
    <cellStyle name="s_Actualisation provision contrat déficitaire SNCM 2010 V Def_PAO-CAF-RESOP_10_12_focus par entités CAFOP" xfId="1149" xr:uid="{00000000-0005-0000-0000-000087040000}"/>
    <cellStyle name="s_Actualisation provision contrat déficitaire SNCM 2010 V Def_PAO-CAF-RESOP_10_12_focus par entités CAFOP_Bridge_Zone_Sud" xfId="1150" xr:uid="{00000000-0005-0000-0000-000088040000}"/>
    <cellStyle name="s_Actualisation provision contrat déficitaire SNCM 2010 V Def_PAO-CAF-RESOP_11_13" xfId="1151" xr:uid="{00000000-0005-0000-0000-000089040000}"/>
    <cellStyle name="s_Actualisation provision contrat déficitaire SNCM 2010 V Def_PAO-CAF-RESOP_B13" xfId="1152" xr:uid="{00000000-0005-0000-0000-00008A040000}"/>
    <cellStyle name="s_Actualisation provision contrat déficitaire SNCM 2010 V Def_PAO-CAF-RESOP_B13_Bridge_Zone_Sud" xfId="1153" xr:uid="{00000000-0005-0000-0000-00008B040000}"/>
    <cellStyle name="s_Actualisation provision contrat déficitaire SNCM 2010 V Def_PAO-CAF-RESOP_B13_focus par entités CAFOP" xfId="1154" xr:uid="{00000000-0005-0000-0000-00008C040000}"/>
    <cellStyle name="s_Actualisation provision contrat déficitaire SNCM 2010 V Def_PAO-CAF-RESOP_B13_focus par entités CAFOP_Bridge_Zone_Sud" xfId="1155" xr:uid="{00000000-0005-0000-0000-00008D040000}"/>
    <cellStyle name="s_Actualisation provision contrat déficitaire SNCM 2010 V Def_PAO-CAF-RESOP_B2014" xfId="1156" xr:uid="{00000000-0005-0000-0000-00008E040000}"/>
    <cellStyle name="s_Actualisation provision contrat déficitaire SNCM 2010 V Def_PAO-CAF-RESOP_B2014_Bridge_Zone_Sud" xfId="1157" xr:uid="{00000000-0005-0000-0000-00008F040000}"/>
    <cellStyle name="s_Actualisation provision contrat déficitaire SNCM 2010 V Def_PAO-CAF-RESOP_B2014_v2" xfId="1158" xr:uid="{00000000-0005-0000-0000-000090040000}"/>
    <cellStyle name="s_Actualisation provision contrat déficitaire SNCM 2010 V Def_PAO-CAF-RESOP_E2_13" xfId="1159" xr:uid="{00000000-0005-0000-0000-000091040000}"/>
    <cellStyle name="s_Actualisation provision contrat déficitaire SNCM 2010 V Def_PAO-CAF-RESOP_E2_13_B14_E2_2210" xfId="1160" xr:uid="{00000000-0005-0000-0000-000092040000}"/>
    <cellStyle name="s_Actualisation provision contrat déficitaire SNCM 2010 V Def_PAO-CAF-RESOP_E2_13_B14_E2_2210_Bridge_Zone_Sud" xfId="1161" xr:uid="{00000000-0005-0000-0000-000093040000}"/>
    <cellStyle name="s_Actualisation provision contrat déficitaire SNCM 2010 V Def_PAO-CAF-RESOP_E2_13_Bridge_Zone_Sud" xfId="1162" xr:uid="{00000000-0005-0000-0000-000094040000}"/>
    <cellStyle name="s_Actualisation provision contrat déficitaire SNCM 2010 V Def_PAO-CAF-RESOP_E2_2013_03_10_19H" xfId="1163" xr:uid="{00000000-0005-0000-0000-000095040000}"/>
    <cellStyle name="s_Actualisation provision contrat déficitaire SNCM 2010 V Def_PAO-CAF-RESOP_E2_2013_03_10_19H_Bridge_Zone_Sud" xfId="1164" xr:uid="{00000000-0005-0000-0000-000096040000}"/>
    <cellStyle name="s_Actualisation provision contrat déficitaire SNCM 2010 V Def_PPA" xfId="1165" xr:uid="{00000000-0005-0000-0000-000097040000}"/>
    <cellStyle name="s_Actualisation provision contrat déficitaire SNCM 2010 V Def_RESOP bef CICE&amp;PPA&amp;RepartHO" xfId="1166" xr:uid="{00000000-0005-0000-0000-000098040000}"/>
    <cellStyle name="s_Actualisation provision contrat déficitaire SNCM 2010 V Def_Synthèse_Présentation_conso_retraitée" xfId="1167" xr:uid="{00000000-0005-0000-0000-000099040000}"/>
    <cellStyle name="s_Actualisation provision contrat déficitaire SNCM 2011 V3 30 05 2011" xfId="1168" xr:uid="{00000000-0005-0000-0000-00009A040000}"/>
    <cellStyle name="s_Actualisation provision contrat déficitaire SNCM 2011 V3 30 05 2011_B14_E2_2210" xfId="1169" xr:uid="{00000000-0005-0000-0000-00009B040000}"/>
    <cellStyle name="s_Actualisation provision contrat déficitaire SNCM 2011 V3 30 05 2011_B14_E2_2210_Bridge_Zone_Sud" xfId="1170" xr:uid="{00000000-0005-0000-0000-00009C040000}"/>
    <cellStyle name="s_Actualisation provision contrat déficitaire SNCM 2011 V3 30 05 2011_Bridge_Zone_Sud" xfId="1171" xr:uid="{00000000-0005-0000-0000-00009D040000}"/>
    <cellStyle name="s_Actualisation provision contrat déficitaire SNCM 2011 V3 30 05 2011_CAPEM BY COUNTRY" xfId="1172" xr:uid="{00000000-0005-0000-0000-00009E040000}"/>
    <cellStyle name="s_Actualisation provision contrat déficitaire SNCM 2011 V3 30 05 2011_focus par entités CAFOPE2AMF" xfId="1173" xr:uid="{00000000-0005-0000-0000-00009F040000}"/>
    <cellStyle name="s_Actualisation provision contrat déficitaire SNCM 2011 V3 30 05 2011_focus par entités CAFOPE2AMF_Bridge_Zone_Sud" xfId="1174" xr:uid="{00000000-0005-0000-0000-0000A0040000}"/>
    <cellStyle name="s_Actualisation provision contrat déficitaire SNCM 2011 V3 30 05 2011_Maquette PLT" xfId="1175" xr:uid="{00000000-0005-0000-0000-0000A1040000}"/>
    <cellStyle name="s_Actualisation provision contrat déficitaire SNCM 2011 V3 30 05 2011_Output" xfId="3368" xr:uid="{00000000-0005-0000-0000-0000A2040000}"/>
    <cellStyle name="s_Actualisation provision contrat déficitaire SNCM 2011 V3 30 05 2011_PAO-CAF-RESOP_04_13_pro_format_variante T1" xfId="1176" xr:uid="{00000000-0005-0000-0000-0000A3040000}"/>
    <cellStyle name="s_Actualisation provision contrat déficitaire SNCM 2011 V3 30 05 2011_PAO-CAF-RESOP_04_13_pro_format_variante T1_B14_E2_2210" xfId="1177" xr:uid="{00000000-0005-0000-0000-0000A4040000}"/>
    <cellStyle name="s_Actualisation provision contrat déficitaire SNCM 2011 V3 30 05 2011_PAO-CAF-RESOP_04_13_pro_format_variante T1_B14_E2_2210_Bridge_Zone_Sud" xfId="1178" xr:uid="{00000000-0005-0000-0000-0000A5040000}"/>
    <cellStyle name="s_Actualisation provision contrat déficitaire SNCM 2011 V3 30 05 2011_PAO-CAF-RESOP_04_13_pro_format_variante T1_Bridge_Zone_Sud" xfId="1179" xr:uid="{00000000-0005-0000-0000-0000A6040000}"/>
    <cellStyle name="s_Actualisation provision contrat déficitaire SNCM 2011 V3 30 05 2011_PAO-CAF-RESOP_06_13" xfId="1180" xr:uid="{00000000-0005-0000-0000-0000A7040000}"/>
    <cellStyle name="s_Actualisation provision contrat déficitaire SNCM 2011 V3 30 05 2011_PAO-CAF-RESOP_06_13_B14_E2_2210" xfId="1181" xr:uid="{00000000-0005-0000-0000-0000A8040000}"/>
    <cellStyle name="s_Actualisation provision contrat déficitaire SNCM 2011 V3 30 05 2011_PAO-CAF-RESOP_06_13_B14_E2_2210_Bridge_Zone_Sud" xfId="1182" xr:uid="{00000000-0005-0000-0000-0000A9040000}"/>
    <cellStyle name="s_Actualisation provision contrat déficitaire SNCM 2011 V3 30 05 2011_PAO-CAF-RESOP_06_13_Bridge_Zone_Sud" xfId="1183" xr:uid="{00000000-0005-0000-0000-0000AA040000}"/>
    <cellStyle name="s_Actualisation provision contrat déficitaire SNCM 2011 V3 30 05 2011_PAO-CAF-RESOP_08_13" xfId="1184" xr:uid="{00000000-0005-0000-0000-0000AB040000}"/>
    <cellStyle name="s_Actualisation provision contrat déficitaire SNCM 2011 V3 30 05 2011_PAO-CAF-RESOP_08_13_B14_E2_2210" xfId="1185" xr:uid="{00000000-0005-0000-0000-0000AC040000}"/>
    <cellStyle name="s_Actualisation provision contrat déficitaire SNCM 2011 V3 30 05 2011_PAO-CAF-RESOP_08_13_B14_E2_2210_Bridge_Zone_Sud" xfId="1186" xr:uid="{00000000-0005-0000-0000-0000AD040000}"/>
    <cellStyle name="s_Actualisation provision contrat déficitaire SNCM 2011 V3 30 05 2011_PAO-CAF-RESOP_08_13_Bridge_Zone_Sud" xfId="1187" xr:uid="{00000000-0005-0000-0000-0000AE040000}"/>
    <cellStyle name="s_Actualisation provision contrat déficitaire SNCM 2011 V3 30 05 2011_PAO-CAF-RESOP_09_13" xfId="1188" xr:uid="{00000000-0005-0000-0000-0000AF040000}"/>
    <cellStyle name="s_Actualisation provision contrat déficitaire SNCM 2011 V3 30 05 2011_PAO-CAF-RESOP_09_13_Bridge_Zone_Sud" xfId="1189" xr:uid="{00000000-0005-0000-0000-0000B0040000}"/>
    <cellStyle name="s_Actualisation provision contrat déficitaire SNCM 2011 V3 30 05 2011_PAO-CAF-RESOP_09_2013_Zone_IDF (version 2)" xfId="1190" xr:uid="{00000000-0005-0000-0000-0000B1040000}"/>
    <cellStyle name="s_Actualisation provision contrat déficitaire SNCM 2011 V3 30 05 2011_PAO-CAF-RESOP_10_12" xfId="1191" xr:uid="{00000000-0005-0000-0000-0000B2040000}"/>
    <cellStyle name="s_Actualisation provision contrat déficitaire SNCM 2011 V3 30 05 2011_PAO-CAF-RESOP_10_12_Bridge_Zone_Sud" xfId="1192" xr:uid="{00000000-0005-0000-0000-0000B3040000}"/>
    <cellStyle name="s_Actualisation provision contrat déficitaire SNCM 2011 V3 30 05 2011_PAO-CAF-RESOP_10_12_focus par entités CAFOP" xfId="1193" xr:uid="{00000000-0005-0000-0000-0000B4040000}"/>
    <cellStyle name="s_Actualisation provision contrat déficitaire SNCM 2011 V3 30 05 2011_PAO-CAF-RESOP_10_12_focus par entités CAFOP_Bridge_Zone_Sud" xfId="1194" xr:uid="{00000000-0005-0000-0000-0000B5040000}"/>
    <cellStyle name="s_Actualisation provision contrat déficitaire SNCM 2011 V3 30 05 2011_PAO-CAF-RESOP_11_13" xfId="1195" xr:uid="{00000000-0005-0000-0000-0000B6040000}"/>
    <cellStyle name="s_Actualisation provision contrat déficitaire SNCM 2011 V3 30 05 2011_PAO-CAF-RESOP_B13" xfId="1196" xr:uid="{00000000-0005-0000-0000-0000B7040000}"/>
    <cellStyle name="s_Actualisation provision contrat déficitaire SNCM 2011 V3 30 05 2011_PAO-CAF-RESOP_B13_Bridge_Zone_Sud" xfId="1197" xr:uid="{00000000-0005-0000-0000-0000B8040000}"/>
    <cellStyle name="s_Actualisation provision contrat déficitaire SNCM 2011 V3 30 05 2011_PAO-CAF-RESOP_B13_focus par entités CAFOP" xfId="1198" xr:uid="{00000000-0005-0000-0000-0000B9040000}"/>
    <cellStyle name="s_Actualisation provision contrat déficitaire SNCM 2011 V3 30 05 2011_PAO-CAF-RESOP_B13_focus par entités CAFOP_Bridge_Zone_Sud" xfId="1199" xr:uid="{00000000-0005-0000-0000-0000BA040000}"/>
    <cellStyle name="s_Actualisation provision contrat déficitaire SNCM 2011 V3 30 05 2011_PAO-CAF-RESOP_B2014" xfId="1200" xr:uid="{00000000-0005-0000-0000-0000BB040000}"/>
    <cellStyle name="s_Actualisation provision contrat déficitaire SNCM 2011 V3 30 05 2011_PAO-CAF-RESOP_B2014_Bridge_Zone_Sud" xfId="1201" xr:uid="{00000000-0005-0000-0000-0000BC040000}"/>
    <cellStyle name="s_Actualisation provision contrat déficitaire SNCM 2011 V3 30 05 2011_PAO-CAF-RESOP_B2014_v2" xfId="1202" xr:uid="{00000000-0005-0000-0000-0000BD040000}"/>
    <cellStyle name="s_Actualisation provision contrat déficitaire SNCM 2011 V3 30 05 2011_PAO-CAF-RESOP_E2_13" xfId="1203" xr:uid="{00000000-0005-0000-0000-0000BE040000}"/>
    <cellStyle name="s_Actualisation provision contrat déficitaire SNCM 2011 V3 30 05 2011_PAO-CAF-RESOP_E2_13_B14_E2_2210" xfId="1204" xr:uid="{00000000-0005-0000-0000-0000BF040000}"/>
    <cellStyle name="s_Actualisation provision contrat déficitaire SNCM 2011 V3 30 05 2011_PAO-CAF-RESOP_E2_13_B14_E2_2210_Bridge_Zone_Sud" xfId="1205" xr:uid="{00000000-0005-0000-0000-0000C0040000}"/>
    <cellStyle name="s_Actualisation provision contrat déficitaire SNCM 2011 V3 30 05 2011_PAO-CAF-RESOP_E2_13_Bridge_Zone_Sud" xfId="1206" xr:uid="{00000000-0005-0000-0000-0000C1040000}"/>
    <cellStyle name="s_Actualisation provision contrat déficitaire SNCM 2011 V3 30 05 2011_PAO-CAF-RESOP_E2_2013_03_10_19H" xfId="1207" xr:uid="{00000000-0005-0000-0000-0000C2040000}"/>
    <cellStyle name="s_Actualisation provision contrat déficitaire SNCM 2011 V3 30 05 2011_PAO-CAF-RESOP_E2_2013_03_10_19H_Bridge_Zone_Sud" xfId="1208" xr:uid="{00000000-0005-0000-0000-0000C3040000}"/>
    <cellStyle name="s_Actualisation provision contrat déficitaire SNCM 2011 V3 30 05 2011_PPA" xfId="1209" xr:uid="{00000000-0005-0000-0000-0000C4040000}"/>
    <cellStyle name="s_Actualisation provision contrat déficitaire SNCM 2011 V3 30 05 2011_RESOP bef CICE&amp;PPA&amp;RepartHO" xfId="1210" xr:uid="{00000000-0005-0000-0000-0000C5040000}"/>
    <cellStyle name="s_Actualisation provision contrat déficitaire SNCM 2011 V3 30 05 2011_Synthèse_Présentation_conso_retraitée" xfId="1211" xr:uid="{00000000-0005-0000-0000-0000C6040000}"/>
    <cellStyle name="s_Assumptions" xfId="1212" xr:uid="{00000000-0005-0000-0000-0000C7040000}"/>
    <cellStyle name="s_Assumptions_Actualisation provision contrat déficitaire SNCM 2010 V Def" xfId="1213" xr:uid="{00000000-0005-0000-0000-0000C8040000}"/>
    <cellStyle name="s_Assumptions_Actualisation provision contrat déficitaire SNCM 2010 V Def_B14_E2_2210" xfId="1214" xr:uid="{00000000-0005-0000-0000-0000C9040000}"/>
    <cellStyle name="s_Assumptions_Actualisation provision contrat déficitaire SNCM 2010 V Def_B14_E2_2210_Bridge_Zone_Sud" xfId="1215" xr:uid="{00000000-0005-0000-0000-0000CA040000}"/>
    <cellStyle name="s_Assumptions_Actualisation provision contrat déficitaire SNCM 2010 V Def_Bridge_Zone_Sud" xfId="1216" xr:uid="{00000000-0005-0000-0000-0000CB040000}"/>
    <cellStyle name="s_Assumptions_Actualisation provision contrat déficitaire SNCM 2010 V Def_CAPEM BY COUNTRY" xfId="1217" xr:uid="{00000000-0005-0000-0000-0000CC040000}"/>
    <cellStyle name="s_Assumptions_Actualisation provision contrat déficitaire SNCM 2010 V Def_focus par entités CAFOPE2AMF" xfId="1218" xr:uid="{00000000-0005-0000-0000-0000CD040000}"/>
    <cellStyle name="s_Assumptions_Actualisation provision contrat déficitaire SNCM 2010 V Def_focus par entités CAFOPE2AMF_Bridge_Zone_Sud" xfId="1219" xr:uid="{00000000-0005-0000-0000-0000CE040000}"/>
    <cellStyle name="s_Assumptions_Actualisation provision contrat déficitaire SNCM 2010 V Def_Maquette PLT" xfId="1220" xr:uid="{00000000-0005-0000-0000-0000CF040000}"/>
    <cellStyle name="s_Assumptions_Actualisation provision contrat déficitaire SNCM 2010 V Def_Output" xfId="3370" xr:uid="{00000000-0005-0000-0000-0000D0040000}"/>
    <cellStyle name="s_Assumptions_Actualisation provision contrat déficitaire SNCM 2010 V Def_PAO-CAF-RESOP_04_13_pro_format_variante T1" xfId="1221" xr:uid="{00000000-0005-0000-0000-0000D1040000}"/>
    <cellStyle name="s_Assumptions_Actualisation provision contrat déficitaire SNCM 2010 V Def_PAO-CAF-RESOP_04_13_pro_format_variante T1_B14_E2_2210" xfId="1222" xr:uid="{00000000-0005-0000-0000-0000D2040000}"/>
    <cellStyle name="s_Assumptions_Actualisation provision contrat déficitaire SNCM 2010 V Def_PAO-CAF-RESOP_04_13_pro_format_variante T1_B14_E2_2210_Bridge_Zone_Sud" xfId="1223" xr:uid="{00000000-0005-0000-0000-0000D3040000}"/>
    <cellStyle name="s_Assumptions_Actualisation provision contrat déficitaire SNCM 2010 V Def_PAO-CAF-RESOP_04_13_pro_format_variante T1_Bridge_Zone_Sud" xfId="1224" xr:uid="{00000000-0005-0000-0000-0000D4040000}"/>
    <cellStyle name="s_Assumptions_Actualisation provision contrat déficitaire SNCM 2010 V Def_PAO-CAF-RESOP_06_13" xfId="1225" xr:uid="{00000000-0005-0000-0000-0000D5040000}"/>
    <cellStyle name="s_Assumptions_Actualisation provision contrat déficitaire SNCM 2010 V Def_PAO-CAF-RESOP_06_13_B14_E2_2210" xfId="1226" xr:uid="{00000000-0005-0000-0000-0000D6040000}"/>
    <cellStyle name="s_Assumptions_Actualisation provision contrat déficitaire SNCM 2010 V Def_PAO-CAF-RESOP_06_13_B14_E2_2210_Bridge_Zone_Sud" xfId="1227" xr:uid="{00000000-0005-0000-0000-0000D7040000}"/>
    <cellStyle name="s_Assumptions_Actualisation provision contrat déficitaire SNCM 2010 V Def_PAO-CAF-RESOP_06_13_Bridge_Zone_Sud" xfId="1228" xr:uid="{00000000-0005-0000-0000-0000D8040000}"/>
    <cellStyle name="s_Assumptions_Actualisation provision contrat déficitaire SNCM 2010 V Def_PAO-CAF-RESOP_08_13" xfId="1229" xr:uid="{00000000-0005-0000-0000-0000D9040000}"/>
    <cellStyle name="s_Assumptions_Actualisation provision contrat déficitaire SNCM 2010 V Def_PAO-CAF-RESOP_08_13_B14_E2_2210" xfId="1230" xr:uid="{00000000-0005-0000-0000-0000DA040000}"/>
    <cellStyle name="s_Assumptions_Actualisation provision contrat déficitaire SNCM 2010 V Def_PAO-CAF-RESOP_08_13_B14_E2_2210_Bridge_Zone_Sud" xfId="1231" xr:uid="{00000000-0005-0000-0000-0000DB040000}"/>
    <cellStyle name="s_Assumptions_Actualisation provision contrat déficitaire SNCM 2010 V Def_PAO-CAF-RESOP_08_13_Bridge_Zone_Sud" xfId="1232" xr:uid="{00000000-0005-0000-0000-0000DC040000}"/>
    <cellStyle name="s_Assumptions_Actualisation provision contrat déficitaire SNCM 2010 V Def_PAO-CAF-RESOP_09_13" xfId="1233" xr:uid="{00000000-0005-0000-0000-0000DD040000}"/>
    <cellStyle name="s_Assumptions_Actualisation provision contrat déficitaire SNCM 2010 V Def_PAO-CAF-RESOP_09_13_Bridge_Zone_Sud" xfId="1234" xr:uid="{00000000-0005-0000-0000-0000DE040000}"/>
    <cellStyle name="s_Assumptions_Actualisation provision contrat déficitaire SNCM 2010 V Def_PAO-CAF-RESOP_09_2013_Zone_IDF (version 2)" xfId="1235" xr:uid="{00000000-0005-0000-0000-0000DF040000}"/>
    <cellStyle name="s_Assumptions_Actualisation provision contrat déficitaire SNCM 2010 V Def_PAO-CAF-RESOP_10_12" xfId="1236" xr:uid="{00000000-0005-0000-0000-0000E0040000}"/>
    <cellStyle name="s_Assumptions_Actualisation provision contrat déficitaire SNCM 2010 V Def_PAO-CAF-RESOP_10_12_Bridge_Zone_Sud" xfId="1237" xr:uid="{00000000-0005-0000-0000-0000E1040000}"/>
    <cellStyle name="s_Assumptions_Actualisation provision contrat déficitaire SNCM 2010 V Def_PAO-CAF-RESOP_10_12_focus par entités CAFOP" xfId="1238" xr:uid="{00000000-0005-0000-0000-0000E2040000}"/>
    <cellStyle name="s_Assumptions_Actualisation provision contrat déficitaire SNCM 2010 V Def_PAO-CAF-RESOP_10_12_focus par entités CAFOP_Bridge_Zone_Sud" xfId="1239" xr:uid="{00000000-0005-0000-0000-0000E3040000}"/>
    <cellStyle name="s_Assumptions_Actualisation provision contrat déficitaire SNCM 2010 V Def_PAO-CAF-RESOP_11_13" xfId="1240" xr:uid="{00000000-0005-0000-0000-0000E4040000}"/>
    <cellStyle name="s_Assumptions_Actualisation provision contrat déficitaire SNCM 2010 V Def_PAO-CAF-RESOP_B13" xfId="1241" xr:uid="{00000000-0005-0000-0000-0000E5040000}"/>
    <cellStyle name="s_Assumptions_Actualisation provision contrat déficitaire SNCM 2010 V Def_PAO-CAF-RESOP_B13_Bridge_Zone_Sud" xfId="1242" xr:uid="{00000000-0005-0000-0000-0000E6040000}"/>
    <cellStyle name="s_Assumptions_Actualisation provision contrat déficitaire SNCM 2010 V Def_PAO-CAF-RESOP_B13_focus par entités CAFOP" xfId="1243" xr:uid="{00000000-0005-0000-0000-0000E7040000}"/>
    <cellStyle name="s_Assumptions_Actualisation provision contrat déficitaire SNCM 2010 V Def_PAO-CAF-RESOP_B13_focus par entités CAFOP_Bridge_Zone_Sud" xfId="1244" xr:uid="{00000000-0005-0000-0000-0000E8040000}"/>
    <cellStyle name="s_Assumptions_Actualisation provision contrat déficitaire SNCM 2010 V Def_PAO-CAF-RESOP_B2014" xfId="1245" xr:uid="{00000000-0005-0000-0000-0000E9040000}"/>
    <cellStyle name="s_Assumptions_Actualisation provision contrat déficitaire SNCM 2010 V Def_PAO-CAF-RESOP_B2014_Bridge_Zone_Sud" xfId="1246" xr:uid="{00000000-0005-0000-0000-0000EA040000}"/>
    <cellStyle name="s_Assumptions_Actualisation provision contrat déficitaire SNCM 2010 V Def_PAO-CAF-RESOP_B2014_v2" xfId="1247" xr:uid="{00000000-0005-0000-0000-0000EB040000}"/>
    <cellStyle name="s_Assumptions_Actualisation provision contrat déficitaire SNCM 2010 V Def_PAO-CAF-RESOP_E2_13" xfId="1248" xr:uid="{00000000-0005-0000-0000-0000EC040000}"/>
    <cellStyle name="s_Assumptions_Actualisation provision contrat déficitaire SNCM 2010 V Def_PAO-CAF-RESOP_E2_13_B14_E2_2210" xfId="1249" xr:uid="{00000000-0005-0000-0000-0000ED040000}"/>
    <cellStyle name="s_Assumptions_Actualisation provision contrat déficitaire SNCM 2010 V Def_PAO-CAF-RESOP_E2_13_B14_E2_2210_Bridge_Zone_Sud" xfId="1250" xr:uid="{00000000-0005-0000-0000-0000EE040000}"/>
    <cellStyle name="s_Assumptions_Actualisation provision contrat déficitaire SNCM 2010 V Def_PAO-CAF-RESOP_E2_13_Bridge_Zone_Sud" xfId="1251" xr:uid="{00000000-0005-0000-0000-0000EF040000}"/>
    <cellStyle name="s_Assumptions_Actualisation provision contrat déficitaire SNCM 2010 V Def_PAO-CAF-RESOP_E2_2013_03_10_19H" xfId="1252" xr:uid="{00000000-0005-0000-0000-0000F0040000}"/>
    <cellStyle name="s_Assumptions_Actualisation provision contrat déficitaire SNCM 2010 V Def_PAO-CAF-RESOP_E2_2013_03_10_19H_Bridge_Zone_Sud" xfId="1253" xr:uid="{00000000-0005-0000-0000-0000F1040000}"/>
    <cellStyle name="s_Assumptions_Actualisation provision contrat déficitaire SNCM 2010 V Def_PPA" xfId="1254" xr:uid="{00000000-0005-0000-0000-0000F2040000}"/>
    <cellStyle name="s_Assumptions_Actualisation provision contrat déficitaire SNCM 2010 V Def_RESOP bef CICE&amp;PPA&amp;RepartHO" xfId="1255" xr:uid="{00000000-0005-0000-0000-0000F3040000}"/>
    <cellStyle name="s_Assumptions_Actualisation provision contrat déficitaire SNCM 2010 V Def_Synthèse_Présentation_conso_retraitée" xfId="1256" xr:uid="{00000000-0005-0000-0000-0000F4040000}"/>
    <cellStyle name="s_Assumptions_Actualisation provision contrat déficitaire SNCM 2011 V3 30 05 2011" xfId="1257" xr:uid="{00000000-0005-0000-0000-0000F5040000}"/>
    <cellStyle name="s_Assumptions_Actualisation provision contrat déficitaire SNCM 2011 V3 30 05 2011_B14_E2_2210" xfId="1258" xr:uid="{00000000-0005-0000-0000-0000F6040000}"/>
    <cellStyle name="s_Assumptions_Actualisation provision contrat déficitaire SNCM 2011 V3 30 05 2011_B14_E2_2210_Bridge_Zone_Sud" xfId="1259" xr:uid="{00000000-0005-0000-0000-0000F7040000}"/>
    <cellStyle name="s_Assumptions_Actualisation provision contrat déficitaire SNCM 2011 V3 30 05 2011_Bridge_Zone_Sud" xfId="1260" xr:uid="{00000000-0005-0000-0000-0000F8040000}"/>
    <cellStyle name="s_Assumptions_Actualisation provision contrat déficitaire SNCM 2011 V3 30 05 2011_CAPEM BY COUNTRY" xfId="1261" xr:uid="{00000000-0005-0000-0000-0000F9040000}"/>
    <cellStyle name="s_Assumptions_Actualisation provision contrat déficitaire SNCM 2011 V3 30 05 2011_focus par entités CAFOPE2AMF" xfId="1262" xr:uid="{00000000-0005-0000-0000-0000FA040000}"/>
    <cellStyle name="s_Assumptions_Actualisation provision contrat déficitaire SNCM 2011 V3 30 05 2011_focus par entités CAFOPE2AMF_Bridge_Zone_Sud" xfId="1263" xr:uid="{00000000-0005-0000-0000-0000FB040000}"/>
    <cellStyle name="s_Assumptions_Actualisation provision contrat déficitaire SNCM 2011 V3 30 05 2011_Maquette PLT" xfId="1264" xr:uid="{00000000-0005-0000-0000-0000FC040000}"/>
    <cellStyle name="s_Assumptions_Actualisation provision contrat déficitaire SNCM 2011 V3 30 05 2011_Output" xfId="3371" xr:uid="{00000000-0005-0000-0000-0000FD040000}"/>
    <cellStyle name="s_Assumptions_Actualisation provision contrat déficitaire SNCM 2011 V3 30 05 2011_PAO-CAF-RESOP_04_13_pro_format_variante T1" xfId="1265" xr:uid="{00000000-0005-0000-0000-0000FE040000}"/>
    <cellStyle name="s_Assumptions_Actualisation provision contrat déficitaire SNCM 2011 V3 30 05 2011_PAO-CAF-RESOP_04_13_pro_format_variante T1_B14_E2_2210" xfId="1266" xr:uid="{00000000-0005-0000-0000-0000FF040000}"/>
    <cellStyle name="s_Assumptions_Actualisation provision contrat déficitaire SNCM 2011 V3 30 05 2011_PAO-CAF-RESOP_04_13_pro_format_variante T1_B14_E2_2210_Bridge_Zone_Sud" xfId="1267" xr:uid="{00000000-0005-0000-0000-000000050000}"/>
    <cellStyle name="s_Assumptions_Actualisation provision contrat déficitaire SNCM 2011 V3 30 05 2011_PAO-CAF-RESOP_04_13_pro_format_variante T1_Bridge_Zone_Sud" xfId="1268" xr:uid="{00000000-0005-0000-0000-000001050000}"/>
    <cellStyle name="s_Assumptions_Actualisation provision contrat déficitaire SNCM 2011 V3 30 05 2011_PAO-CAF-RESOP_06_13" xfId="1269" xr:uid="{00000000-0005-0000-0000-000002050000}"/>
    <cellStyle name="s_Assumptions_Actualisation provision contrat déficitaire SNCM 2011 V3 30 05 2011_PAO-CAF-RESOP_06_13_B14_E2_2210" xfId="1270" xr:uid="{00000000-0005-0000-0000-000003050000}"/>
    <cellStyle name="s_Assumptions_Actualisation provision contrat déficitaire SNCM 2011 V3 30 05 2011_PAO-CAF-RESOP_06_13_B14_E2_2210_Bridge_Zone_Sud" xfId="1271" xr:uid="{00000000-0005-0000-0000-000004050000}"/>
    <cellStyle name="s_Assumptions_Actualisation provision contrat déficitaire SNCM 2011 V3 30 05 2011_PAO-CAF-RESOP_06_13_Bridge_Zone_Sud" xfId="1272" xr:uid="{00000000-0005-0000-0000-000005050000}"/>
    <cellStyle name="s_Assumptions_Actualisation provision contrat déficitaire SNCM 2011 V3 30 05 2011_PAO-CAF-RESOP_08_13" xfId="1273" xr:uid="{00000000-0005-0000-0000-000006050000}"/>
    <cellStyle name="s_Assumptions_Actualisation provision contrat déficitaire SNCM 2011 V3 30 05 2011_PAO-CAF-RESOP_08_13_B14_E2_2210" xfId="1274" xr:uid="{00000000-0005-0000-0000-000007050000}"/>
    <cellStyle name="s_Assumptions_Actualisation provision contrat déficitaire SNCM 2011 V3 30 05 2011_PAO-CAF-RESOP_08_13_B14_E2_2210_Bridge_Zone_Sud" xfId="1275" xr:uid="{00000000-0005-0000-0000-000008050000}"/>
    <cellStyle name="s_Assumptions_Actualisation provision contrat déficitaire SNCM 2011 V3 30 05 2011_PAO-CAF-RESOP_08_13_Bridge_Zone_Sud" xfId="1276" xr:uid="{00000000-0005-0000-0000-000009050000}"/>
    <cellStyle name="s_Assumptions_Actualisation provision contrat déficitaire SNCM 2011 V3 30 05 2011_PAO-CAF-RESOP_09_13" xfId="1277" xr:uid="{00000000-0005-0000-0000-00000A050000}"/>
    <cellStyle name="s_Assumptions_Actualisation provision contrat déficitaire SNCM 2011 V3 30 05 2011_PAO-CAF-RESOP_09_13_Bridge_Zone_Sud" xfId="1278" xr:uid="{00000000-0005-0000-0000-00000B050000}"/>
    <cellStyle name="s_Assumptions_Actualisation provision contrat déficitaire SNCM 2011 V3 30 05 2011_PAO-CAF-RESOP_09_2013_Zone_IDF (version 2)" xfId="1279" xr:uid="{00000000-0005-0000-0000-00000C050000}"/>
    <cellStyle name="s_Assumptions_Actualisation provision contrat déficitaire SNCM 2011 V3 30 05 2011_PAO-CAF-RESOP_10_12" xfId="1280" xr:uid="{00000000-0005-0000-0000-00000D050000}"/>
    <cellStyle name="s_Assumptions_Actualisation provision contrat déficitaire SNCM 2011 V3 30 05 2011_PAO-CAF-RESOP_10_12_Bridge_Zone_Sud" xfId="1281" xr:uid="{00000000-0005-0000-0000-00000E050000}"/>
    <cellStyle name="s_Assumptions_Actualisation provision contrat déficitaire SNCM 2011 V3 30 05 2011_PAO-CAF-RESOP_10_12_focus par entités CAFOP" xfId="1282" xr:uid="{00000000-0005-0000-0000-00000F050000}"/>
    <cellStyle name="s_Assumptions_Actualisation provision contrat déficitaire SNCM 2011 V3 30 05 2011_PAO-CAF-RESOP_10_12_focus par entités CAFOP_Bridge_Zone_Sud" xfId="1283" xr:uid="{00000000-0005-0000-0000-000010050000}"/>
    <cellStyle name="s_Assumptions_Actualisation provision contrat déficitaire SNCM 2011 V3 30 05 2011_PAO-CAF-RESOP_11_13" xfId="1284" xr:uid="{00000000-0005-0000-0000-000011050000}"/>
    <cellStyle name="s_Assumptions_Actualisation provision contrat déficitaire SNCM 2011 V3 30 05 2011_PAO-CAF-RESOP_B13" xfId="1285" xr:uid="{00000000-0005-0000-0000-000012050000}"/>
    <cellStyle name="s_Assumptions_Actualisation provision contrat déficitaire SNCM 2011 V3 30 05 2011_PAO-CAF-RESOP_B13_Bridge_Zone_Sud" xfId="1286" xr:uid="{00000000-0005-0000-0000-000013050000}"/>
    <cellStyle name="s_Assumptions_Actualisation provision contrat déficitaire SNCM 2011 V3 30 05 2011_PAO-CAF-RESOP_B13_focus par entités CAFOP" xfId="1287" xr:uid="{00000000-0005-0000-0000-000014050000}"/>
    <cellStyle name="s_Assumptions_Actualisation provision contrat déficitaire SNCM 2011 V3 30 05 2011_PAO-CAF-RESOP_B13_focus par entités CAFOP_Bridge_Zone_Sud" xfId="1288" xr:uid="{00000000-0005-0000-0000-000015050000}"/>
    <cellStyle name="s_Assumptions_Actualisation provision contrat déficitaire SNCM 2011 V3 30 05 2011_PAO-CAF-RESOP_B2014" xfId="1289" xr:uid="{00000000-0005-0000-0000-000016050000}"/>
    <cellStyle name="s_Assumptions_Actualisation provision contrat déficitaire SNCM 2011 V3 30 05 2011_PAO-CAF-RESOP_B2014_Bridge_Zone_Sud" xfId="1290" xr:uid="{00000000-0005-0000-0000-000017050000}"/>
    <cellStyle name="s_Assumptions_Actualisation provision contrat déficitaire SNCM 2011 V3 30 05 2011_PAO-CAF-RESOP_B2014_v2" xfId="1291" xr:uid="{00000000-0005-0000-0000-000018050000}"/>
    <cellStyle name="s_Assumptions_Actualisation provision contrat déficitaire SNCM 2011 V3 30 05 2011_PAO-CAF-RESOP_E2_13" xfId="1292" xr:uid="{00000000-0005-0000-0000-000019050000}"/>
    <cellStyle name="s_Assumptions_Actualisation provision contrat déficitaire SNCM 2011 V3 30 05 2011_PAO-CAF-RESOP_E2_13_B14_E2_2210" xfId="1293" xr:uid="{00000000-0005-0000-0000-00001A050000}"/>
    <cellStyle name="s_Assumptions_Actualisation provision contrat déficitaire SNCM 2011 V3 30 05 2011_PAO-CAF-RESOP_E2_13_B14_E2_2210_Bridge_Zone_Sud" xfId="1294" xr:uid="{00000000-0005-0000-0000-00001B050000}"/>
    <cellStyle name="s_Assumptions_Actualisation provision contrat déficitaire SNCM 2011 V3 30 05 2011_PAO-CAF-RESOP_E2_13_Bridge_Zone_Sud" xfId="1295" xr:uid="{00000000-0005-0000-0000-00001C050000}"/>
    <cellStyle name="s_Assumptions_Actualisation provision contrat déficitaire SNCM 2011 V3 30 05 2011_PAO-CAF-RESOP_E2_2013_03_10_19H" xfId="1296" xr:uid="{00000000-0005-0000-0000-00001D050000}"/>
    <cellStyle name="s_Assumptions_Actualisation provision contrat déficitaire SNCM 2011 V3 30 05 2011_PAO-CAF-RESOP_E2_2013_03_10_19H_Bridge_Zone_Sud" xfId="1297" xr:uid="{00000000-0005-0000-0000-00001E050000}"/>
    <cellStyle name="s_Assumptions_Actualisation provision contrat déficitaire SNCM 2011 V3 30 05 2011_PPA" xfId="1298" xr:uid="{00000000-0005-0000-0000-00001F050000}"/>
    <cellStyle name="s_Assumptions_Actualisation provision contrat déficitaire SNCM 2011 V3 30 05 2011_RESOP bef CICE&amp;PPA&amp;RepartHO" xfId="1299" xr:uid="{00000000-0005-0000-0000-000020050000}"/>
    <cellStyle name="s_Assumptions_Actualisation provision contrat déficitaire SNCM 2011 V3 30 05 2011_Synthèse_Présentation_conso_retraitée" xfId="1300" xr:uid="{00000000-0005-0000-0000-000021050000}"/>
    <cellStyle name="s_Assumptions_B14_E2_2210" xfId="1301" xr:uid="{00000000-0005-0000-0000-000022050000}"/>
    <cellStyle name="s_Assumptions_B14_E2_2210_Bridge_Zone_Sud" xfId="1302" xr:uid="{00000000-0005-0000-0000-000023050000}"/>
    <cellStyle name="s_Assumptions_BFR_TD_2014.02" xfId="1303" xr:uid="{00000000-0005-0000-0000-000024050000}"/>
    <cellStyle name="s_Assumptions_Bridge_Zone_Nord" xfId="1304" xr:uid="{00000000-0005-0000-0000-000025050000}"/>
    <cellStyle name="s_Assumptions_CAPEM BY COUNTRY" xfId="1305" xr:uid="{00000000-0005-0000-0000-000026050000}"/>
    <cellStyle name="s_Assumptions_LI819L_B13" xfId="1306" xr:uid="{00000000-0005-0000-0000-000027050000}"/>
    <cellStyle name="s_Assumptions_LI819L_B13_CAPEM BY COUNTRY" xfId="1307" xr:uid="{00000000-0005-0000-0000-000028050000}"/>
    <cellStyle name="s_Assumptions_LI819L_B13_Maquette PLT" xfId="1308" xr:uid="{00000000-0005-0000-0000-000029050000}"/>
    <cellStyle name="s_Assumptions_LI819L_B13_Output" xfId="3372" xr:uid="{00000000-0005-0000-0000-00002A050000}"/>
    <cellStyle name="s_Assumptions_LI819L_B13_PPA" xfId="1309" xr:uid="{00000000-0005-0000-0000-00002B050000}"/>
    <cellStyle name="s_Assumptions_LI819L_B13_RESOP bef CICE&amp;PPA&amp;RepartHO" xfId="1310" xr:uid="{00000000-0005-0000-0000-00002C050000}"/>
    <cellStyle name="s_Assumptions_Maquette PLT" xfId="1311" xr:uid="{00000000-0005-0000-0000-00002D050000}"/>
    <cellStyle name="s_Assumptions_Output" xfId="3369" xr:uid="{00000000-0005-0000-0000-00002E050000}"/>
    <cellStyle name="s_Assumptions_PAO-CAF-RESOP_14_01_13 à 20h" xfId="1312" xr:uid="{00000000-0005-0000-0000-00002F050000}"/>
    <cellStyle name="s_Assumptions_PAO-CAF-RESOP_14_01_13 à 20h_CAPEM BY COUNTRY" xfId="1313" xr:uid="{00000000-0005-0000-0000-000030050000}"/>
    <cellStyle name="s_Assumptions_PAO-CAF-RESOP_14_01_13 à 20h_Maquette PLT" xfId="1314" xr:uid="{00000000-0005-0000-0000-000031050000}"/>
    <cellStyle name="s_Assumptions_PAO-CAF-RESOP_14_01_13 à 20h_Output" xfId="3373" xr:uid="{00000000-0005-0000-0000-000032050000}"/>
    <cellStyle name="s_Assumptions_PAO-CAF-RESOP_14_01_13 à 20h_PPA" xfId="1315" xr:uid="{00000000-0005-0000-0000-000033050000}"/>
    <cellStyle name="s_Assumptions_PAO-CAF-RESOP_14_01_13 à 20h_RESOP bef CICE&amp;PPA&amp;RepartHO" xfId="1316" xr:uid="{00000000-0005-0000-0000-000034050000}"/>
    <cellStyle name="s_Assumptions_PAO-CAF-RESOP_2014.02" xfId="1317" xr:uid="{00000000-0005-0000-0000-000035050000}"/>
    <cellStyle name="s_Assumptions_PAO-CAF-RESOP_2014.02_Bridge_Zone_Sud" xfId="1318" xr:uid="{00000000-0005-0000-0000-000036050000}"/>
    <cellStyle name="s_Assumptions_PPA" xfId="1319" xr:uid="{00000000-0005-0000-0000-000037050000}"/>
    <cellStyle name="s_Assumptions_RESOP bef CICE&amp;PPA&amp;RepartHO" xfId="1320" xr:uid="{00000000-0005-0000-0000-000038050000}"/>
    <cellStyle name="s_B_S_Ratios _B" xfId="1321" xr:uid="{00000000-0005-0000-0000-000039050000}"/>
    <cellStyle name="s_B_S_Ratios _B_Actualisation provision contrat déficitaire SNCM 2010 V Def" xfId="1322" xr:uid="{00000000-0005-0000-0000-00003A050000}"/>
    <cellStyle name="s_B_S_Ratios _B_Actualisation provision contrat déficitaire SNCM 2010 V Def_B14_E2_2210" xfId="1323" xr:uid="{00000000-0005-0000-0000-00003B050000}"/>
    <cellStyle name="s_B_S_Ratios _B_Actualisation provision contrat déficitaire SNCM 2010 V Def_B14_E2_2210_Bridge_Zone_Sud" xfId="1324" xr:uid="{00000000-0005-0000-0000-00003C050000}"/>
    <cellStyle name="s_B_S_Ratios _B_Actualisation provision contrat déficitaire SNCM 2010 V Def_Bridge_Zone_Sud" xfId="1325" xr:uid="{00000000-0005-0000-0000-00003D050000}"/>
    <cellStyle name="s_B_S_Ratios _B_Actualisation provision contrat déficitaire SNCM 2010 V Def_CAPEM BY COUNTRY" xfId="1326" xr:uid="{00000000-0005-0000-0000-00003E050000}"/>
    <cellStyle name="s_B_S_Ratios _B_Actualisation provision contrat déficitaire SNCM 2010 V Def_focus par entités CAFOPE2AMF" xfId="1327" xr:uid="{00000000-0005-0000-0000-00003F050000}"/>
    <cellStyle name="s_B_S_Ratios _B_Actualisation provision contrat déficitaire SNCM 2010 V Def_focus par entités CAFOPE2AMF_Bridge_Zone_Sud" xfId="1328" xr:uid="{00000000-0005-0000-0000-000040050000}"/>
    <cellStyle name="s_B_S_Ratios _B_Actualisation provision contrat déficitaire SNCM 2010 V Def_Maquette PLT" xfId="1329" xr:uid="{00000000-0005-0000-0000-000041050000}"/>
    <cellStyle name="s_B_S_Ratios _B_Actualisation provision contrat déficitaire SNCM 2010 V Def_Output" xfId="3375" xr:uid="{00000000-0005-0000-0000-000042050000}"/>
    <cellStyle name="s_B_S_Ratios _B_Actualisation provision contrat déficitaire SNCM 2010 V Def_PAO-CAF-RESOP_04_13_pro_format_variante T1" xfId="1330" xr:uid="{00000000-0005-0000-0000-000043050000}"/>
    <cellStyle name="s_B_S_Ratios _B_Actualisation provision contrat déficitaire SNCM 2010 V Def_PAO-CAF-RESOP_04_13_pro_format_variante T1_B14_E2_2210" xfId="1331" xr:uid="{00000000-0005-0000-0000-000044050000}"/>
    <cellStyle name="s_B_S_Ratios _B_Actualisation provision contrat déficitaire SNCM 2010 V Def_PAO-CAF-RESOP_04_13_pro_format_variante T1_B14_E2_2210_Bridge_Zone_Sud" xfId="1332" xr:uid="{00000000-0005-0000-0000-000045050000}"/>
    <cellStyle name="s_B_S_Ratios _B_Actualisation provision contrat déficitaire SNCM 2010 V Def_PAO-CAF-RESOP_04_13_pro_format_variante T1_Bridge_Zone_Sud" xfId="1333" xr:uid="{00000000-0005-0000-0000-000046050000}"/>
    <cellStyle name="s_B_S_Ratios _B_Actualisation provision contrat déficitaire SNCM 2010 V Def_PAO-CAF-RESOP_06_13" xfId="1334" xr:uid="{00000000-0005-0000-0000-000047050000}"/>
    <cellStyle name="s_B_S_Ratios _B_Actualisation provision contrat déficitaire SNCM 2010 V Def_PAO-CAF-RESOP_06_13_B14_E2_2210" xfId="1335" xr:uid="{00000000-0005-0000-0000-000048050000}"/>
    <cellStyle name="s_B_S_Ratios _B_Actualisation provision contrat déficitaire SNCM 2010 V Def_PAO-CAF-RESOP_06_13_B14_E2_2210_Bridge_Zone_Sud" xfId="1336" xr:uid="{00000000-0005-0000-0000-000049050000}"/>
    <cellStyle name="s_B_S_Ratios _B_Actualisation provision contrat déficitaire SNCM 2010 V Def_PAO-CAF-RESOP_06_13_Bridge_Zone_Sud" xfId="1337" xr:uid="{00000000-0005-0000-0000-00004A050000}"/>
    <cellStyle name="s_B_S_Ratios _B_Actualisation provision contrat déficitaire SNCM 2010 V Def_PAO-CAF-RESOP_08_13" xfId="1338" xr:uid="{00000000-0005-0000-0000-00004B050000}"/>
    <cellStyle name="s_B_S_Ratios _B_Actualisation provision contrat déficitaire SNCM 2010 V Def_PAO-CAF-RESOP_08_13_B14_E2_2210" xfId="1339" xr:uid="{00000000-0005-0000-0000-00004C050000}"/>
    <cellStyle name="s_B_S_Ratios _B_Actualisation provision contrat déficitaire SNCM 2010 V Def_PAO-CAF-RESOP_08_13_B14_E2_2210_Bridge_Zone_Sud" xfId="1340" xr:uid="{00000000-0005-0000-0000-00004D050000}"/>
    <cellStyle name="s_B_S_Ratios _B_Actualisation provision contrat déficitaire SNCM 2010 V Def_PAO-CAF-RESOP_08_13_Bridge_Zone_Sud" xfId="1341" xr:uid="{00000000-0005-0000-0000-00004E050000}"/>
    <cellStyle name="s_B_S_Ratios _B_Actualisation provision contrat déficitaire SNCM 2010 V Def_PAO-CAF-RESOP_09_13" xfId="1342" xr:uid="{00000000-0005-0000-0000-00004F050000}"/>
    <cellStyle name="s_B_S_Ratios _B_Actualisation provision contrat déficitaire SNCM 2010 V Def_PAO-CAF-RESOP_09_13_Bridge_Zone_Sud" xfId="1343" xr:uid="{00000000-0005-0000-0000-000050050000}"/>
    <cellStyle name="s_B_S_Ratios _B_Actualisation provision contrat déficitaire SNCM 2010 V Def_PAO-CAF-RESOP_09_2013_Zone_IDF (version 2)" xfId="1344" xr:uid="{00000000-0005-0000-0000-000051050000}"/>
    <cellStyle name="s_B_S_Ratios _B_Actualisation provision contrat déficitaire SNCM 2010 V Def_PAO-CAF-RESOP_10_12" xfId="1345" xr:uid="{00000000-0005-0000-0000-000052050000}"/>
    <cellStyle name="s_B_S_Ratios _B_Actualisation provision contrat déficitaire SNCM 2010 V Def_PAO-CAF-RESOP_10_12_Bridge_Zone_Sud" xfId="1346" xr:uid="{00000000-0005-0000-0000-000053050000}"/>
    <cellStyle name="s_B_S_Ratios _B_Actualisation provision contrat déficitaire SNCM 2010 V Def_PAO-CAF-RESOP_10_12_focus par entités CAFOP" xfId="1347" xr:uid="{00000000-0005-0000-0000-000054050000}"/>
    <cellStyle name="s_B_S_Ratios _B_Actualisation provision contrat déficitaire SNCM 2010 V Def_PAO-CAF-RESOP_10_12_focus par entités CAFOP_Bridge_Zone_Sud" xfId="1348" xr:uid="{00000000-0005-0000-0000-000055050000}"/>
    <cellStyle name="s_B_S_Ratios _B_Actualisation provision contrat déficitaire SNCM 2010 V Def_PAO-CAF-RESOP_11_13" xfId="1349" xr:uid="{00000000-0005-0000-0000-000056050000}"/>
    <cellStyle name="s_B_S_Ratios _B_Actualisation provision contrat déficitaire SNCM 2010 V Def_PAO-CAF-RESOP_B13" xfId="1350" xr:uid="{00000000-0005-0000-0000-000057050000}"/>
    <cellStyle name="s_B_S_Ratios _B_Actualisation provision contrat déficitaire SNCM 2010 V Def_PAO-CAF-RESOP_B13_Bridge_Zone_Sud" xfId="1351" xr:uid="{00000000-0005-0000-0000-000058050000}"/>
    <cellStyle name="s_B_S_Ratios _B_Actualisation provision contrat déficitaire SNCM 2010 V Def_PAO-CAF-RESOP_B13_focus par entités CAFOP" xfId="1352" xr:uid="{00000000-0005-0000-0000-000059050000}"/>
    <cellStyle name="s_B_S_Ratios _B_Actualisation provision contrat déficitaire SNCM 2010 V Def_PAO-CAF-RESOP_B13_focus par entités CAFOP_Bridge_Zone_Sud" xfId="1353" xr:uid="{00000000-0005-0000-0000-00005A050000}"/>
    <cellStyle name="s_B_S_Ratios _B_Actualisation provision contrat déficitaire SNCM 2010 V Def_PAO-CAF-RESOP_B2014" xfId="1354" xr:uid="{00000000-0005-0000-0000-00005B050000}"/>
    <cellStyle name="s_B_S_Ratios _B_Actualisation provision contrat déficitaire SNCM 2010 V Def_PAO-CAF-RESOP_B2014_Bridge_Zone_Sud" xfId="1355" xr:uid="{00000000-0005-0000-0000-00005C050000}"/>
    <cellStyle name="s_B_S_Ratios _B_Actualisation provision contrat déficitaire SNCM 2010 V Def_PAO-CAF-RESOP_B2014_v2" xfId="1356" xr:uid="{00000000-0005-0000-0000-00005D050000}"/>
    <cellStyle name="s_B_S_Ratios _B_Actualisation provision contrat déficitaire SNCM 2010 V Def_PAO-CAF-RESOP_E2_13" xfId="1357" xr:uid="{00000000-0005-0000-0000-00005E050000}"/>
    <cellStyle name="s_B_S_Ratios _B_Actualisation provision contrat déficitaire SNCM 2010 V Def_PAO-CAF-RESOP_E2_13_B14_E2_2210" xfId="1358" xr:uid="{00000000-0005-0000-0000-00005F050000}"/>
    <cellStyle name="s_B_S_Ratios _B_Actualisation provision contrat déficitaire SNCM 2010 V Def_PAO-CAF-RESOP_E2_13_B14_E2_2210_Bridge_Zone_Sud" xfId="1359" xr:uid="{00000000-0005-0000-0000-000060050000}"/>
    <cellStyle name="s_B_S_Ratios _B_Actualisation provision contrat déficitaire SNCM 2010 V Def_PAO-CAF-RESOP_E2_13_Bridge_Zone_Sud" xfId="1360" xr:uid="{00000000-0005-0000-0000-000061050000}"/>
    <cellStyle name="s_B_S_Ratios _B_Actualisation provision contrat déficitaire SNCM 2010 V Def_PAO-CAF-RESOP_E2_2013_03_10_19H" xfId="1361" xr:uid="{00000000-0005-0000-0000-000062050000}"/>
    <cellStyle name="s_B_S_Ratios _B_Actualisation provision contrat déficitaire SNCM 2010 V Def_PAO-CAF-RESOP_E2_2013_03_10_19H_Bridge_Zone_Sud" xfId="1362" xr:uid="{00000000-0005-0000-0000-000063050000}"/>
    <cellStyle name="s_B_S_Ratios _B_Actualisation provision contrat déficitaire SNCM 2010 V Def_PPA" xfId="1363" xr:uid="{00000000-0005-0000-0000-000064050000}"/>
    <cellStyle name="s_B_S_Ratios _B_Actualisation provision contrat déficitaire SNCM 2010 V Def_RESOP bef CICE&amp;PPA&amp;RepartHO" xfId="1364" xr:uid="{00000000-0005-0000-0000-000065050000}"/>
    <cellStyle name="s_B_S_Ratios _B_Actualisation provision contrat déficitaire SNCM 2010 V Def_Synthèse_Présentation_conso_retraitée" xfId="1365" xr:uid="{00000000-0005-0000-0000-000066050000}"/>
    <cellStyle name="s_B_S_Ratios _B_Actualisation provision contrat déficitaire SNCM 2011 V3 30 05 2011" xfId="1366" xr:uid="{00000000-0005-0000-0000-000067050000}"/>
    <cellStyle name="s_B_S_Ratios _B_Actualisation provision contrat déficitaire SNCM 2011 V3 30 05 2011_B14_E2_2210" xfId="1367" xr:uid="{00000000-0005-0000-0000-000068050000}"/>
    <cellStyle name="s_B_S_Ratios _B_Actualisation provision contrat déficitaire SNCM 2011 V3 30 05 2011_B14_E2_2210_Bridge_Zone_Sud" xfId="1368" xr:uid="{00000000-0005-0000-0000-000069050000}"/>
    <cellStyle name="s_B_S_Ratios _B_Actualisation provision contrat déficitaire SNCM 2011 V3 30 05 2011_Bridge_Zone_Sud" xfId="1369" xr:uid="{00000000-0005-0000-0000-00006A050000}"/>
    <cellStyle name="s_B_S_Ratios _B_Actualisation provision contrat déficitaire SNCM 2011 V3 30 05 2011_CAPEM BY COUNTRY" xfId="1370" xr:uid="{00000000-0005-0000-0000-00006B050000}"/>
    <cellStyle name="s_B_S_Ratios _B_Actualisation provision contrat déficitaire SNCM 2011 V3 30 05 2011_focus par entités CAFOPE2AMF" xfId="1371" xr:uid="{00000000-0005-0000-0000-00006C050000}"/>
    <cellStyle name="s_B_S_Ratios _B_Actualisation provision contrat déficitaire SNCM 2011 V3 30 05 2011_focus par entités CAFOPE2AMF_Bridge_Zone_Sud" xfId="1372" xr:uid="{00000000-0005-0000-0000-00006D050000}"/>
    <cellStyle name="s_B_S_Ratios _B_Actualisation provision contrat déficitaire SNCM 2011 V3 30 05 2011_Maquette PLT" xfId="1373" xr:uid="{00000000-0005-0000-0000-00006E050000}"/>
    <cellStyle name="s_B_S_Ratios _B_Actualisation provision contrat déficitaire SNCM 2011 V3 30 05 2011_Output" xfId="3376" xr:uid="{00000000-0005-0000-0000-00006F050000}"/>
    <cellStyle name="s_B_S_Ratios _B_Actualisation provision contrat déficitaire SNCM 2011 V3 30 05 2011_PAO-CAF-RESOP_04_13_pro_format_variante T1" xfId="1374" xr:uid="{00000000-0005-0000-0000-000070050000}"/>
    <cellStyle name="s_B_S_Ratios _B_Actualisation provision contrat déficitaire SNCM 2011 V3 30 05 2011_PAO-CAF-RESOP_04_13_pro_format_variante T1_B14_E2_2210" xfId="1375" xr:uid="{00000000-0005-0000-0000-000071050000}"/>
    <cellStyle name="s_B_S_Ratios _B_Actualisation provision contrat déficitaire SNCM 2011 V3 30 05 2011_PAO-CAF-RESOP_04_13_pro_format_variante T1_B14_E2_2210_Bridge_Zone_Sud" xfId="1376" xr:uid="{00000000-0005-0000-0000-000072050000}"/>
    <cellStyle name="s_B_S_Ratios _B_Actualisation provision contrat déficitaire SNCM 2011 V3 30 05 2011_PAO-CAF-RESOP_04_13_pro_format_variante T1_Bridge_Zone_Sud" xfId="1377" xr:uid="{00000000-0005-0000-0000-000073050000}"/>
    <cellStyle name="s_B_S_Ratios _B_Actualisation provision contrat déficitaire SNCM 2011 V3 30 05 2011_PAO-CAF-RESOP_06_13" xfId="1378" xr:uid="{00000000-0005-0000-0000-000074050000}"/>
    <cellStyle name="s_B_S_Ratios _B_Actualisation provision contrat déficitaire SNCM 2011 V3 30 05 2011_PAO-CAF-RESOP_06_13_B14_E2_2210" xfId="1379" xr:uid="{00000000-0005-0000-0000-000075050000}"/>
    <cellStyle name="s_B_S_Ratios _B_Actualisation provision contrat déficitaire SNCM 2011 V3 30 05 2011_PAO-CAF-RESOP_06_13_B14_E2_2210_Bridge_Zone_Sud" xfId="1380" xr:uid="{00000000-0005-0000-0000-000076050000}"/>
    <cellStyle name="s_B_S_Ratios _B_Actualisation provision contrat déficitaire SNCM 2011 V3 30 05 2011_PAO-CAF-RESOP_06_13_Bridge_Zone_Sud" xfId="1381" xr:uid="{00000000-0005-0000-0000-000077050000}"/>
    <cellStyle name="s_B_S_Ratios _B_Actualisation provision contrat déficitaire SNCM 2011 V3 30 05 2011_PAO-CAF-RESOP_08_13" xfId="1382" xr:uid="{00000000-0005-0000-0000-000078050000}"/>
    <cellStyle name="s_B_S_Ratios _B_Actualisation provision contrat déficitaire SNCM 2011 V3 30 05 2011_PAO-CAF-RESOP_08_13_B14_E2_2210" xfId="1383" xr:uid="{00000000-0005-0000-0000-000079050000}"/>
    <cellStyle name="s_B_S_Ratios _B_Actualisation provision contrat déficitaire SNCM 2011 V3 30 05 2011_PAO-CAF-RESOP_08_13_B14_E2_2210_Bridge_Zone_Sud" xfId="1384" xr:uid="{00000000-0005-0000-0000-00007A050000}"/>
    <cellStyle name="s_B_S_Ratios _B_Actualisation provision contrat déficitaire SNCM 2011 V3 30 05 2011_PAO-CAF-RESOP_08_13_Bridge_Zone_Sud" xfId="1385" xr:uid="{00000000-0005-0000-0000-00007B050000}"/>
    <cellStyle name="s_B_S_Ratios _B_Actualisation provision contrat déficitaire SNCM 2011 V3 30 05 2011_PAO-CAF-RESOP_09_13" xfId="1386" xr:uid="{00000000-0005-0000-0000-00007C050000}"/>
    <cellStyle name="s_B_S_Ratios _B_Actualisation provision contrat déficitaire SNCM 2011 V3 30 05 2011_PAO-CAF-RESOP_09_13_Bridge_Zone_Sud" xfId="1387" xr:uid="{00000000-0005-0000-0000-00007D050000}"/>
    <cellStyle name="s_B_S_Ratios _B_Actualisation provision contrat déficitaire SNCM 2011 V3 30 05 2011_PAO-CAF-RESOP_09_2013_Zone_IDF (version 2)" xfId="1388" xr:uid="{00000000-0005-0000-0000-00007E050000}"/>
    <cellStyle name="s_B_S_Ratios _B_Actualisation provision contrat déficitaire SNCM 2011 V3 30 05 2011_PAO-CAF-RESOP_10_12" xfId="1389" xr:uid="{00000000-0005-0000-0000-00007F050000}"/>
    <cellStyle name="s_B_S_Ratios _B_Actualisation provision contrat déficitaire SNCM 2011 V3 30 05 2011_PAO-CAF-RESOP_10_12_Bridge_Zone_Sud" xfId="1390" xr:uid="{00000000-0005-0000-0000-000080050000}"/>
    <cellStyle name="s_B_S_Ratios _B_Actualisation provision contrat déficitaire SNCM 2011 V3 30 05 2011_PAO-CAF-RESOP_10_12_focus par entités CAFOP" xfId="1391" xr:uid="{00000000-0005-0000-0000-000081050000}"/>
    <cellStyle name="s_B_S_Ratios _B_Actualisation provision contrat déficitaire SNCM 2011 V3 30 05 2011_PAO-CAF-RESOP_10_12_focus par entités CAFOP_Bridge_Zone_Sud" xfId="1392" xr:uid="{00000000-0005-0000-0000-000082050000}"/>
    <cellStyle name="s_B_S_Ratios _B_Actualisation provision contrat déficitaire SNCM 2011 V3 30 05 2011_PAO-CAF-RESOP_11_13" xfId="1393" xr:uid="{00000000-0005-0000-0000-000083050000}"/>
    <cellStyle name="s_B_S_Ratios _B_Actualisation provision contrat déficitaire SNCM 2011 V3 30 05 2011_PAO-CAF-RESOP_B13" xfId="1394" xr:uid="{00000000-0005-0000-0000-000084050000}"/>
    <cellStyle name="s_B_S_Ratios _B_Actualisation provision contrat déficitaire SNCM 2011 V3 30 05 2011_PAO-CAF-RESOP_B13_Bridge_Zone_Sud" xfId="1395" xr:uid="{00000000-0005-0000-0000-000085050000}"/>
    <cellStyle name="s_B_S_Ratios _B_Actualisation provision contrat déficitaire SNCM 2011 V3 30 05 2011_PAO-CAF-RESOP_B13_focus par entités CAFOP" xfId="1396" xr:uid="{00000000-0005-0000-0000-000086050000}"/>
    <cellStyle name="s_B_S_Ratios _B_Actualisation provision contrat déficitaire SNCM 2011 V3 30 05 2011_PAO-CAF-RESOP_B13_focus par entités CAFOP_Bridge_Zone_Sud" xfId="1397" xr:uid="{00000000-0005-0000-0000-000087050000}"/>
    <cellStyle name="s_B_S_Ratios _B_Actualisation provision contrat déficitaire SNCM 2011 V3 30 05 2011_PAO-CAF-RESOP_B2014" xfId="1398" xr:uid="{00000000-0005-0000-0000-000088050000}"/>
    <cellStyle name="s_B_S_Ratios _B_Actualisation provision contrat déficitaire SNCM 2011 V3 30 05 2011_PAO-CAF-RESOP_B2014_Bridge_Zone_Sud" xfId="1399" xr:uid="{00000000-0005-0000-0000-000089050000}"/>
    <cellStyle name="s_B_S_Ratios _B_Actualisation provision contrat déficitaire SNCM 2011 V3 30 05 2011_PAO-CAF-RESOP_B2014_v2" xfId="1400" xr:uid="{00000000-0005-0000-0000-00008A050000}"/>
    <cellStyle name="s_B_S_Ratios _B_Actualisation provision contrat déficitaire SNCM 2011 V3 30 05 2011_PAO-CAF-RESOP_E2_13" xfId="1401" xr:uid="{00000000-0005-0000-0000-00008B050000}"/>
    <cellStyle name="s_B_S_Ratios _B_Actualisation provision contrat déficitaire SNCM 2011 V3 30 05 2011_PAO-CAF-RESOP_E2_13_B14_E2_2210" xfId="1402" xr:uid="{00000000-0005-0000-0000-00008C050000}"/>
    <cellStyle name="s_B_S_Ratios _B_Actualisation provision contrat déficitaire SNCM 2011 V3 30 05 2011_PAO-CAF-RESOP_E2_13_B14_E2_2210_Bridge_Zone_Sud" xfId="1403" xr:uid="{00000000-0005-0000-0000-00008D050000}"/>
    <cellStyle name="s_B_S_Ratios _B_Actualisation provision contrat déficitaire SNCM 2011 V3 30 05 2011_PAO-CAF-RESOP_E2_13_Bridge_Zone_Sud" xfId="1404" xr:uid="{00000000-0005-0000-0000-00008E050000}"/>
    <cellStyle name="s_B_S_Ratios _B_Actualisation provision contrat déficitaire SNCM 2011 V3 30 05 2011_PAO-CAF-RESOP_E2_2013_03_10_19H" xfId="1405" xr:uid="{00000000-0005-0000-0000-00008F050000}"/>
    <cellStyle name="s_B_S_Ratios _B_Actualisation provision contrat déficitaire SNCM 2011 V3 30 05 2011_PAO-CAF-RESOP_E2_2013_03_10_19H_Bridge_Zone_Sud" xfId="1406" xr:uid="{00000000-0005-0000-0000-000090050000}"/>
    <cellStyle name="s_B_S_Ratios _B_Actualisation provision contrat déficitaire SNCM 2011 V3 30 05 2011_PPA" xfId="1407" xr:uid="{00000000-0005-0000-0000-000091050000}"/>
    <cellStyle name="s_B_S_Ratios _B_Actualisation provision contrat déficitaire SNCM 2011 V3 30 05 2011_RESOP bef CICE&amp;PPA&amp;RepartHO" xfId="1408" xr:uid="{00000000-0005-0000-0000-000092050000}"/>
    <cellStyle name="s_B_S_Ratios _B_Actualisation provision contrat déficitaire SNCM 2011 V3 30 05 2011_Synthèse_Présentation_conso_retraitée" xfId="1409" xr:uid="{00000000-0005-0000-0000-000093050000}"/>
    <cellStyle name="s_B_S_Ratios _B_B14_E2_2210" xfId="1410" xr:uid="{00000000-0005-0000-0000-000094050000}"/>
    <cellStyle name="s_B_S_Ratios _B_B14_E2_2210_Bridge_Zone_Sud" xfId="1411" xr:uid="{00000000-0005-0000-0000-000095050000}"/>
    <cellStyle name="s_B_S_Ratios _B_BFR_TD_2014.02" xfId="1412" xr:uid="{00000000-0005-0000-0000-000096050000}"/>
    <cellStyle name="s_B_S_Ratios _B_Bridge_Zone_Nord" xfId="1413" xr:uid="{00000000-0005-0000-0000-000097050000}"/>
    <cellStyle name="s_B_S_Ratios _B_CAPEM BY COUNTRY" xfId="1414" xr:uid="{00000000-0005-0000-0000-000098050000}"/>
    <cellStyle name="s_B_S_Ratios _B_LI819L_B13" xfId="1415" xr:uid="{00000000-0005-0000-0000-000099050000}"/>
    <cellStyle name="s_B_S_Ratios _B_LI819L_B13_CAPEM BY COUNTRY" xfId="1416" xr:uid="{00000000-0005-0000-0000-00009A050000}"/>
    <cellStyle name="s_B_S_Ratios _B_LI819L_B13_Maquette PLT" xfId="1417" xr:uid="{00000000-0005-0000-0000-00009B050000}"/>
    <cellStyle name="s_B_S_Ratios _B_LI819L_B13_Output" xfId="3377" xr:uid="{00000000-0005-0000-0000-00009C050000}"/>
    <cellStyle name="s_B_S_Ratios _B_LI819L_B13_PPA" xfId="1418" xr:uid="{00000000-0005-0000-0000-00009D050000}"/>
    <cellStyle name="s_B_S_Ratios _B_LI819L_B13_RESOP bef CICE&amp;PPA&amp;RepartHO" xfId="1419" xr:uid="{00000000-0005-0000-0000-00009E050000}"/>
    <cellStyle name="s_B_S_Ratios _B_Maquette PLT" xfId="1420" xr:uid="{00000000-0005-0000-0000-00009F050000}"/>
    <cellStyle name="s_B_S_Ratios _B_Output" xfId="3374" xr:uid="{00000000-0005-0000-0000-0000A0050000}"/>
    <cellStyle name="s_B_S_Ratios _B_PAO-CAF-RESOP_14_01_13 à 20h" xfId="1421" xr:uid="{00000000-0005-0000-0000-0000A1050000}"/>
    <cellStyle name="s_B_S_Ratios _B_PAO-CAF-RESOP_14_01_13 à 20h_CAPEM BY COUNTRY" xfId="1422" xr:uid="{00000000-0005-0000-0000-0000A2050000}"/>
    <cellStyle name="s_B_S_Ratios _B_PAO-CAF-RESOP_14_01_13 à 20h_Maquette PLT" xfId="1423" xr:uid="{00000000-0005-0000-0000-0000A3050000}"/>
    <cellStyle name="s_B_S_Ratios _B_PAO-CAF-RESOP_14_01_13 à 20h_Output" xfId="3378" xr:uid="{00000000-0005-0000-0000-0000A4050000}"/>
    <cellStyle name="s_B_S_Ratios _B_PAO-CAF-RESOP_14_01_13 à 20h_PPA" xfId="1424" xr:uid="{00000000-0005-0000-0000-0000A5050000}"/>
    <cellStyle name="s_B_S_Ratios _B_PAO-CAF-RESOP_14_01_13 à 20h_RESOP bef CICE&amp;PPA&amp;RepartHO" xfId="1425" xr:uid="{00000000-0005-0000-0000-0000A6050000}"/>
    <cellStyle name="s_B_S_Ratios _B_PAO-CAF-RESOP_2014.02" xfId="1426" xr:uid="{00000000-0005-0000-0000-0000A7050000}"/>
    <cellStyle name="s_B_S_Ratios _B_PAO-CAF-RESOP_2014.02_Bridge_Zone_Sud" xfId="1427" xr:uid="{00000000-0005-0000-0000-0000A8050000}"/>
    <cellStyle name="s_B_S_Ratios _B_PPA" xfId="1428" xr:uid="{00000000-0005-0000-0000-0000A9050000}"/>
    <cellStyle name="s_B_S_Ratios _B_RESOP bef CICE&amp;PPA&amp;RepartHO" xfId="1429" xr:uid="{00000000-0005-0000-0000-0000AA050000}"/>
    <cellStyle name="s_B_S_Ratios_T" xfId="1430" xr:uid="{00000000-0005-0000-0000-0000AB050000}"/>
    <cellStyle name="s_B_S_Ratios_T_Actualisation provision contrat déficitaire SNCM 2010 V Def" xfId="1431" xr:uid="{00000000-0005-0000-0000-0000AC050000}"/>
    <cellStyle name="s_B_S_Ratios_T_Actualisation provision contrat déficitaire SNCM 2010 V Def_B14_E2_2210" xfId="1432" xr:uid="{00000000-0005-0000-0000-0000AD050000}"/>
    <cellStyle name="s_B_S_Ratios_T_Actualisation provision contrat déficitaire SNCM 2010 V Def_B14_E2_2210_Bridge_Zone_Sud" xfId="1433" xr:uid="{00000000-0005-0000-0000-0000AE050000}"/>
    <cellStyle name="s_B_S_Ratios_T_Actualisation provision contrat déficitaire SNCM 2010 V Def_Bridge_Zone_Sud" xfId="1434" xr:uid="{00000000-0005-0000-0000-0000AF050000}"/>
    <cellStyle name="s_B_S_Ratios_T_Actualisation provision contrat déficitaire SNCM 2010 V Def_CAPEM BY COUNTRY" xfId="1435" xr:uid="{00000000-0005-0000-0000-0000B0050000}"/>
    <cellStyle name="s_B_S_Ratios_T_Actualisation provision contrat déficitaire SNCM 2010 V Def_focus par entités CAFOPE2AMF" xfId="1436" xr:uid="{00000000-0005-0000-0000-0000B1050000}"/>
    <cellStyle name="s_B_S_Ratios_T_Actualisation provision contrat déficitaire SNCM 2010 V Def_focus par entités CAFOPE2AMF_Bridge_Zone_Sud" xfId="1437" xr:uid="{00000000-0005-0000-0000-0000B2050000}"/>
    <cellStyle name="s_B_S_Ratios_T_Actualisation provision contrat déficitaire SNCM 2010 V Def_Maquette PLT" xfId="1438" xr:uid="{00000000-0005-0000-0000-0000B3050000}"/>
    <cellStyle name="s_B_S_Ratios_T_Actualisation provision contrat déficitaire SNCM 2010 V Def_Output" xfId="3380" xr:uid="{00000000-0005-0000-0000-0000B4050000}"/>
    <cellStyle name="s_B_S_Ratios_T_Actualisation provision contrat déficitaire SNCM 2010 V Def_PAO-CAF-RESOP_04_13_pro_format_variante T1" xfId="1439" xr:uid="{00000000-0005-0000-0000-0000B5050000}"/>
    <cellStyle name="s_B_S_Ratios_T_Actualisation provision contrat déficitaire SNCM 2010 V Def_PAO-CAF-RESOP_04_13_pro_format_variante T1_B14_E2_2210" xfId="1440" xr:uid="{00000000-0005-0000-0000-0000B6050000}"/>
    <cellStyle name="s_B_S_Ratios_T_Actualisation provision contrat déficitaire SNCM 2010 V Def_PAO-CAF-RESOP_04_13_pro_format_variante T1_B14_E2_2210_Bridge_Zone_Sud" xfId="1441" xr:uid="{00000000-0005-0000-0000-0000B7050000}"/>
    <cellStyle name="s_B_S_Ratios_T_Actualisation provision contrat déficitaire SNCM 2010 V Def_PAO-CAF-RESOP_04_13_pro_format_variante T1_Bridge_Zone_Sud" xfId="1442" xr:uid="{00000000-0005-0000-0000-0000B8050000}"/>
    <cellStyle name="s_B_S_Ratios_T_Actualisation provision contrat déficitaire SNCM 2010 V Def_PAO-CAF-RESOP_06_13" xfId="1443" xr:uid="{00000000-0005-0000-0000-0000B9050000}"/>
    <cellStyle name="s_B_S_Ratios_T_Actualisation provision contrat déficitaire SNCM 2010 V Def_PAO-CAF-RESOP_06_13_B14_E2_2210" xfId="1444" xr:uid="{00000000-0005-0000-0000-0000BA050000}"/>
    <cellStyle name="s_B_S_Ratios_T_Actualisation provision contrat déficitaire SNCM 2010 V Def_PAO-CAF-RESOP_06_13_B14_E2_2210_Bridge_Zone_Sud" xfId="1445" xr:uid="{00000000-0005-0000-0000-0000BB050000}"/>
    <cellStyle name="s_B_S_Ratios_T_Actualisation provision contrat déficitaire SNCM 2010 V Def_PAO-CAF-RESOP_06_13_Bridge_Zone_Sud" xfId="1446" xr:uid="{00000000-0005-0000-0000-0000BC050000}"/>
    <cellStyle name="s_B_S_Ratios_T_Actualisation provision contrat déficitaire SNCM 2010 V Def_PAO-CAF-RESOP_08_13" xfId="1447" xr:uid="{00000000-0005-0000-0000-0000BD050000}"/>
    <cellStyle name="s_B_S_Ratios_T_Actualisation provision contrat déficitaire SNCM 2010 V Def_PAO-CAF-RESOP_08_13_B14_E2_2210" xfId="1448" xr:uid="{00000000-0005-0000-0000-0000BE050000}"/>
    <cellStyle name="s_B_S_Ratios_T_Actualisation provision contrat déficitaire SNCM 2010 V Def_PAO-CAF-RESOP_08_13_B14_E2_2210_Bridge_Zone_Sud" xfId="1449" xr:uid="{00000000-0005-0000-0000-0000BF050000}"/>
    <cellStyle name="s_B_S_Ratios_T_Actualisation provision contrat déficitaire SNCM 2010 V Def_PAO-CAF-RESOP_08_13_Bridge_Zone_Sud" xfId="1450" xr:uid="{00000000-0005-0000-0000-0000C0050000}"/>
    <cellStyle name="s_B_S_Ratios_T_Actualisation provision contrat déficitaire SNCM 2010 V Def_PAO-CAF-RESOP_09_13" xfId="1451" xr:uid="{00000000-0005-0000-0000-0000C1050000}"/>
    <cellStyle name="s_B_S_Ratios_T_Actualisation provision contrat déficitaire SNCM 2010 V Def_PAO-CAF-RESOP_09_13_Bridge_Zone_Sud" xfId="1452" xr:uid="{00000000-0005-0000-0000-0000C2050000}"/>
    <cellStyle name="s_B_S_Ratios_T_Actualisation provision contrat déficitaire SNCM 2010 V Def_PAO-CAF-RESOP_09_2013_Zone_IDF (version 2)" xfId="1453" xr:uid="{00000000-0005-0000-0000-0000C3050000}"/>
    <cellStyle name="s_B_S_Ratios_T_Actualisation provision contrat déficitaire SNCM 2010 V Def_PAO-CAF-RESOP_10_12" xfId="1454" xr:uid="{00000000-0005-0000-0000-0000C4050000}"/>
    <cellStyle name="s_B_S_Ratios_T_Actualisation provision contrat déficitaire SNCM 2010 V Def_PAO-CAF-RESOP_10_12_Bridge_Zone_Sud" xfId="1455" xr:uid="{00000000-0005-0000-0000-0000C5050000}"/>
    <cellStyle name="s_B_S_Ratios_T_Actualisation provision contrat déficitaire SNCM 2010 V Def_PAO-CAF-RESOP_10_12_focus par entités CAFOP" xfId="1456" xr:uid="{00000000-0005-0000-0000-0000C6050000}"/>
    <cellStyle name="s_B_S_Ratios_T_Actualisation provision contrat déficitaire SNCM 2010 V Def_PAO-CAF-RESOP_10_12_focus par entités CAFOP_Bridge_Zone_Sud" xfId="1457" xr:uid="{00000000-0005-0000-0000-0000C7050000}"/>
    <cellStyle name="s_B_S_Ratios_T_Actualisation provision contrat déficitaire SNCM 2010 V Def_PAO-CAF-RESOP_11_13" xfId="1458" xr:uid="{00000000-0005-0000-0000-0000C8050000}"/>
    <cellStyle name="s_B_S_Ratios_T_Actualisation provision contrat déficitaire SNCM 2010 V Def_PAO-CAF-RESOP_B13" xfId="1459" xr:uid="{00000000-0005-0000-0000-0000C9050000}"/>
    <cellStyle name="s_B_S_Ratios_T_Actualisation provision contrat déficitaire SNCM 2010 V Def_PAO-CAF-RESOP_B13_Bridge_Zone_Sud" xfId="1460" xr:uid="{00000000-0005-0000-0000-0000CA050000}"/>
    <cellStyle name="s_B_S_Ratios_T_Actualisation provision contrat déficitaire SNCM 2010 V Def_PAO-CAF-RESOP_B13_focus par entités CAFOP" xfId="1461" xr:uid="{00000000-0005-0000-0000-0000CB050000}"/>
    <cellStyle name="s_B_S_Ratios_T_Actualisation provision contrat déficitaire SNCM 2010 V Def_PAO-CAF-RESOP_B13_focus par entités CAFOP_Bridge_Zone_Sud" xfId="1462" xr:uid="{00000000-0005-0000-0000-0000CC050000}"/>
    <cellStyle name="s_B_S_Ratios_T_Actualisation provision contrat déficitaire SNCM 2010 V Def_PAO-CAF-RESOP_B2014" xfId="1463" xr:uid="{00000000-0005-0000-0000-0000CD050000}"/>
    <cellStyle name="s_B_S_Ratios_T_Actualisation provision contrat déficitaire SNCM 2010 V Def_PAO-CAF-RESOP_B2014_Bridge_Zone_Sud" xfId="1464" xr:uid="{00000000-0005-0000-0000-0000CE050000}"/>
    <cellStyle name="s_B_S_Ratios_T_Actualisation provision contrat déficitaire SNCM 2010 V Def_PAO-CAF-RESOP_B2014_v2" xfId="1465" xr:uid="{00000000-0005-0000-0000-0000CF050000}"/>
    <cellStyle name="s_B_S_Ratios_T_Actualisation provision contrat déficitaire SNCM 2010 V Def_PAO-CAF-RESOP_E2_13" xfId="1466" xr:uid="{00000000-0005-0000-0000-0000D0050000}"/>
    <cellStyle name="s_B_S_Ratios_T_Actualisation provision contrat déficitaire SNCM 2010 V Def_PAO-CAF-RESOP_E2_13_B14_E2_2210" xfId="1467" xr:uid="{00000000-0005-0000-0000-0000D1050000}"/>
    <cellStyle name="s_B_S_Ratios_T_Actualisation provision contrat déficitaire SNCM 2010 V Def_PAO-CAF-RESOP_E2_13_B14_E2_2210_Bridge_Zone_Sud" xfId="1468" xr:uid="{00000000-0005-0000-0000-0000D2050000}"/>
    <cellStyle name="s_B_S_Ratios_T_Actualisation provision contrat déficitaire SNCM 2010 V Def_PAO-CAF-RESOP_E2_13_Bridge_Zone_Sud" xfId="1469" xr:uid="{00000000-0005-0000-0000-0000D3050000}"/>
    <cellStyle name="s_B_S_Ratios_T_Actualisation provision contrat déficitaire SNCM 2010 V Def_PAO-CAF-RESOP_E2_2013_03_10_19H" xfId="1470" xr:uid="{00000000-0005-0000-0000-0000D4050000}"/>
    <cellStyle name="s_B_S_Ratios_T_Actualisation provision contrat déficitaire SNCM 2010 V Def_PAO-CAF-RESOP_E2_2013_03_10_19H_Bridge_Zone_Sud" xfId="1471" xr:uid="{00000000-0005-0000-0000-0000D5050000}"/>
    <cellStyle name="s_B_S_Ratios_T_Actualisation provision contrat déficitaire SNCM 2010 V Def_PPA" xfId="1472" xr:uid="{00000000-0005-0000-0000-0000D6050000}"/>
    <cellStyle name="s_B_S_Ratios_T_Actualisation provision contrat déficitaire SNCM 2010 V Def_RESOP bef CICE&amp;PPA&amp;RepartHO" xfId="1473" xr:uid="{00000000-0005-0000-0000-0000D7050000}"/>
    <cellStyle name="s_B_S_Ratios_T_Actualisation provision contrat déficitaire SNCM 2010 V Def_Synthèse_Présentation_conso_retraitée" xfId="1474" xr:uid="{00000000-0005-0000-0000-0000D8050000}"/>
    <cellStyle name="s_B_S_Ratios_T_Actualisation provision contrat déficitaire SNCM 2011 V3 30 05 2011" xfId="1475" xr:uid="{00000000-0005-0000-0000-0000D9050000}"/>
    <cellStyle name="s_B_S_Ratios_T_Actualisation provision contrat déficitaire SNCM 2011 V3 30 05 2011_B14_E2_2210" xfId="1476" xr:uid="{00000000-0005-0000-0000-0000DA050000}"/>
    <cellStyle name="s_B_S_Ratios_T_Actualisation provision contrat déficitaire SNCM 2011 V3 30 05 2011_B14_E2_2210_Bridge_Zone_Sud" xfId="1477" xr:uid="{00000000-0005-0000-0000-0000DB050000}"/>
    <cellStyle name="s_B_S_Ratios_T_Actualisation provision contrat déficitaire SNCM 2011 V3 30 05 2011_Bridge_Zone_Sud" xfId="1478" xr:uid="{00000000-0005-0000-0000-0000DC050000}"/>
    <cellStyle name="s_B_S_Ratios_T_Actualisation provision contrat déficitaire SNCM 2011 V3 30 05 2011_CAPEM BY COUNTRY" xfId="1479" xr:uid="{00000000-0005-0000-0000-0000DD050000}"/>
    <cellStyle name="s_B_S_Ratios_T_Actualisation provision contrat déficitaire SNCM 2011 V3 30 05 2011_focus par entités CAFOPE2AMF" xfId="1480" xr:uid="{00000000-0005-0000-0000-0000DE050000}"/>
    <cellStyle name="s_B_S_Ratios_T_Actualisation provision contrat déficitaire SNCM 2011 V3 30 05 2011_focus par entités CAFOPE2AMF_Bridge_Zone_Sud" xfId="1481" xr:uid="{00000000-0005-0000-0000-0000DF050000}"/>
    <cellStyle name="s_B_S_Ratios_T_Actualisation provision contrat déficitaire SNCM 2011 V3 30 05 2011_Maquette PLT" xfId="1482" xr:uid="{00000000-0005-0000-0000-0000E0050000}"/>
    <cellStyle name="s_B_S_Ratios_T_Actualisation provision contrat déficitaire SNCM 2011 V3 30 05 2011_Output" xfId="3381" xr:uid="{00000000-0005-0000-0000-0000E1050000}"/>
    <cellStyle name="s_B_S_Ratios_T_Actualisation provision contrat déficitaire SNCM 2011 V3 30 05 2011_PAO-CAF-RESOP_04_13_pro_format_variante T1" xfId="1483" xr:uid="{00000000-0005-0000-0000-0000E2050000}"/>
    <cellStyle name="s_B_S_Ratios_T_Actualisation provision contrat déficitaire SNCM 2011 V3 30 05 2011_PAO-CAF-RESOP_04_13_pro_format_variante T1_B14_E2_2210" xfId="1484" xr:uid="{00000000-0005-0000-0000-0000E3050000}"/>
    <cellStyle name="s_B_S_Ratios_T_Actualisation provision contrat déficitaire SNCM 2011 V3 30 05 2011_PAO-CAF-RESOP_04_13_pro_format_variante T1_B14_E2_2210_Bridge_Zone_Sud" xfId="1485" xr:uid="{00000000-0005-0000-0000-0000E4050000}"/>
    <cellStyle name="s_B_S_Ratios_T_Actualisation provision contrat déficitaire SNCM 2011 V3 30 05 2011_PAO-CAF-RESOP_04_13_pro_format_variante T1_Bridge_Zone_Sud" xfId="1486" xr:uid="{00000000-0005-0000-0000-0000E5050000}"/>
    <cellStyle name="s_B_S_Ratios_T_Actualisation provision contrat déficitaire SNCM 2011 V3 30 05 2011_PAO-CAF-RESOP_06_13" xfId="1487" xr:uid="{00000000-0005-0000-0000-0000E6050000}"/>
    <cellStyle name="s_B_S_Ratios_T_Actualisation provision contrat déficitaire SNCM 2011 V3 30 05 2011_PAO-CAF-RESOP_06_13_B14_E2_2210" xfId="1488" xr:uid="{00000000-0005-0000-0000-0000E7050000}"/>
    <cellStyle name="s_B_S_Ratios_T_Actualisation provision contrat déficitaire SNCM 2011 V3 30 05 2011_PAO-CAF-RESOP_06_13_B14_E2_2210_Bridge_Zone_Sud" xfId="1489" xr:uid="{00000000-0005-0000-0000-0000E8050000}"/>
    <cellStyle name="s_B_S_Ratios_T_Actualisation provision contrat déficitaire SNCM 2011 V3 30 05 2011_PAO-CAF-RESOP_06_13_Bridge_Zone_Sud" xfId="1490" xr:uid="{00000000-0005-0000-0000-0000E9050000}"/>
    <cellStyle name="s_B_S_Ratios_T_Actualisation provision contrat déficitaire SNCM 2011 V3 30 05 2011_PAO-CAF-RESOP_08_13" xfId="1491" xr:uid="{00000000-0005-0000-0000-0000EA050000}"/>
    <cellStyle name="s_B_S_Ratios_T_Actualisation provision contrat déficitaire SNCM 2011 V3 30 05 2011_PAO-CAF-RESOP_08_13_B14_E2_2210" xfId="1492" xr:uid="{00000000-0005-0000-0000-0000EB050000}"/>
    <cellStyle name="s_B_S_Ratios_T_Actualisation provision contrat déficitaire SNCM 2011 V3 30 05 2011_PAO-CAF-RESOP_08_13_B14_E2_2210_Bridge_Zone_Sud" xfId="1493" xr:uid="{00000000-0005-0000-0000-0000EC050000}"/>
    <cellStyle name="s_B_S_Ratios_T_Actualisation provision contrat déficitaire SNCM 2011 V3 30 05 2011_PAO-CAF-RESOP_08_13_Bridge_Zone_Sud" xfId="1494" xr:uid="{00000000-0005-0000-0000-0000ED050000}"/>
    <cellStyle name="s_B_S_Ratios_T_Actualisation provision contrat déficitaire SNCM 2011 V3 30 05 2011_PAO-CAF-RESOP_09_13" xfId="1495" xr:uid="{00000000-0005-0000-0000-0000EE050000}"/>
    <cellStyle name="s_B_S_Ratios_T_Actualisation provision contrat déficitaire SNCM 2011 V3 30 05 2011_PAO-CAF-RESOP_09_13_Bridge_Zone_Sud" xfId="1496" xr:uid="{00000000-0005-0000-0000-0000EF050000}"/>
    <cellStyle name="s_B_S_Ratios_T_Actualisation provision contrat déficitaire SNCM 2011 V3 30 05 2011_PAO-CAF-RESOP_09_2013_Zone_IDF (version 2)" xfId="1497" xr:uid="{00000000-0005-0000-0000-0000F0050000}"/>
    <cellStyle name="s_B_S_Ratios_T_Actualisation provision contrat déficitaire SNCM 2011 V3 30 05 2011_PAO-CAF-RESOP_10_12" xfId="1498" xr:uid="{00000000-0005-0000-0000-0000F1050000}"/>
    <cellStyle name="s_B_S_Ratios_T_Actualisation provision contrat déficitaire SNCM 2011 V3 30 05 2011_PAO-CAF-RESOP_10_12_Bridge_Zone_Sud" xfId="1499" xr:uid="{00000000-0005-0000-0000-0000F2050000}"/>
    <cellStyle name="s_B_S_Ratios_T_Actualisation provision contrat déficitaire SNCM 2011 V3 30 05 2011_PAO-CAF-RESOP_10_12_focus par entités CAFOP" xfId="1500" xr:uid="{00000000-0005-0000-0000-0000F3050000}"/>
    <cellStyle name="s_B_S_Ratios_T_Actualisation provision contrat déficitaire SNCM 2011 V3 30 05 2011_PAO-CAF-RESOP_10_12_focus par entités CAFOP_Bridge_Zone_Sud" xfId="1501" xr:uid="{00000000-0005-0000-0000-0000F4050000}"/>
    <cellStyle name="s_B_S_Ratios_T_Actualisation provision contrat déficitaire SNCM 2011 V3 30 05 2011_PAO-CAF-RESOP_11_13" xfId="1502" xr:uid="{00000000-0005-0000-0000-0000F5050000}"/>
    <cellStyle name="s_B_S_Ratios_T_Actualisation provision contrat déficitaire SNCM 2011 V3 30 05 2011_PAO-CAF-RESOP_B13" xfId="1503" xr:uid="{00000000-0005-0000-0000-0000F6050000}"/>
    <cellStyle name="s_B_S_Ratios_T_Actualisation provision contrat déficitaire SNCM 2011 V3 30 05 2011_PAO-CAF-RESOP_B13_Bridge_Zone_Sud" xfId="1504" xr:uid="{00000000-0005-0000-0000-0000F7050000}"/>
    <cellStyle name="s_B_S_Ratios_T_Actualisation provision contrat déficitaire SNCM 2011 V3 30 05 2011_PAO-CAF-RESOP_B13_focus par entités CAFOP" xfId="1505" xr:uid="{00000000-0005-0000-0000-0000F8050000}"/>
    <cellStyle name="s_B_S_Ratios_T_Actualisation provision contrat déficitaire SNCM 2011 V3 30 05 2011_PAO-CAF-RESOP_B13_focus par entités CAFOP_Bridge_Zone_Sud" xfId="1506" xr:uid="{00000000-0005-0000-0000-0000F9050000}"/>
    <cellStyle name="s_B_S_Ratios_T_Actualisation provision contrat déficitaire SNCM 2011 V3 30 05 2011_PAO-CAF-RESOP_B2014" xfId="1507" xr:uid="{00000000-0005-0000-0000-0000FA050000}"/>
    <cellStyle name="s_B_S_Ratios_T_Actualisation provision contrat déficitaire SNCM 2011 V3 30 05 2011_PAO-CAF-RESOP_B2014_Bridge_Zone_Sud" xfId="1508" xr:uid="{00000000-0005-0000-0000-0000FB050000}"/>
    <cellStyle name="s_B_S_Ratios_T_Actualisation provision contrat déficitaire SNCM 2011 V3 30 05 2011_PAO-CAF-RESOP_B2014_v2" xfId="1509" xr:uid="{00000000-0005-0000-0000-0000FC050000}"/>
    <cellStyle name="s_B_S_Ratios_T_Actualisation provision contrat déficitaire SNCM 2011 V3 30 05 2011_PAO-CAF-RESOP_E2_13" xfId="1510" xr:uid="{00000000-0005-0000-0000-0000FD050000}"/>
    <cellStyle name="s_B_S_Ratios_T_Actualisation provision contrat déficitaire SNCM 2011 V3 30 05 2011_PAO-CAF-RESOP_E2_13_B14_E2_2210" xfId="1511" xr:uid="{00000000-0005-0000-0000-0000FE050000}"/>
    <cellStyle name="s_B_S_Ratios_T_Actualisation provision contrat déficitaire SNCM 2011 V3 30 05 2011_PAO-CAF-RESOP_E2_13_B14_E2_2210_Bridge_Zone_Sud" xfId="1512" xr:uid="{00000000-0005-0000-0000-0000FF050000}"/>
    <cellStyle name="s_B_S_Ratios_T_Actualisation provision contrat déficitaire SNCM 2011 V3 30 05 2011_PAO-CAF-RESOP_E2_13_Bridge_Zone_Sud" xfId="1513" xr:uid="{00000000-0005-0000-0000-000000060000}"/>
    <cellStyle name="s_B_S_Ratios_T_Actualisation provision contrat déficitaire SNCM 2011 V3 30 05 2011_PAO-CAF-RESOP_E2_2013_03_10_19H" xfId="1514" xr:uid="{00000000-0005-0000-0000-000001060000}"/>
    <cellStyle name="s_B_S_Ratios_T_Actualisation provision contrat déficitaire SNCM 2011 V3 30 05 2011_PAO-CAF-RESOP_E2_2013_03_10_19H_Bridge_Zone_Sud" xfId="1515" xr:uid="{00000000-0005-0000-0000-000002060000}"/>
    <cellStyle name="s_B_S_Ratios_T_Actualisation provision contrat déficitaire SNCM 2011 V3 30 05 2011_PPA" xfId="1516" xr:uid="{00000000-0005-0000-0000-000003060000}"/>
    <cellStyle name="s_B_S_Ratios_T_Actualisation provision contrat déficitaire SNCM 2011 V3 30 05 2011_RESOP bef CICE&amp;PPA&amp;RepartHO" xfId="1517" xr:uid="{00000000-0005-0000-0000-000004060000}"/>
    <cellStyle name="s_B_S_Ratios_T_Actualisation provision contrat déficitaire SNCM 2011 V3 30 05 2011_Synthèse_Présentation_conso_retraitée" xfId="1518" xr:uid="{00000000-0005-0000-0000-000005060000}"/>
    <cellStyle name="s_B_S_Ratios_T_B14_E2_2210" xfId="1519" xr:uid="{00000000-0005-0000-0000-000006060000}"/>
    <cellStyle name="s_B_S_Ratios_T_B14_E2_2210_Bridge_Zone_Sud" xfId="1520" xr:uid="{00000000-0005-0000-0000-000007060000}"/>
    <cellStyle name="s_B_S_Ratios_T_BFR_TD_2014.02" xfId="1521" xr:uid="{00000000-0005-0000-0000-000008060000}"/>
    <cellStyle name="s_B_S_Ratios_T_Bridge_Zone_Nord" xfId="1522" xr:uid="{00000000-0005-0000-0000-000009060000}"/>
    <cellStyle name="s_B_S_Ratios_T_CAPEM BY COUNTRY" xfId="1523" xr:uid="{00000000-0005-0000-0000-00000A060000}"/>
    <cellStyle name="s_B_S_Ratios_T_LI819L_B13" xfId="1524" xr:uid="{00000000-0005-0000-0000-00000B060000}"/>
    <cellStyle name="s_B_S_Ratios_T_LI819L_B13_CAPEM BY COUNTRY" xfId="1525" xr:uid="{00000000-0005-0000-0000-00000C060000}"/>
    <cellStyle name="s_B_S_Ratios_T_LI819L_B13_Maquette PLT" xfId="1526" xr:uid="{00000000-0005-0000-0000-00000D060000}"/>
    <cellStyle name="s_B_S_Ratios_T_LI819L_B13_Output" xfId="3382" xr:uid="{00000000-0005-0000-0000-00000E060000}"/>
    <cellStyle name="s_B_S_Ratios_T_LI819L_B13_PPA" xfId="1527" xr:uid="{00000000-0005-0000-0000-00000F060000}"/>
    <cellStyle name="s_B_S_Ratios_T_LI819L_B13_RESOP bef CICE&amp;PPA&amp;RepartHO" xfId="1528" xr:uid="{00000000-0005-0000-0000-000010060000}"/>
    <cellStyle name="s_B_S_Ratios_T_Maquette PLT" xfId="1529" xr:uid="{00000000-0005-0000-0000-000011060000}"/>
    <cellStyle name="s_B_S_Ratios_T_Output" xfId="3379" xr:uid="{00000000-0005-0000-0000-000012060000}"/>
    <cellStyle name="s_B_S_Ratios_T_PAO-CAF-RESOP_14_01_13 à 20h" xfId="1530" xr:uid="{00000000-0005-0000-0000-000013060000}"/>
    <cellStyle name="s_B_S_Ratios_T_PAO-CAF-RESOP_14_01_13 à 20h_CAPEM BY COUNTRY" xfId="1531" xr:uid="{00000000-0005-0000-0000-000014060000}"/>
    <cellStyle name="s_B_S_Ratios_T_PAO-CAF-RESOP_14_01_13 à 20h_Maquette PLT" xfId="1532" xr:uid="{00000000-0005-0000-0000-000015060000}"/>
    <cellStyle name="s_B_S_Ratios_T_PAO-CAF-RESOP_14_01_13 à 20h_Output" xfId="3383" xr:uid="{00000000-0005-0000-0000-000016060000}"/>
    <cellStyle name="s_B_S_Ratios_T_PAO-CAF-RESOP_14_01_13 à 20h_PPA" xfId="1533" xr:uid="{00000000-0005-0000-0000-000017060000}"/>
    <cellStyle name="s_B_S_Ratios_T_PAO-CAF-RESOP_14_01_13 à 20h_RESOP bef CICE&amp;PPA&amp;RepartHO" xfId="1534" xr:uid="{00000000-0005-0000-0000-000018060000}"/>
    <cellStyle name="s_B_S_Ratios_T_PAO-CAF-RESOP_2014.02" xfId="1535" xr:uid="{00000000-0005-0000-0000-000019060000}"/>
    <cellStyle name="s_B_S_Ratios_T_PAO-CAF-RESOP_2014.02_Bridge_Zone_Sud" xfId="1536" xr:uid="{00000000-0005-0000-0000-00001A060000}"/>
    <cellStyle name="s_B_S_Ratios_T_PPA" xfId="1537" xr:uid="{00000000-0005-0000-0000-00001B060000}"/>
    <cellStyle name="s_B_S_Ratios_T_RESOP bef CICE&amp;PPA&amp;RepartHO" xfId="1538" xr:uid="{00000000-0005-0000-0000-00001C060000}"/>
    <cellStyle name="s_B14_E2_2210" xfId="1539" xr:uid="{00000000-0005-0000-0000-00001D060000}"/>
    <cellStyle name="s_B14_E2_2210_Bridge_Zone_Sud" xfId="1540" xr:uid="{00000000-0005-0000-0000-00001E060000}"/>
    <cellStyle name="s_BFR_TD_2014.02" xfId="1541" xr:uid="{00000000-0005-0000-0000-00001F060000}"/>
    <cellStyle name="s_Bridge_Zone_Nord" xfId="1542" xr:uid="{00000000-0005-0000-0000-000020060000}"/>
    <cellStyle name="s_CAPEM BY COUNTRY" xfId="1543" xr:uid="{00000000-0005-0000-0000-000021060000}"/>
    <cellStyle name="s_DCFLBO Code" xfId="1544" xr:uid="{00000000-0005-0000-0000-000022060000}"/>
    <cellStyle name="s_DCFLBO Code_1" xfId="1545" xr:uid="{00000000-0005-0000-0000-000023060000}"/>
    <cellStyle name="s_DCFLBO Code_1_Actualisation provision contrat déficitaire SNCM 2010 V Def" xfId="1546" xr:uid="{00000000-0005-0000-0000-000024060000}"/>
    <cellStyle name="s_DCFLBO Code_1_Actualisation provision contrat déficitaire SNCM 2010 V Def_B14_E2_2210" xfId="1547" xr:uid="{00000000-0005-0000-0000-000025060000}"/>
    <cellStyle name="s_DCFLBO Code_1_Actualisation provision contrat déficitaire SNCM 2010 V Def_B14_E2_2210_Bridge_Zone_Sud" xfId="1548" xr:uid="{00000000-0005-0000-0000-000026060000}"/>
    <cellStyle name="s_DCFLBO Code_1_Actualisation provision contrat déficitaire SNCM 2010 V Def_Bridge_Zone_Sud" xfId="1549" xr:uid="{00000000-0005-0000-0000-000027060000}"/>
    <cellStyle name="s_DCFLBO Code_1_Actualisation provision contrat déficitaire SNCM 2010 V Def_CAPEM BY COUNTRY" xfId="1550" xr:uid="{00000000-0005-0000-0000-000028060000}"/>
    <cellStyle name="s_DCFLBO Code_1_Actualisation provision contrat déficitaire SNCM 2010 V Def_focus par entités CAFOPE2AMF" xfId="1551" xr:uid="{00000000-0005-0000-0000-000029060000}"/>
    <cellStyle name="s_DCFLBO Code_1_Actualisation provision contrat déficitaire SNCM 2010 V Def_focus par entités CAFOPE2AMF_Bridge_Zone_Sud" xfId="1552" xr:uid="{00000000-0005-0000-0000-00002A060000}"/>
    <cellStyle name="s_DCFLBO Code_1_Actualisation provision contrat déficitaire SNCM 2010 V Def_Maquette PLT" xfId="1553" xr:uid="{00000000-0005-0000-0000-00002B060000}"/>
    <cellStyle name="s_DCFLBO Code_1_Actualisation provision contrat déficitaire SNCM 2010 V Def_Output" xfId="3386" xr:uid="{00000000-0005-0000-0000-00002C060000}"/>
    <cellStyle name="s_DCFLBO Code_1_Actualisation provision contrat déficitaire SNCM 2010 V Def_PAO-CAF-RESOP_04_13_pro_format_variante T1" xfId="1554" xr:uid="{00000000-0005-0000-0000-00002D060000}"/>
    <cellStyle name="s_DCFLBO Code_1_Actualisation provision contrat déficitaire SNCM 2010 V Def_PAO-CAF-RESOP_04_13_pro_format_variante T1_B14_E2_2210" xfId="1555" xr:uid="{00000000-0005-0000-0000-00002E060000}"/>
    <cellStyle name="s_DCFLBO Code_1_Actualisation provision contrat déficitaire SNCM 2010 V Def_PAO-CAF-RESOP_04_13_pro_format_variante T1_B14_E2_2210_Bridge_Zone_Sud" xfId="1556" xr:uid="{00000000-0005-0000-0000-00002F060000}"/>
    <cellStyle name="s_DCFLBO Code_1_Actualisation provision contrat déficitaire SNCM 2010 V Def_PAO-CAF-RESOP_04_13_pro_format_variante T1_Bridge_Zone_Sud" xfId="1557" xr:uid="{00000000-0005-0000-0000-000030060000}"/>
    <cellStyle name="s_DCFLBO Code_1_Actualisation provision contrat déficitaire SNCM 2010 V Def_PAO-CAF-RESOP_06_13" xfId="1558" xr:uid="{00000000-0005-0000-0000-000031060000}"/>
    <cellStyle name="s_DCFLBO Code_1_Actualisation provision contrat déficitaire SNCM 2010 V Def_PAO-CAF-RESOP_06_13_B14_E2_2210" xfId="1559" xr:uid="{00000000-0005-0000-0000-000032060000}"/>
    <cellStyle name="s_DCFLBO Code_1_Actualisation provision contrat déficitaire SNCM 2010 V Def_PAO-CAF-RESOP_06_13_B14_E2_2210_Bridge_Zone_Sud" xfId="1560" xr:uid="{00000000-0005-0000-0000-000033060000}"/>
    <cellStyle name="s_DCFLBO Code_1_Actualisation provision contrat déficitaire SNCM 2010 V Def_PAO-CAF-RESOP_06_13_Bridge_Zone_Sud" xfId="1561" xr:uid="{00000000-0005-0000-0000-000034060000}"/>
    <cellStyle name="s_DCFLBO Code_1_Actualisation provision contrat déficitaire SNCM 2010 V Def_PAO-CAF-RESOP_08_13" xfId="1562" xr:uid="{00000000-0005-0000-0000-000035060000}"/>
    <cellStyle name="s_DCFLBO Code_1_Actualisation provision contrat déficitaire SNCM 2010 V Def_PAO-CAF-RESOP_08_13_B14_E2_2210" xfId="1563" xr:uid="{00000000-0005-0000-0000-000036060000}"/>
    <cellStyle name="s_DCFLBO Code_1_Actualisation provision contrat déficitaire SNCM 2010 V Def_PAO-CAF-RESOP_08_13_B14_E2_2210_Bridge_Zone_Sud" xfId="1564" xr:uid="{00000000-0005-0000-0000-000037060000}"/>
    <cellStyle name="s_DCFLBO Code_1_Actualisation provision contrat déficitaire SNCM 2010 V Def_PAO-CAF-RESOP_08_13_Bridge_Zone_Sud" xfId="1565" xr:uid="{00000000-0005-0000-0000-000038060000}"/>
    <cellStyle name="s_DCFLBO Code_1_Actualisation provision contrat déficitaire SNCM 2010 V Def_PAO-CAF-RESOP_09_13" xfId="1566" xr:uid="{00000000-0005-0000-0000-000039060000}"/>
    <cellStyle name="s_DCFLBO Code_1_Actualisation provision contrat déficitaire SNCM 2010 V Def_PAO-CAF-RESOP_09_13_Bridge_Zone_Sud" xfId="1567" xr:uid="{00000000-0005-0000-0000-00003A060000}"/>
    <cellStyle name="s_DCFLBO Code_1_Actualisation provision contrat déficitaire SNCM 2010 V Def_PAO-CAF-RESOP_09_2013_Zone_IDF (version 2)" xfId="1568" xr:uid="{00000000-0005-0000-0000-00003B060000}"/>
    <cellStyle name="s_DCFLBO Code_1_Actualisation provision contrat déficitaire SNCM 2010 V Def_PAO-CAF-RESOP_10_12" xfId="1569" xr:uid="{00000000-0005-0000-0000-00003C060000}"/>
    <cellStyle name="s_DCFLBO Code_1_Actualisation provision contrat déficitaire SNCM 2010 V Def_PAO-CAF-RESOP_10_12_Bridge_Zone_Sud" xfId="1570" xr:uid="{00000000-0005-0000-0000-00003D060000}"/>
    <cellStyle name="s_DCFLBO Code_1_Actualisation provision contrat déficitaire SNCM 2010 V Def_PAO-CAF-RESOP_10_12_focus par entités CAFOP" xfId="1571" xr:uid="{00000000-0005-0000-0000-00003E060000}"/>
    <cellStyle name="s_DCFLBO Code_1_Actualisation provision contrat déficitaire SNCM 2010 V Def_PAO-CAF-RESOP_10_12_focus par entités CAFOP_Bridge_Zone_Sud" xfId="1572" xr:uid="{00000000-0005-0000-0000-00003F060000}"/>
    <cellStyle name="s_DCFLBO Code_1_Actualisation provision contrat déficitaire SNCM 2010 V Def_PAO-CAF-RESOP_11_13" xfId="1573" xr:uid="{00000000-0005-0000-0000-000040060000}"/>
    <cellStyle name="s_DCFLBO Code_1_Actualisation provision contrat déficitaire SNCM 2010 V Def_PAO-CAF-RESOP_B13" xfId="1574" xr:uid="{00000000-0005-0000-0000-000041060000}"/>
    <cellStyle name="s_DCFLBO Code_1_Actualisation provision contrat déficitaire SNCM 2010 V Def_PAO-CAF-RESOP_B13_Bridge_Zone_Sud" xfId="1575" xr:uid="{00000000-0005-0000-0000-000042060000}"/>
    <cellStyle name="s_DCFLBO Code_1_Actualisation provision contrat déficitaire SNCM 2010 V Def_PAO-CAF-RESOP_B13_focus par entités CAFOP" xfId="1576" xr:uid="{00000000-0005-0000-0000-000043060000}"/>
    <cellStyle name="s_DCFLBO Code_1_Actualisation provision contrat déficitaire SNCM 2010 V Def_PAO-CAF-RESOP_B13_focus par entités CAFOP_Bridge_Zone_Sud" xfId="1577" xr:uid="{00000000-0005-0000-0000-000044060000}"/>
    <cellStyle name="s_DCFLBO Code_1_Actualisation provision contrat déficitaire SNCM 2010 V Def_PAO-CAF-RESOP_B2014" xfId="1578" xr:uid="{00000000-0005-0000-0000-000045060000}"/>
    <cellStyle name="s_DCFLBO Code_1_Actualisation provision contrat déficitaire SNCM 2010 V Def_PAO-CAF-RESOP_B2014_Bridge_Zone_Sud" xfId="1579" xr:uid="{00000000-0005-0000-0000-000046060000}"/>
    <cellStyle name="s_DCFLBO Code_1_Actualisation provision contrat déficitaire SNCM 2010 V Def_PAO-CAF-RESOP_B2014_v2" xfId="1580" xr:uid="{00000000-0005-0000-0000-000047060000}"/>
    <cellStyle name="s_DCFLBO Code_1_Actualisation provision contrat déficitaire SNCM 2010 V Def_PAO-CAF-RESOP_E2_13" xfId="1581" xr:uid="{00000000-0005-0000-0000-000048060000}"/>
    <cellStyle name="s_DCFLBO Code_1_Actualisation provision contrat déficitaire SNCM 2010 V Def_PAO-CAF-RESOP_E2_13_B14_E2_2210" xfId="1582" xr:uid="{00000000-0005-0000-0000-000049060000}"/>
    <cellStyle name="s_DCFLBO Code_1_Actualisation provision contrat déficitaire SNCM 2010 V Def_PAO-CAF-RESOP_E2_13_B14_E2_2210_Bridge_Zone_Sud" xfId="1583" xr:uid="{00000000-0005-0000-0000-00004A060000}"/>
    <cellStyle name="s_DCFLBO Code_1_Actualisation provision contrat déficitaire SNCM 2010 V Def_PAO-CAF-RESOP_E2_13_Bridge_Zone_Sud" xfId="1584" xr:uid="{00000000-0005-0000-0000-00004B060000}"/>
    <cellStyle name="s_DCFLBO Code_1_Actualisation provision contrat déficitaire SNCM 2010 V Def_PAO-CAF-RESOP_E2_2013_03_10_19H" xfId="1585" xr:uid="{00000000-0005-0000-0000-00004C060000}"/>
    <cellStyle name="s_DCFLBO Code_1_Actualisation provision contrat déficitaire SNCM 2010 V Def_PAO-CAF-RESOP_E2_2013_03_10_19H_Bridge_Zone_Sud" xfId="1586" xr:uid="{00000000-0005-0000-0000-00004D060000}"/>
    <cellStyle name="s_DCFLBO Code_1_Actualisation provision contrat déficitaire SNCM 2010 V Def_PPA" xfId="1587" xr:uid="{00000000-0005-0000-0000-00004E060000}"/>
    <cellStyle name="s_DCFLBO Code_1_Actualisation provision contrat déficitaire SNCM 2010 V Def_RESOP bef CICE&amp;PPA&amp;RepartHO" xfId="1588" xr:uid="{00000000-0005-0000-0000-00004F060000}"/>
    <cellStyle name="s_DCFLBO Code_1_Actualisation provision contrat déficitaire SNCM 2010 V Def_Synthèse_Présentation_conso_retraitée" xfId="1589" xr:uid="{00000000-0005-0000-0000-000050060000}"/>
    <cellStyle name="s_DCFLBO Code_1_Actualisation provision contrat déficitaire SNCM 2011 V3 30 05 2011" xfId="1590" xr:uid="{00000000-0005-0000-0000-000051060000}"/>
    <cellStyle name="s_DCFLBO Code_1_Actualisation provision contrat déficitaire SNCM 2011 V3 30 05 2011_B14_E2_2210" xfId="1591" xr:uid="{00000000-0005-0000-0000-000052060000}"/>
    <cellStyle name="s_DCFLBO Code_1_Actualisation provision contrat déficitaire SNCM 2011 V3 30 05 2011_B14_E2_2210_Bridge_Zone_Sud" xfId="1592" xr:uid="{00000000-0005-0000-0000-000053060000}"/>
    <cellStyle name="s_DCFLBO Code_1_Actualisation provision contrat déficitaire SNCM 2011 V3 30 05 2011_Bridge_Zone_Sud" xfId="1593" xr:uid="{00000000-0005-0000-0000-000054060000}"/>
    <cellStyle name="s_DCFLBO Code_1_Actualisation provision contrat déficitaire SNCM 2011 V3 30 05 2011_CAPEM BY COUNTRY" xfId="1594" xr:uid="{00000000-0005-0000-0000-000055060000}"/>
    <cellStyle name="s_DCFLBO Code_1_Actualisation provision contrat déficitaire SNCM 2011 V3 30 05 2011_focus par entités CAFOPE2AMF" xfId="1595" xr:uid="{00000000-0005-0000-0000-000056060000}"/>
    <cellStyle name="s_DCFLBO Code_1_Actualisation provision contrat déficitaire SNCM 2011 V3 30 05 2011_focus par entités CAFOPE2AMF_Bridge_Zone_Sud" xfId="1596" xr:uid="{00000000-0005-0000-0000-000057060000}"/>
    <cellStyle name="s_DCFLBO Code_1_Actualisation provision contrat déficitaire SNCM 2011 V3 30 05 2011_Maquette PLT" xfId="1597" xr:uid="{00000000-0005-0000-0000-000058060000}"/>
    <cellStyle name="s_DCFLBO Code_1_Actualisation provision contrat déficitaire SNCM 2011 V3 30 05 2011_Output" xfId="3387" xr:uid="{00000000-0005-0000-0000-000059060000}"/>
    <cellStyle name="s_DCFLBO Code_1_Actualisation provision contrat déficitaire SNCM 2011 V3 30 05 2011_PAO-CAF-RESOP_04_13_pro_format_variante T1" xfId="1598" xr:uid="{00000000-0005-0000-0000-00005A060000}"/>
    <cellStyle name="s_DCFLBO Code_1_Actualisation provision contrat déficitaire SNCM 2011 V3 30 05 2011_PAO-CAF-RESOP_04_13_pro_format_variante T1_B14_E2_2210" xfId="1599" xr:uid="{00000000-0005-0000-0000-00005B060000}"/>
    <cellStyle name="s_DCFLBO Code_1_Actualisation provision contrat déficitaire SNCM 2011 V3 30 05 2011_PAO-CAF-RESOP_04_13_pro_format_variante T1_B14_E2_2210_Bridge_Zone_Sud" xfId="1600" xr:uid="{00000000-0005-0000-0000-00005C060000}"/>
    <cellStyle name="s_DCFLBO Code_1_Actualisation provision contrat déficitaire SNCM 2011 V3 30 05 2011_PAO-CAF-RESOP_04_13_pro_format_variante T1_Bridge_Zone_Sud" xfId="1601" xr:uid="{00000000-0005-0000-0000-00005D060000}"/>
    <cellStyle name="s_DCFLBO Code_1_Actualisation provision contrat déficitaire SNCM 2011 V3 30 05 2011_PAO-CAF-RESOP_06_13" xfId="1602" xr:uid="{00000000-0005-0000-0000-00005E060000}"/>
    <cellStyle name="s_DCFLBO Code_1_Actualisation provision contrat déficitaire SNCM 2011 V3 30 05 2011_PAO-CAF-RESOP_06_13_B14_E2_2210" xfId="1603" xr:uid="{00000000-0005-0000-0000-00005F060000}"/>
    <cellStyle name="s_DCFLBO Code_1_Actualisation provision contrat déficitaire SNCM 2011 V3 30 05 2011_PAO-CAF-RESOP_06_13_B14_E2_2210_Bridge_Zone_Sud" xfId="1604" xr:uid="{00000000-0005-0000-0000-000060060000}"/>
    <cellStyle name="s_DCFLBO Code_1_Actualisation provision contrat déficitaire SNCM 2011 V3 30 05 2011_PAO-CAF-RESOP_06_13_Bridge_Zone_Sud" xfId="1605" xr:uid="{00000000-0005-0000-0000-000061060000}"/>
    <cellStyle name="s_DCFLBO Code_1_Actualisation provision contrat déficitaire SNCM 2011 V3 30 05 2011_PAO-CAF-RESOP_08_13" xfId="1606" xr:uid="{00000000-0005-0000-0000-000062060000}"/>
    <cellStyle name="s_DCFLBO Code_1_Actualisation provision contrat déficitaire SNCM 2011 V3 30 05 2011_PAO-CAF-RESOP_08_13_B14_E2_2210" xfId="1607" xr:uid="{00000000-0005-0000-0000-000063060000}"/>
    <cellStyle name="s_DCFLBO Code_1_Actualisation provision contrat déficitaire SNCM 2011 V3 30 05 2011_PAO-CAF-RESOP_08_13_B14_E2_2210_Bridge_Zone_Sud" xfId="1608" xr:uid="{00000000-0005-0000-0000-000064060000}"/>
    <cellStyle name="s_DCFLBO Code_1_Actualisation provision contrat déficitaire SNCM 2011 V3 30 05 2011_PAO-CAF-RESOP_08_13_Bridge_Zone_Sud" xfId="1609" xr:uid="{00000000-0005-0000-0000-000065060000}"/>
    <cellStyle name="s_DCFLBO Code_1_Actualisation provision contrat déficitaire SNCM 2011 V3 30 05 2011_PAO-CAF-RESOP_09_13" xfId="1610" xr:uid="{00000000-0005-0000-0000-000066060000}"/>
    <cellStyle name="s_DCFLBO Code_1_Actualisation provision contrat déficitaire SNCM 2011 V3 30 05 2011_PAO-CAF-RESOP_09_13_Bridge_Zone_Sud" xfId="1611" xr:uid="{00000000-0005-0000-0000-000067060000}"/>
    <cellStyle name="s_DCFLBO Code_1_Actualisation provision contrat déficitaire SNCM 2011 V3 30 05 2011_PAO-CAF-RESOP_09_2013_Zone_IDF (version 2)" xfId="1612" xr:uid="{00000000-0005-0000-0000-000068060000}"/>
    <cellStyle name="s_DCFLBO Code_1_Actualisation provision contrat déficitaire SNCM 2011 V3 30 05 2011_PAO-CAF-RESOP_10_12" xfId="1613" xr:uid="{00000000-0005-0000-0000-000069060000}"/>
    <cellStyle name="s_DCFLBO Code_1_Actualisation provision contrat déficitaire SNCM 2011 V3 30 05 2011_PAO-CAF-RESOP_10_12_Bridge_Zone_Sud" xfId="1614" xr:uid="{00000000-0005-0000-0000-00006A060000}"/>
    <cellStyle name="s_DCFLBO Code_1_Actualisation provision contrat déficitaire SNCM 2011 V3 30 05 2011_PAO-CAF-RESOP_10_12_focus par entités CAFOP" xfId="1615" xr:uid="{00000000-0005-0000-0000-00006B060000}"/>
    <cellStyle name="s_DCFLBO Code_1_Actualisation provision contrat déficitaire SNCM 2011 V3 30 05 2011_PAO-CAF-RESOP_10_12_focus par entités CAFOP_Bridge_Zone_Sud" xfId="1616" xr:uid="{00000000-0005-0000-0000-00006C060000}"/>
    <cellStyle name="s_DCFLBO Code_1_Actualisation provision contrat déficitaire SNCM 2011 V3 30 05 2011_PAO-CAF-RESOP_11_13" xfId="1617" xr:uid="{00000000-0005-0000-0000-00006D060000}"/>
    <cellStyle name="s_DCFLBO Code_1_Actualisation provision contrat déficitaire SNCM 2011 V3 30 05 2011_PAO-CAF-RESOP_B13" xfId="1618" xr:uid="{00000000-0005-0000-0000-00006E060000}"/>
    <cellStyle name="s_DCFLBO Code_1_Actualisation provision contrat déficitaire SNCM 2011 V3 30 05 2011_PAO-CAF-RESOP_B13_Bridge_Zone_Sud" xfId="1619" xr:uid="{00000000-0005-0000-0000-00006F060000}"/>
    <cellStyle name="s_DCFLBO Code_1_Actualisation provision contrat déficitaire SNCM 2011 V3 30 05 2011_PAO-CAF-RESOP_B13_focus par entités CAFOP" xfId="1620" xr:uid="{00000000-0005-0000-0000-000070060000}"/>
    <cellStyle name="s_DCFLBO Code_1_Actualisation provision contrat déficitaire SNCM 2011 V3 30 05 2011_PAO-CAF-RESOP_B13_focus par entités CAFOP_Bridge_Zone_Sud" xfId="1621" xr:uid="{00000000-0005-0000-0000-000071060000}"/>
    <cellStyle name="s_DCFLBO Code_1_Actualisation provision contrat déficitaire SNCM 2011 V3 30 05 2011_PAO-CAF-RESOP_B2014" xfId="1622" xr:uid="{00000000-0005-0000-0000-000072060000}"/>
    <cellStyle name="s_DCFLBO Code_1_Actualisation provision contrat déficitaire SNCM 2011 V3 30 05 2011_PAO-CAF-RESOP_B2014_Bridge_Zone_Sud" xfId="1623" xr:uid="{00000000-0005-0000-0000-000073060000}"/>
    <cellStyle name="s_DCFLBO Code_1_Actualisation provision contrat déficitaire SNCM 2011 V3 30 05 2011_PAO-CAF-RESOP_B2014_v2" xfId="1624" xr:uid="{00000000-0005-0000-0000-000074060000}"/>
    <cellStyle name="s_DCFLBO Code_1_Actualisation provision contrat déficitaire SNCM 2011 V3 30 05 2011_PAO-CAF-RESOP_E2_13" xfId="1625" xr:uid="{00000000-0005-0000-0000-000075060000}"/>
    <cellStyle name="s_DCFLBO Code_1_Actualisation provision contrat déficitaire SNCM 2011 V3 30 05 2011_PAO-CAF-RESOP_E2_13_B14_E2_2210" xfId="1626" xr:uid="{00000000-0005-0000-0000-000076060000}"/>
    <cellStyle name="s_DCFLBO Code_1_Actualisation provision contrat déficitaire SNCM 2011 V3 30 05 2011_PAO-CAF-RESOP_E2_13_B14_E2_2210_Bridge_Zone_Sud" xfId="1627" xr:uid="{00000000-0005-0000-0000-000077060000}"/>
    <cellStyle name="s_DCFLBO Code_1_Actualisation provision contrat déficitaire SNCM 2011 V3 30 05 2011_PAO-CAF-RESOP_E2_13_Bridge_Zone_Sud" xfId="1628" xr:uid="{00000000-0005-0000-0000-000078060000}"/>
    <cellStyle name="s_DCFLBO Code_1_Actualisation provision contrat déficitaire SNCM 2011 V3 30 05 2011_PAO-CAF-RESOP_E2_2013_03_10_19H" xfId="1629" xr:uid="{00000000-0005-0000-0000-000079060000}"/>
    <cellStyle name="s_DCFLBO Code_1_Actualisation provision contrat déficitaire SNCM 2011 V3 30 05 2011_PAO-CAF-RESOP_E2_2013_03_10_19H_Bridge_Zone_Sud" xfId="1630" xr:uid="{00000000-0005-0000-0000-00007A060000}"/>
    <cellStyle name="s_DCFLBO Code_1_Actualisation provision contrat déficitaire SNCM 2011 V3 30 05 2011_PPA" xfId="1631" xr:uid="{00000000-0005-0000-0000-00007B060000}"/>
    <cellStyle name="s_DCFLBO Code_1_Actualisation provision contrat déficitaire SNCM 2011 V3 30 05 2011_RESOP bef CICE&amp;PPA&amp;RepartHO" xfId="1632" xr:uid="{00000000-0005-0000-0000-00007C060000}"/>
    <cellStyle name="s_DCFLBO Code_1_Actualisation provision contrat déficitaire SNCM 2011 V3 30 05 2011_Synthèse_Présentation_conso_retraitée" xfId="1633" xr:uid="{00000000-0005-0000-0000-00007D060000}"/>
    <cellStyle name="s_DCFLBO Code_1_B14_E2_2210" xfId="1634" xr:uid="{00000000-0005-0000-0000-00007E060000}"/>
    <cellStyle name="s_DCFLBO Code_1_B14_E2_2210_Bridge_Zone_Sud" xfId="1635" xr:uid="{00000000-0005-0000-0000-00007F060000}"/>
    <cellStyle name="s_DCFLBO Code_1_BFR_TD_2014.02" xfId="1636" xr:uid="{00000000-0005-0000-0000-000080060000}"/>
    <cellStyle name="s_DCFLBO Code_1_Bridge_Zone_Nord" xfId="1637" xr:uid="{00000000-0005-0000-0000-000081060000}"/>
    <cellStyle name="s_DCFLBO Code_1_CAPEM BY COUNTRY" xfId="1638" xr:uid="{00000000-0005-0000-0000-000082060000}"/>
    <cellStyle name="s_DCFLBO Code_1_LI819L_B13" xfId="1639" xr:uid="{00000000-0005-0000-0000-000083060000}"/>
    <cellStyle name="s_DCFLBO Code_1_LI819L_B13_CAPEM BY COUNTRY" xfId="1640" xr:uid="{00000000-0005-0000-0000-000084060000}"/>
    <cellStyle name="s_DCFLBO Code_1_LI819L_B13_Maquette PLT" xfId="1641" xr:uid="{00000000-0005-0000-0000-000085060000}"/>
    <cellStyle name="s_DCFLBO Code_1_LI819L_B13_Output" xfId="3388" xr:uid="{00000000-0005-0000-0000-000086060000}"/>
    <cellStyle name="s_DCFLBO Code_1_LI819L_B13_PPA" xfId="1642" xr:uid="{00000000-0005-0000-0000-000087060000}"/>
    <cellStyle name="s_DCFLBO Code_1_LI819L_B13_RESOP bef CICE&amp;PPA&amp;RepartHO" xfId="1643" xr:uid="{00000000-0005-0000-0000-000088060000}"/>
    <cellStyle name="s_DCFLBO Code_1_Maquette PLT" xfId="1644" xr:uid="{00000000-0005-0000-0000-000089060000}"/>
    <cellStyle name="s_DCFLBO Code_1_Output" xfId="3385" xr:uid="{00000000-0005-0000-0000-00008A060000}"/>
    <cellStyle name="s_DCFLBO Code_1_PAO-CAF-RESOP_14_01_13 à 20h" xfId="1645" xr:uid="{00000000-0005-0000-0000-00008B060000}"/>
    <cellStyle name="s_DCFLBO Code_1_PAO-CAF-RESOP_14_01_13 à 20h_CAPEM BY COUNTRY" xfId="1646" xr:uid="{00000000-0005-0000-0000-00008C060000}"/>
    <cellStyle name="s_DCFLBO Code_1_PAO-CAF-RESOP_14_01_13 à 20h_Maquette PLT" xfId="1647" xr:uid="{00000000-0005-0000-0000-00008D060000}"/>
    <cellStyle name="s_DCFLBO Code_1_PAO-CAF-RESOP_14_01_13 à 20h_Output" xfId="3389" xr:uid="{00000000-0005-0000-0000-00008E060000}"/>
    <cellStyle name="s_DCFLBO Code_1_PAO-CAF-RESOP_14_01_13 à 20h_PPA" xfId="1648" xr:uid="{00000000-0005-0000-0000-00008F060000}"/>
    <cellStyle name="s_DCFLBO Code_1_PAO-CAF-RESOP_14_01_13 à 20h_RESOP bef CICE&amp;PPA&amp;RepartHO" xfId="1649" xr:uid="{00000000-0005-0000-0000-000090060000}"/>
    <cellStyle name="s_DCFLBO Code_1_PAO-CAF-RESOP_2014.02" xfId="1650" xr:uid="{00000000-0005-0000-0000-000091060000}"/>
    <cellStyle name="s_DCFLBO Code_1_PAO-CAF-RESOP_2014.02_Bridge_Zone_Sud" xfId="1651" xr:uid="{00000000-0005-0000-0000-000092060000}"/>
    <cellStyle name="s_DCFLBO Code_1_PPA" xfId="1652" xr:uid="{00000000-0005-0000-0000-000093060000}"/>
    <cellStyle name="s_DCFLBO Code_1_RESOP bef CICE&amp;PPA&amp;RepartHO" xfId="1653" xr:uid="{00000000-0005-0000-0000-000094060000}"/>
    <cellStyle name="s_DCFLBO Code_Actualisation provision contrat déficitaire SNCM 2010 V Def" xfId="1654" xr:uid="{00000000-0005-0000-0000-000095060000}"/>
    <cellStyle name="s_DCFLBO Code_Actualisation provision contrat déficitaire SNCM 2010 V Def_B14_E2_2210" xfId="1655" xr:uid="{00000000-0005-0000-0000-000096060000}"/>
    <cellStyle name="s_DCFLBO Code_Actualisation provision contrat déficitaire SNCM 2010 V Def_B14_E2_2210_Bridge_Zone_Sud" xfId="1656" xr:uid="{00000000-0005-0000-0000-000097060000}"/>
    <cellStyle name="s_DCFLBO Code_Actualisation provision contrat déficitaire SNCM 2010 V Def_Bridge_Zone_Sud" xfId="1657" xr:uid="{00000000-0005-0000-0000-000098060000}"/>
    <cellStyle name="s_DCFLBO Code_Actualisation provision contrat déficitaire SNCM 2010 V Def_CAPEM BY COUNTRY" xfId="1658" xr:uid="{00000000-0005-0000-0000-000099060000}"/>
    <cellStyle name="s_DCFLBO Code_Actualisation provision contrat déficitaire SNCM 2010 V Def_focus par entités CAFOPE2AMF" xfId="1659" xr:uid="{00000000-0005-0000-0000-00009A060000}"/>
    <cellStyle name="s_DCFLBO Code_Actualisation provision contrat déficitaire SNCM 2010 V Def_focus par entités CAFOPE2AMF_Bridge_Zone_Sud" xfId="1660" xr:uid="{00000000-0005-0000-0000-00009B060000}"/>
    <cellStyle name="s_DCFLBO Code_Actualisation provision contrat déficitaire SNCM 2010 V Def_Maquette PLT" xfId="1661" xr:uid="{00000000-0005-0000-0000-00009C060000}"/>
    <cellStyle name="s_DCFLBO Code_Actualisation provision contrat déficitaire SNCM 2010 V Def_Output" xfId="3390" xr:uid="{00000000-0005-0000-0000-00009D060000}"/>
    <cellStyle name="s_DCFLBO Code_Actualisation provision contrat déficitaire SNCM 2010 V Def_PAO-CAF-RESOP_04_13_pro_format_variante T1" xfId="1662" xr:uid="{00000000-0005-0000-0000-00009E060000}"/>
    <cellStyle name="s_DCFLBO Code_Actualisation provision contrat déficitaire SNCM 2010 V Def_PAO-CAF-RESOP_04_13_pro_format_variante T1_Bridge_Zone_Sud" xfId="1663" xr:uid="{00000000-0005-0000-0000-00009F060000}"/>
    <cellStyle name="s_DCFLBO Code_Actualisation provision contrat déficitaire SNCM 2010 V Def_PAO-CAF-RESOP_06_13" xfId="1664" xr:uid="{00000000-0005-0000-0000-0000A0060000}"/>
    <cellStyle name="s_DCFLBO Code_Actualisation provision contrat déficitaire SNCM 2010 V Def_PAO-CAF-RESOP_06_13_Bridge_Zone_Sud" xfId="1665" xr:uid="{00000000-0005-0000-0000-0000A1060000}"/>
    <cellStyle name="s_DCFLBO Code_Actualisation provision contrat déficitaire SNCM 2010 V Def_PAO-CAF-RESOP_08_13" xfId="1666" xr:uid="{00000000-0005-0000-0000-0000A2060000}"/>
    <cellStyle name="s_DCFLBO Code_Actualisation provision contrat déficitaire SNCM 2010 V Def_PAO-CAF-RESOP_08_13_Bridge_Zone_Sud" xfId="1667" xr:uid="{00000000-0005-0000-0000-0000A3060000}"/>
    <cellStyle name="s_DCFLBO Code_Actualisation provision contrat déficitaire SNCM 2010 V Def_PAO-CAF-RESOP_09_13" xfId="1668" xr:uid="{00000000-0005-0000-0000-0000A4060000}"/>
    <cellStyle name="s_DCFLBO Code_Actualisation provision contrat déficitaire SNCM 2010 V Def_PAO-CAF-RESOP_09_13_Bridge_Zone_Sud" xfId="1669" xr:uid="{00000000-0005-0000-0000-0000A5060000}"/>
    <cellStyle name="s_DCFLBO Code_Actualisation provision contrat déficitaire SNCM 2010 V Def_PAO-CAF-RESOP_09_2013_Zone_IDF (version 2)" xfId="1670" xr:uid="{00000000-0005-0000-0000-0000A6060000}"/>
    <cellStyle name="s_DCFLBO Code_Actualisation provision contrat déficitaire SNCM 2010 V Def_PAO-CAF-RESOP_10_12" xfId="1671" xr:uid="{00000000-0005-0000-0000-0000A7060000}"/>
    <cellStyle name="s_DCFLBO Code_Actualisation provision contrat déficitaire SNCM 2010 V Def_PAO-CAF-RESOP_10_12_Bridge_Zone_Sud" xfId="1672" xr:uid="{00000000-0005-0000-0000-0000A8060000}"/>
    <cellStyle name="s_DCFLBO Code_Actualisation provision contrat déficitaire SNCM 2010 V Def_PAO-CAF-RESOP_10_12_focus par entités CAFOP" xfId="1673" xr:uid="{00000000-0005-0000-0000-0000A9060000}"/>
    <cellStyle name="s_DCFLBO Code_Actualisation provision contrat déficitaire SNCM 2010 V Def_PAO-CAF-RESOP_10_12_focus par entités CAFOP_Bridge_Zone_Sud" xfId="1674" xr:uid="{00000000-0005-0000-0000-0000AA060000}"/>
    <cellStyle name="s_DCFLBO Code_Actualisation provision contrat déficitaire SNCM 2010 V Def_PAO-CAF-RESOP_11_13" xfId="1675" xr:uid="{00000000-0005-0000-0000-0000AB060000}"/>
    <cellStyle name="s_DCFLBO Code_Actualisation provision contrat déficitaire SNCM 2010 V Def_PAO-CAF-RESOP_B13" xfId="1676" xr:uid="{00000000-0005-0000-0000-0000AC060000}"/>
    <cellStyle name="s_DCFLBO Code_Actualisation provision contrat déficitaire SNCM 2010 V Def_PAO-CAF-RESOP_B13_Bridge_Zone_Sud" xfId="1677" xr:uid="{00000000-0005-0000-0000-0000AD060000}"/>
    <cellStyle name="s_DCFLBO Code_Actualisation provision contrat déficitaire SNCM 2010 V Def_PAO-CAF-RESOP_B13_focus par entités CAFOP" xfId="1678" xr:uid="{00000000-0005-0000-0000-0000AE060000}"/>
    <cellStyle name="s_DCFLBO Code_Actualisation provision contrat déficitaire SNCM 2010 V Def_PAO-CAF-RESOP_B13_focus par entités CAFOP_Bridge_Zone_Sud" xfId="1679" xr:uid="{00000000-0005-0000-0000-0000AF060000}"/>
    <cellStyle name="s_DCFLBO Code_Actualisation provision contrat déficitaire SNCM 2010 V Def_PAO-CAF-RESOP_B2014" xfId="1680" xr:uid="{00000000-0005-0000-0000-0000B0060000}"/>
    <cellStyle name="s_DCFLBO Code_Actualisation provision contrat déficitaire SNCM 2010 V Def_PAO-CAF-RESOP_B2014_Bridge_Zone_Sud" xfId="1681" xr:uid="{00000000-0005-0000-0000-0000B1060000}"/>
    <cellStyle name="s_DCFLBO Code_Actualisation provision contrat déficitaire SNCM 2010 V Def_PAO-CAF-RESOP_B2014_v2" xfId="1682" xr:uid="{00000000-0005-0000-0000-0000B2060000}"/>
    <cellStyle name="s_DCFLBO Code_Actualisation provision contrat déficitaire SNCM 2010 V Def_PAO-CAF-RESOP_E2_13" xfId="1683" xr:uid="{00000000-0005-0000-0000-0000B3060000}"/>
    <cellStyle name="s_DCFLBO Code_Actualisation provision contrat déficitaire SNCM 2010 V Def_PAO-CAF-RESOP_E2_13_Bridge_Zone_Sud" xfId="1684" xr:uid="{00000000-0005-0000-0000-0000B4060000}"/>
    <cellStyle name="s_DCFLBO Code_Actualisation provision contrat déficitaire SNCM 2010 V Def_PAO-CAF-RESOP_E2_2013_03_10_19H" xfId="1685" xr:uid="{00000000-0005-0000-0000-0000B5060000}"/>
    <cellStyle name="s_DCFLBO Code_Actualisation provision contrat déficitaire SNCM 2010 V Def_PAO-CAF-RESOP_E2_2013_03_10_19H_Bridge_Zone_Sud" xfId="1686" xr:uid="{00000000-0005-0000-0000-0000B6060000}"/>
    <cellStyle name="s_DCFLBO Code_Actualisation provision contrat déficitaire SNCM 2010 V Def_Synthèse_Présentation_conso_retraitée" xfId="1687" xr:uid="{00000000-0005-0000-0000-0000B7060000}"/>
    <cellStyle name="s_DCFLBO Code_Actualisation provision contrat déficitaire SNCM 2011 V3 30 05 2011" xfId="1688" xr:uid="{00000000-0005-0000-0000-0000B8060000}"/>
    <cellStyle name="s_DCFLBO Code_Actualisation provision contrat déficitaire SNCM 2011 V3 30 05 2011_B14_E2_2210" xfId="1689" xr:uid="{00000000-0005-0000-0000-0000B9060000}"/>
    <cellStyle name="s_DCFLBO Code_Actualisation provision contrat déficitaire SNCM 2011 V3 30 05 2011_B14_E2_2210_Bridge_Zone_Sud" xfId="1690" xr:uid="{00000000-0005-0000-0000-0000BA060000}"/>
    <cellStyle name="s_DCFLBO Code_Actualisation provision contrat déficitaire SNCM 2011 V3 30 05 2011_Bridge_Zone_Sud" xfId="1691" xr:uid="{00000000-0005-0000-0000-0000BB060000}"/>
    <cellStyle name="s_DCFLBO Code_Actualisation provision contrat déficitaire SNCM 2011 V3 30 05 2011_CAPEM BY COUNTRY" xfId="1692" xr:uid="{00000000-0005-0000-0000-0000BC060000}"/>
    <cellStyle name="s_DCFLBO Code_Actualisation provision contrat déficitaire SNCM 2011 V3 30 05 2011_focus par entités CAFOPE2AMF" xfId="1693" xr:uid="{00000000-0005-0000-0000-0000BD060000}"/>
    <cellStyle name="s_DCFLBO Code_Actualisation provision contrat déficitaire SNCM 2011 V3 30 05 2011_focus par entités CAFOPE2AMF_Bridge_Zone_Sud" xfId="1694" xr:uid="{00000000-0005-0000-0000-0000BE060000}"/>
    <cellStyle name="s_DCFLBO Code_Actualisation provision contrat déficitaire SNCM 2011 V3 30 05 2011_Maquette PLT" xfId="1695" xr:uid="{00000000-0005-0000-0000-0000BF060000}"/>
    <cellStyle name="s_DCFLBO Code_Actualisation provision contrat déficitaire SNCM 2011 V3 30 05 2011_Output" xfId="3391" xr:uid="{00000000-0005-0000-0000-0000C0060000}"/>
    <cellStyle name="s_DCFLBO Code_Actualisation provision contrat déficitaire SNCM 2011 V3 30 05 2011_PAO-CAF-RESOP_04_13_pro_format_variante T1" xfId="1696" xr:uid="{00000000-0005-0000-0000-0000C1060000}"/>
    <cellStyle name="s_DCFLBO Code_Actualisation provision contrat déficitaire SNCM 2011 V3 30 05 2011_PAO-CAF-RESOP_04_13_pro_format_variante T1_Bridge_Zone_Sud" xfId="1697" xr:uid="{00000000-0005-0000-0000-0000C2060000}"/>
    <cellStyle name="s_DCFLBO Code_Actualisation provision contrat déficitaire SNCM 2011 V3 30 05 2011_PAO-CAF-RESOP_06_13" xfId="1698" xr:uid="{00000000-0005-0000-0000-0000C3060000}"/>
    <cellStyle name="s_DCFLBO Code_Actualisation provision contrat déficitaire SNCM 2011 V3 30 05 2011_PAO-CAF-RESOP_06_13_Bridge_Zone_Sud" xfId="1699" xr:uid="{00000000-0005-0000-0000-0000C4060000}"/>
    <cellStyle name="s_DCFLBO Code_Actualisation provision contrat déficitaire SNCM 2011 V3 30 05 2011_PAO-CAF-RESOP_08_13" xfId="1700" xr:uid="{00000000-0005-0000-0000-0000C5060000}"/>
    <cellStyle name="s_DCFLBO Code_Actualisation provision contrat déficitaire SNCM 2011 V3 30 05 2011_PAO-CAF-RESOP_08_13_Bridge_Zone_Sud" xfId="1701" xr:uid="{00000000-0005-0000-0000-0000C6060000}"/>
    <cellStyle name="s_DCFLBO Code_Actualisation provision contrat déficitaire SNCM 2011 V3 30 05 2011_PAO-CAF-RESOP_09_13" xfId="1702" xr:uid="{00000000-0005-0000-0000-0000C7060000}"/>
    <cellStyle name="s_DCFLBO Code_Actualisation provision contrat déficitaire SNCM 2011 V3 30 05 2011_PAO-CAF-RESOP_09_13_Bridge_Zone_Sud" xfId="1703" xr:uid="{00000000-0005-0000-0000-0000C8060000}"/>
    <cellStyle name="s_DCFLBO Code_Actualisation provision contrat déficitaire SNCM 2011 V3 30 05 2011_PAO-CAF-RESOP_09_2013_Zone_IDF (version 2)" xfId="1704" xr:uid="{00000000-0005-0000-0000-0000C9060000}"/>
    <cellStyle name="s_DCFLBO Code_Actualisation provision contrat déficitaire SNCM 2011 V3 30 05 2011_PAO-CAF-RESOP_10_12" xfId="1705" xr:uid="{00000000-0005-0000-0000-0000CA060000}"/>
    <cellStyle name="s_DCFLBO Code_Actualisation provision contrat déficitaire SNCM 2011 V3 30 05 2011_PAO-CAF-RESOP_10_12_Bridge_Zone_Sud" xfId="1706" xr:uid="{00000000-0005-0000-0000-0000CB060000}"/>
    <cellStyle name="s_DCFLBO Code_Actualisation provision contrat déficitaire SNCM 2011 V3 30 05 2011_PAO-CAF-RESOP_10_12_focus par entités CAFOP" xfId="1707" xr:uid="{00000000-0005-0000-0000-0000CC060000}"/>
    <cellStyle name="s_DCFLBO Code_Actualisation provision contrat déficitaire SNCM 2011 V3 30 05 2011_PAO-CAF-RESOP_10_12_focus par entités CAFOP_Bridge_Zone_Sud" xfId="1708" xr:uid="{00000000-0005-0000-0000-0000CD060000}"/>
    <cellStyle name="s_DCFLBO Code_Actualisation provision contrat déficitaire SNCM 2011 V3 30 05 2011_PAO-CAF-RESOP_11_13" xfId="1709" xr:uid="{00000000-0005-0000-0000-0000CE060000}"/>
    <cellStyle name="s_DCFLBO Code_Actualisation provision contrat déficitaire SNCM 2011 V3 30 05 2011_PAO-CAF-RESOP_B13" xfId="1710" xr:uid="{00000000-0005-0000-0000-0000CF060000}"/>
    <cellStyle name="s_DCFLBO Code_Actualisation provision contrat déficitaire SNCM 2011 V3 30 05 2011_PAO-CAF-RESOP_B13_Bridge_Zone_Sud" xfId="1711" xr:uid="{00000000-0005-0000-0000-0000D0060000}"/>
    <cellStyle name="s_DCFLBO Code_Actualisation provision contrat déficitaire SNCM 2011 V3 30 05 2011_PAO-CAF-RESOP_B13_focus par entités CAFOP" xfId="1712" xr:uid="{00000000-0005-0000-0000-0000D1060000}"/>
    <cellStyle name="s_DCFLBO Code_Actualisation provision contrat déficitaire SNCM 2011 V3 30 05 2011_PAO-CAF-RESOP_B13_focus par entités CAFOP_Bridge_Zone_Sud" xfId="1713" xr:uid="{00000000-0005-0000-0000-0000D2060000}"/>
    <cellStyle name="s_DCFLBO Code_Actualisation provision contrat déficitaire SNCM 2011 V3 30 05 2011_PAO-CAF-RESOP_B2014" xfId="1714" xr:uid="{00000000-0005-0000-0000-0000D3060000}"/>
    <cellStyle name="s_DCFLBO Code_Actualisation provision contrat déficitaire SNCM 2011 V3 30 05 2011_PAO-CAF-RESOP_B2014_Bridge_Zone_Sud" xfId="1715" xr:uid="{00000000-0005-0000-0000-0000D4060000}"/>
    <cellStyle name="s_DCFLBO Code_Actualisation provision contrat déficitaire SNCM 2011 V3 30 05 2011_PAO-CAF-RESOP_B2014_v2" xfId="1716" xr:uid="{00000000-0005-0000-0000-0000D5060000}"/>
    <cellStyle name="s_DCFLBO Code_Actualisation provision contrat déficitaire SNCM 2011 V3 30 05 2011_PAO-CAF-RESOP_E2_13" xfId="1717" xr:uid="{00000000-0005-0000-0000-0000D6060000}"/>
    <cellStyle name="s_DCFLBO Code_Actualisation provision contrat déficitaire SNCM 2011 V3 30 05 2011_PAO-CAF-RESOP_E2_13_Bridge_Zone_Sud" xfId="1718" xr:uid="{00000000-0005-0000-0000-0000D7060000}"/>
    <cellStyle name="s_DCFLBO Code_Actualisation provision contrat déficitaire SNCM 2011 V3 30 05 2011_PAO-CAF-RESOP_E2_2013_03_10_19H" xfId="1719" xr:uid="{00000000-0005-0000-0000-0000D8060000}"/>
    <cellStyle name="s_DCFLBO Code_Actualisation provision contrat déficitaire SNCM 2011 V3 30 05 2011_PAO-CAF-RESOP_E2_2013_03_10_19H_Bridge_Zone_Sud" xfId="1720" xr:uid="{00000000-0005-0000-0000-0000D9060000}"/>
    <cellStyle name="s_DCFLBO Code_Actualisation provision contrat déficitaire SNCM 2011 V3 30 05 2011_Synthèse_Présentation_conso_retraitée" xfId="1721" xr:uid="{00000000-0005-0000-0000-0000DA060000}"/>
    <cellStyle name="s_DCFLBO Code_BFR_TD_2014.02" xfId="1722" xr:uid="{00000000-0005-0000-0000-0000DB060000}"/>
    <cellStyle name="s_DCFLBO Code_Bridge_Zone_Nord" xfId="1723" xr:uid="{00000000-0005-0000-0000-0000DC060000}"/>
    <cellStyle name="s_DCFLBO Code_CAPEM BY COUNTRY" xfId="1724" xr:uid="{00000000-0005-0000-0000-0000DD060000}"/>
    <cellStyle name="s_DCFLBO Code_LI819L_B13" xfId="1725" xr:uid="{00000000-0005-0000-0000-0000DE060000}"/>
    <cellStyle name="s_DCFLBO Code_LI819L_B13_CAPEM BY COUNTRY" xfId="1726" xr:uid="{00000000-0005-0000-0000-0000DF060000}"/>
    <cellStyle name="s_DCFLBO Code_LI819L_B13_Maquette PLT" xfId="1727" xr:uid="{00000000-0005-0000-0000-0000E0060000}"/>
    <cellStyle name="s_DCFLBO Code_LI819L_B13_Output" xfId="3392" xr:uid="{00000000-0005-0000-0000-0000E1060000}"/>
    <cellStyle name="s_DCFLBO Code_Maquette PLT" xfId="1728" xr:uid="{00000000-0005-0000-0000-0000E2060000}"/>
    <cellStyle name="s_DCFLBO Code_Output" xfId="3384" xr:uid="{00000000-0005-0000-0000-0000E3060000}"/>
    <cellStyle name="s_DCFLBO Code_PAO-CAF-RESOP_14_01_13 à 20h" xfId="1729" xr:uid="{00000000-0005-0000-0000-0000E4060000}"/>
    <cellStyle name="s_DCFLBO Code_PAO-CAF-RESOP_14_01_13 à 20h_CAPEM BY COUNTRY" xfId="1730" xr:uid="{00000000-0005-0000-0000-0000E5060000}"/>
    <cellStyle name="s_DCFLBO Code_PAO-CAF-RESOP_14_01_13 à 20h_Maquette PLT" xfId="1731" xr:uid="{00000000-0005-0000-0000-0000E6060000}"/>
    <cellStyle name="s_DCFLBO Code_PAO-CAF-RESOP_14_01_13 à 20h_Output" xfId="3393" xr:uid="{00000000-0005-0000-0000-0000E7060000}"/>
    <cellStyle name="s_DCFLBO Code_PAO-CAF-RESOP_2014.02" xfId="1732" xr:uid="{00000000-0005-0000-0000-0000E8060000}"/>
    <cellStyle name="s_DCFLBO Code_PAO-CAF-RESOP_2014.02_Bridge_Zone_Sud" xfId="1733" xr:uid="{00000000-0005-0000-0000-0000E9060000}"/>
    <cellStyle name="s_Dilution" xfId="1734" xr:uid="{00000000-0005-0000-0000-0000EA060000}"/>
    <cellStyle name="s_Dilution_Actualisation provision contrat déficitaire SNCM 2010 V Def" xfId="1735" xr:uid="{00000000-0005-0000-0000-0000EB060000}"/>
    <cellStyle name="s_Dilution_Actualisation provision contrat déficitaire SNCM 2010 V Def_B14_E2_2210" xfId="1736" xr:uid="{00000000-0005-0000-0000-0000EC060000}"/>
    <cellStyle name="s_Dilution_Actualisation provision contrat déficitaire SNCM 2010 V Def_B14_E2_2210_Bridge_Zone_Sud" xfId="1737" xr:uid="{00000000-0005-0000-0000-0000ED060000}"/>
    <cellStyle name="s_Dilution_Actualisation provision contrat déficitaire SNCM 2010 V Def_Bridge_Zone_Sud" xfId="1738" xr:uid="{00000000-0005-0000-0000-0000EE060000}"/>
    <cellStyle name="s_Dilution_Actualisation provision contrat déficitaire SNCM 2010 V Def_CAPEM BY COUNTRY" xfId="1739" xr:uid="{00000000-0005-0000-0000-0000EF060000}"/>
    <cellStyle name="s_Dilution_Actualisation provision contrat déficitaire SNCM 2010 V Def_focus par entités CAFOPE2AMF" xfId="1740" xr:uid="{00000000-0005-0000-0000-0000F0060000}"/>
    <cellStyle name="s_Dilution_Actualisation provision contrat déficitaire SNCM 2010 V Def_focus par entités CAFOPE2AMF_Bridge_Zone_Sud" xfId="1741" xr:uid="{00000000-0005-0000-0000-0000F1060000}"/>
    <cellStyle name="s_Dilution_Actualisation provision contrat déficitaire SNCM 2010 V Def_Maquette PLT" xfId="1742" xr:uid="{00000000-0005-0000-0000-0000F2060000}"/>
    <cellStyle name="s_Dilution_Actualisation provision contrat déficitaire SNCM 2010 V Def_Output" xfId="3395" xr:uid="{00000000-0005-0000-0000-0000F3060000}"/>
    <cellStyle name="s_Dilution_Actualisation provision contrat déficitaire SNCM 2010 V Def_PAO-CAF-RESOP_04_13_pro_format_variante T1" xfId="1743" xr:uid="{00000000-0005-0000-0000-0000F4060000}"/>
    <cellStyle name="s_Dilution_Actualisation provision contrat déficitaire SNCM 2010 V Def_PAO-CAF-RESOP_04_13_pro_format_variante T1_B14_E2_2210" xfId="1744" xr:uid="{00000000-0005-0000-0000-0000F5060000}"/>
    <cellStyle name="s_Dilution_Actualisation provision contrat déficitaire SNCM 2010 V Def_PAO-CAF-RESOP_04_13_pro_format_variante T1_B14_E2_2210_Bridge_Zone_Sud" xfId="1745" xr:uid="{00000000-0005-0000-0000-0000F6060000}"/>
    <cellStyle name="s_Dilution_Actualisation provision contrat déficitaire SNCM 2010 V Def_PAO-CAF-RESOP_04_13_pro_format_variante T1_Bridge_Zone_Sud" xfId="1746" xr:uid="{00000000-0005-0000-0000-0000F7060000}"/>
    <cellStyle name="s_Dilution_Actualisation provision contrat déficitaire SNCM 2010 V Def_PAO-CAF-RESOP_06_13" xfId="1747" xr:uid="{00000000-0005-0000-0000-0000F8060000}"/>
    <cellStyle name="s_Dilution_Actualisation provision contrat déficitaire SNCM 2010 V Def_PAO-CAF-RESOP_06_13_B14_E2_2210" xfId="1748" xr:uid="{00000000-0005-0000-0000-0000F9060000}"/>
    <cellStyle name="s_Dilution_Actualisation provision contrat déficitaire SNCM 2010 V Def_PAO-CAF-RESOP_06_13_B14_E2_2210_Bridge_Zone_Sud" xfId="1749" xr:uid="{00000000-0005-0000-0000-0000FA060000}"/>
    <cellStyle name="s_Dilution_Actualisation provision contrat déficitaire SNCM 2010 V Def_PAO-CAF-RESOP_06_13_Bridge_Zone_Sud" xfId="1750" xr:uid="{00000000-0005-0000-0000-0000FB060000}"/>
    <cellStyle name="s_Dilution_Actualisation provision contrat déficitaire SNCM 2010 V Def_PAO-CAF-RESOP_08_13" xfId="1751" xr:uid="{00000000-0005-0000-0000-0000FC060000}"/>
    <cellStyle name="s_Dilution_Actualisation provision contrat déficitaire SNCM 2010 V Def_PAO-CAF-RESOP_08_13_B14_E2_2210" xfId="1752" xr:uid="{00000000-0005-0000-0000-0000FD060000}"/>
    <cellStyle name="s_Dilution_Actualisation provision contrat déficitaire SNCM 2010 V Def_PAO-CAF-RESOP_08_13_B14_E2_2210_Bridge_Zone_Sud" xfId="1753" xr:uid="{00000000-0005-0000-0000-0000FE060000}"/>
    <cellStyle name="s_Dilution_Actualisation provision contrat déficitaire SNCM 2010 V Def_PAO-CAF-RESOP_08_13_Bridge_Zone_Sud" xfId="1754" xr:uid="{00000000-0005-0000-0000-0000FF060000}"/>
    <cellStyle name="s_Dilution_Actualisation provision contrat déficitaire SNCM 2010 V Def_PAO-CAF-RESOP_09_13" xfId="1755" xr:uid="{00000000-0005-0000-0000-000000070000}"/>
    <cellStyle name="s_Dilution_Actualisation provision contrat déficitaire SNCM 2010 V Def_PAO-CAF-RESOP_09_13_Bridge_Zone_Sud" xfId="1756" xr:uid="{00000000-0005-0000-0000-000001070000}"/>
    <cellStyle name="s_Dilution_Actualisation provision contrat déficitaire SNCM 2010 V Def_PAO-CAF-RESOP_09_2013_Zone_IDF (version 2)" xfId="1757" xr:uid="{00000000-0005-0000-0000-000002070000}"/>
    <cellStyle name="s_Dilution_Actualisation provision contrat déficitaire SNCM 2010 V Def_PAO-CAF-RESOP_10_12" xfId="1758" xr:uid="{00000000-0005-0000-0000-000003070000}"/>
    <cellStyle name="s_Dilution_Actualisation provision contrat déficitaire SNCM 2010 V Def_PAO-CAF-RESOP_10_12_Bridge_Zone_Sud" xfId="1759" xr:uid="{00000000-0005-0000-0000-000004070000}"/>
    <cellStyle name="s_Dilution_Actualisation provision contrat déficitaire SNCM 2010 V Def_PAO-CAF-RESOP_10_12_focus par entités CAFOP" xfId="1760" xr:uid="{00000000-0005-0000-0000-000005070000}"/>
    <cellStyle name="s_Dilution_Actualisation provision contrat déficitaire SNCM 2010 V Def_PAO-CAF-RESOP_10_12_focus par entités CAFOP_Bridge_Zone_Sud" xfId="1761" xr:uid="{00000000-0005-0000-0000-000006070000}"/>
    <cellStyle name="s_Dilution_Actualisation provision contrat déficitaire SNCM 2010 V Def_PAO-CAF-RESOP_11_13" xfId="1762" xr:uid="{00000000-0005-0000-0000-000007070000}"/>
    <cellStyle name="s_Dilution_Actualisation provision contrat déficitaire SNCM 2010 V Def_PAO-CAF-RESOP_B13" xfId="1763" xr:uid="{00000000-0005-0000-0000-000008070000}"/>
    <cellStyle name="s_Dilution_Actualisation provision contrat déficitaire SNCM 2010 V Def_PAO-CAF-RESOP_B13_Bridge_Zone_Sud" xfId="1764" xr:uid="{00000000-0005-0000-0000-000009070000}"/>
    <cellStyle name="s_Dilution_Actualisation provision contrat déficitaire SNCM 2010 V Def_PAO-CAF-RESOP_B13_focus par entités CAFOP" xfId="1765" xr:uid="{00000000-0005-0000-0000-00000A070000}"/>
    <cellStyle name="s_Dilution_Actualisation provision contrat déficitaire SNCM 2010 V Def_PAO-CAF-RESOP_B13_focus par entités CAFOP_Bridge_Zone_Sud" xfId="1766" xr:uid="{00000000-0005-0000-0000-00000B070000}"/>
    <cellStyle name="s_Dilution_Actualisation provision contrat déficitaire SNCM 2010 V Def_PAO-CAF-RESOP_B2014" xfId="1767" xr:uid="{00000000-0005-0000-0000-00000C070000}"/>
    <cellStyle name="s_Dilution_Actualisation provision contrat déficitaire SNCM 2010 V Def_PAO-CAF-RESOP_B2014_Bridge_Zone_Sud" xfId="1768" xr:uid="{00000000-0005-0000-0000-00000D070000}"/>
    <cellStyle name="s_Dilution_Actualisation provision contrat déficitaire SNCM 2010 V Def_PAO-CAF-RESOP_B2014_v2" xfId="1769" xr:uid="{00000000-0005-0000-0000-00000E070000}"/>
    <cellStyle name="s_Dilution_Actualisation provision contrat déficitaire SNCM 2010 V Def_PAO-CAF-RESOP_E2_13" xfId="1770" xr:uid="{00000000-0005-0000-0000-00000F070000}"/>
    <cellStyle name="s_Dilution_Actualisation provision contrat déficitaire SNCM 2010 V Def_PAO-CAF-RESOP_E2_13_B14_E2_2210" xfId="1771" xr:uid="{00000000-0005-0000-0000-000010070000}"/>
    <cellStyle name="s_Dilution_Actualisation provision contrat déficitaire SNCM 2010 V Def_PAO-CAF-RESOP_E2_13_B14_E2_2210_Bridge_Zone_Sud" xfId="1772" xr:uid="{00000000-0005-0000-0000-000011070000}"/>
    <cellStyle name="s_Dilution_Actualisation provision contrat déficitaire SNCM 2010 V Def_PAO-CAF-RESOP_E2_13_Bridge_Zone_Sud" xfId="1773" xr:uid="{00000000-0005-0000-0000-000012070000}"/>
    <cellStyle name="s_Dilution_Actualisation provision contrat déficitaire SNCM 2010 V Def_PAO-CAF-RESOP_E2_2013_03_10_19H" xfId="1774" xr:uid="{00000000-0005-0000-0000-000013070000}"/>
    <cellStyle name="s_Dilution_Actualisation provision contrat déficitaire SNCM 2010 V Def_PAO-CAF-RESOP_E2_2013_03_10_19H_Bridge_Zone_Sud" xfId="1775" xr:uid="{00000000-0005-0000-0000-000014070000}"/>
    <cellStyle name="s_Dilution_Actualisation provision contrat déficitaire SNCM 2010 V Def_PPA" xfId="1776" xr:uid="{00000000-0005-0000-0000-000015070000}"/>
    <cellStyle name="s_Dilution_Actualisation provision contrat déficitaire SNCM 2010 V Def_RESOP bef CICE&amp;PPA&amp;RepartHO" xfId="1777" xr:uid="{00000000-0005-0000-0000-000016070000}"/>
    <cellStyle name="s_Dilution_Actualisation provision contrat déficitaire SNCM 2010 V Def_Synthèse_Présentation_conso_retraitée" xfId="1778" xr:uid="{00000000-0005-0000-0000-000017070000}"/>
    <cellStyle name="s_Dilution_Actualisation provision contrat déficitaire SNCM 2011 V3 30 05 2011" xfId="1779" xr:uid="{00000000-0005-0000-0000-000018070000}"/>
    <cellStyle name="s_Dilution_Actualisation provision contrat déficitaire SNCM 2011 V3 30 05 2011_B14_E2_2210" xfId="1780" xr:uid="{00000000-0005-0000-0000-000019070000}"/>
    <cellStyle name="s_Dilution_Actualisation provision contrat déficitaire SNCM 2011 V3 30 05 2011_B14_E2_2210_Bridge_Zone_Sud" xfId="1781" xr:uid="{00000000-0005-0000-0000-00001A070000}"/>
    <cellStyle name="s_Dilution_Actualisation provision contrat déficitaire SNCM 2011 V3 30 05 2011_Bridge_Zone_Sud" xfId="1782" xr:uid="{00000000-0005-0000-0000-00001B070000}"/>
    <cellStyle name="s_Dilution_Actualisation provision contrat déficitaire SNCM 2011 V3 30 05 2011_CAPEM BY COUNTRY" xfId="1783" xr:uid="{00000000-0005-0000-0000-00001C070000}"/>
    <cellStyle name="s_Dilution_Actualisation provision contrat déficitaire SNCM 2011 V3 30 05 2011_focus par entités CAFOPE2AMF" xfId="1784" xr:uid="{00000000-0005-0000-0000-00001D070000}"/>
    <cellStyle name="s_Dilution_Actualisation provision contrat déficitaire SNCM 2011 V3 30 05 2011_focus par entités CAFOPE2AMF_Bridge_Zone_Sud" xfId="1785" xr:uid="{00000000-0005-0000-0000-00001E070000}"/>
    <cellStyle name="s_Dilution_Actualisation provision contrat déficitaire SNCM 2011 V3 30 05 2011_Maquette PLT" xfId="1786" xr:uid="{00000000-0005-0000-0000-00001F070000}"/>
    <cellStyle name="s_Dilution_Actualisation provision contrat déficitaire SNCM 2011 V3 30 05 2011_Output" xfId="3396" xr:uid="{00000000-0005-0000-0000-000020070000}"/>
    <cellStyle name="s_Dilution_Actualisation provision contrat déficitaire SNCM 2011 V3 30 05 2011_PAO-CAF-RESOP_04_13_pro_format_variante T1" xfId="1787" xr:uid="{00000000-0005-0000-0000-000021070000}"/>
    <cellStyle name="s_Dilution_Actualisation provision contrat déficitaire SNCM 2011 V3 30 05 2011_PAO-CAF-RESOP_04_13_pro_format_variante T1_B14_E2_2210" xfId="1788" xr:uid="{00000000-0005-0000-0000-000022070000}"/>
    <cellStyle name="s_Dilution_Actualisation provision contrat déficitaire SNCM 2011 V3 30 05 2011_PAO-CAF-RESOP_04_13_pro_format_variante T1_B14_E2_2210_Bridge_Zone_Sud" xfId="1789" xr:uid="{00000000-0005-0000-0000-000023070000}"/>
    <cellStyle name="s_Dilution_Actualisation provision contrat déficitaire SNCM 2011 V3 30 05 2011_PAO-CAF-RESOP_04_13_pro_format_variante T1_Bridge_Zone_Sud" xfId="1790" xr:uid="{00000000-0005-0000-0000-000024070000}"/>
    <cellStyle name="s_Dilution_Actualisation provision contrat déficitaire SNCM 2011 V3 30 05 2011_PAO-CAF-RESOP_06_13" xfId="1791" xr:uid="{00000000-0005-0000-0000-000025070000}"/>
    <cellStyle name="s_Dilution_Actualisation provision contrat déficitaire SNCM 2011 V3 30 05 2011_PAO-CAF-RESOP_06_13_B14_E2_2210" xfId="1792" xr:uid="{00000000-0005-0000-0000-000026070000}"/>
    <cellStyle name="s_Dilution_Actualisation provision contrat déficitaire SNCM 2011 V3 30 05 2011_PAO-CAF-RESOP_06_13_B14_E2_2210_Bridge_Zone_Sud" xfId="1793" xr:uid="{00000000-0005-0000-0000-000027070000}"/>
    <cellStyle name="s_Dilution_Actualisation provision contrat déficitaire SNCM 2011 V3 30 05 2011_PAO-CAF-RESOP_06_13_Bridge_Zone_Sud" xfId="1794" xr:uid="{00000000-0005-0000-0000-000028070000}"/>
    <cellStyle name="s_Dilution_Actualisation provision contrat déficitaire SNCM 2011 V3 30 05 2011_PAO-CAF-RESOP_08_13" xfId="1795" xr:uid="{00000000-0005-0000-0000-000029070000}"/>
    <cellStyle name="s_Dilution_Actualisation provision contrat déficitaire SNCM 2011 V3 30 05 2011_PAO-CAF-RESOP_08_13_B14_E2_2210" xfId="1796" xr:uid="{00000000-0005-0000-0000-00002A070000}"/>
    <cellStyle name="s_Dilution_Actualisation provision contrat déficitaire SNCM 2011 V3 30 05 2011_PAO-CAF-RESOP_08_13_B14_E2_2210_Bridge_Zone_Sud" xfId="1797" xr:uid="{00000000-0005-0000-0000-00002B070000}"/>
    <cellStyle name="s_Dilution_Actualisation provision contrat déficitaire SNCM 2011 V3 30 05 2011_PAO-CAF-RESOP_08_13_Bridge_Zone_Sud" xfId="1798" xr:uid="{00000000-0005-0000-0000-00002C070000}"/>
    <cellStyle name="s_Dilution_Actualisation provision contrat déficitaire SNCM 2011 V3 30 05 2011_PAO-CAF-RESOP_09_13" xfId="1799" xr:uid="{00000000-0005-0000-0000-00002D070000}"/>
    <cellStyle name="s_Dilution_Actualisation provision contrat déficitaire SNCM 2011 V3 30 05 2011_PAO-CAF-RESOP_09_13_Bridge_Zone_Sud" xfId="1800" xr:uid="{00000000-0005-0000-0000-00002E070000}"/>
    <cellStyle name="s_Dilution_Actualisation provision contrat déficitaire SNCM 2011 V3 30 05 2011_PAO-CAF-RESOP_09_2013_Zone_IDF (version 2)" xfId="1801" xr:uid="{00000000-0005-0000-0000-00002F070000}"/>
    <cellStyle name="s_Dilution_Actualisation provision contrat déficitaire SNCM 2011 V3 30 05 2011_PAO-CAF-RESOP_10_12" xfId="1802" xr:uid="{00000000-0005-0000-0000-000030070000}"/>
    <cellStyle name="s_Dilution_Actualisation provision contrat déficitaire SNCM 2011 V3 30 05 2011_PAO-CAF-RESOP_10_12_Bridge_Zone_Sud" xfId="1803" xr:uid="{00000000-0005-0000-0000-000031070000}"/>
    <cellStyle name="s_Dilution_Actualisation provision contrat déficitaire SNCM 2011 V3 30 05 2011_PAO-CAF-RESOP_10_12_focus par entités CAFOP" xfId="1804" xr:uid="{00000000-0005-0000-0000-000032070000}"/>
    <cellStyle name="s_Dilution_Actualisation provision contrat déficitaire SNCM 2011 V3 30 05 2011_PAO-CAF-RESOP_10_12_focus par entités CAFOP_Bridge_Zone_Sud" xfId="1805" xr:uid="{00000000-0005-0000-0000-000033070000}"/>
    <cellStyle name="s_Dilution_Actualisation provision contrat déficitaire SNCM 2011 V3 30 05 2011_PAO-CAF-RESOP_11_13" xfId="1806" xr:uid="{00000000-0005-0000-0000-000034070000}"/>
    <cellStyle name="s_Dilution_Actualisation provision contrat déficitaire SNCM 2011 V3 30 05 2011_PAO-CAF-RESOP_B13" xfId="1807" xr:uid="{00000000-0005-0000-0000-000035070000}"/>
    <cellStyle name="s_Dilution_Actualisation provision contrat déficitaire SNCM 2011 V3 30 05 2011_PAO-CAF-RESOP_B13_Bridge_Zone_Sud" xfId="1808" xr:uid="{00000000-0005-0000-0000-000036070000}"/>
    <cellStyle name="s_Dilution_Actualisation provision contrat déficitaire SNCM 2011 V3 30 05 2011_PAO-CAF-RESOP_B13_focus par entités CAFOP" xfId="1809" xr:uid="{00000000-0005-0000-0000-000037070000}"/>
    <cellStyle name="s_Dilution_Actualisation provision contrat déficitaire SNCM 2011 V3 30 05 2011_PAO-CAF-RESOP_B13_focus par entités CAFOP_Bridge_Zone_Sud" xfId="1810" xr:uid="{00000000-0005-0000-0000-000038070000}"/>
    <cellStyle name="s_Dilution_Actualisation provision contrat déficitaire SNCM 2011 V3 30 05 2011_PAO-CAF-RESOP_B2014" xfId="1811" xr:uid="{00000000-0005-0000-0000-000039070000}"/>
    <cellStyle name="s_Dilution_Actualisation provision contrat déficitaire SNCM 2011 V3 30 05 2011_PAO-CAF-RESOP_B2014_Bridge_Zone_Sud" xfId="1812" xr:uid="{00000000-0005-0000-0000-00003A070000}"/>
    <cellStyle name="s_Dilution_Actualisation provision contrat déficitaire SNCM 2011 V3 30 05 2011_PAO-CAF-RESOP_B2014_v2" xfId="1813" xr:uid="{00000000-0005-0000-0000-00003B070000}"/>
    <cellStyle name="s_Dilution_Actualisation provision contrat déficitaire SNCM 2011 V3 30 05 2011_PAO-CAF-RESOP_E2_13" xfId="1814" xr:uid="{00000000-0005-0000-0000-00003C070000}"/>
    <cellStyle name="s_Dilution_Actualisation provision contrat déficitaire SNCM 2011 V3 30 05 2011_PAO-CAF-RESOP_E2_13_B14_E2_2210" xfId="1815" xr:uid="{00000000-0005-0000-0000-00003D070000}"/>
    <cellStyle name="s_Dilution_Actualisation provision contrat déficitaire SNCM 2011 V3 30 05 2011_PAO-CAF-RESOP_E2_13_B14_E2_2210_Bridge_Zone_Sud" xfId="1816" xr:uid="{00000000-0005-0000-0000-00003E070000}"/>
    <cellStyle name="s_Dilution_Actualisation provision contrat déficitaire SNCM 2011 V3 30 05 2011_PAO-CAF-RESOP_E2_13_Bridge_Zone_Sud" xfId="1817" xr:uid="{00000000-0005-0000-0000-00003F070000}"/>
    <cellStyle name="s_Dilution_Actualisation provision contrat déficitaire SNCM 2011 V3 30 05 2011_PAO-CAF-RESOP_E2_2013_03_10_19H" xfId="1818" xr:uid="{00000000-0005-0000-0000-000040070000}"/>
    <cellStyle name="s_Dilution_Actualisation provision contrat déficitaire SNCM 2011 V3 30 05 2011_PAO-CAF-RESOP_E2_2013_03_10_19H_Bridge_Zone_Sud" xfId="1819" xr:uid="{00000000-0005-0000-0000-000041070000}"/>
    <cellStyle name="s_Dilution_Actualisation provision contrat déficitaire SNCM 2011 V3 30 05 2011_PPA" xfId="1820" xr:uid="{00000000-0005-0000-0000-000042070000}"/>
    <cellStyle name="s_Dilution_Actualisation provision contrat déficitaire SNCM 2011 V3 30 05 2011_RESOP bef CICE&amp;PPA&amp;RepartHO" xfId="1821" xr:uid="{00000000-0005-0000-0000-000043070000}"/>
    <cellStyle name="s_Dilution_Actualisation provision contrat déficitaire SNCM 2011 V3 30 05 2011_Synthèse_Présentation_conso_retraitée" xfId="1822" xr:uid="{00000000-0005-0000-0000-000044070000}"/>
    <cellStyle name="s_Dilution_B14_E2_2210" xfId="1823" xr:uid="{00000000-0005-0000-0000-000045070000}"/>
    <cellStyle name="s_Dilution_B14_E2_2210_Bridge_Zone_Sud" xfId="1824" xr:uid="{00000000-0005-0000-0000-000046070000}"/>
    <cellStyle name="s_Dilution_BFR_TD_2014.02" xfId="1825" xr:uid="{00000000-0005-0000-0000-000047070000}"/>
    <cellStyle name="s_Dilution_Bridge_Zone_Nord" xfId="1826" xr:uid="{00000000-0005-0000-0000-000048070000}"/>
    <cellStyle name="s_Dilution_CAPEM BY COUNTRY" xfId="1827" xr:uid="{00000000-0005-0000-0000-000049070000}"/>
    <cellStyle name="s_Dilution_LI819L_B13" xfId="1828" xr:uid="{00000000-0005-0000-0000-00004A070000}"/>
    <cellStyle name="s_Dilution_LI819L_B13_CAPEM BY COUNTRY" xfId="1829" xr:uid="{00000000-0005-0000-0000-00004B070000}"/>
    <cellStyle name="s_Dilution_LI819L_B13_Maquette PLT" xfId="1830" xr:uid="{00000000-0005-0000-0000-00004C070000}"/>
    <cellStyle name="s_Dilution_LI819L_B13_Output" xfId="3397" xr:uid="{00000000-0005-0000-0000-00004D070000}"/>
    <cellStyle name="s_Dilution_LI819L_B13_PPA" xfId="1831" xr:uid="{00000000-0005-0000-0000-00004E070000}"/>
    <cellStyle name="s_Dilution_LI819L_B13_RESOP bef CICE&amp;PPA&amp;RepartHO" xfId="1832" xr:uid="{00000000-0005-0000-0000-00004F070000}"/>
    <cellStyle name="s_Dilution_Maquette PLT" xfId="1833" xr:uid="{00000000-0005-0000-0000-000050070000}"/>
    <cellStyle name="s_Dilution_Output" xfId="3394" xr:uid="{00000000-0005-0000-0000-000051070000}"/>
    <cellStyle name="s_Dilution_PAO-CAF-RESOP_14_01_13 à 20h" xfId="1834" xr:uid="{00000000-0005-0000-0000-000052070000}"/>
    <cellStyle name="s_Dilution_PAO-CAF-RESOP_14_01_13 à 20h_CAPEM BY COUNTRY" xfId="1835" xr:uid="{00000000-0005-0000-0000-000053070000}"/>
    <cellStyle name="s_Dilution_PAO-CAF-RESOP_14_01_13 à 20h_Maquette PLT" xfId="1836" xr:uid="{00000000-0005-0000-0000-000054070000}"/>
    <cellStyle name="s_Dilution_PAO-CAF-RESOP_14_01_13 à 20h_Output" xfId="3398" xr:uid="{00000000-0005-0000-0000-000055070000}"/>
    <cellStyle name="s_Dilution_PAO-CAF-RESOP_14_01_13 à 20h_PPA" xfId="1837" xr:uid="{00000000-0005-0000-0000-000056070000}"/>
    <cellStyle name="s_Dilution_PAO-CAF-RESOP_14_01_13 à 20h_RESOP bef CICE&amp;PPA&amp;RepartHO" xfId="1838" xr:uid="{00000000-0005-0000-0000-000057070000}"/>
    <cellStyle name="s_Dilution_PAO-CAF-RESOP_2014.02" xfId="1839" xr:uid="{00000000-0005-0000-0000-000058070000}"/>
    <cellStyle name="s_Dilution_PAO-CAF-RESOP_2014.02_Bridge_Zone_Sud" xfId="1840" xr:uid="{00000000-0005-0000-0000-000059070000}"/>
    <cellStyle name="s_Dilution_PPA" xfId="1841" xr:uid="{00000000-0005-0000-0000-00005A070000}"/>
    <cellStyle name="s_Dilution_RESOP bef CICE&amp;PPA&amp;RepartHO" xfId="1842" xr:uid="{00000000-0005-0000-0000-00005B070000}"/>
    <cellStyle name="s_Financials_B" xfId="1843" xr:uid="{00000000-0005-0000-0000-00005C070000}"/>
    <cellStyle name="s_Financials_B_Actualisation provision contrat déficitaire SNCM 2010 V Def" xfId="1844" xr:uid="{00000000-0005-0000-0000-00005D070000}"/>
    <cellStyle name="s_Financials_B_Actualisation provision contrat déficitaire SNCM 2010 V Def_B14_E2_2210" xfId="1845" xr:uid="{00000000-0005-0000-0000-00005E070000}"/>
    <cellStyle name="s_Financials_B_Actualisation provision contrat déficitaire SNCM 2010 V Def_B14_E2_2210_Bridge_Zone_Sud" xfId="1846" xr:uid="{00000000-0005-0000-0000-00005F070000}"/>
    <cellStyle name="s_Financials_B_Actualisation provision contrat déficitaire SNCM 2010 V Def_Bridge_Zone_Sud" xfId="1847" xr:uid="{00000000-0005-0000-0000-000060070000}"/>
    <cellStyle name="s_Financials_B_Actualisation provision contrat déficitaire SNCM 2010 V Def_CAPEM BY COUNTRY" xfId="1848" xr:uid="{00000000-0005-0000-0000-000061070000}"/>
    <cellStyle name="s_Financials_B_Actualisation provision contrat déficitaire SNCM 2010 V Def_focus par entités CAFOPE2AMF" xfId="1849" xr:uid="{00000000-0005-0000-0000-000062070000}"/>
    <cellStyle name="s_Financials_B_Actualisation provision contrat déficitaire SNCM 2010 V Def_focus par entités CAFOPE2AMF_Bridge_Zone_Sud" xfId="1850" xr:uid="{00000000-0005-0000-0000-000063070000}"/>
    <cellStyle name="s_Financials_B_Actualisation provision contrat déficitaire SNCM 2010 V Def_Maquette PLT" xfId="1851" xr:uid="{00000000-0005-0000-0000-000064070000}"/>
    <cellStyle name="s_Financials_B_Actualisation provision contrat déficitaire SNCM 2010 V Def_Output" xfId="3400" xr:uid="{00000000-0005-0000-0000-000065070000}"/>
    <cellStyle name="s_Financials_B_Actualisation provision contrat déficitaire SNCM 2010 V Def_PAO-CAF-RESOP_04_13_pro_format_variante T1" xfId="1852" xr:uid="{00000000-0005-0000-0000-000066070000}"/>
    <cellStyle name="s_Financials_B_Actualisation provision contrat déficitaire SNCM 2010 V Def_PAO-CAF-RESOP_04_13_pro_format_variante T1_B14_E2_2210" xfId="1853" xr:uid="{00000000-0005-0000-0000-000067070000}"/>
    <cellStyle name="s_Financials_B_Actualisation provision contrat déficitaire SNCM 2010 V Def_PAO-CAF-RESOP_04_13_pro_format_variante T1_B14_E2_2210_Bridge_Zone_Sud" xfId="1854" xr:uid="{00000000-0005-0000-0000-000068070000}"/>
    <cellStyle name="s_Financials_B_Actualisation provision contrat déficitaire SNCM 2010 V Def_PAO-CAF-RESOP_04_13_pro_format_variante T1_Bridge_Zone_Sud" xfId="1855" xr:uid="{00000000-0005-0000-0000-000069070000}"/>
    <cellStyle name="s_Financials_B_Actualisation provision contrat déficitaire SNCM 2010 V Def_PAO-CAF-RESOP_06_13" xfId="1856" xr:uid="{00000000-0005-0000-0000-00006A070000}"/>
    <cellStyle name="s_Financials_B_Actualisation provision contrat déficitaire SNCM 2010 V Def_PAO-CAF-RESOP_06_13_B14_E2_2210" xfId="1857" xr:uid="{00000000-0005-0000-0000-00006B070000}"/>
    <cellStyle name="s_Financials_B_Actualisation provision contrat déficitaire SNCM 2010 V Def_PAO-CAF-RESOP_06_13_B14_E2_2210_Bridge_Zone_Sud" xfId="1858" xr:uid="{00000000-0005-0000-0000-00006C070000}"/>
    <cellStyle name="s_Financials_B_Actualisation provision contrat déficitaire SNCM 2010 V Def_PAO-CAF-RESOP_06_13_Bridge_Zone_Sud" xfId="1859" xr:uid="{00000000-0005-0000-0000-00006D070000}"/>
    <cellStyle name="s_Financials_B_Actualisation provision contrat déficitaire SNCM 2010 V Def_PAO-CAF-RESOP_08_13" xfId="1860" xr:uid="{00000000-0005-0000-0000-00006E070000}"/>
    <cellStyle name="s_Financials_B_Actualisation provision contrat déficitaire SNCM 2010 V Def_PAO-CAF-RESOP_08_13_B14_E2_2210" xfId="1861" xr:uid="{00000000-0005-0000-0000-00006F070000}"/>
    <cellStyle name="s_Financials_B_Actualisation provision contrat déficitaire SNCM 2010 V Def_PAO-CAF-RESOP_08_13_B14_E2_2210_Bridge_Zone_Sud" xfId="1862" xr:uid="{00000000-0005-0000-0000-000070070000}"/>
    <cellStyle name="s_Financials_B_Actualisation provision contrat déficitaire SNCM 2010 V Def_PAO-CAF-RESOP_08_13_Bridge_Zone_Sud" xfId="1863" xr:uid="{00000000-0005-0000-0000-000071070000}"/>
    <cellStyle name="s_Financials_B_Actualisation provision contrat déficitaire SNCM 2010 V Def_PAO-CAF-RESOP_09_13" xfId="1864" xr:uid="{00000000-0005-0000-0000-000072070000}"/>
    <cellStyle name="s_Financials_B_Actualisation provision contrat déficitaire SNCM 2010 V Def_PAO-CAF-RESOP_09_13_Bridge_Zone_Sud" xfId="1865" xr:uid="{00000000-0005-0000-0000-000073070000}"/>
    <cellStyle name="s_Financials_B_Actualisation provision contrat déficitaire SNCM 2010 V Def_PAO-CAF-RESOP_09_2013_Zone_IDF (version 2)" xfId="1866" xr:uid="{00000000-0005-0000-0000-000074070000}"/>
    <cellStyle name="s_Financials_B_Actualisation provision contrat déficitaire SNCM 2010 V Def_PAO-CAF-RESOP_10_12" xfId="1867" xr:uid="{00000000-0005-0000-0000-000075070000}"/>
    <cellStyle name="s_Financials_B_Actualisation provision contrat déficitaire SNCM 2010 V Def_PAO-CAF-RESOP_10_12_Bridge_Zone_Sud" xfId="1868" xr:uid="{00000000-0005-0000-0000-000076070000}"/>
    <cellStyle name="s_Financials_B_Actualisation provision contrat déficitaire SNCM 2010 V Def_PAO-CAF-RESOP_10_12_focus par entités CAFOP" xfId="1869" xr:uid="{00000000-0005-0000-0000-000077070000}"/>
    <cellStyle name="s_Financials_B_Actualisation provision contrat déficitaire SNCM 2010 V Def_PAO-CAF-RESOP_10_12_focus par entités CAFOP_Bridge_Zone_Sud" xfId="1870" xr:uid="{00000000-0005-0000-0000-000078070000}"/>
    <cellStyle name="s_Financials_B_Actualisation provision contrat déficitaire SNCM 2010 V Def_PAO-CAF-RESOP_11_13" xfId="1871" xr:uid="{00000000-0005-0000-0000-000079070000}"/>
    <cellStyle name="s_Financials_B_Actualisation provision contrat déficitaire SNCM 2010 V Def_PAO-CAF-RESOP_B13" xfId="1872" xr:uid="{00000000-0005-0000-0000-00007A070000}"/>
    <cellStyle name="s_Financials_B_Actualisation provision contrat déficitaire SNCM 2010 V Def_PAO-CAF-RESOP_B13_Bridge_Zone_Sud" xfId="1873" xr:uid="{00000000-0005-0000-0000-00007B070000}"/>
    <cellStyle name="s_Financials_B_Actualisation provision contrat déficitaire SNCM 2010 V Def_PAO-CAF-RESOP_B13_focus par entités CAFOP" xfId="1874" xr:uid="{00000000-0005-0000-0000-00007C070000}"/>
    <cellStyle name="s_Financials_B_Actualisation provision contrat déficitaire SNCM 2010 V Def_PAO-CAF-RESOP_B13_focus par entités CAFOP_Bridge_Zone_Sud" xfId="1875" xr:uid="{00000000-0005-0000-0000-00007D070000}"/>
    <cellStyle name="s_Financials_B_Actualisation provision contrat déficitaire SNCM 2010 V Def_PAO-CAF-RESOP_B2014" xfId="1876" xr:uid="{00000000-0005-0000-0000-00007E070000}"/>
    <cellStyle name="s_Financials_B_Actualisation provision contrat déficitaire SNCM 2010 V Def_PAO-CAF-RESOP_B2014_Bridge_Zone_Sud" xfId="1877" xr:uid="{00000000-0005-0000-0000-00007F070000}"/>
    <cellStyle name="s_Financials_B_Actualisation provision contrat déficitaire SNCM 2010 V Def_PAO-CAF-RESOP_B2014_v2" xfId="1878" xr:uid="{00000000-0005-0000-0000-000080070000}"/>
    <cellStyle name="s_Financials_B_Actualisation provision contrat déficitaire SNCM 2010 V Def_PAO-CAF-RESOP_E2_13" xfId="1879" xr:uid="{00000000-0005-0000-0000-000081070000}"/>
    <cellStyle name="s_Financials_B_Actualisation provision contrat déficitaire SNCM 2010 V Def_PAO-CAF-RESOP_E2_13_B14_E2_2210" xfId="1880" xr:uid="{00000000-0005-0000-0000-000082070000}"/>
    <cellStyle name="s_Financials_B_Actualisation provision contrat déficitaire SNCM 2010 V Def_PAO-CAF-RESOP_E2_13_B14_E2_2210_Bridge_Zone_Sud" xfId="1881" xr:uid="{00000000-0005-0000-0000-000083070000}"/>
    <cellStyle name="s_Financials_B_Actualisation provision contrat déficitaire SNCM 2010 V Def_PAO-CAF-RESOP_E2_13_Bridge_Zone_Sud" xfId="1882" xr:uid="{00000000-0005-0000-0000-000084070000}"/>
    <cellStyle name="s_Financials_B_Actualisation provision contrat déficitaire SNCM 2010 V Def_PAO-CAF-RESOP_E2_2013_03_10_19H" xfId="1883" xr:uid="{00000000-0005-0000-0000-000085070000}"/>
    <cellStyle name="s_Financials_B_Actualisation provision contrat déficitaire SNCM 2010 V Def_PAO-CAF-RESOP_E2_2013_03_10_19H_Bridge_Zone_Sud" xfId="1884" xr:uid="{00000000-0005-0000-0000-000086070000}"/>
    <cellStyle name="s_Financials_B_Actualisation provision contrat déficitaire SNCM 2010 V Def_PPA" xfId="1885" xr:uid="{00000000-0005-0000-0000-000087070000}"/>
    <cellStyle name="s_Financials_B_Actualisation provision contrat déficitaire SNCM 2010 V Def_RESOP bef CICE&amp;PPA&amp;RepartHO" xfId="1886" xr:uid="{00000000-0005-0000-0000-000088070000}"/>
    <cellStyle name="s_Financials_B_Actualisation provision contrat déficitaire SNCM 2010 V Def_Synthèse_Présentation_conso_retraitée" xfId="1887" xr:uid="{00000000-0005-0000-0000-000089070000}"/>
    <cellStyle name="s_Financials_B_Actualisation provision contrat déficitaire SNCM 2011 V3 30 05 2011" xfId="1888" xr:uid="{00000000-0005-0000-0000-00008A070000}"/>
    <cellStyle name="s_Financials_B_Actualisation provision contrat déficitaire SNCM 2011 V3 30 05 2011_B14_E2_2210" xfId="1889" xr:uid="{00000000-0005-0000-0000-00008B070000}"/>
    <cellStyle name="s_Financials_B_Actualisation provision contrat déficitaire SNCM 2011 V3 30 05 2011_B14_E2_2210_Bridge_Zone_Sud" xfId="1890" xr:uid="{00000000-0005-0000-0000-00008C070000}"/>
    <cellStyle name="s_Financials_B_Actualisation provision contrat déficitaire SNCM 2011 V3 30 05 2011_Bridge_Zone_Sud" xfId="1891" xr:uid="{00000000-0005-0000-0000-00008D070000}"/>
    <cellStyle name="s_Financials_B_Actualisation provision contrat déficitaire SNCM 2011 V3 30 05 2011_CAPEM BY COUNTRY" xfId="1892" xr:uid="{00000000-0005-0000-0000-00008E070000}"/>
    <cellStyle name="s_Financials_B_Actualisation provision contrat déficitaire SNCM 2011 V3 30 05 2011_focus par entités CAFOPE2AMF" xfId="1893" xr:uid="{00000000-0005-0000-0000-00008F070000}"/>
    <cellStyle name="s_Financials_B_Actualisation provision contrat déficitaire SNCM 2011 V3 30 05 2011_focus par entités CAFOPE2AMF_Bridge_Zone_Sud" xfId="1894" xr:uid="{00000000-0005-0000-0000-000090070000}"/>
    <cellStyle name="s_Financials_B_Actualisation provision contrat déficitaire SNCM 2011 V3 30 05 2011_Maquette PLT" xfId="1895" xr:uid="{00000000-0005-0000-0000-000091070000}"/>
    <cellStyle name="s_Financials_B_Actualisation provision contrat déficitaire SNCM 2011 V3 30 05 2011_Output" xfId="3401" xr:uid="{00000000-0005-0000-0000-000092070000}"/>
    <cellStyle name="s_Financials_B_Actualisation provision contrat déficitaire SNCM 2011 V3 30 05 2011_PAO-CAF-RESOP_04_13_pro_format_variante T1" xfId="1896" xr:uid="{00000000-0005-0000-0000-000093070000}"/>
    <cellStyle name="s_Financials_B_Actualisation provision contrat déficitaire SNCM 2011 V3 30 05 2011_PAO-CAF-RESOP_04_13_pro_format_variante T1_B14_E2_2210" xfId="1897" xr:uid="{00000000-0005-0000-0000-000094070000}"/>
    <cellStyle name="s_Financials_B_Actualisation provision contrat déficitaire SNCM 2011 V3 30 05 2011_PAO-CAF-RESOP_04_13_pro_format_variante T1_B14_E2_2210_Bridge_Zone_Sud" xfId="1898" xr:uid="{00000000-0005-0000-0000-000095070000}"/>
    <cellStyle name="s_Financials_B_Actualisation provision contrat déficitaire SNCM 2011 V3 30 05 2011_PAO-CAF-RESOP_04_13_pro_format_variante T1_Bridge_Zone_Sud" xfId="1899" xr:uid="{00000000-0005-0000-0000-000096070000}"/>
    <cellStyle name="s_Financials_B_Actualisation provision contrat déficitaire SNCM 2011 V3 30 05 2011_PAO-CAF-RESOP_06_13" xfId="1900" xr:uid="{00000000-0005-0000-0000-000097070000}"/>
    <cellStyle name="s_Financials_B_Actualisation provision contrat déficitaire SNCM 2011 V3 30 05 2011_PAO-CAF-RESOP_06_13_B14_E2_2210" xfId="1901" xr:uid="{00000000-0005-0000-0000-000098070000}"/>
    <cellStyle name="s_Financials_B_Actualisation provision contrat déficitaire SNCM 2011 V3 30 05 2011_PAO-CAF-RESOP_06_13_B14_E2_2210_Bridge_Zone_Sud" xfId="1902" xr:uid="{00000000-0005-0000-0000-000099070000}"/>
    <cellStyle name="s_Financials_B_Actualisation provision contrat déficitaire SNCM 2011 V3 30 05 2011_PAO-CAF-RESOP_06_13_Bridge_Zone_Sud" xfId="1903" xr:uid="{00000000-0005-0000-0000-00009A070000}"/>
    <cellStyle name="s_Financials_B_Actualisation provision contrat déficitaire SNCM 2011 V3 30 05 2011_PAO-CAF-RESOP_08_13" xfId="1904" xr:uid="{00000000-0005-0000-0000-00009B070000}"/>
    <cellStyle name="s_Financials_B_Actualisation provision contrat déficitaire SNCM 2011 V3 30 05 2011_PAO-CAF-RESOP_08_13_B14_E2_2210" xfId="1905" xr:uid="{00000000-0005-0000-0000-00009C070000}"/>
    <cellStyle name="s_Financials_B_Actualisation provision contrat déficitaire SNCM 2011 V3 30 05 2011_PAO-CAF-RESOP_08_13_B14_E2_2210_Bridge_Zone_Sud" xfId="1906" xr:uid="{00000000-0005-0000-0000-00009D070000}"/>
    <cellStyle name="s_Financials_B_Actualisation provision contrat déficitaire SNCM 2011 V3 30 05 2011_PAO-CAF-RESOP_08_13_Bridge_Zone_Sud" xfId="1907" xr:uid="{00000000-0005-0000-0000-00009E070000}"/>
    <cellStyle name="s_Financials_B_Actualisation provision contrat déficitaire SNCM 2011 V3 30 05 2011_PAO-CAF-RESOP_09_13" xfId="1908" xr:uid="{00000000-0005-0000-0000-00009F070000}"/>
    <cellStyle name="s_Financials_B_Actualisation provision contrat déficitaire SNCM 2011 V3 30 05 2011_PAO-CAF-RESOP_09_13_Bridge_Zone_Sud" xfId="1909" xr:uid="{00000000-0005-0000-0000-0000A0070000}"/>
    <cellStyle name="s_Financials_B_Actualisation provision contrat déficitaire SNCM 2011 V3 30 05 2011_PAO-CAF-RESOP_09_2013_Zone_IDF (version 2)" xfId="1910" xr:uid="{00000000-0005-0000-0000-0000A1070000}"/>
    <cellStyle name="s_Financials_B_Actualisation provision contrat déficitaire SNCM 2011 V3 30 05 2011_PAO-CAF-RESOP_10_12" xfId="1911" xr:uid="{00000000-0005-0000-0000-0000A2070000}"/>
    <cellStyle name="s_Financials_B_Actualisation provision contrat déficitaire SNCM 2011 V3 30 05 2011_PAO-CAF-RESOP_10_12_Bridge_Zone_Sud" xfId="1912" xr:uid="{00000000-0005-0000-0000-0000A3070000}"/>
    <cellStyle name="s_Financials_B_Actualisation provision contrat déficitaire SNCM 2011 V3 30 05 2011_PAO-CAF-RESOP_10_12_focus par entités CAFOP" xfId="1913" xr:uid="{00000000-0005-0000-0000-0000A4070000}"/>
    <cellStyle name="s_Financials_B_Actualisation provision contrat déficitaire SNCM 2011 V3 30 05 2011_PAO-CAF-RESOP_10_12_focus par entités CAFOP_Bridge_Zone_Sud" xfId="1914" xr:uid="{00000000-0005-0000-0000-0000A5070000}"/>
    <cellStyle name="s_Financials_B_Actualisation provision contrat déficitaire SNCM 2011 V3 30 05 2011_PAO-CAF-RESOP_11_13" xfId="1915" xr:uid="{00000000-0005-0000-0000-0000A6070000}"/>
    <cellStyle name="s_Financials_B_Actualisation provision contrat déficitaire SNCM 2011 V3 30 05 2011_PAO-CAF-RESOP_B13" xfId="1916" xr:uid="{00000000-0005-0000-0000-0000A7070000}"/>
    <cellStyle name="s_Financials_B_Actualisation provision contrat déficitaire SNCM 2011 V3 30 05 2011_PAO-CAF-RESOP_B13_Bridge_Zone_Sud" xfId="1917" xr:uid="{00000000-0005-0000-0000-0000A8070000}"/>
    <cellStyle name="s_Financials_B_Actualisation provision contrat déficitaire SNCM 2011 V3 30 05 2011_PAO-CAF-RESOP_B13_focus par entités CAFOP" xfId="1918" xr:uid="{00000000-0005-0000-0000-0000A9070000}"/>
    <cellStyle name="s_Financials_B_Actualisation provision contrat déficitaire SNCM 2011 V3 30 05 2011_PAO-CAF-RESOP_B13_focus par entités CAFOP_Bridge_Zone_Sud" xfId="1919" xr:uid="{00000000-0005-0000-0000-0000AA070000}"/>
    <cellStyle name="s_Financials_B_Actualisation provision contrat déficitaire SNCM 2011 V3 30 05 2011_PAO-CAF-RESOP_B2014" xfId="1920" xr:uid="{00000000-0005-0000-0000-0000AB070000}"/>
    <cellStyle name="s_Financials_B_Actualisation provision contrat déficitaire SNCM 2011 V3 30 05 2011_PAO-CAF-RESOP_B2014_Bridge_Zone_Sud" xfId="1921" xr:uid="{00000000-0005-0000-0000-0000AC070000}"/>
    <cellStyle name="s_Financials_B_Actualisation provision contrat déficitaire SNCM 2011 V3 30 05 2011_PAO-CAF-RESOP_B2014_v2" xfId="1922" xr:uid="{00000000-0005-0000-0000-0000AD070000}"/>
    <cellStyle name="s_Financials_B_Actualisation provision contrat déficitaire SNCM 2011 V3 30 05 2011_PAO-CAF-RESOP_E2_13" xfId="1923" xr:uid="{00000000-0005-0000-0000-0000AE070000}"/>
    <cellStyle name="s_Financials_B_Actualisation provision contrat déficitaire SNCM 2011 V3 30 05 2011_PAO-CAF-RESOP_E2_13_B14_E2_2210" xfId="1924" xr:uid="{00000000-0005-0000-0000-0000AF070000}"/>
    <cellStyle name="s_Financials_B_Actualisation provision contrat déficitaire SNCM 2011 V3 30 05 2011_PAO-CAF-RESOP_E2_13_B14_E2_2210_Bridge_Zone_Sud" xfId="1925" xr:uid="{00000000-0005-0000-0000-0000B0070000}"/>
    <cellStyle name="s_Financials_B_Actualisation provision contrat déficitaire SNCM 2011 V3 30 05 2011_PAO-CAF-RESOP_E2_13_Bridge_Zone_Sud" xfId="1926" xr:uid="{00000000-0005-0000-0000-0000B1070000}"/>
    <cellStyle name="s_Financials_B_Actualisation provision contrat déficitaire SNCM 2011 V3 30 05 2011_PAO-CAF-RESOP_E2_2013_03_10_19H" xfId="1927" xr:uid="{00000000-0005-0000-0000-0000B2070000}"/>
    <cellStyle name="s_Financials_B_Actualisation provision contrat déficitaire SNCM 2011 V3 30 05 2011_PAO-CAF-RESOP_E2_2013_03_10_19H_Bridge_Zone_Sud" xfId="1928" xr:uid="{00000000-0005-0000-0000-0000B3070000}"/>
    <cellStyle name="s_Financials_B_Actualisation provision contrat déficitaire SNCM 2011 V3 30 05 2011_PPA" xfId="1929" xr:uid="{00000000-0005-0000-0000-0000B4070000}"/>
    <cellStyle name="s_Financials_B_Actualisation provision contrat déficitaire SNCM 2011 V3 30 05 2011_RESOP bef CICE&amp;PPA&amp;RepartHO" xfId="1930" xr:uid="{00000000-0005-0000-0000-0000B5070000}"/>
    <cellStyle name="s_Financials_B_Actualisation provision contrat déficitaire SNCM 2011 V3 30 05 2011_Synthèse_Présentation_conso_retraitée" xfId="1931" xr:uid="{00000000-0005-0000-0000-0000B6070000}"/>
    <cellStyle name="s_Financials_B_B14_E2_2210" xfId="1932" xr:uid="{00000000-0005-0000-0000-0000B7070000}"/>
    <cellStyle name="s_Financials_B_B14_E2_2210_Bridge_Zone_Sud" xfId="1933" xr:uid="{00000000-0005-0000-0000-0000B8070000}"/>
    <cellStyle name="s_Financials_B_BFR_TD_2014.02" xfId="1934" xr:uid="{00000000-0005-0000-0000-0000B9070000}"/>
    <cellStyle name="s_Financials_B_Bridge_Zone_Nord" xfId="1935" xr:uid="{00000000-0005-0000-0000-0000BA070000}"/>
    <cellStyle name="s_Financials_B_CAPEM BY COUNTRY" xfId="1936" xr:uid="{00000000-0005-0000-0000-0000BB070000}"/>
    <cellStyle name="s_Financials_B_LI819L_B13" xfId="1937" xr:uid="{00000000-0005-0000-0000-0000BC070000}"/>
    <cellStyle name="s_Financials_B_LI819L_B13_CAPEM BY COUNTRY" xfId="1938" xr:uid="{00000000-0005-0000-0000-0000BD070000}"/>
    <cellStyle name="s_Financials_B_LI819L_B13_Maquette PLT" xfId="1939" xr:uid="{00000000-0005-0000-0000-0000BE070000}"/>
    <cellStyle name="s_Financials_B_LI819L_B13_Output" xfId="3402" xr:uid="{00000000-0005-0000-0000-0000BF070000}"/>
    <cellStyle name="s_Financials_B_LI819L_B13_PPA" xfId="1940" xr:uid="{00000000-0005-0000-0000-0000C0070000}"/>
    <cellStyle name="s_Financials_B_LI819L_B13_RESOP bef CICE&amp;PPA&amp;RepartHO" xfId="1941" xr:uid="{00000000-0005-0000-0000-0000C1070000}"/>
    <cellStyle name="s_Financials_B_Maquette PLT" xfId="1942" xr:uid="{00000000-0005-0000-0000-0000C2070000}"/>
    <cellStyle name="s_Financials_B_Output" xfId="3399" xr:uid="{00000000-0005-0000-0000-0000C3070000}"/>
    <cellStyle name="s_Financials_B_PAO-CAF-RESOP_14_01_13 à 20h" xfId="1943" xr:uid="{00000000-0005-0000-0000-0000C4070000}"/>
    <cellStyle name="s_Financials_B_PAO-CAF-RESOP_14_01_13 à 20h_CAPEM BY COUNTRY" xfId="1944" xr:uid="{00000000-0005-0000-0000-0000C5070000}"/>
    <cellStyle name="s_Financials_B_PAO-CAF-RESOP_14_01_13 à 20h_Maquette PLT" xfId="1945" xr:uid="{00000000-0005-0000-0000-0000C6070000}"/>
    <cellStyle name="s_Financials_B_PAO-CAF-RESOP_14_01_13 à 20h_Output" xfId="3403" xr:uid="{00000000-0005-0000-0000-0000C7070000}"/>
    <cellStyle name="s_Financials_B_PAO-CAF-RESOP_14_01_13 à 20h_PPA" xfId="1946" xr:uid="{00000000-0005-0000-0000-0000C8070000}"/>
    <cellStyle name="s_Financials_B_PAO-CAF-RESOP_14_01_13 à 20h_RESOP bef CICE&amp;PPA&amp;RepartHO" xfId="1947" xr:uid="{00000000-0005-0000-0000-0000C9070000}"/>
    <cellStyle name="s_Financials_B_PAO-CAF-RESOP_2014.02" xfId="1948" xr:uid="{00000000-0005-0000-0000-0000CA070000}"/>
    <cellStyle name="s_Financials_B_PAO-CAF-RESOP_2014.02_Bridge_Zone_Sud" xfId="1949" xr:uid="{00000000-0005-0000-0000-0000CB070000}"/>
    <cellStyle name="s_Financials_B_PPA" xfId="1950" xr:uid="{00000000-0005-0000-0000-0000CC070000}"/>
    <cellStyle name="s_Financials_B_RESOP bef CICE&amp;PPA&amp;RepartHO" xfId="1951" xr:uid="{00000000-0005-0000-0000-0000CD070000}"/>
    <cellStyle name="s_Financials_T" xfId="1952" xr:uid="{00000000-0005-0000-0000-0000CE070000}"/>
    <cellStyle name="s_Financials_T_Actualisation provision contrat déficitaire SNCM 2010 V Def" xfId="1953" xr:uid="{00000000-0005-0000-0000-0000CF070000}"/>
    <cellStyle name="s_Financials_T_Actualisation provision contrat déficitaire SNCM 2010 V Def_B14_E2_2210" xfId="1954" xr:uid="{00000000-0005-0000-0000-0000D0070000}"/>
    <cellStyle name="s_Financials_T_Actualisation provision contrat déficitaire SNCM 2010 V Def_B14_E2_2210_Bridge_Zone_Sud" xfId="1955" xr:uid="{00000000-0005-0000-0000-0000D1070000}"/>
    <cellStyle name="s_Financials_T_Actualisation provision contrat déficitaire SNCM 2010 V Def_Bridge_Zone_Sud" xfId="1956" xr:uid="{00000000-0005-0000-0000-0000D2070000}"/>
    <cellStyle name="s_Financials_T_Actualisation provision contrat déficitaire SNCM 2010 V Def_CAPEM BY COUNTRY" xfId="1957" xr:uid="{00000000-0005-0000-0000-0000D3070000}"/>
    <cellStyle name="s_Financials_T_Actualisation provision contrat déficitaire SNCM 2010 V Def_focus par entités CAFOPE2AMF" xfId="1958" xr:uid="{00000000-0005-0000-0000-0000D4070000}"/>
    <cellStyle name="s_Financials_T_Actualisation provision contrat déficitaire SNCM 2010 V Def_focus par entités CAFOPE2AMF_Bridge_Zone_Sud" xfId="1959" xr:uid="{00000000-0005-0000-0000-0000D5070000}"/>
    <cellStyle name="s_Financials_T_Actualisation provision contrat déficitaire SNCM 2010 V Def_Maquette PLT" xfId="1960" xr:uid="{00000000-0005-0000-0000-0000D6070000}"/>
    <cellStyle name="s_Financials_T_Actualisation provision contrat déficitaire SNCM 2010 V Def_Output" xfId="3405" xr:uid="{00000000-0005-0000-0000-0000D7070000}"/>
    <cellStyle name="s_Financials_T_Actualisation provision contrat déficitaire SNCM 2010 V Def_PAO-CAF-RESOP_04_13_pro_format_variante T1" xfId="1961" xr:uid="{00000000-0005-0000-0000-0000D8070000}"/>
    <cellStyle name="s_Financials_T_Actualisation provision contrat déficitaire SNCM 2010 V Def_PAO-CAF-RESOP_04_13_pro_format_variante T1_B14_E2_2210" xfId="1962" xr:uid="{00000000-0005-0000-0000-0000D9070000}"/>
    <cellStyle name="s_Financials_T_Actualisation provision contrat déficitaire SNCM 2010 V Def_PAO-CAF-RESOP_04_13_pro_format_variante T1_B14_E2_2210_Bridge_Zone_Sud" xfId="1963" xr:uid="{00000000-0005-0000-0000-0000DA070000}"/>
    <cellStyle name="s_Financials_T_Actualisation provision contrat déficitaire SNCM 2010 V Def_PAO-CAF-RESOP_04_13_pro_format_variante T1_Bridge_Zone_Sud" xfId="1964" xr:uid="{00000000-0005-0000-0000-0000DB070000}"/>
    <cellStyle name="s_Financials_T_Actualisation provision contrat déficitaire SNCM 2010 V Def_PAO-CAF-RESOP_06_13" xfId="1965" xr:uid="{00000000-0005-0000-0000-0000DC070000}"/>
    <cellStyle name="s_Financials_T_Actualisation provision contrat déficitaire SNCM 2010 V Def_PAO-CAF-RESOP_06_13_B14_E2_2210" xfId="1966" xr:uid="{00000000-0005-0000-0000-0000DD070000}"/>
    <cellStyle name="s_Financials_T_Actualisation provision contrat déficitaire SNCM 2010 V Def_PAO-CAF-RESOP_06_13_B14_E2_2210_Bridge_Zone_Sud" xfId="1967" xr:uid="{00000000-0005-0000-0000-0000DE070000}"/>
    <cellStyle name="s_Financials_T_Actualisation provision contrat déficitaire SNCM 2010 V Def_PAO-CAF-RESOP_06_13_Bridge_Zone_Sud" xfId="1968" xr:uid="{00000000-0005-0000-0000-0000DF070000}"/>
    <cellStyle name="s_Financials_T_Actualisation provision contrat déficitaire SNCM 2010 V Def_PAO-CAF-RESOP_08_13" xfId="1969" xr:uid="{00000000-0005-0000-0000-0000E0070000}"/>
    <cellStyle name="s_Financials_T_Actualisation provision contrat déficitaire SNCM 2010 V Def_PAO-CAF-RESOP_08_13_B14_E2_2210" xfId="1970" xr:uid="{00000000-0005-0000-0000-0000E1070000}"/>
    <cellStyle name="s_Financials_T_Actualisation provision contrat déficitaire SNCM 2010 V Def_PAO-CAF-RESOP_08_13_B14_E2_2210_Bridge_Zone_Sud" xfId="1971" xr:uid="{00000000-0005-0000-0000-0000E2070000}"/>
    <cellStyle name="s_Financials_T_Actualisation provision contrat déficitaire SNCM 2010 V Def_PAO-CAF-RESOP_08_13_Bridge_Zone_Sud" xfId="1972" xr:uid="{00000000-0005-0000-0000-0000E3070000}"/>
    <cellStyle name="s_Financials_T_Actualisation provision contrat déficitaire SNCM 2010 V Def_PAO-CAF-RESOP_09_13" xfId="1973" xr:uid="{00000000-0005-0000-0000-0000E4070000}"/>
    <cellStyle name="s_Financials_T_Actualisation provision contrat déficitaire SNCM 2010 V Def_PAO-CAF-RESOP_09_13_Bridge_Zone_Sud" xfId="1974" xr:uid="{00000000-0005-0000-0000-0000E5070000}"/>
    <cellStyle name="s_Financials_T_Actualisation provision contrat déficitaire SNCM 2010 V Def_PAO-CAF-RESOP_09_2013_Zone_IDF (version 2)" xfId="1975" xr:uid="{00000000-0005-0000-0000-0000E6070000}"/>
    <cellStyle name="s_Financials_T_Actualisation provision contrat déficitaire SNCM 2010 V Def_PAO-CAF-RESOP_10_12" xfId="1976" xr:uid="{00000000-0005-0000-0000-0000E7070000}"/>
    <cellStyle name="s_Financials_T_Actualisation provision contrat déficitaire SNCM 2010 V Def_PAO-CAF-RESOP_10_12_Bridge_Zone_Sud" xfId="1977" xr:uid="{00000000-0005-0000-0000-0000E8070000}"/>
    <cellStyle name="s_Financials_T_Actualisation provision contrat déficitaire SNCM 2010 V Def_PAO-CAF-RESOP_10_12_focus par entités CAFOP" xfId="1978" xr:uid="{00000000-0005-0000-0000-0000E9070000}"/>
    <cellStyle name="s_Financials_T_Actualisation provision contrat déficitaire SNCM 2010 V Def_PAO-CAF-RESOP_10_12_focus par entités CAFOP_Bridge_Zone_Sud" xfId="1979" xr:uid="{00000000-0005-0000-0000-0000EA070000}"/>
    <cellStyle name="s_Financials_T_Actualisation provision contrat déficitaire SNCM 2010 V Def_PAO-CAF-RESOP_11_13" xfId="1980" xr:uid="{00000000-0005-0000-0000-0000EB070000}"/>
    <cellStyle name="s_Financials_T_Actualisation provision contrat déficitaire SNCM 2010 V Def_PAO-CAF-RESOP_B13" xfId="1981" xr:uid="{00000000-0005-0000-0000-0000EC070000}"/>
    <cellStyle name="s_Financials_T_Actualisation provision contrat déficitaire SNCM 2010 V Def_PAO-CAF-RESOP_B13_Bridge_Zone_Sud" xfId="1982" xr:uid="{00000000-0005-0000-0000-0000ED070000}"/>
    <cellStyle name="s_Financials_T_Actualisation provision contrat déficitaire SNCM 2010 V Def_PAO-CAF-RESOP_B13_focus par entités CAFOP" xfId="1983" xr:uid="{00000000-0005-0000-0000-0000EE070000}"/>
    <cellStyle name="s_Financials_T_Actualisation provision contrat déficitaire SNCM 2010 V Def_PAO-CAF-RESOP_B13_focus par entités CAFOP_Bridge_Zone_Sud" xfId="1984" xr:uid="{00000000-0005-0000-0000-0000EF070000}"/>
    <cellStyle name="s_Financials_T_Actualisation provision contrat déficitaire SNCM 2010 V Def_PAO-CAF-RESOP_B2014" xfId="1985" xr:uid="{00000000-0005-0000-0000-0000F0070000}"/>
    <cellStyle name="s_Financials_T_Actualisation provision contrat déficitaire SNCM 2010 V Def_PAO-CAF-RESOP_B2014_Bridge_Zone_Sud" xfId="1986" xr:uid="{00000000-0005-0000-0000-0000F1070000}"/>
    <cellStyle name="s_Financials_T_Actualisation provision contrat déficitaire SNCM 2010 V Def_PAO-CAF-RESOP_B2014_v2" xfId="1987" xr:uid="{00000000-0005-0000-0000-0000F2070000}"/>
    <cellStyle name="s_Financials_T_Actualisation provision contrat déficitaire SNCM 2010 V Def_PAO-CAF-RESOP_E2_13" xfId="1988" xr:uid="{00000000-0005-0000-0000-0000F3070000}"/>
    <cellStyle name="s_Financials_T_Actualisation provision contrat déficitaire SNCM 2010 V Def_PAO-CAF-RESOP_E2_13_B14_E2_2210" xfId="1989" xr:uid="{00000000-0005-0000-0000-0000F4070000}"/>
    <cellStyle name="s_Financials_T_Actualisation provision contrat déficitaire SNCM 2010 V Def_PAO-CAF-RESOP_E2_13_B14_E2_2210_Bridge_Zone_Sud" xfId="1990" xr:uid="{00000000-0005-0000-0000-0000F5070000}"/>
    <cellStyle name="s_Financials_T_Actualisation provision contrat déficitaire SNCM 2010 V Def_PAO-CAF-RESOP_E2_13_Bridge_Zone_Sud" xfId="1991" xr:uid="{00000000-0005-0000-0000-0000F6070000}"/>
    <cellStyle name="s_Financials_T_Actualisation provision contrat déficitaire SNCM 2010 V Def_PAO-CAF-RESOP_E2_2013_03_10_19H" xfId="1992" xr:uid="{00000000-0005-0000-0000-0000F7070000}"/>
    <cellStyle name="s_Financials_T_Actualisation provision contrat déficitaire SNCM 2010 V Def_PAO-CAF-RESOP_E2_2013_03_10_19H_Bridge_Zone_Sud" xfId="1993" xr:uid="{00000000-0005-0000-0000-0000F8070000}"/>
    <cellStyle name="s_Financials_T_Actualisation provision contrat déficitaire SNCM 2010 V Def_PPA" xfId="1994" xr:uid="{00000000-0005-0000-0000-0000F9070000}"/>
    <cellStyle name="s_Financials_T_Actualisation provision contrat déficitaire SNCM 2010 V Def_RESOP bef CICE&amp;PPA&amp;RepartHO" xfId="1995" xr:uid="{00000000-0005-0000-0000-0000FA070000}"/>
    <cellStyle name="s_Financials_T_Actualisation provision contrat déficitaire SNCM 2010 V Def_Synthèse_Présentation_conso_retraitée" xfId="1996" xr:uid="{00000000-0005-0000-0000-0000FB070000}"/>
    <cellStyle name="s_Financials_T_Actualisation provision contrat déficitaire SNCM 2011 V3 30 05 2011" xfId="1997" xr:uid="{00000000-0005-0000-0000-0000FC070000}"/>
    <cellStyle name="s_Financials_T_Actualisation provision contrat déficitaire SNCM 2011 V3 30 05 2011_B14_E2_2210" xfId="1998" xr:uid="{00000000-0005-0000-0000-0000FD070000}"/>
    <cellStyle name="s_Financials_T_Actualisation provision contrat déficitaire SNCM 2011 V3 30 05 2011_B14_E2_2210_Bridge_Zone_Sud" xfId="1999" xr:uid="{00000000-0005-0000-0000-0000FE070000}"/>
    <cellStyle name="s_Financials_T_Actualisation provision contrat déficitaire SNCM 2011 V3 30 05 2011_Bridge_Zone_Sud" xfId="2000" xr:uid="{00000000-0005-0000-0000-0000FF070000}"/>
    <cellStyle name="s_Financials_T_Actualisation provision contrat déficitaire SNCM 2011 V3 30 05 2011_CAPEM BY COUNTRY" xfId="2001" xr:uid="{00000000-0005-0000-0000-000000080000}"/>
    <cellStyle name="s_Financials_T_Actualisation provision contrat déficitaire SNCM 2011 V3 30 05 2011_focus par entités CAFOPE2AMF" xfId="2002" xr:uid="{00000000-0005-0000-0000-000001080000}"/>
    <cellStyle name="s_Financials_T_Actualisation provision contrat déficitaire SNCM 2011 V3 30 05 2011_focus par entités CAFOPE2AMF_Bridge_Zone_Sud" xfId="2003" xr:uid="{00000000-0005-0000-0000-000002080000}"/>
    <cellStyle name="s_Financials_T_Actualisation provision contrat déficitaire SNCM 2011 V3 30 05 2011_Maquette PLT" xfId="2004" xr:uid="{00000000-0005-0000-0000-000003080000}"/>
    <cellStyle name="s_Financials_T_Actualisation provision contrat déficitaire SNCM 2011 V3 30 05 2011_Output" xfId="3406" xr:uid="{00000000-0005-0000-0000-000004080000}"/>
    <cellStyle name="s_Financials_T_Actualisation provision contrat déficitaire SNCM 2011 V3 30 05 2011_PAO-CAF-RESOP_04_13_pro_format_variante T1" xfId="2005" xr:uid="{00000000-0005-0000-0000-000005080000}"/>
    <cellStyle name="s_Financials_T_Actualisation provision contrat déficitaire SNCM 2011 V3 30 05 2011_PAO-CAF-RESOP_04_13_pro_format_variante T1_B14_E2_2210" xfId="2006" xr:uid="{00000000-0005-0000-0000-000006080000}"/>
    <cellStyle name="s_Financials_T_Actualisation provision contrat déficitaire SNCM 2011 V3 30 05 2011_PAO-CAF-RESOP_04_13_pro_format_variante T1_B14_E2_2210_Bridge_Zone_Sud" xfId="2007" xr:uid="{00000000-0005-0000-0000-000007080000}"/>
    <cellStyle name="s_Financials_T_Actualisation provision contrat déficitaire SNCM 2011 V3 30 05 2011_PAO-CAF-RESOP_04_13_pro_format_variante T1_Bridge_Zone_Sud" xfId="2008" xr:uid="{00000000-0005-0000-0000-000008080000}"/>
    <cellStyle name="s_Financials_T_Actualisation provision contrat déficitaire SNCM 2011 V3 30 05 2011_PAO-CAF-RESOP_06_13" xfId="2009" xr:uid="{00000000-0005-0000-0000-000009080000}"/>
    <cellStyle name="s_Financials_T_Actualisation provision contrat déficitaire SNCM 2011 V3 30 05 2011_PAO-CAF-RESOP_06_13_B14_E2_2210" xfId="2010" xr:uid="{00000000-0005-0000-0000-00000A080000}"/>
    <cellStyle name="s_Financials_T_Actualisation provision contrat déficitaire SNCM 2011 V3 30 05 2011_PAO-CAF-RESOP_06_13_B14_E2_2210_Bridge_Zone_Sud" xfId="2011" xr:uid="{00000000-0005-0000-0000-00000B080000}"/>
    <cellStyle name="s_Financials_T_Actualisation provision contrat déficitaire SNCM 2011 V3 30 05 2011_PAO-CAF-RESOP_06_13_Bridge_Zone_Sud" xfId="2012" xr:uid="{00000000-0005-0000-0000-00000C080000}"/>
    <cellStyle name="s_Financials_T_Actualisation provision contrat déficitaire SNCM 2011 V3 30 05 2011_PAO-CAF-RESOP_08_13" xfId="2013" xr:uid="{00000000-0005-0000-0000-00000D080000}"/>
    <cellStyle name="s_Financials_T_Actualisation provision contrat déficitaire SNCM 2011 V3 30 05 2011_PAO-CAF-RESOP_08_13_B14_E2_2210" xfId="2014" xr:uid="{00000000-0005-0000-0000-00000E080000}"/>
    <cellStyle name="s_Financials_T_Actualisation provision contrat déficitaire SNCM 2011 V3 30 05 2011_PAO-CAF-RESOP_08_13_B14_E2_2210_Bridge_Zone_Sud" xfId="2015" xr:uid="{00000000-0005-0000-0000-00000F080000}"/>
    <cellStyle name="s_Financials_T_Actualisation provision contrat déficitaire SNCM 2011 V3 30 05 2011_PAO-CAF-RESOP_08_13_Bridge_Zone_Sud" xfId="2016" xr:uid="{00000000-0005-0000-0000-000010080000}"/>
    <cellStyle name="s_Financials_T_Actualisation provision contrat déficitaire SNCM 2011 V3 30 05 2011_PAO-CAF-RESOP_09_13" xfId="2017" xr:uid="{00000000-0005-0000-0000-000011080000}"/>
    <cellStyle name="s_Financials_T_Actualisation provision contrat déficitaire SNCM 2011 V3 30 05 2011_PAO-CAF-RESOP_09_13_Bridge_Zone_Sud" xfId="2018" xr:uid="{00000000-0005-0000-0000-000012080000}"/>
    <cellStyle name="s_Financials_T_Actualisation provision contrat déficitaire SNCM 2011 V3 30 05 2011_PAO-CAF-RESOP_09_2013_Zone_IDF (version 2)" xfId="2019" xr:uid="{00000000-0005-0000-0000-000013080000}"/>
    <cellStyle name="s_Financials_T_Actualisation provision contrat déficitaire SNCM 2011 V3 30 05 2011_PAO-CAF-RESOP_10_12" xfId="2020" xr:uid="{00000000-0005-0000-0000-000014080000}"/>
    <cellStyle name="s_Financials_T_Actualisation provision contrat déficitaire SNCM 2011 V3 30 05 2011_PAO-CAF-RESOP_10_12_Bridge_Zone_Sud" xfId="2021" xr:uid="{00000000-0005-0000-0000-000015080000}"/>
    <cellStyle name="s_Financials_T_Actualisation provision contrat déficitaire SNCM 2011 V3 30 05 2011_PAO-CAF-RESOP_10_12_focus par entités CAFOP" xfId="2022" xr:uid="{00000000-0005-0000-0000-000016080000}"/>
    <cellStyle name="s_Financials_T_Actualisation provision contrat déficitaire SNCM 2011 V3 30 05 2011_PAO-CAF-RESOP_10_12_focus par entités CAFOP_Bridge_Zone_Sud" xfId="2023" xr:uid="{00000000-0005-0000-0000-000017080000}"/>
    <cellStyle name="s_Financials_T_Actualisation provision contrat déficitaire SNCM 2011 V3 30 05 2011_PAO-CAF-RESOP_11_13" xfId="2024" xr:uid="{00000000-0005-0000-0000-000018080000}"/>
    <cellStyle name="s_Financials_T_Actualisation provision contrat déficitaire SNCM 2011 V3 30 05 2011_PAO-CAF-RESOP_B13" xfId="2025" xr:uid="{00000000-0005-0000-0000-000019080000}"/>
    <cellStyle name="s_Financials_T_Actualisation provision contrat déficitaire SNCM 2011 V3 30 05 2011_PAO-CAF-RESOP_B13_Bridge_Zone_Sud" xfId="2026" xr:uid="{00000000-0005-0000-0000-00001A080000}"/>
    <cellStyle name="s_Financials_T_Actualisation provision contrat déficitaire SNCM 2011 V3 30 05 2011_PAO-CAF-RESOP_B13_focus par entités CAFOP" xfId="2027" xr:uid="{00000000-0005-0000-0000-00001B080000}"/>
    <cellStyle name="s_Financials_T_Actualisation provision contrat déficitaire SNCM 2011 V3 30 05 2011_PAO-CAF-RESOP_B13_focus par entités CAFOP_Bridge_Zone_Sud" xfId="2028" xr:uid="{00000000-0005-0000-0000-00001C080000}"/>
    <cellStyle name="s_Financials_T_Actualisation provision contrat déficitaire SNCM 2011 V3 30 05 2011_PAO-CAF-RESOP_B2014" xfId="2029" xr:uid="{00000000-0005-0000-0000-00001D080000}"/>
    <cellStyle name="s_Financials_T_Actualisation provision contrat déficitaire SNCM 2011 V3 30 05 2011_PAO-CAF-RESOP_B2014_Bridge_Zone_Sud" xfId="2030" xr:uid="{00000000-0005-0000-0000-00001E080000}"/>
    <cellStyle name="s_Financials_T_Actualisation provision contrat déficitaire SNCM 2011 V3 30 05 2011_PAO-CAF-RESOP_B2014_v2" xfId="2031" xr:uid="{00000000-0005-0000-0000-00001F080000}"/>
    <cellStyle name="s_Financials_T_Actualisation provision contrat déficitaire SNCM 2011 V3 30 05 2011_PAO-CAF-RESOP_E2_13" xfId="2032" xr:uid="{00000000-0005-0000-0000-000020080000}"/>
    <cellStyle name="s_Financials_T_Actualisation provision contrat déficitaire SNCM 2011 V3 30 05 2011_PAO-CAF-RESOP_E2_13_B14_E2_2210" xfId="2033" xr:uid="{00000000-0005-0000-0000-000021080000}"/>
    <cellStyle name="s_Financials_T_Actualisation provision contrat déficitaire SNCM 2011 V3 30 05 2011_PAO-CAF-RESOP_E2_13_B14_E2_2210_Bridge_Zone_Sud" xfId="2034" xr:uid="{00000000-0005-0000-0000-000022080000}"/>
    <cellStyle name="s_Financials_T_Actualisation provision contrat déficitaire SNCM 2011 V3 30 05 2011_PAO-CAF-RESOP_E2_13_Bridge_Zone_Sud" xfId="2035" xr:uid="{00000000-0005-0000-0000-000023080000}"/>
    <cellStyle name="s_Financials_T_Actualisation provision contrat déficitaire SNCM 2011 V3 30 05 2011_PAO-CAF-RESOP_E2_2013_03_10_19H" xfId="2036" xr:uid="{00000000-0005-0000-0000-000024080000}"/>
    <cellStyle name="s_Financials_T_Actualisation provision contrat déficitaire SNCM 2011 V3 30 05 2011_PAO-CAF-RESOP_E2_2013_03_10_19H_Bridge_Zone_Sud" xfId="2037" xr:uid="{00000000-0005-0000-0000-000025080000}"/>
    <cellStyle name="s_Financials_T_Actualisation provision contrat déficitaire SNCM 2011 V3 30 05 2011_PPA" xfId="2038" xr:uid="{00000000-0005-0000-0000-000026080000}"/>
    <cellStyle name="s_Financials_T_Actualisation provision contrat déficitaire SNCM 2011 V3 30 05 2011_RESOP bef CICE&amp;PPA&amp;RepartHO" xfId="2039" xr:uid="{00000000-0005-0000-0000-000027080000}"/>
    <cellStyle name="s_Financials_T_Actualisation provision contrat déficitaire SNCM 2011 V3 30 05 2011_Synthèse_Présentation_conso_retraitée" xfId="2040" xr:uid="{00000000-0005-0000-0000-000028080000}"/>
    <cellStyle name="s_Financials_T_B14_E2_2210" xfId="2041" xr:uid="{00000000-0005-0000-0000-000029080000}"/>
    <cellStyle name="s_Financials_T_B14_E2_2210_Bridge_Zone_Sud" xfId="2042" xr:uid="{00000000-0005-0000-0000-00002A080000}"/>
    <cellStyle name="s_Financials_T_BFR_TD_2014.02" xfId="2043" xr:uid="{00000000-0005-0000-0000-00002B080000}"/>
    <cellStyle name="s_Financials_T_Bridge_Zone_Nord" xfId="2044" xr:uid="{00000000-0005-0000-0000-00002C080000}"/>
    <cellStyle name="s_Financials_T_CAPEM BY COUNTRY" xfId="2045" xr:uid="{00000000-0005-0000-0000-00002D080000}"/>
    <cellStyle name="s_Financials_T_LI819L_B13" xfId="2046" xr:uid="{00000000-0005-0000-0000-00002E080000}"/>
    <cellStyle name="s_Financials_T_LI819L_B13_CAPEM BY COUNTRY" xfId="2047" xr:uid="{00000000-0005-0000-0000-00002F080000}"/>
    <cellStyle name="s_Financials_T_LI819L_B13_Maquette PLT" xfId="2048" xr:uid="{00000000-0005-0000-0000-000030080000}"/>
    <cellStyle name="s_Financials_T_LI819L_B13_Output" xfId="3407" xr:uid="{00000000-0005-0000-0000-000031080000}"/>
    <cellStyle name="s_Financials_T_LI819L_B13_PPA" xfId="2049" xr:uid="{00000000-0005-0000-0000-000032080000}"/>
    <cellStyle name="s_Financials_T_LI819L_B13_RESOP bef CICE&amp;PPA&amp;RepartHO" xfId="2050" xr:uid="{00000000-0005-0000-0000-000033080000}"/>
    <cellStyle name="s_Financials_T_Maquette PLT" xfId="2051" xr:uid="{00000000-0005-0000-0000-000034080000}"/>
    <cellStyle name="s_Financials_T_Output" xfId="3404" xr:uid="{00000000-0005-0000-0000-000035080000}"/>
    <cellStyle name="s_Financials_T_PAO-CAF-RESOP_14_01_13 à 20h" xfId="2052" xr:uid="{00000000-0005-0000-0000-000036080000}"/>
    <cellStyle name="s_Financials_T_PAO-CAF-RESOP_14_01_13 à 20h_CAPEM BY COUNTRY" xfId="2053" xr:uid="{00000000-0005-0000-0000-000037080000}"/>
    <cellStyle name="s_Financials_T_PAO-CAF-RESOP_14_01_13 à 20h_Maquette PLT" xfId="2054" xr:uid="{00000000-0005-0000-0000-000038080000}"/>
    <cellStyle name="s_Financials_T_PAO-CAF-RESOP_14_01_13 à 20h_Output" xfId="3408" xr:uid="{00000000-0005-0000-0000-000039080000}"/>
    <cellStyle name="s_Financials_T_PAO-CAF-RESOP_14_01_13 à 20h_PPA" xfId="2055" xr:uid="{00000000-0005-0000-0000-00003A080000}"/>
    <cellStyle name="s_Financials_T_PAO-CAF-RESOP_14_01_13 à 20h_RESOP bef CICE&amp;PPA&amp;RepartHO" xfId="2056" xr:uid="{00000000-0005-0000-0000-00003B080000}"/>
    <cellStyle name="s_Financials_T_PAO-CAF-RESOP_2014.02" xfId="2057" xr:uid="{00000000-0005-0000-0000-00003C080000}"/>
    <cellStyle name="s_Financials_T_PAO-CAF-RESOP_2014.02_Bridge_Zone_Sud" xfId="2058" xr:uid="{00000000-0005-0000-0000-00003D080000}"/>
    <cellStyle name="s_Financials_T_PPA" xfId="2059" xr:uid="{00000000-0005-0000-0000-00003E080000}"/>
    <cellStyle name="s_Financials_T_RESOP bef CICE&amp;PPA&amp;RepartHO" xfId="2060" xr:uid="{00000000-0005-0000-0000-00003F080000}"/>
    <cellStyle name="s_Grouse+Pelican" xfId="2061" xr:uid="{00000000-0005-0000-0000-000040080000}"/>
    <cellStyle name="s_Grouse+Pelican_CAPEM BY COUNTRY" xfId="2062" xr:uid="{00000000-0005-0000-0000-000041080000}"/>
    <cellStyle name="s_Grouse+Pelican_Maquette PLT" xfId="2063" xr:uid="{00000000-0005-0000-0000-000042080000}"/>
    <cellStyle name="s_Grouse+Pelican_Output" xfId="3409" xr:uid="{00000000-0005-0000-0000-000043080000}"/>
    <cellStyle name="s_LI819L_B13" xfId="2064" xr:uid="{00000000-0005-0000-0000-000044080000}"/>
    <cellStyle name="s_LI819L_B13_CAPEM BY COUNTRY" xfId="2065" xr:uid="{00000000-0005-0000-0000-000045080000}"/>
    <cellStyle name="s_LI819L_B13_Maquette PLT" xfId="2066" xr:uid="{00000000-0005-0000-0000-000046080000}"/>
    <cellStyle name="s_LI819L_B13_Output" xfId="3410" xr:uid="{00000000-0005-0000-0000-000047080000}"/>
    <cellStyle name="s_LI819L_B13_PPA" xfId="2067" xr:uid="{00000000-0005-0000-0000-000048080000}"/>
    <cellStyle name="s_LI819L_B13_RESOP bef CICE&amp;PPA&amp;RepartHO" xfId="2068" xr:uid="{00000000-0005-0000-0000-000049080000}"/>
    <cellStyle name="s_Maquette PLT" xfId="2069" xr:uid="{00000000-0005-0000-0000-00004A080000}"/>
    <cellStyle name="s_Matrix_B" xfId="2070" xr:uid="{00000000-0005-0000-0000-00004B080000}"/>
    <cellStyle name="s_Matrix_B_Actualisation provision contrat déficitaire SNCM 2010 V Def" xfId="2071" xr:uid="{00000000-0005-0000-0000-00004C080000}"/>
    <cellStyle name="s_Matrix_B_Actualisation provision contrat déficitaire SNCM 2010 V Def_B14_E2_2210" xfId="2072" xr:uid="{00000000-0005-0000-0000-00004D080000}"/>
    <cellStyle name="s_Matrix_B_Actualisation provision contrat déficitaire SNCM 2010 V Def_B14_E2_2210_Bridge_Zone_Sud" xfId="2073" xr:uid="{00000000-0005-0000-0000-00004E080000}"/>
    <cellStyle name="s_Matrix_B_Actualisation provision contrat déficitaire SNCM 2010 V Def_Bridge_Zone_Sud" xfId="2074" xr:uid="{00000000-0005-0000-0000-00004F080000}"/>
    <cellStyle name="s_Matrix_B_Actualisation provision contrat déficitaire SNCM 2010 V Def_CAPEM BY COUNTRY" xfId="2075" xr:uid="{00000000-0005-0000-0000-000050080000}"/>
    <cellStyle name="s_Matrix_B_Actualisation provision contrat déficitaire SNCM 2010 V Def_focus par entités CAFOPE2AMF" xfId="2076" xr:uid="{00000000-0005-0000-0000-000051080000}"/>
    <cellStyle name="s_Matrix_B_Actualisation provision contrat déficitaire SNCM 2010 V Def_focus par entités CAFOPE2AMF_Bridge_Zone_Sud" xfId="2077" xr:uid="{00000000-0005-0000-0000-000052080000}"/>
    <cellStyle name="s_Matrix_B_Actualisation provision contrat déficitaire SNCM 2010 V Def_Maquette PLT" xfId="2078" xr:uid="{00000000-0005-0000-0000-000053080000}"/>
    <cellStyle name="s_Matrix_B_Actualisation provision contrat déficitaire SNCM 2010 V Def_Output" xfId="3412" xr:uid="{00000000-0005-0000-0000-000054080000}"/>
    <cellStyle name="s_Matrix_B_Actualisation provision contrat déficitaire SNCM 2010 V Def_PAO-CAF-RESOP_04_13_pro_format_variante T1" xfId="2079" xr:uid="{00000000-0005-0000-0000-000055080000}"/>
    <cellStyle name="s_Matrix_B_Actualisation provision contrat déficitaire SNCM 2010 V Def_PAO-CAF-RESOP_04_13_pro_format_variante T1_B14_E2_2210" xfId="2080" xr:uid="{00000000-0005-0000-0000-000056080000}"/>
    <cellStyle name="s_Matrix_B_Actualisation provision contrat déficitaire SNCM 2010 V Def_PAO-CAF-RESOP_04_13_pro_format_variante T1_B14_E2_2210_Bridge_Zone_Sud" xfId="2081" xr:uid="{00000000-0005-0000-0000-000057080000}"/>
    <cellStyle name="s_Matrix_B_Actualisation provision contrat déficitaire SNCM 2010 V Def_PAO-CAF-RESOP_04_13_pro_format_variante T1_Bridge_Zone_Sud" xfId="2082" xr:uid="{00000000-0005-0000-0000-000058080000}"/>
    <cellStyle name="s_Matrix_B_Actualisation provision contrat déficitaire SNCM 2010 V Def_PAO-CAF-RESOP_06_13" xfId="2083" xr:uid="{00000000-0005-0000-0000-000059080000}"/>
    <cellStyle name="s_Matrix_B_Actualisation provision contrat déficitaire SNCM 2010 V Def_PAO-CAF-RESOP_06_13_B14_E2_2210" xfId="2084" xr:uid="{00000000-0005-0000-0000-00005A080000}"/>
    <cellStyle name="s_Matrix_B_Actualisation provision contrat déficitaire SNCM 2010 V Def_PAO-CAF-RESOP_06_13_B14_E2_2210_Bridge_Zone_Sud" xfId="2085" xr:uid="{00000000-0005-0000-0000-00005B080000}"/>
    <cellStyle name="s_Matrix_B_Actualisation provision contrat déficitaire SNCM 2010 V Def_PAO-CAF-RESOP_06_13_Bridge_Zone_Sud" xfId="2086" xr:uid="{00000000-0005-0000-0000-00005C080000}"/>
    <cellStyle name="s_Matrix_B_Actualisation provision contrat déficitaire SNCM 2010 V Def_PAO-CAF-RESOP_08_13" xfId="2087" xr:uid="{00000000-0005-0000-0000-00005D080000}"/>
    <cellStyle name="s_Matrix_B_Actualisation provision contrat déficitaire SNCM 2010 V Def_PAO-CAF-RESOP_08_13_B14_E2_2210" xfId="2088" xr:uid="{00000000-0005-0000-0000-00005E080000}"/>
    <cellStyle name="s_Matrix_B_Actualisation provision contrat déficitaire SNCM 2010 V Def_PAO-CAF-RESOP_08_13_B14_E2_2210_Bridge_Zone_Sud" xfId="2089" xr:uid="{00000000-0005-0000-0000-00005F080000}"/>
    <cellStyle name="s_Matrix_B_Actualisation provision contrat déficitaire SNCM 2010 V Def_PAO-CAF-RESOP_08_13_Bridge_Zone_Sud" xfId="2090" xr:uid="{00000000-0005-0000-0000-000060080000}"/>
    <cellStyle name="s_Matrix_B_Actualisation provision contrat déficitaire SNCM 2010 V Def_PAO-CAF-RESOP_09_13" xfId="2091" xr:uid="{00000000-0005-0000-0000-000061080000}"/>
    <cellStyle name="s_Matrix_B_Actualisation provision contrat déficitaire SNCM 2010 V Def_PAO-CAF-RESOP_09_13_Bridge_Zone_Sud" xfId="2092" xr:uid="{00000000-0005-0000-0000-000062080000}"/>
    <cellStyle name="s_Matrix_B_Actualisation provision contrat déficitaire SNCM 2010 V Def_PAO-CAF-RESOP_09_2013_Zone_IDF (version 2)" xfId="2093" xr:uid="{00000000-0005-0000-0000-000063080000}"/>
    <cellStyle name="s_Matrix_B_Actualisation provision contrat déficitaire SNCM 2010 V Def_PAO-CAF-RESOP_10_12" xfId="2094" xr:uid="{00000000-0005-0000-0000-000064080000}"/>
    <cellStyle name="s_Matrix_B_Actualisation provision contrat déficitaire SNCM 2010 V Def_PAO-CAF-RESOP_10_12_Bridge_Zone_Sud" xfId="2095" xr:uid="{00000000-0005-0000-0000-000065080000}"/>
    <cellStyle name="s_Matrix_B_Actualisation provision contrat déficitaire SNCM 2010 V Def_PAO-CAF-RESOP_10_12_focus par entités CAFOP" xfId="2096" xr:uid="{00000000-0005-0000-0000-000066080000}"/>
    <cellStyle name="s_Matrix_B_Actualisation provision contrat déficitaire SNCM 2010 V Def_PAO-CAF-RESOP_10_12_focus par entités CAFOP_Bridge_Zone_Sud" xfId="2097" xr:uid="{00000000-0005-0000-0000-000067080000}"/>
    <cellStyle name="s_Matrix_B_Actualisation provision contrat déficitaire SNCM 2010 V Def_PAO-CAF-RESOP_11_13" xfId="2098" xr:uid="{00000000-0005-0000-0000-000068080000}"/>
    <cellStyle name="s_Matrix_B_Actualisation provision contrat déficitaire SNCM 2010 V Def_PAO-CAF-RESOP_B13" xfId="2099" xr:uid="{00000000-0005-0000-0000-000069080000}"/>
    <cellStyle name="s_Matrix_B_Actualisation provision contrat déficitaire SNCM 2010 V Def_PAO-CAF-RESOP_B13_Bridge_Zone_Sud" xfId="2100" xr:uid="{00000000-0005-0000-0000-00006A080000}"/>
    <cellStyle name="s_Matrix_B_Actualisation provision contrat déficitaire SNCM 2010 V Def_PAO-CAF-RESOP_B13_focus par entités CAFOP" xfId="2101" xr:uid="{00000000-0005-0000-0000-00006B080000}"/>
    <cellStyle name="s_Matrix_B_Actualisation provision contrat déficitaire SNCM 2010 V Def_PAO-CAF-RESOP_B13_focus par entités CAFOP_Bridge_Zone_Sud" xfId="2102" xr:uid="{00000000-0005-0000-0000-00006C080000}"/>
    <cellStyle name="s_Matrix_B_Actualisation provision contrat déficitaire SNCM 2010 V Def_PAO-CAF-RESOP_B2014" xfId="2103" xr:uid="{00000000-0005-0000-0000-00006D080000}"/>
    <cellStyle name="s_Matrix_B_Actualisation provision contrat déficitaire SNCM 2010 V Def_PAO-CAF-RESOP_B2014_Bridge_Zone_Sud" xfId="2104" xr:uid="{00000000-0005-0000-0000-00006E080000}"/>
    <cellStyle name="s_Matrix_B_Actualisation provision contrat déficitaire SNCM 2010 V Def_PAO-CAF-RESOP_B2014_v2" xfId="2105" xr:uid="{00000000-0005-0000-0000-00006F080000}"/>
    <cellStyle name="s_Matrix_B_Actualisation provision contrat déficitaire SNCM 2010 V Def_PAO-CAF-RESOP_E2_13" xfId="2106" xr:uid="{00000000-0005-0000-0000-000070080000}"/>
    <cellStyle name="s_Matrix_B_Actualisation provision contrat déficitaire SNCM 2010 V Def_PAO-CAF-RESOP_E2_13_B14_E2_2210" xfId="2107" xr:uid="{00000000-0005-0000-0000-000071080000}"/>
    <cellStyle name="s_Matrix_B_Actualisation provision contrat déficitaire SNCM 2010 V Def_PAO-CAF-RESOP_E2_13_B14_E2_2210_Bridge_Zone_Sud" xfId="2108" xr:uid="{00000000-0005-0000-0000-000072080000}"/>
    <cellStyle name="s_Matrix_B_Actualisation provision contrat déficitaire SNCM 2010 V Def_PAO-CAF-RESOP_E2_13_Bridge_Zone_Sud" xfId="2109" xr:uid="{00000000-0005-0000-0000-000073080000}"/>
    <cellStyle name="s_Matrix_B_Actualisation provision contrat déficitaire SNCM 2010 V Def_PAO-CAF-RESOP_E2_2013_03_10_19H" xfId="2110" xr:uid="{00000000-0005-0000-0000-000074080000}"/>
    <cellStyle name="s_Matrix_B_Actualisation provision contrat déficitaire SNCM 2010 V Def_PAO-CAF-RESOP_E2_2013_03_10_19H_Bridge_Zone_Sud" xfId="2111" xr:uid="{00000000-0005-0000-0000-000075080000}"/>
    <cellStyle name="s_Matrix_B_Actualisation provision contrat déficitaire SNCM 2010 V Def_PPA" xfId="2112" xr:uid="{00000000-0005-0000-0000-000076080000}"/>
    <cellStyle name="s_Matrix_B_Actualisation provision contrat déficitaire SNCM 2010 V Def_RESOP bef CICE&amp;PPA&amp;RepartHO" xfId="2113" xr:uid="{00000000-0005-0000-0000-000077080000}"/>
    <cellStyle name="s_Matrix_B_Actualisation provision contrat déficitaire SNCM 2010 V Def_Synthèse_Présentation_conso_retraitée" xfId="2114" xr:uid="{00000000-0005-0000-0000-000078080000}"/>
    <cellStyle name="s_Matrix_B_Actualisation provision contrat déficitaire SNCM 2011 V3 30 05 2011" xfId="2115" xr:uid="{00000000-0005-0000-0000-000079080000}"/>
    <cellStyle name="s_Matrix_B_Actualisation provision contrat déficitaire SNCM 2011 V3 30 05 2011_B14_E2_2210" xfId="2116" xr:uid="{00000000-0005-0000-0000-00007A080000}"/>
    <cellStyle name="s_Matrix_B_Actualisation provision contrat déficitaire SNCM 2011 V3 30 05 2011_B14_E2_2210_Bridge_Zone_Sud" xfId="2117" xr:uid="{00000000-0005-0000-0000-00007B080000}"/>
    <cellStyle name="s_Matrix_B_Actualisation provision contrat déficitaire SNCM 2011 V3 30 05 2011_Bridge_Zone_Sud" xfId="2118" xr:uid="{00000000-0005-0000-0000-00007C080000}"/>
    <cellStyle name="s_Matrix_B_Actualisation provision contrat déficitaire SNCM 2011 V3 30 05 2011_CAPEM BY COUNTRY" xfId="2119" xr:uid="{00000000-0005-0000-0000-00007D080000}"/>
    <cellStyle name="s_Matrix_B_Actualisation provision contrat déficitaire SNCM 2011 V3 30 05 2011_focus par entités CAFOPE2AMF" xfId="2120" xr:uid="{00000000-0005-0000-0000-00007E080000}"/>
    <cellStyle name="s_Matrix_B_Actualisation provision contrat déficitaire SNCM 2011 V3 30 05 2011_focus par entités CAFOPE2AMF_Bridge_Zone_Sud" xfId="2121" xr:uid="{00000000-0005-0000-0000-00007F080000}"/>
    <cellStyle name="s_Matrix_B_Actualisation provision contrat déficitaire SNCM 2011 V3 30 05 2011_Maquette PLT" xfId="2122" xr:uid="{00000000-0005-0000-0000-000080080000}"/>
    <cellStyle name="s_Matrix_B_Actualisation provision contrat déficitaire SNCM 2011 V3 30 05 2011_Output" xfId="3413" xr:uid="{00000000-0005-0000-0000-000081080000}"/>
    <cellStyle name="s_Matrix_B_Actualisation provision contrat déficitaire SNCM 2011 V3 30 05 2011_PAO-CAF-RESOP_04_13_pro_format_variante T1" xfId="2123" xr:uid="{00000000-0005-0000-0000-000082080000}"/>
    <cellStyle name="s_Matrix_B_Actualisation provision contrat déficitaire SNCM 2011 V3 30 05 2011_PAO-CAF-RESOP_04_13_pro_format_variante T1_B14_E2_2210" xfId="2124" xr:uid="{00000000-0005-0000-0000-000083080000}"/>
    <cellStyle name="s_Matrix_B_Actualisation provision contrat déficitaire SNCM 2011 V3 30 05 2011_PAO-CAF-RESOP_04_13_pro_format_variante T1_B14_E2_2210_Bridge_Zone_Sud" xfId="2125" xr:uid="{00000000-0005-0000-0000-000084080000}"/>
    <cellStyle name="s_Matrix_B_Actualisation provision contrat déficitaire SNCM 2011 V3 30 05 2011_PAO-CAF-RESOP_04_13_pro_format_variante T1_Bridge_Zone_Sud" xfId="2126" xr:uid="{00000000-0005-0000-0000-000085080000}"/>
    <cellStyle name="s_Matrix_B_Actualisation provision contrat déficitaire SNCM 2011 V3 30 05 2011_PAO-CAF-RESOP_06_13" xfId="2127" xr:uid="{00000000-0005-0000-0000-000086080000}"/>
    <cellStyle name="s_Matrix_B_Actualisation provision contrat déficitaire SNCM 2011 V3 30 05 2011_PAO-CAF-RESOP_06_13_B14_E2_2210" xfId="2128" xr:uid="{00000000-0005-0000-0000-000087080000}"/>
    <cellStyle name="s_Matrix_B_Actualisation provision contrat déficitaire SNCM 2011 V3 30 05 2011_PAO-CAF-RESOP_06_13_B14_E2_2210_Bridge_Zone_Sud" xfId="2129" xr:uid="{00000000-0005-0000-0000-000088080000}"/>
    <cellStyle name="s_Matrix_B_Actualisation provision contrat déficitaire SNCM 2011 V3 30 05 2011_PAO-CAF-RESOP_06_13_Bridge_Zone_Sud" xfId="2130" xr:uid="{00000000-0005-0000-0000-000089080000}"/>
    <cellStyle name="s_Matrix_B_Actualisation provision contrat déficitaire SNCM 2011 V3 30 05 2011_PAO-CAF-RESOP_08_13" xfId="2131" xr:uid="{00000000-0005-0000-0000-00008A080000}"/>
    <cellStyle name="s_Matrix_B_Actualisation provision contrat déficitaire SNCM 2011 V3 30 05 2011_PAO-CAF-RESOP_08_13_B14_E2_2210" xfId="2132" xr:uid="{00000000-0005-0000-0000-00008B080000}"/>
    <cellStyle name="s_Matrix_B_Actualisation provision contrat déficitaire SNCM 2011 V3 30 05 2011_PAO-CAF-RESOP_08_13_B14_E2_2210_Bridge_Zone_Sud" xfId="2133" xr:uid="{00000000-0005-0000-0000-00008C080000}"/>
    <cellStyle name="s_Matrix_B_Actualisation provision contrat déficitaire SNCM 2011 V3 30 05 2011_PAO-CAF-RESOP_08_13_Bridge_Zone_Sud" xfId="2134" xr:uid="{00000000-0005-0000-0000-00008D080000}"/>
    <cellStyle name="s_Matrix_B_Actualisation provision contrat déficitaire SNCM 2011 V3 30 05 2011_PAO-CAF-RESOP_09_13" xfId="2135" xr:uid="{00000000-0005-0000-0000-00008E080000}"/>
    <cellStyle name="s_Matrix_B_Actualisation provision contrat déficitaire SNCM 2011 V3 30 05 2011_PAO-CAF-RESOP_09_13_Bridge_Zone_Sud" xfId="2136" xr:uid="{00000000-0005-0000-0000-00008F080000}"/>
    <cellStyle name="s_Matrix_B_Actualisation provision contrat déficitaire SNCM 2011 V3 30 05 2011_PAO-CAF-RESOP_09_2013_Zone_IDF (version 2)" xfId="2137" xr:uid="{00000000-0005-0000-0000-000090080000}"/>
    <cellStyle name="s_Matrix_B_Actualisation provision contrat déficitaire SNCM 2011 V3 30 05 2011_PAO-CAF-RESOP_10_12" xfId="2138" xr:uid="{00000000-0005-0000-0000-000091080000}"/>
    <cellStyle name="s_Matrix_B_Actualisation provision contrat déficitaire SNCM 2011 V3 30 05 2011_PAO-CAF-RESOP_10_12_Bridge_Zone_Sud" xfId="2139" xr:uid="{00000000-0005-0000-0000-000092080000}"/>
    <cellStyle name="s_Matrix_B_Actualisation provision contrat déficitaire SNCM 2011 V3 30 05 2011_PAO-CAF-RESOP_10_12_focus par entités CAFOP" xfId="2140" xr:uid="{00000000-0005-0000-0000-000093080000}"/>
    <cellStyle name="s_Matrix_B_Actualisation provision contrat déficitaire SNCM 2011 V3 30 05 2011_PAO-CAF-RESOP_10_12_focus par entités CAFOP_Bridge_Zone_Sud" xfId="2141" xr:uid="{00000000-0005-0000-0000-000094080000}"/>
    <cellStyle name="s_Matrix_B_Actualisation provision contrat déficitaire SNCM 2011 V3 30 05 2011_PAO-CAF-RESOP_11_13" xfId="2142" xr:uid="{00000000-0005-0000-0000-000095080000}"/>
    <cellStyle name="s_Matrix_B_Actualisation provision contrat déficitaire SNCM 2011 V3 30 05 2011_PAO-CAF-RESOP_B13" xfId="2143" xr:uid="{00000000-0005-0000-0000-000096080000}"/>
    <cellStyle name="s_Matrix_B_Actualisation provision contrat déficitaire SNCM 2011 V3 30 05 2011_PAO-CAF-RESOP_B13_Bridge_Zone_Sud" xfId="2144" xr:uid="{00000000-0005-0000-0000-000097080000}"/>
    <cellStyle name="s_Matrix_B_Actualisation provision contrat déficitaire SNCM 2011 V3 30 05 2011_PAO-CAF-RESOP_B13_focus par entités CAFOP" xfId="2145" xr:uid="{00000000-0005-0000-0000-000098080000}"/>
    <cellStyle name="s_Matrix_B_Actualisation provision contrat déficitaire SNCM 2011 V3 30 05 2011_PAO-CAF-RESOP_B13_focus par entités CAFOP_Bridge_Zone_Sud" xfId="2146" xr:uid="{00000000-0005-0000-0000-000099080000}"/>
    <cellStyle name="s_Matrix_B_Actualisation provision contrat déficitaire SNCM 2011 V3 30 05 2011_PAO-CAF-RESOP_B2014" xfId="2147" xr:uid="{00000000-0005-0000-0000-00009A080000}"/>
    <cellStyle name="s_Matrix_B_Actualisation provision contrat déficitaire SNCM 2011 V3 30 05 2011_PAO-CAF-RESOP_B2014_Bridge_Zone_Sud" xfId="2148" xr:uid="{00000000-0005-0000-0000-00009B080000}"/>
    <cellStyle name="s_Matrix_B_Actualisation provision contrat déficitaire SNCM 2011 V3 30 05 2011_PAO-CAF-RESOP_B2014_v2" xfId="2149" xr:uid="{00000000-0005-0000-0000-00009C080000}"/>
    <cellStyle name="s_Matrix_B_Actualisation provision contrat déficitaire SNCM 2011 V3 30 05 2011_PAO-CAF-RESOP_E2_13" xfId="2150" xr:uid="{00000000-0005-0000-0000-00009D080000}"/>
    <cellStyle name="s_Matrix_B_Actualisation provision contrat déficitaire SNCM 2011 V3 30 05 2011_PAO-CAF-RESOP_E2_13_B14_E2_2210" xfId="2151" xr:uid="{00000000-0005-0000-0000-00009E080000}"/>
    <cellStyle name="s_Matrix_B_Actualisation provision contrat déficitaire SNCM 2011 V3 30 05 2011_PAO-CAF-RESOP_E2_13_B14_E2_2210_Bridge_Zone_Sud" xfId="2152" xr:uid="{00000000-0005-0000-0000-00009F080000}"/>
    <cellStyle name="s_Matrix_B_Actualisation provision contrat déficitaire SNCM 2011 V3 30 05 2011_PAO-CAF-RESOP_E2_13_Bridge_Zone_Sud" xfId="2153" xr:uid="{00000000-0005-0000-0000-0000A0080000}"/>
    <cellStyle name="s_Matrix_B_Actualisation provision contrat déficitaire SNCM 2011 V3 30 05 2011_PAO-CAF-RESOP_E2_2013_03_10_19H" xfId="2154" xr:uid="{00000000-0005-0000-0000-0000A1080000}"/>
    <cellStyle name="s_Matrix_B_Actualisation provision contrat déficitaire SNCM 2011 V3 30 05 2011_PAO-CAF-RESOP_E2_2013_03_10_19H_Bridge_Zone_Sud" xfId="2155" xr:uid="{00000000-0005-0000-0000-0000A2080000}"/>
    <cellStyle name="s_Matrix_B_Actualisation provision contrat déficitaire SNCM 2011 V3 30 05 2011_PPA" xfId="2156" xr:uid="{00000000-0005-0000-0000-0000A3080000}"/>
    <cellStyle name="s_Matrix_B_Actualisation provision contrat déficitaire SNCM 2011 V3 30 05 2011_RESOP bef CICE&amp;PPA&amp;RepartHO" xfId="2157" xr:uid="{00000000-0005-0000-0000-0000A4080000}"/>
    <cellStyle name="s_Matrix_B_Actualisation provision contrat déficitaire SNCM 2011 V3 30 05 2011_Synthèse_Présentation_conso_retraitée" xfId="2158" xr:uid="{00000000-0005-0000-0000-0000A5080000}"/>
    <cellStyle name="s_Matrix_B_B14_E2_2210" xfId="2159" xr:uid="{00000000-0005-0000-0000-0000A6080000}"/>
    <cellStyle name="s_Matrix_B_B14_E2_2210_Bridge_Zone_Sud" xfId="2160" xr:uid="{00000000-0005-0000-0000-0000A7080000}"/>
    <cellStyle name="s_Matrix_B_BFR_TD_2014.02" xfId="2161" xr:uid="{00000000-0005-0000-0000-0000A8080000}"/>
    <cellStyle name="s_Matrix_B_Bridge_Zone_Nord" xfId="2162" xr:uid="{00000000-0005-0000-0000-0000A9080000}"/>
    <cellStyle name="s_Matrix_B_CAPEM BY COUNTRY" xfId="2163" xr:uid="{00000000-0005-0000-0000-0000AA080000}"/>
    <cellStyle name="s_Matrix_B_LI819L_B13" xfId="2164" xr:uid="{00000000-0005-0000-0000-0000AB080000}"/>
    <cellStyle name="s_Matrix_B_LI819L_B13_CAPEM BY COUNTRY" xfId="2165" xr:uid="{00000000-0005-0000-0000-0000AC080000}"/>
    <cellStyle name="s_Matrix_B_LI819L_B13_Maquette PLT" xfId="2166" xr:uid="{00000000-0005-0000-0000-0000AD080000}"/>
    <cellStyle name="s_Matrix_B_LI819L_B13_Output" xfId="3414" xr:uid="{00000000-0005-0000-0000-0000AE080000}"/>
    <cellStyle name="s_Matrix_B_LI819L_B13_PPA" xfId="2167" xr:uid="{00000000-0005-0000-0000-0000AF080000}"/>
    <cellStyle name="s_Matrix_B_LI819L_B13_RESOP bef CICE&amp;PPA&amp;RepartHO" xfId="2168" xr:uid="{00000000-0005-0000-0000-0000B0080000}"/>
    <cellStyle name="s_Matrix_B_Maquette PLT" xfId="2169" xr:uid="{00000000-0005-0000-0000-0000B1080000}"/>
    <cellStyle name="s_Matrix_B_Output" xfId="3411" xr:uid="{00000000-0005-0000-0000-0000B2080000}"/>
    <cellStyle name="s_Matrix_B_PAO-CAF-RESOP_14_01_13 à 20h" xfId="2170" xr:uid="{00000000-0005-0000-0000-0000B3080000}"/>
    <cellStyle name="s_Matrix_B_PAO-CAF-RESOP_14_01_13 à 20h_CAPEM BY COUNTRY" xfId="2171" xr:uid="{00000000-0005-0000-0000-0000B4080000}"/>
    <cellStyle name="s_Matrix_B_PAO-CAF-RESOP_14_01_13 à 20h_Maquette PLT" xfId="2172" xr:uid="{00000000-0005-0000-0000-0000B5080000}"/>
    <cellStyle name="s_Matrix_B_PAO-CAF-RESOP_14_01_13 à 20h_Output" xfId="3415" xr:uid="{00000000-0005-0000-0000-0000B6080000}"/>
    <cellStyle name="s_Matrix_B_PAO-CAF-RESOP_14_01_13 à 20h_PPA" xfId="2173" xr:uid="{00000000-0005-0000-0000-0000B7080000}"/>
    <cellStyle name="s_Matrix_B_PAO-CAF-RESOP_14_01_13 à 20h_RESOP bef CICE&amp;PPA&amp;RepartHO" xfId="2174" xr:uid="{00000000-0005-0000-0000-0000B8080000}"/>
    <cellStyle name="s_Matrix_B_PAO-CAF-RESOP_2014.02" xfId="2175" xr:uid="{00000000-0005-0000-0000-0000B9080000}"/>
    <cellStyle name="s_Matrix_B_PAO-CAF-RESOP_2014.02_Bridge_Zone_Sud" xfId="2176" xr:uid="{00000000-0005-0000-0000-0000BA080000}"/>
    <cellStyle name="s_Matrix_B_PPA" xfId="2177" xr:uid="{00000000-0005-0000-0000-0000BB080000}"/>
    <cellStyle name="s_Matrix_B_RESOP bef CICE&amp;PPA&amp;RepartHO" xfId="2178" xr:uid="{00000000-0005-0000-0000-0000BC080000}"/>
    <cellStyle name="s_Matrix_T" xfId="2179" xr:uid="{00000000-0005-0000-0000-0000BD080000}"/>
    <cellStyle name="s_Matrix_T_Actualisation provision contrat déficitaire SNCM 2010 V Def" xfId="2180" xr:uid="{00000000-0005-0000-0000-0000BE080000}"/>
    <cellStyle name="s_Matrix_T_Actualisation provision contrat déficitaire SNCM 2010 V Def_B14_E2_2210" xfId="2181" xr:uid="{00000000-0005-0000-0000-0000BF080000}"/>
    <cellStyle name="s_Matrix_T_Actualisation provision contrat déficitaire SNCM 2010 V Def_B14_E2_2210_Bridge_Zone_Sud" xfId="2182" xr:uid="{00000000-0005-0000-0000-0000C0080000}"/>
    <cellStyle name="s_Matrix_T_Actualisation provision contrat déficitaire SNCM 2010 V Def_Bridge_Zone_Sud" xfId="2183" xr:uid="{00000000-0005-0000-0000-0000C1080000}"/>
    <cellStyle name="s_Matrix_T_Actualisation provision contrat déficitaire SNCM 2010 V Def_CAPEM BY COUNTRY" xfId="2184" xr:uid="{00000000-0005-0000-0000-0000C2080000}"/>
    <cellStyle name="s_Matrix_T_Actualisation provision contrat déficitaire SNCM 2010 V Def_focus par entités CAFOPE2AMF" xfId="2185" xr:uid="{00000000-0005-0000-0000-0000C3080000}"/>
    <cellStyle name="s_Matrix_T_Actualisation provision contrat déficitaire SNCM 2010 V Def_focus par entités CAFOPE2AMF_Bridge_Zone_Sud" xfId="2186" xr:uid="{00000000-0005-0000-0000-0000C4080000}"/>
    <cellStyle name="s_Matrix_T_Actualisation provision contrat déficitaire SNCM 2010 V Def_Maquette PLT" xfId="2187" xr:uid="{00000000-0005-0000-0000-0000C5080000}"/>
    <cellStyle name="s_Matrix_T_Actualisation provision contrat déficitaire SNCM 2010 V Def_Output" xfId="3417" xr:uid="{00000000-0005-0000-0000-0000C6080000}"/>
    <cellStyle name="s_Matrix_T_Actualisation provision contrat déficitaire SNCM 2010 V Def_PAO-CAF-RESOP_04_13_pro_format_variante T1" xfId="2188" xr:uid="{00000000-0005-0000-0000-0000C7080000}"/>
    <cellStyle name="s_Matrix_T_Actualisation provision contrat déficitaire SNCM 2010 V Def_PAO-CAF-RESOP_04_13_pro_format_variante T1_B14_E2_2210" xfId="2189" xr:uid="{00000000-0005-0000-0000-0000C8080000}"/>
    <cellStyle name="s_Matrix_T_Actualisation provision contrat déficitaire SNCM 2010 V Def_PAO-CAF-RESOP_04_13_pro_format_variante T1_B14_E2_2210_Bridge_Zone_Sud" xfId="2190" xr:uid="{00000000-0005-0000-0000-0000C9080000}"/>
    <cellStyle name="s_Matrix_T_Actualisation provision contrat déficitaire SNCM 2010 V Def_PAO-CAF-RESOP_04_13_pro_format_variante T1_Bridge_Zone_Sud" xfId="2191" xr:uid="{00000000-0005-0000-0000-0000CA080000}"/>
    <cellStyle name="s_Matrix_T_Actualisation provision contrat déficitaire SNCM 2010 V Def_PAO-CAF-RESOP_06_13" xfId="2192" xr:uid="{00000000-0005-0000-0000-0000CB080000}"/>
    <cellStyle name="s_Matrix_T_Actualisation provision contrat déficitaire SNCM 2010 V Def_PAO-CAF-RESOP_06_13_B14_E2_2210" xfId="2193" xr:uid="{00000000-0005-0000-0000-0000CC080000}"/>
    <cellStyle name="s_Matrix_T_Actualisation provision contrat déficitaire SNCM 2010 V Def_PAO-CAF-RESOP_06_13_B14_E2_2210_Bridge_Zone_Sud" xfId="2194" xr:uid="{00000000-0005-0000-0000-0000CD080000}"/>
    <cellStyle name="s_Matrix_T_Actualisation provision contrat déficitaire SNCM 2010 V Def_PAO-CAF-RESOP_06_13_Bridge_Zone_Sud" xfId="2195" xr:uid="{00000000-0005-0000-0000-0000CE080000}"/>
    <cellStyle name="s_Matrix_T_Actualisation provision contrat déficitaire SNCM 2010 V Def_PAO-CAF-RESOP_08_13" xfId="2196" xr:uid="{00000000-0005-0000-0000-0000CF080000}"/>
    <cellStyle name="s_Matrix_T_Actualisation provision contrat déficitaire SNCM 2010 V Def_PAO-CAF-RESOP_08_13_B14_E2_2210" xfId="2197" xr:uid="{00000000-0005-0000-0000-0000D0080000}"/>
    <cellStyle name="s_Matrix_T_Actualisation provision contrat déficitaire SNCM 2010 V Def_PAO-CAF-RESOP_08_13_B14_E2_2210_Bridge_Zone_Sud" xfId="2198" xr:uid="{00000000-0005-0000-0000-0000D1080000}"/>
    <cellStyle name="s_Matrix_T_Actualisation provision contrat déficitaire SNCM 2010 V Def_PAO-CAF-RESOP_08_13_Bridge_Zone_Sud" xfId="2199" xr:uid="{00000000-0005-0000-0000-0000D2080000}"/>
    <cellStyle name="s_Matrix_T_Actualisation provision contrat déficitaire SNCM 2010 V Def_PAO-CAF-RESOP_09_13" xfId="2200" xr:uid="{00000000-0005-0000-0000-0000D3080000}"/>
    <cellStyle name="s_Matrix_T_Actualisation provision contrat déficitaire SNCM 2010 V Def_PAO-CAF-RESOP_09_13_Bridge_Zone_Sud" xfId="2201" xr:uid="{00000000-0005-0000-0000-0000D4080000}"/>
    <cellStyle name="s_Matrix_T_Actualisation provision contrat déficitaire SNCM 2010 V Def_PAO-CAF-RESOP_09_2013_Zone_IDF (version 2)" xfId="2202" xr:uid="{00000000-0005-0000-0000-0000D5080000}"/>
    <cellStyle name="s_Matrix_T_Actualisation provision contrat déficitaire SNCM 2010 V Def_PAO-CAF-RESOP_10_12" xfId="2203" xr:uid="{00000000-0005-0000-0000-0000D6080000}"/>
    <cellStyle name="s_Matrix_T_Actualisation provision contrat déficitaire SNCM 2010 V Def_PAO-CAF-RESOP_10_12_Bridge_Zone_Sud" xfId="2204" xr:uid="{00000000-0005-0000-0000-0000D7080000}"/>
    <cellStyle name="s_Matrix_T_Actualisation provision contrat déficitaire SNCM 2010 V Def_PAO-CAF-RESOP_10_12_focus par entités CAFOP" xfId="2205" xr:uid="{00000000-0005-0000-0000-0000D8080000}"/>
    <cellStyle name="s_Matrix_T_Actualisation provision contrat déficitaire SNCM 2010 V Def_PAO-CAF-RESOP_10_12_focus par entités CAFOP_Bridge_Zone_Sud" xfId="2206" xr:uid="{00000000-0005-0000-0000-0000D9080000}"/>
    <cellStyle name="s_Matrix_T_Actualisation provision contrat déficitaire SNCM 2010 V Def_PAO-CAF-RESOP_11_13" xfId="2207" xr:uid="{00000000-0005-0000-0000-0000DA080000}"/>
    <cellStyle name="s_Matrix_T_Actualisation provision contrat déficitaire SNCM 2010 V Def_PAO-CAF-RESOP_B13" xfId="2208" xr:uid="{00000000-0005-0000-0000-0000DB080000}"/>
    <cellStyle name="s_Matrix_T_Actualisation provision contrat déficitaire SNCM 2010 V Def_PAO-CAF-RESOP_B13_Bridge_Zone_Sud" xfId="2209" xr:uid="{00000000-0005-0000-0000-0000DC080000}"/>
    <cellStyle name="s_Matrix_T_Actualisation provision contrat déficitaire SNCM 2010 V Def_PAO-CAF-RESOP_B13_focus par entités CAFOP" xfId="2210" xr:uid="{00000000-0005-0000-0000-0000DD080000}"/>
    <cellStyle name="s_Matrix_T_Actualisation provision contrat déficitaire SNCM 2010 V Def_PAO-CAF-RESOP_B13_focus par entités CAFOP_Bridge_Zone_Sud" xfId="2211" xr:uid="{00000000-0005-0000-0000-0000DE080000}"/>
    <cellStyle name="s_Matrix_T_Actualisation provision contrat déficitaire SNCM 2010 V Def_PAO-CAF-RESOP_B2014" xfId="2212" xr:uid="{00000000-0005-0000-0000-0000DF080000}"/>
    <cellStyle name="s_Matrix_T_Actualisation provision contrat déficitaire SNCM 2010 V Def_PAO-CAF-RESOP_B2014_Bridge_Zone_Sud" xfId="2213" xr:uid="{00000000-0005-0000-0000-0000E0080000}"/>
    <cellStyle name="s_Matrix_T_Actualisation provision contrat déficitaire SNCM 2010 V Def_PAO-CAF-RESOP_B2014_v2" xfId="2214" xr:uid="{00000000-0005-0000-0000-0000E1080000}"/>
    <cellStyle name="s_Matrix_T_Actualisation provision contrat déficitaire SNCM 2010 V Def_PAO-CAF-RESOP_E2_13" xfId="2215" xr:uid="{00000000-0005-0000-0000-0000E2080000}"/>
    <cellStyle name="s_Matrix_T_Actualisation provision contrat déficitaire SNCM 2010 V Def_PAO-CAF-RESOP_E2_13_B14_E2_2210" xfId="2216" xr:uid="{00000000-0005-0000-0000-0000E3080000}"/>
    <cellStyle name="s_Matrix_T_Actualisation provision contrat déficitaire SNCM 2010 V Def_PAO-CAF-RESOP_E2_13_B14_E2_2210_Bridge_Zone_Sud" xfId="2217" xr:uid="{00000000-0005-0000-0000-0000E4080000}"/>
    <cellStyle name="s_Matrix_T_Actualisation provision contrat déficitaire SNCM 2010 V Def_PAO-CAF-RESOP_E2_13_Bridge_Zone_Sud" xfId="2218" xr:uid="{00000000-0005-0000-0000-0000E5080000}"/>
    <cellStyle name="s_Matrix_T_Actualisation provision contrat déficitaire SNCM 2010 V Def_PAO-CAF-RESOP_E2_2013_03_10_19H" xfId="2219" xr:uid="{00000000-0005-0000-0000-0000E6080000}"/>
    <cellStyle name="s_Matrix_T_Actualisation provision contrat déficitaire SNCM 2010 V Def_PAO-CAF-RESOP_E2_2013_03_10_19H_Bridge_Zone_Sud" xfId="2220" xr:uid="{00000000-0005-0000-0000-0000E7080000}"/>
    <cellStyle name="s_Matrix_T_Actualisation provision contrat déficitaire SNCM 2010 V Def_PPA" xfId="2221" xr:uid="{00000000-0005-0000-0000-0000E8080000}"/>
    <cellStyle name="s_Matrix_T_Actualisation provision contrat déficitaire SNCM 2010 V Def_RESOP bef CICE&amp;PPA&amp;RepartHO" xfId="2222" xr:uid="{00000000-0005-0000-0000-0000E9080000}"/>
    <cellStyle name="s_Matrix_T_Actualisation provision contrat déficitaire SNCM 2010 V Def_Synthèse_Présentation_conso_retraitée" xfId="2223" xr:uid="{00000000-0005-0000-0000-0000EA080000}"/>
    <cellStyle name="s_Matrix_T_Actualisation provision contrat déficitaire SNCM 2011 V3 30 05 2011" xfId="2224" xr:uid="{00000000-0005-0000-0000-0000EB080000}"/>
    <cellStyle name="s_Matrix_T_Actualisation provision contrat déficitaire SNCM 2011 V3 30 05 2011_B14_E2_2210" xfId="2225" xr:uid="{00000000-0005-0000-0000-0000EC080000}"/>
    <cellStyle name="s_Matrix_T_Actualisation provision contrat déficitaire SNCM 2011 V3 30 05 2011_B14_E2_2210_Bridge_Zone_Sud" xfId="2226" xr:uid="{00000000-0005-0000-0000-0000ED080000}"/>
    <cellStyle name="s_Matrix_T_Actualisation provision contrat déficitaire SNCM 2011 V3 30 05 2011_Bridge_Zone_Sud" xfId="2227" xr:uid="{00000000-0005-0000-0000-0000EE080000}"/>
    <cellStyle name="s_Matrix_T_Actualisation provision contrat déficitaire SNCM 2011 V3 30 05 2011_CAPEM BY COUNTRY" xfId="2228" xr:uid="{00000000-0005-0000-0000-0000EF080000}"/>
    <cellStyle name="s_Matrix_T_Actualisation provision contrat déficitaire SNCM 2011 V3 30 05 2011_focus par entités CAFOPE2AMF" xfId="2229" xr:uid="{00000000-0005-0000-0000-0000F0080000}"/>
    <cellStyle name="s_Matrix_T_Actualisation provision contrat déficitaire SNCM 2011 V3 30 05 2011_focus par entités CAFOPE2AMF_Bridge_Zone_Sud" xfId="2230" xr:uid="{00000000-0005-0000-0000-0000F1080000}"/>
    <cellStyle name="s_Matrix_T_Actualisation provision contrat déficitaire SNCM 2011 V3 30 05 2011_Maquette PLT" xfId="2231" xr:uid="{00000000-0005-0000-0000-0000F2080000}"/>
    <cellStyle name="s_Matrix_T_Actualisation provision contrat déficitaire SNCM 2011 V3 30 05 2011_Output" xfId="3418" xr:uid="{00000000-0005-0000-0000-0000F3080000}"/>
    <cellStyle name="s_Matrix_T_Actualisation provision contrat déficitaire SNCM 2011 V3 30 05 2011_PAO-CAF-RESOP_04_13_pro_format_variante T1" xfId="2232" xr:uid="{00000000-0005-0000-0000-0000F4080000}"/>
    <cellStyle name="s_Matrix_T_Actualisation provision contrat déficitaire SNCM 2011 V3 30 05 2011_PAO-CAF-RESOP_04_13_pro_format_variante T1_B14_E2_2210" xfId="2233" xr:uid="{00000000-0005-0000-0000-0000F5080000}"/>
    <cellStyle name="s_Matrix_T_Actualisation provision contrat déficitaire SNCM 2011 V3 30 05 2011_PAO-CAF-RESOP_04_13_pro_format_variante T1_B14_E2_2210_Bridge_Zone_Sud" xfId="2234" xr:uid="{00000000-0005-0000-0000-0000F6080000}"/>
    <cellStyle name="s_Matrix_T_Actualisation provision contrat déficitaire SNCM 2011 V3 30 05 2011_PAO-CAF-RESOP_04_13_pro_format_variante T1_Bridge_Zone_Sud" xfId="2235" xr:uid="{00000000-0005-0000-0000-0000F7080000}"/>
    <cellStyle name="s_Matrix_T_Actualisation provision contrat déficitaire SNCM 2011 V3 30 05 2011_PAO-CAF-RESOP_06_13" xfId="2236" xr:uid="{00000000-0005-0000-0000-0000F8080000}"/>
    <cellStyle name="s_Matrix_T_Actualisation provision contrat déficitaire SNCM 2011 V3 30 05 2011_PAO-CAF-RESOP_06_13_B14_E2_2210" xfId="2237" xr:uid="{00000000-0005-0000-0000-0000F9080000}"/>
    <cellStyle name="s_Matrix_T_Actualisation provision contrat déficitaire SNCM 2011 V3 30 05 2011_PAO-CAF-RESOP_06_13_B14_E2_2210_Bridge_Zone_Sud" xfId="2238" xr:uid="{00000000-0005-0000-0000-0000FA080000}"/>
    <cellStyle name="s_Matrix_T_Actualisation provision contrat déficitaire SNCM 2011 V3 30 05 2011_PAO-CAF-RESOP_06_13_Bridge_Zone_Sud" xfId="2239" xr:uid="{00000000-0005-0000-0000-0000FB080000}"/>
    <cellStyle name="s_Matrix_T_Actualisation provision contrat déficitaire SNCM 2011 V3 30 05 2011_PAO-CAF-RESOP_08_13" xfId="2240" xr:uid="{00000000-0005-0000-0000-0000FC080000}"/>
    <cellStyle name="s_Matrix_T_Actualisation provision contrat déficitaire SNCM 2011 V3 30 05 2011_PAO-CAF-RESOP_08_13_B14_E2_2210" xfId="2241" xr:uid="{00000000-0005-0000-0000-0000FD080000}"/>
    <cellStyle name="s_Matrix_T_Actualisation provision contrat déficitaire SNCM 2011 V3 30 05 2011_PAO-CAF-RESOP_08_13_B14_E2_2210_Bridge_Zone_Sud" xfId="2242" xr:uid="{00000000-0005-0000-0000-0000FE080000}"/>
    <cellStyle name="s_Matrix_T_Actualisation provision contrat déficitaire SNCM 2011 V3 30 05 2011_PAO-CAF-RESOP_08_13_Bridge_Zone_Sud" xfId="2243" xr:uid="{00000000-0005-0000-0000-0000FF080000}"/>
    <cellStyle name="s_Matrix_T_Actualisation provision contrat déficitaire SNCM 2011 V3 30 05 2011_PAO-CAF-RESOP_09_13" xfId="2244" xr:uid="{00000000-0005-0000-0000-000000090000}"/>
    <cellStyle name="s_Matrix_T_Actualisation provision contrat déficitaire SNCM 2011 V3 30 05 2011_PAO-CAF-RESOP_09_13_Bridge_Zone_Sud" xfId="2245" xr:uid="{00000000-0005-0000-0000-000001090000}"/>
    <cellStyle name="s_Matrix_T_Actualisation provision contrat déficitaire SNCM 2011 V3 30 05 2011_PAO-CAF-RESOP_09_2013_Zone_IDF (version 2)" xfId="2246" xr:uid="{00000000-0005-0000-0000-000002090000}"/>
    <cellStyle name="s_Matrix_T_Actualisation provision contrat déficitaire SNCM 2011 V3 30 05 2011_PAO-CAF-RESOP_10_12" xfId="2247" xr:uid="{00000000-0005-0000-0000-000003090000}"/>
    <cellStyle name="s_Matrix_T_Actualisation provision contrat déficitaire SNCM 2011 V3 30 05 2011_PAO-CAF-RESOP_10_12_Bridge_Zone_Sud" xfId="2248" xr:uid="{00000000-0005-0000-0000-000004090000}"/>
    <cellStyle name="s_Matrix_T_Actualisation provision contrat déficitaire SNCM 2011 V3 30 05 2011_PAO-CAF-RESOP_10_12_focus par entités CAFOP" xfId="2249" xr:uid="{00000000-0005-0000-0000-000005090000}"/>
    <cellStyle name="s_Matrix_T_Actualisation provision contrat déficitaire SNCM 2011 V3 30 05 2011_PAO-CAF-RESOP_10_12_focus par entités CAFOP_Bridge_Zone_Sud" xfId="2250" xr:uid="{00000000-0005-0000-0000-000006090000}"/>
    <cellStyle name="s_Matrix_T_Actualisation provision contrat déficitaire SNCM 2011 V3 30 05 2011_PAO-CAF-RESOP_11_13" xfId="2251" xr:uid="{00000000-0005-0000-0000-000007090000}"/>
    <cellStyle name="s_Matrix_T_Actualisation provision contrat déficitaire SNCM 2011 V3 30 05 2011_PAO-CAF-RESOP_B13" xfId="2252" xr:uid="{00000000-0005-0000-0000-000008090000}"/>
    <cellStyle name="s_Matrix_T_Actualisation provision contrat déficitaire SNCM 2011 V3 30 05 2011_PAO-CAF-RESOP_B13_Bridge_Zone_Sud" xfId="2253" xr:uid="{00000000-0005-0000-0000-000009090000}"/>
    <cellStyle name="s_Matrix_T_Actualisation provision contrat déficitaire SNCM 2011 V3 30 05 2011_PAO-CAF-RESOP_B13_focus par entités CAFOP" xfId="2254" xr:uid="{00000000-0005-0000-0000-00000A090000}"/>
    <cellStyle name="s_Matrix_T_Actualisation provision contrat déficitaire SNCM 2011 V3 30 05 2011_PAO-CAF-RESOP_B13_focus par entités CAFOP_Bridge_Zone_Sud" xfId="2255" xr:uid="{00000000-0005-0000-0000-00000B090000}"/>
    <cellStyle name="s_Matrix_T_Actualisation provision contrat déficitaire SNCM 2011 V3 30 05 2011_PAO-CAF-RESOP_B2014" xfId="2256" xr:uid="{00000000-0005-0000-0000-00000C090000}"/>
    <cellStyle name="s_Matrix_T_Actualisation provision contrat déficitaire SNCM 2011 V3 30 05 2011_PAO-CAF-RESOP_B2014_Bridge_Zone_Sud" xfId="2257" xr:uid="{00000000-0005-0000-0000-00000D090000}"/>
    <cellStyle name="s_Matrix_T_Actualisation provision contrat déficitaire SNCM 2011 V3 30 05 2011_PAO-CAF-RESOP_B2014_v2" xfId="2258" xr:uid="{00000000-0005-0000-0000-00000E090000}"/>
    <cellStyle name="s_Matrix_T_Actualisation provision contrat déficitaire SNCM 2011 V3 30 05 2011_PAO-CAF-RESOP_E2_13" xfId="2259" xr:uid="{00000000-0005-0000-0000-00000F090000}"/>
    <cellStyle name="s_Matrix_T_Actualisation provision contrat déficitaire SNCM 2011 V3 30 05 2011_PAO-CAF-RESOP_E2_13_B14_E2_2210" xfId="2260" xr:uid="{00000000-0005-0000-0000-000010090000}"/>
    <cellStyle name="s_Matrix_T_Actualisation provision contrat déficitaire SNCM 2011 V3 30 05 2011_PAO-CAF-RESOP_E2_13_B14_E2_2210_Bridge_Zone_Sud" xfId="2261" xr:uid="{00000000-0005-0000-0000-000011090000}"/>
    <cellStyle name="s_Matrix_T_Actualisation provision contrat déficitaire SNCM 2011 V3 30 05 2011_PAO-CAF-RESOP_E2_13_Bridge_Zone_Sud" xfId="2262" xr:uid="{00000000-0005-0000-0000-000012090000}"/>
    <cellStyle name="s_Matrix_T_Actualisation provision contrat déficitaire SNCM 2011 V3 30 05 2011_PAO-CAF-RESOP_E2_2013_03_10_19H" xfId="2263" xr:uid="{00000000-0005-0000-0000-000013090000}"/>
    <cellStyle name="s_Matrix_T_Actualisation provision contrat déficitaire SNCM 2011 V3 30 05 2011_PAO-CAF-RESOP_E2_2013_03_10_19H_Bridge_Zone_Sud" xfId="2264" xr:uid="{00000000-0005-0000-0000-000014090000}"/>
    <cellStyle name="s_Matrix_T_Actualisation provision contrat déficitaire SNCM 2011 V3 30 05 2011_PPA" xfId="2265" xr:uid="{00000000-0005-0000-0000-000015090000}"/>
    <cellStyle name="s_Matrix_T_Actualisation provision contrat déficitaire SNCM 2011 V3 30 05 2011_RESOP bef CICE&amp;PPA&amp;RepartHO" xfId="2266" xr:uid="{00000000-0005-0000-0000-000016090000}"/>
    <cellStyle name="s_Matrix_T_Actualisation provision contrat déficitaire SNCM 2011 V3 30 05 2011_Synthèse_Présentation_conso_retraitée" xfId="2267" xr:uid="{00000000-0005-0000-0000-000017090000}"/>
    <cellStyle name="s_Matrix_T_B14_E2_2210" xfId="2268" xr:uid="{00000000-0005-0000-0000-000018090000}"/>
    <cellStyle name="s_Matrix_T_B14_E2_2210_Bridge_Zone_Sud" xfId="2269" xr:uid="{00000000-0005-0000-0000-000019090000}"/>
    <cellStyle name="s_Matrix_T_BFR_TD_2014.02" xfId="2270" xr:uid="{00000000-0005-0000-0000-00001A090000}"/>
    <cellStyle name="s_Matrix_T_Bridge_Zone_Nord" xfId="2271" xr:uid="{00000000-0005-0000-0000-00001B090000}"/>
    <cellStyle name="s_Matrix_T_CAPEM BY COUNTRY" xfId="2272" xr:uid="{00000000-0005-0000-0000-00001C090000}"/>
    <cellStyle name="s_Matrix_T_LI819L_B13" xfId="2273" xr:uid="{00000000-0005-0000-0000-00001D090000}"/>
    <cellStyle name="s_Matrix_T_LI819L_B13_CAPEM BY COUNTRY" xfId="2274" xr:uid="{00000000-0005-0000-0000-00001E090000}"/>
    <cellStyle name="s_Matrix_T_LI819L_B13_Maquette PLT" xfId="2275" xr:uid="{00000000-0005-0000-0000-00001F090000}"/>
    <cellStyle name="s_Matrix_T_LI819L_B13_Output" xfId="3419" xr:uid="{00000000-0005-0000-0000-000020090000}"/>
    <cellStyle name="s_Matrix_T_LI819L_B13_PPA" xfId="2276" xr:uid="{00000000-0005-0000-0000-000021090000}"/>
    <cellStyle name="s_Matrix_T_LI819L_B13_RESOP bef CICE&amp;PPA&amp;RepartHO" xfId="2277" xr:uid="{00000000-0005-0000-0000-000022090000}"/>
    <cellStyle name="s_Matrix_T_Maquette PLT" xfId="2278" xr:uid="{00000000-0005-0000-0000-000023090000}"/>
    <cellStyle name="s_Matrix_T_Output" xfId="3416" xr:uid="{00000000-0005-0000-0000-000024090000}"/>
    <cellStyle name="s_Matrix_T_PAO-CAF-RESOP_14_01_13 à 20h" xfId="2279" xr:uid="{00000000-0005-0000-0000-000025090000}"/>
    <cellStyle name="s_Matrix_T_PAO-CAF-RESOP_14_01_13 à 20h_CAPEM BY COUNTRY" xfId="2280" xr:uid="{00000000-0005-0000-0000-000026090000}"/>
    <cellStyle name="s_Matrix_T_PAO-CAF-RESOP_14_01_13 à 20h_Maquette PLT" xfId="2281" xr:uid="{00000000-0005-0000-0000-000027090000}"/>
    <cellStyle name="s_Matrix_T_PAO-CAF-RESOP_14_01_13 à 20h_Output" xfId="3420" xr:uid="{00000000-0005-0000-0000-000028090000}"/>
    <cellStyle name="s_Matrix_T_PAO-CAF-RESOP_14_01_13 à 20h_PPA" xfId="2282" xr:uid="{00000000-0005-0000-0000-000029090000}"/>
    <cellStyle name="s_Matrix_T_PAO-CAF-RESOP_14_01_13 à 20h_RESOP bef CICE&amp;PPA&amp;RepartHO" xfId="2283" xr:uid="{00000000-0005-0000-0000-00002A090000}"/>
    <cellStyle name="s_Matrix_T_PAO-CAF-RESOP_2014.02" xfId="2284" xr:uid="{00000000-0005-0000-0000-00002B090000}"/>
    <cellStyle name="s_Matrix_T_PAO-CAF-RESOP_2014.02_Bridge_Zone_Sud" xfId="2285" xr:uid="{00000000-0005-0000-0000-00002C090000}"/>
    <cellStyle name="s_Matrix_T_PPA" xfId="2286" xr:uid="{00000000-0005-0000-0000-00002D090000}"/>
    <cellStyle name="s_Matrix_T_RESOP bef CICE&amp;PPA&amp;RepartHO" xfId="2287" xr:uid="{00000000-0005-0000-0000-00002E090000}"/>
    <cellStyle name="s_Merger" xfId="2288" xr:uid="{00000000-0005-0000-0000-00002F090000}"/>
    <cellStyle name="s_Merger_Actualisation provision contrat déficitaire SNCM 2010 V Def" xfId="2289" xr:uid="{00000000-0005-0000-0000-000030090000}"/>
    <cellStyle name="s_Merger_Actualisation provision contrat déficitaire SNCM 2010 V Def_B14_E2_2210" xfId="2290" xr:uid="{00000000-0005-0000-0000-000031090000}"/>
    <cellStyle name="s_Merger_Actualisation provision contrat déficitaire SNCM 2010 V Def_B14_E2_2210_Bridge_Zone_Sud" xfId="2291" xr:uid="{00000000-0005-0000-0000-000032090000}"/>
    <cellStyle name="s_Merger_Actualisation provision contrat déficitaire SNCM 2010 V Def_Bridge_Zone_Sud" xfId="2292" xr:uid="{00000000-0005-0000-0000-000033090000}"/>
    <cellStyle name="s_Merger_Actualisation provision contrat déficitaire SNCM 2010 V Def_CAPEM BY COUNTRY" xfId="2293" xr:uid="{00000000-0005-0000-0000-000034090000}"/>
    <cellStyle name="s_Merger_Actualisation provision contrat déficitaire SNCM 2010 V Def_focus par entités CAFOPE2AMF" xfId="2294" xr:uid="{00000000-0005-0000-0000-000035090000}"/>
    <cellStyle name="s_Merger_Actualisation provision contrat déficitaire SNCM 2010 V Def_focus par entités CAFOPE2AMF_Bridge_Zone_Sud" xfId="2295" xr:uid="{00000000-0005-0000-0000-000036090000}"/>
    <cellStyle name="s_Merger_Actualisation provision contrat déficitaire SNCM 2010 V Def_Maquette PLT" xfId="2296" xr:uid="{00000000-0005-0000-0000-000037090000}"/>
    <cellStyle name="s_Merger_Actualisation provision contrat déficitaire SNCM 2010 V Def_Output" xfId="3422" xr:uid="{00000000-0005-0000-0000-000038090000}"/>
    <cellStyle name="s_Merger_Actualisation provision contrat déficitaire SNCM 2010 V Def_PAO-CAF-RESOP_04_13_pro_format_variante T1" xfId="2297" xr:uid="{00000000-0005-0000-0000-000039090000}"/>
    <cellStyle name="s_Merger_Actualisation provision contrat déficitaire SNCM 2010 V Def_PAO-CAF-RESOP_04_13_pro_format_variante T1_B14_E2_2210" xfId="2298" xr:uid="{00000000-0005-0000-0000-00003A090000}"/>
    <cellStyle name="s_Merger_Actualisation provision contrat déficitaire SNCM 2010 V Def_PAO-CAF-RESOP_04_13_pro_format_variante T1_B14_E2_2210_Bridge_Zone_Sud" xfId="2299" xr:uid="{00000000-0005-0000-0000-00003B090000}"/>
    <cellStyle name="s_Merger_Actualisation provision contrat déficitaire SNCM 2010 V Def_PAO-CAF-RESOP_04_13_pro_format_variante T1_Bridge_Zone_Sud" xfId="2300" xr:uid="{00000000-0005-0000-0000-00003C090000}"/>
    <cellStyle name="s_Merger_Actualisation provision contrat déficitaire SNCM 2010 V Def_PAO-CAF-RESOP_06_13" xfId="2301" xr:uid="{00000000-0005-0000-0000-00003D090000}"/>
    <cellStyle name="s_Merger_Actualisation provision contrat déficitaire SNCM 2010 V Def_PAO-CAF-RESOP_06_13_B14_E2_2210" xfId="2302" xr:uid="{00000000-0005-0000-0000-00003E090000}"/>
    <cellStyle name="s_Merger_Actualisation provision contrat déficitaire SNCM 2010 V Def_PAO-CAF-RESOP_06_13_B14_E2_2210_Bridge_Zone_Sud" xfId="2303" xr:uid="{00000000-0005-0000-0000-00003F090000}"/>
    <cellStyle name="s_Merger_Actualisation provision contrat déficitaire SNCM 2010 V Def_PAO-CAF-RESOP_06_13_Bridge_Zone_Sud" xfId="2304" xr:uid="{00000000-0005-0000-0000-000040090000}"/>
    <cellStyle name="s_Merger_Actualisation provision contrat déficitaire SNCM 2010 V Def_PAO-CAF-RESOP_08_13" xfId="2305" xr:uid="{00000000-0005-0000-0000-000041090000}"/>
    <cellStyle name="s_Merger_Actualisation provision contrat déficitaire SNCM 2010 V Def_PAO-CAF-RESOP_08_13_B14_E2_2210" xfId="2306" xr:uid="{00000000-0005-0000-0000-000042090000}"/>
    <cellStyle name="s_Merger_Actualisation provision contrat déficitaire SNCM 2010 V Def_PAO-CAF-RESOP_08_13_B14_E2_2210_Bridge_Zone_Sud" xfId="2307" xr:uid="{00000000-0005-0000-0000-000043090000}"/>
    <cellStyle name="s_Merger_Actualisation provision contrat déficitaire SNCM 2010 V Def_PAO-CAF-RESOP_08_13_Bridge_Zone_Sud" xfId="2308" xr:uid="{00000000-0005-0000-0000-000044090000}"/>
    <cellStyle name="s_Merger_Actualisation provision contrat déficitaire SNCM 2010 V Def_PAO-CAF-RESOP_09_13" xfId="2309" xr:uid="{00000000-0005-0000-0000-000045090000}"/>
    <cellStyle name="s_Merger_Actualisation provision contrat déficitaire SNCM 2010 V Def_PAO-CAF-RESOP_09_13_Bridge_Zone_Sud" xfId="2310" xr:uid="{00000000-0005-0000-0000-000046090000}"/>
    <cellStyle name="s_Merger_Actualisation provision contrat déficitaire SNCM 2010 V Def_PAO-CAF-RESOP_09_2013_Zone_IDF (version 2)" xfId="2311" xr:uid="{00000000-0005-0000-0000-000047090000}"/>
    <cellStyle name="s_Merger_Actualisation provision contrat déficitaire SNCM 2010 V Def_PAO-CAF-RESOP_10_12" xfId="2312" xr:uid="{00000000-0005-0000-0000-000048090000}"/>
    <cellStyle name="s_Merger_Actualisation provision contrat déficitaire SNCM 2010 V Def_PAO-CAF-RESOP_10_12_Bridge_Zone_Sud" xfId="2313" xr:uid="{00000000-0005-0000-0000-000049090000}"/>
    <cellStyle name="s_Merger_Actualisation provision contrat déficitaire SNCM 2010 V Def_PAO-CAF-RESOP_10_12_focus par entités CAFOP" xfId="2314" xr:uid="{00000000-0005-0000-0000-00004A090000}"/>
    <cellStyle name="s_Merger_Actualisation provision contrat déficitaire SNCM 2010 V Def_PAO-CAF-RESOP_10_12_focus par entités CAFOP_Bridge_Zone_Sud" xfId="2315" xr:uid="{00000000-0005-0000-0000-00004B090000}"/>
    <cellStyle name="s_Merger_Actualisation provision contrat déficitaire SNCM 2010 V Def_PAO-CAF-RESOP_11_13" xfId="2316" xr:uid="{00000000-0005-0000-0000-00004C090000}"/>
    <cellStyle name="s_Merger_Actualisation provision contrat déficitaire SNCM 2010 V Def_PAO-CAF-RESOP_B13" xfId="2317" xr:uid="{00000000-0005-0000-0000-00004D090000}"/>
    <cellStyle name="s_Merger_Actualisation provision contrat déficitaire SNCM 2010 V Def_PAO-CAF-RESOP_B13_Bridge_Zone_Sud" xfId="2318" xr:uid="{00000000-0005-0000-0000-00004E090000}"/>
    <cellStyle name="s_Merger_Actualisation provision contrat déficitaire SNCM 2010 V Def_PAO-CAF-RESOP_B13_focus par entités CAFOP" xfId="2319" xr:uid="{00000000-0005-0000-0000-00004F090000}"/>
    <cellStyle name="s_Merger_Actualisation provision contrat déficitaire SNCM 2010 V Def_PAO-CAF-RESOP_B13_focus par entités CAFOP_Bridge_Zone_Sud" xfId="2320" xr:uid="{00000000-0005-0000-0000-000050090000}"/>
    <cellStyle name="s_Merger_Actualisation provision contrat déficitaire SNCM 2010 V Def_PAO-CAF-RESOP_B2014" xfId="2321" xr:uid="{00000000-0005-0000-0000-000051090000}"/>
    <cellStyle name="s_Merger_Actualisation provision contrat déficitaire SNCM 2010 V Def_PAO-CAF-RESOP_B2014_Bridge_Zone_Sud" xfId="2322" xr:uid="{00000000-0005-0000-0000-000052090000}"/>
    <cellStyle name="s_Merger_Actualisation provision contrat déficitaire SNCM 2010 V Def_PAO-CAF-RESOP_B2014_v2" xfId="2323" xr:uid="{00000000-0005-0000-0000-000053090000}"/>
    <cellStyle name="s_Merger_Actualisation provision contrat déficitaire SNCM 2010 V Def_PAO-CAF-RESOP_E2_13" xfId="2324" xr:uid="{00000000-0005-0000-0000-000054090000}"/>
    <cellStyle name="s_Merger_Actualisation provision contrat déficitaire SNCM 2010 V Def_PAO-CAF-RESOP_E2_13_B14_E2_2210" xfId="2325" xr:uid="{00000000-0005-0000-0000-000055090000}"/>
    <cellStyle name="s_Merger_Actualisation provision contrat déficitaire SNCM 2010 V Def_PAO-CAF-RESOP_E2_13_B14_E2_2210_Bridge_Zone_Sud" xfId="2326" xr:uid="{00000000-0005-0000-0000-000056090000}"/>
    <cellStyle name="s_Merger_Actualisation provision contrat déficitaire SNCM 2010 V Def_PAO-CAF-RESOP_E2_13_Bridge_Zone_Sud" xfId="2327" xr:uid="{00000000-0005-0000-0000-000057090000}"/>
    <cellStyle name="s_Merger_Actualisation provision contrat déficitaire SNCM 2010 V Def_PAO-CAF-RESOP_E2_2013_03_10_19H" xfId="2328" xr:uid="{00000000-0005-0000-0000-000058090000}"/>
    <cellStyle name="s_Merger_Actualisation provision contrat déficitaire SNCM 2010 V Def_PAO-CAF-RESOP_E2_2013_03_10_19H_Bridge_Zone_Sud" xfId="2329" xr:uid="{00000000-0005-0000-0000-000059090000}"/>
    <cellStyle name="s_Merger_Actualisation provision contrat déficitaire SNCM 2010 V Def_PPA" xfId="2330" xr:uid="{00000000-0005-0000-0000-00005A090000}"/>
    <cellStyle name="s_Merger_Actualisation provision contrat déficitaire SNCM 2010 V Def_RESOP bef CICE&amp;PPA&amp;RepartHO" xfId="2331" xr:uid="{00000000-0005-0000-0000-00005B090000}"/>
    <cellStyle name="s_Merger_Actualisation provision contrat déficitaire SNCM 2010 V Def_Synthèse_Présentation_conso_retraitée" xfId="2332" xr:uid="{00000000-0005-0000-0000-00005C090000}"/>
    <cellStyle name="s_Merger_Actualisation provision contrat déficitaire SNCM 2011 V3 30 05 2011" xfId="2333" xr:uid="{00000000-0005-0000-0000-00005D090000}"/>
    <cellStyle name="s_Merger_Actualisation provision contrat déficitaire SNCM 2011 V3 30 05 2011_B14_E2_2210" xfId="2334" xr:uid="{00000000-0005-0000-0000-00005E090000}"/>
    <cellStyle name="s_Merger_Actualisation provision contrat déficitaire SNCM 2011 V3 30 05 2011_B14_E2_2210_Bridge_Zone_Sud" xfId="2335" xr:uid="{00000000-0005-0000-0000-00005F090000}"/>
    <cellStyle name="s_Merger_Actualisation provision contrat déficitaire SNCM 2011 V3 30 05 2011_Bridge_Zone_Sud" xfId="2336" xr:uid="{00000000-0005-0000-0000-000060090000}"/>
    <cellStyle name="s_Merger_Actualisation provision contrat déficitaire SNCM 2011 V3 30 05 2011_CAPEM BY COUNTRY" xfId="2337" xr:uid="{00000000-0005-0000-0000-000061090000}"/>
    <cellStyle name="s_Merger_Actualisation provision contrat déficitaire SNCM 2011 V3 30 05 2011_focus par entités CAFOPE2AMF" xfId="2338" xr:uid="{00000000-0005-0000-0000-000062090000}"/>
    <cellStyle name="s_Merger_Actualisation provision contrat déficitaire SNCM 2011 V3 30 05 2011_focus par entités CAFOPE2AMF_Bridge_Zone_Sud" xfId="2339" xr:uid="{00000000-0005-0000-0000-000063090000}"/>
    <cellStyle name="s_Merger_Actualisation provision contrat déficitaire SNCM 2011 V3 30 05 2011_Maquette PLT" xfId="2340" xr:uid="{00000000-0005-0000-0000-000064090000}"/>
    <cellStyle name="s_Merger_Actualisation provision contrat déficitaire SNCM 2011 V3 30 05 2011_Output" xfId="3423" xr:uid="{00000000-0005-0000-0000-000065090000}"/>
    <cellStyle name="s_Merger_Actualisation provision contrat déficitaire SNCM 2011 V3 30 05 2011_PAO-CAF-RESOP_04_13_pro_format_variante T1" xfId="2341" xr:uid="{00000000-0005-0000-0000-000066090000}"/>
    <cellStyle name="s_Merger_Actualisation provision contrat déficitaire SNCM 2011 V3 30 05 2011_PAO-CAF-RESOP_04_13_pro_format_variante T1_B14_E2_2210" xfId="2342" xr:uid="{00000000-0005-0000-0000-000067090000}"/>
    <cellStyle name="s_Merger_Actualisation provision contrat déficitaire SNCM 2011 V3 30 05 2011_PAO-CAF-RESOP_04_13_pro_format_variante T1_B14_E2_2210_Bridge_Zone_Sud" xfId="2343" xr:uid="{00000000-0005-0000-0000-000068090000}"/>
    <cellStyle name="s_Merger_Actualisation provision contrat déficitaire SNCM 2011 V3 30 05 2011_PAO-CAF-RESOP_04_13_pro_format_variante T1_Bridge_Zone_Sud" xfId="2344" xr:uid="{00000000-0005-0000-0000-000069090000}"/>
    <cellStyle name="s_Merger_Actualisation provision contrat déficitaire SNCM 2011 V3 30 05 2011_PAO-CAF-RESOP_06_13" xfId="2345" xr:uid="{00000000-0005-0000-0000-00006A090000}"/>
    <cellStyle name="s_Merger_Actualisation provision contrat déficitaire SNCM 2011 V3 30 05 2011_PAO-CAF-RESOP_06_13_B14_E2_2210" xfId="2346" xr:uid="{00000000-0005-0000-0000-00006B090000}"/>
    <cellStyle name="s_Merger_Actualisation provision contrat déficitaire SNCM 2011 V3 30 05 2011_PAO-CAF-RESOP_06_13_B14_E2_2210_Bridge_Zone_Sud" xfId="2347" xr:uid="{00000000-0005-0000-0000-00006C090000}"/>
    <cellStyle name="s_Merger_Actualisation provision contrat déficitaire SNCM 2011 V3 30 05 2011_PAO-CAF-RESOP_06_13_Bridge_Zone_Sud" xfId="2348" xr:uid="{00000000-0005-0000-0000-00006D090000}"/>
    <cellStyle name="s_Merger_Actualisation provision contrat déficitaire SNCM 2011 V3 30 05 2011_PAO-CAF-RESOP_08_13" xfId="2349" xr:uid="{00000000-0005-0000-0000-00006E090000}"/>
    <cellStyle name="s_Merger_Actualisation provision contrat déficitaire SNCM 2011 V3 30 05 2011_PAO-CAF-RESOP_08_13_B14_E2_2210" xfId="2350" xr:uid="{00000000-0005-0000-0000-00006F090000}"/>
    <cellStyle name="s_Merger_Actualisation provision contrat déficitaire SNCM 2011 V3 30 05 2011_PAO-CAF-RESOP_08_13_B14_E2_2210_Bridge_Zone_Sud" xfId="2351" xr:uid="{00000000-0005-0000-0000-000070090000}"/>
    <cellStyle name="s_Merger_Actualisation provision contrat déficitaire SNCM 2011 V3 30 05 2011_PAO-CAF-RESOP_08_13_Bridge_Zone_Sud" xfId="2352" xr:uid="{00000000-0005-0000-0000-000071090000}"/>
    <cellStyle name="s_Merger_Actualisation provision contrat déficitaire SNCM 2011 V3 30 05 2011_PAO-CAF-RESOP_09_13" xfId="2353" xr:uid="{00000000-0005-0000-0000-000072090000}"/>
    <cellStyle name="s_Merger_Actualisation provision contrat déficitaire SNCM 2011 V3 30 05 2011_PAO-CAF-RESOP_09_13_Bridge_Zone_Sud" xfId="2354" xr:uid="{00000000-0005-0000-0000-000073090000}"/>
    <cellStyle name="s_Merger_Actualisation provision contrat déficitaire SNCM 2011 V3 30 05 2011_PAO-CAF-RESOP_09_2013_Zone_IDF (version 2)" xfId="2355" xr:uid="{00000000-0005-0000-0000-000074090000}"/>
    <cellStyle name="s_Merger_Actualisation provision contrat déficitaire SNCM 2011 V3 30 05 2011_PAO-CAF-RESOP_10_12" xfId="2356" xr:uid="{00000000-0005-0000-0000-000075090000}"/>
    <cellStyle name="s_Merger_Actualisation provision contrat déficitaire SNCM 2011 V3 30 05 2011_PAO-CAF-RESOP_10_12_Bridge_Zone_Sud" xfId="2357" xr:uid="{00000000-0005-0000-0000-000076090000}"/>
    <cellStyle name="s_Merger_Actualisation provision contrat déficitaire SNCM 2011 V3 30 05 2011_PAO-CAF-RESOP_10_12_focus par entités CAFOP" xfId="2358" xr:uid="{00000000-0005-0000-0000-000077090000}"/>
    <cellStyle name="s_Merger_Actualisation provision contrat déficitaire SNCM 2011 V3 30 05 2011_PAO-CAF-RESOP_10_12_focus par entités CAFOP_Bridge_Zone_Sud" xfId="2359" xr:uid="{00000000-0005-0000-0000-000078090000}"/>
    <cellStyle name="s_Merger_Actualisation provision contrat déficitaire SNCM 2011 V3 30 05 2011_PAO-CAF-RESOP_11_13" xfId="2360" xr:uid="{00000000-0005-0000-0000-000079090000}"/>
    <cellStyle name="s_Merger_Actualisation provision contrat déficitaire SNCM 2011 V3 30 05 2011_PAO-CAF-RESOP_B13" xfId="2361" xr:uid="{00000000-0005-0000-0000-00007A090000}"/>
    <cellStyle name="s_Merger_Actualisation provision contrat déficitaire SNCM 2011 V3 30 05 2011_PAO-CAF-RESOP_B13_Bridge_Zone_Sud" xfId="2362" xr:uid="{00000000-0005-0000-0000-00007B090000}"/>
    <cellStyle name="s_Merger_Actualisation provision contrat déficitaire SNCM 2011 V3 30 05 2011_PAO-CAF-RESOP_B13_focus par entités CAFOP" xfId="2363" xr:uid="{00000000-0005-0000-0000-00007C090000}"/>
    <cellStyle name="s_Merger_Actualisation provision contrat déficitaire SNCM 2011 V3 30 05 2011_PAO-CAF-RESOP_B13_focus par entités CAFOP_Bridge_Zone_Sud" xfId="2364" xr:uid="{00000000-0005-0000-0000-00007D090000}"/>
    <cellStyle name="s_Merger_Actualisation provision contrat déficitaire SNCM 2011 V3 30 05 2011_PAO-CAF-RESOP_B2014" xfId="2365" xr:uid="{00000000-0005-0000-0000-00007E090000}"/>
    <cellStyle name="s_Merger_Actualisation provision contrat déficitaire SNCM 2011 V3 30 05 2011_PAO-CAF-RESOP_B2014_Bridge_Zone_Sud" xfId="2366" xr:uid="{00000000-0005-0000-0000-00007F090000}"/>
    <cellStyle name="s_Merger_Actualisation provision contrat déficitaire SNCM 2011 V3 30 05 2011_PAO-CAF-RESOP_B2014_v2" xfId="2367" xr:uid="{00000000-0005-0000-0000-000080090000}"/>
    <cellStyle name="s_Merger_Actualisation provision contrat déficitaire SNCM 2011 V3 30 05 2011_PAO-CAF-RESOP_E2_13" xfId="2368" xr:uid="{00000000-0005-0000-0000-000081090000}"/>
    <cellStyle name="s_Merger_Actualisation provision contrat déficitaire SNCM 2011 V3 30 05 2011_PAO-CAF-RESOP_E2_13_B14_E2_2210" xfId="2369" xr:uid="{00000000-0005-0000-0000-000082090000}"/>
    <cellStyle name="s_Merger_Actualisation provision contrat déficitaire SNCM 2011 V3 30 05 2011_PAO-CAF-RESOP_E2_13_B14_E2_2210_Bridge_Zone_Sud" xfId="2370" xr:uid="{00000000-0005-0000-0000-000083090000}"/>
    <cellStyle name="s_Merger_Actualisation provision contrat déficitaire SNCM 2011 V3 30 05 2011_PAO-CAF-RESOP_E2_13_Bridge_Zone_Sud" xfId="2371" xr:uid="{00000000-0005-0000-0000-000084090000}"/>
    <cellStyle name="s_Merger_Actualisation provision contrat déficitaire SNCM 2011 V3 30 05 2011_PAO-CAF-RESOP_E2_2013_03_10_19H" xfId="2372" xr:uid="{00000000-0005-0000-0000-000085090000}"/>
    <cellStyle name="s_Merger_Actualisation provision contrat déficitaire SNCM 2011 V3 30 05 2011_PAO-CAF-RESOP_E2_2013_03_10_19H_Bridge_Zone_Sud" xfId="2373" xr:uid="{00000000-0005-0000-0000-000086090000}"/>
    <cellStyle name="s_Merger_Actualisation provision contrat déficitaire SNCM 2011 V3 30 05 2011_PPA" xfId="2374" xr:uid="{00000000-0005-0000-0000-000087090000}"/>
    <cellStyle name="s_Merger_Actualisation provision contrat déficitaire SNCM 2011 V3 30 05 2011_RESOP bef CICE&amp;PPA&amp;RepartHO" xfId="2375" xr:uid="{00000000-0005-0000-0000-000088090000}"/>
    <cellStyle name="s_Merger_Actualisation provision contrat déficitaire SNCM 2011 V3 30 05 2011_Synthèse_Présentation_conso_retraitée" xfId="2376" xr:uid="{00000000-0005-0000-0000-000089090000}"/>
    <cellStyle name="s_Merger_B14_E2_2210" xfId="2377" xr:uid="{00000000-0005-0000-0000-00008A090000}"/>
    <cellStyle name="s_Merger_B14_E2_2210_Bridge_Zone_Sud" xfId="2378" xr:uid="{00000000-0005-0000-0000-00008B090000}"/>
    <cellStyle name="s_Merger_BFR_TD_2014.02" xfId="2379" xr:uid="{00000000-0005-0000-0000-00008C090000}"/>
    <cellStyle name="s_Merger_Bridge_Zone_Nord" xfId="2380" xr:uid="{00000000-0005-0000-0000-00008D090000}"/>
    <cellStyle name="s_Merger_CAPEM BY COUNTRY" xfId="2381" xr:uid="{00000000-0005-0000-0000-00008E090000}"/>
    <cellStyle name="s_Merger_LI819L_B13" xfId="2382" xr:uid="{00000000-0005-0000-0000-00008F090000}"/>
    <cellStyle name="s_Merger_LI819L_B13_CAPEM BY COUNTRY" xfId="2383" xr:uid="{00000000-0005-0000-0000-000090090000}"/>
    <cellStyle name="s_Merger_LI819L_B13_Maquette PLT" xfId="2384" xr:uid="{00000000-0005-0000-0000-000091090000}"/>
    <cellStyle name="s_Merger_LI819L_B13_Output" xfId="3424" xr:uid="{00000000-0005-0000-0000-000092090000}"/>
    <cellStyle name="s_Merger_LI819L_B13_PPA" xfId="2385" xr:uid="{00000000-0005-0000-0000-000093090000}"/>
    <cellStyle name="s_Merger_LI819L_B13_RESOP bef CICE&amp;PPA&amp;RepartHO" xfId="2386" xr:uid="{00000000-0005-0000-0000-000094090000}"/>
    <cellStyle name="s_Merger_Maquette PLT" xfId="2387" xr:uid="{00000000-0005-0000-0000-000095090000}"/>
    <cellStyle name="s_Merger_Output" xfId="3421" xr:uid="{00000000-0005-0000-0000-000096090000}"/>
    <cellStyle name="s_Merger_PAO-CAF-RESOP_14_01_13 à 20h" xfId="2388" xr:uid="{00000000-0005-0000-0000-000097090000}"/>
    <cellStyle name="s_Merger_PAO-CAF-RESOP_14_01_13 à 20h_CAPEM BY COUNTRY" xfId="2389" xr:uid="{00000000-0005-0000-0000-000098090000}"/>
    <cellStyle name="s_Merger_PAO-CAF-RESOP_14_01_13 à 20h_Maquette PLT" xfId="2390" xr:uid="{00000000-0005-0000-0000-000099090000}"/>
    <cellStyle name="s_Merger_PAO-CAF-RESOP_14_01_13 à 20h_Output" xfId="3425" xr:uid="{00000000-0005-0000-0000-00009A090000}"/>
    <cellStyle name="s_Merger_PAO-CAF-RESOP_14_01_13 à 20h_PPA" xfId="2391" xr:uid="{00000000-0005-0000-0000-00009B090000}"/>
    <cellStyle name="s_Merger_PAO-CAF-RESOP_14_01_13 à 20h_RESOP bef CICE&amp;PPA&amp;RepartHO" xfId="2392" xr:uid="{00000000-0005-0000-0000-00009C090000}"/>
    <cellStyle name="s_Merger_PAO-CAF-RESOP_2014.02" xfId="2393" xr:uid="{00000000-0005-0000-0000-00009D090000}"/>
    <cellStyle name="s_Merger_PAO-CAF-RESOP_2014.02_Bridge_Zone_Sud" xfId="2394" xr:uid="{00000000-0005-0000-0000-00009E090000}"/>
    <cellStyle name="s_Merger_PPA" xfId="2395" xr:uid="{00000000-0005-0000-0000-00009F090000}"/>
    <cellStyle name="s_Merger_RESOP bef CICE&amp;PPA&amp;RepartHO" xfId="2396" xr:uid="{00000000-0005-0000-0000-0000A0090000}"/>
    <cellStyle name="s_model2" xfId="2397" xr:uid="{00000000-0005-0000-0000-0000A1090000}"/>
    <cellStyle name="s_model2_Actualisation provision contrat déficitaire SNCM 2010 V Def" xfId="2398" xr:uid="{00000000-0005-0000-0000-0000A2090000}"/>
    <cellStyle name="s_model2_Actualisation provision contrat déficitaire SNCM 2010 V Def_B14_E2_2210" xfId="2399" xr:uid="{00000000-0005-0000-0000-0000A3090000}"/>
    <cellStyle name="s_model2_Actualisation provision contrat déficitaire SNCM 2010 V Def_B14_E2_2210_Bridge_Zone_Sud" xfId="2400" xr:uid="{00000000-0005-0000-0000-0000A4090000}"/>
    <cellStyle name="s_model2_Actualisation provision contrat déficitaire SNCM 2010 V Def_Bridge_Zone_Sud" xfId="2401" xr:uid="{00000000-0005-0000-0000-0000A5090000}"/>
    <cellStyle name="s_model2_Actualisation provision contrat déficitaire SNCM 2010 V Def_CAPEM BY COUNTRY" xfId="2402" xr:uid="{00000000-0005-0000-0000-0000A6090000}"/>
    <cellStyle name="s_model2_Actualisation provision contrat déficitaire SNCM 2010 V Def_focus par entités CAFOPE2AMF" xfId="2403" xr:uid="{00000000-0005-0000-0000-0000A7090000}"/>
    <cellStyle name="s_model2_Actualisation provision contrat déficitaire SNCM 2010 V Def_focus par entités CAFOPE2AMF_Bridge_Zone_Sud" xfId="2404" xr:uid="{00000000-0005-0000-0000-0000A8090000}"/>
    <cellStyle name="s_model2_Actualisation provision contrat déficitaire SNCM 2010 V Def_Maquette PLT" xfId="2405" xr:uid="{00000000-0005-0000-0000-0000A9090000}"/>
    <cellStyle name="s_model2_Actualisation provision contrat déficitaire SNCM 2010 V Def_Output" xfId="3427" xr:uid="{00000000-0005-0000-0000-0000AA090000}"/>
    <cellStyle name="s_model2_Actualisation provision contrat déficitaire SNCM 2010 V Def_PAO-CAF-RESOP_04_13_pro_format_variante T1" xfId="2406" xr:uid="{00000000-0005-0000-0000-0000AB090000}"/>
    <cellStyle name="s_model2_Actualisation provision contrat déficitaire SNCM 2010 V Def_PAO-CAF-RESOP_04_13_pro_format_variante T1_B14_E2_2210" xfId="2407" xr:uid="{00000000-0005-0000-0000-0000AC090000}"/>
    <cellStyle name="s_model2_Actualisation provision contrat déficitaire SNCM 2010 V Def_PAO-CAF-RESOP_04_13_pro_format_variante T1_B14_E2_2210_Bridge_Zone_Sud" xfId="2408" xr:uid="{00000000-0005-0000-0000-0000AD090000}"/>
    <cellStyle name="s_model2_Actualisation provision contrat déficitaire SNCM 2010 V Def_PAO-CAF-RESOP_04_13_pro_format_variante T1_Bridge_Zone_Sud" xfId="2409" xr:uid="{00000000-0005-0000-0000-0000AE090000}"/>
    <cellStyle name="s_model2_Actualisation provision contrat déficitaire SNCM 2010 V Def_PAO-CAF-RESOP_06_13" xfId="2410" xr:uid="{00000000-0005-0000-0000-0000AF090000}"/>
    <cellStyle name="s_model2_Actualisation provision contrat déficitaire SNCM 2010 V Def_PAO-CAF-RESOP_06_13_B14_E2_2210" xfId="2411" xr:uid="{00000000-0005-0000-0000-0000B0090000}"/>
    <cellStyle name="s_model2_Actualisation provision contrat déficitaire SNCM 2010 V Def_PAO-CAF-RESOP_06_13_B14_E2_2210_Bridge_Zone_Sud" xfId="2412" xr:uid="{00000000-0005-0000-0000-0000B1090000}"/>
    <cellStyle name="s_model2_Actualisation provision contrat déficitaire SNCM 2010 V Def_PAO-CAF-RESOP_06_13_Bridge_Zone_Sud" xfId="2413" xr:uid="{00000000-0005-0000-0000-0000B2090000}"/>
    <cellStyle name="s_model2_Actualisation provision contrat déficitaire SNCM 2010 V Def_PAO-CAF-RESOP_08_13" xfId="2414" xr:uid="{00000000-0005-0000-0000-0000B3090000}"/>
    <cellStyle name="s_model2_Actualisation provision contrat déficitaire SNCM 2010 V Def_PAO-CAF-RESOP_08_13_B14_E2_2210" xfId="2415" xr:uid="{00000000-0005-0000-0000-0000B4090000}"/>
    <cellStyle name="s_model2_Actualisation provision contrat déficitaire SNCM 2010 V Def_PAO-CAF-RESOP_08_13_B14_E2_2210_Bridge_Zone_Sud" xfId="2416" xr:uid="{00000000-0005-0000-0000-0000B5090000}"/>
    <cellStyle name="s_model2_Actualisation provision contrat déficitaire SNCM 2010 V Def_PAO-CAF-RESOP_08_13_Bridge_Zone_Sud" xfId="2417" xr:uid="{00000000-0005-0000-0000-0000B6090000}"/>
    <cellStyle name="s_model2_Actualisation provision contrat déficitaire SNCM 2010 V Def_PAO-CAF-RESOP_09_13" xfId="2418" xr:uid="{00000000-0005-0000-0000-0000B7090000}"/>
    <cellStyle name="s_model2_Actualisation provision contrat déficitaire SNCM 2010 V Def_PAO-CAF-RESOP_09_13_Bridge_Zone_Sud" xfId="2419" xr:uid="{00000000-0005-0000-0000-0000B8090000}"/>
    <cellStyle name="s_model2_Actualisation provision contrat déficitaire SNCM 2010 V Def_PAO-CAF-RESOP_09_2013_Zone_IDF (version 2)" xfId="2420" xr:uid="{00000000-0005-0000-0000-0000B9090000}"/>
    <cellStyle name="s_model2_Actualisation provision contrat déficitaire SNCM 2010 V Def_PAO-CAF-RESOP_10_12" xfId="2421" xr:uid="{00000000-0005-0000-0000-0000BA090000}"/>
    <cellStyle name="s_model2_Actualisation provision contrat déficitaire SNCM 2010 V Def_PAO-CAF-RESOP_10_12_Bridge_Zone_Sud" xfId="2422" xr:uid="{00000000-0005-0000-0000-0000BB090000}"/>
    <cellStyle name="s_model2_Actualisation provision contrat déficitaire SNCM 2010 V Def_PAO-CAF-RESOP_10_12_focus par entités CAFOP" xfId="2423" xr:uid="{00000000-0005-0000-0000-0000BC090000}"/>
    <cellStyle name="s_model2_Actualisation provision contrat déficitaire SNCM 2010 V Def_PAO-CAF-RESOP_10_12_focus par entités CAFOP_Bridge_Zone_Sud" xfId="2424" xr:uid="{00000000-0005-0000-0000-0000BD090000}"/>
    <cellStyle name="s_model2_Actualisation provision contrat déficitaire SNCM 2010 V Def_PAO-CAF-RESOP_11_13" xfId="2425" xr:uid="{00000000-0005-0000-0000-0000BE090000}"/>
    <cellStyle name="s_model2_Actualisation provision contrat déficitaire SNCM 2010 V Def_PAO-CAF-RESOP_B13" xfId="2426" xr:uid="{00000000-0005-0000-0000-0000BF090000}"/>
    <cellStyle name="s_model2_Actualisation provision contrat déficitaire SNCM 2010 V Def_PAO-CAF-RESOP_B13_Bridge_Zone_Sud" xfId="2427" xr:uid="{00000000-0005-0000-0000-0000C0090000}"/>
    <cellStyle name="s_model2_Actualisation provision contrat déficitaire SNCM 2010 V Def_PAO-CAF-RESOP_B13_focus par entités CAFOP" xfId="2428" xr:uid="{00000000-0005-0000-0000-0000C1090000}"/>
    <cellStyle name="s_model2_Actualisation provision contrat déficitaire SNCM 2010 V Def_PAO-CAF-RESOP_B13_focus par entités CAFOP_Bridge_Zone_Sud" xfId="2429" xr:uid="{00000000-0005-0000-0000-0000C2090000}"/>
    <cellStyle name="s_model2_Actualisation provision contrat déficitaire SNCM 2010 V Def_PAO-CAF-RESOP_B2014" xfId="2430" xr:uid="{00000000-0005-0000-0000-0000C3090000}"/>
    <cellStyle name="s_model2_Actualisation provision contrat déficitaire SNCM 2010 V Def_PAO-CAF-RESOP_B2014_Bridge_Zone_Sud" xfId="2431" xr:uid="{00000000-0005-0000-0000-0000C4090000}"/>
    <cellStyle name="s_model2_Actualisation provision contrat déficitaire SNCM 2010 V Def_PAO-CAF-RESOP_B2014_v2" xfId="2432" xr:uid="{00000000-0005-0000-0000-0000C5090000}"/>
    <cellStyle name="s_model2_Actualisation provision contrat déficitaire SNCM 2010 V Def_PAO-CAF-RESOP_E2_13" xfId="2433" xr:uid="{00000000-0005-0000-0000-0000C6090000}"/>
    <cellStyle name="s_model2_Actualisation provision contrat déficitaire SNCM 2010 V Def_PAO-CAF-RESOP_E2_13_B14_E2_2210" xfId="2434" xr:uid="{00000000-0005-0000-0000-0000C7090000}"/>
    <cellStyle name="s_model2_Actualisation provision contrat déficitaire SNCM 2010 V Def_PAO-CAF-RESOP_E2_13_B14_E2_2210_Bridge_Zone_Sud" xfId="2435" xr:uid="{00000000-0005-0000-0000-0000C8090000}"/>
    <cellStyle name="s_model2_Actualisation provision contrat déficitaire SNCM 2010 V Def_PAO-CAF-RESOP_E2_13_Bridge_Zone_Sud" xfId="2436" xr:uid="{00000000-0005-0000-0000-0000C9090000}"/>
    <cellStyle name="s_model2_Actualisation provision contrat déficitaire SNCM 2010 V Def_PAO-CAF-RESOP_E2_2013_03_10_19H" xfId="2437" xr:uid="{00000000-0005-0000-0000-0000CA090000}"/>
    <cellStyle name="s_model2_Actualisation provision contrat déficitaire SNCM 2010 V Def_PAO-CAF-RESOP_E2_2013_03_10_19H_Bridge_Zone_Sud" xfId="2438" xr:uid="{00000000-0005-0000-0000-0000CB090000}"/>
    <cellStyle name="s_model2_Actualisation provision contrat déficitaire SNCM 2010 V Def_PPA" xfId="2439" xr:uid="{00000000-0005-0000-0000-0000CC090000}"/>
    <cellStyle name="s_model2_Actualisation provision contrat déficitaire SNCM 2010 V Def_RESOP bef CICE&amp;PPA&amp;RepartHO" xfId="2440" xr:uid="{00000000-0005-0000-0000-0000CD090000}"/>
    <cellStyle name="s_model2_Actualisation provision contrat déficitaire SNCM 2010 V Def_Synthèse_Présentation_conso_retraitée" xfId="2441" xr:uid="{00000000-0005-0000-0000-0000CE090000}"/>
    <cellStyle name="s_model2_Actualisation provision contrat déficitaire SNCM 2011 V3 30 05 2011" xfId="2442" xr:uid="{00000000-0005-0000-0000-0000CF090000}"/>
    <cellStyle name="s_model2_Actualisation provision contrat déficitaire SNCM 2011 V3 30 05 2011_B14_E2_2210" xfId="2443" xr:uid="{00000000-0005-0000-0000-0000D0090000}"/>
    <cellStyle name="s_model2_Actualisation provision contrat déficitaire SNCM 2011 V3 30 05 2011_B14_E2_2210_Bridge_Zone_Sud" xfId="2444" xr:uid="{00000000-0005-0000-0000-0000D1090000}"/>
    <cellStyle name="s_model2_Actualisation provision contrat déficitaire SNCM 2011 V3 30 05 2011_Bridge_Zone_Sud" xfId="2445" xr:uid="{00000000-0005-0000-0000-0000D2090000}"/>
    <cellStyle name="s_model2_Actualisation provision contrat déficitaire SNCM 2011 V3 30 05 2011_CAPEM BY COUNTRY" xfId="2446" xr:uid="{00000000-0005-0000-0000-0000D3090000}"/>
    <cellStyle name="s_model2_Actualisation provision contrat déficitaire SNCM 2011 V3 30 05 2011_focus par entités CAFOPE2AMF" xfId="2447" xr:uid="{00000000-0005-0000-0000-0000D4090000}"/>
    <cellStyle name="s_model2_Actualisation provision contrat déficitaire SNCM 2011 V3 30 05 2011_focus par entités CAFOPE2AMF_Bridge_Zone_Sud" xfId="2448" xr:uid="{00000000-0005-0000-0000-0000D5090000}"/>
    <cellStyle name="s_model2_Actualisation provision contrat déficitaire SNCM 2011 V3 30 05 2011_Maquette PLT" xfId="2449" xr:uid="{00000000-0005-0000-0000-0000D6090000}"/>
    <cellStyle name="s_model2_Actualisation provision contrat déficitaire SNCM 2011 V3 30 05 2011_Output" xfId="3428" xr:uid="{00000000-0005-0000-0000-0000D7090000}"/>
    <cellStyle name="s_model2_Actualisation provision contrat déficitaire SNCM 2011 V3 30 05 2011_PAO-CAF-RESOP_04_13_pro_format_variante T1" xfId="2450" xr:uid="{00000000-0005-0000-0000-0000D8090000}"/>
    <cellStyle name="s_model2_Actualisation provision contrat déficitaire SNCM 2011 V3 30 05 2011_PAO-CAF-RESOP_04_13_pro_format_variante T1_B14_E2_2210" xfId="2451" xr:uid="{00000000-0005-0000-0000-0000D9090000}"/>
    <cellStyle name="s_model2_Actualisation provision contrat déficitaire SNCM 2011 V3 30 05 2011_PAO-CAF-RESOP_04_13_pro_format_variante T1_B14_E2_2210_Bridge_Zone_Sud" xfId="2452" xr:uid="{00000000-0005-0000-0000-0000DA090000}"/>
    <cellStyle name="s_model2_Actualisation provision contrat déficitaire SNCM 2011 V3 30 05 2011_PAO-CAF-RESOP_04_13_pro_format_variante T1_Bridge_Zone_Sud" xfId="2453" xr:uid="{00000000-0005-0000-0000-0000DB090000}"/>
    <cellStyle name="s_model2_Actualisation provision contrat déficitaire SNCM 2011 V3 30 05 2011_PAO-CAF-RESOP_06_13" xfId="2454" xr:uid="{00000000-0005-0000-0000-0000DC090000}"/>
    <cellStyle name="s_model2_Actualisation provision contrat déficitaire SNCM 2011 V3 30 05 2011_PAO-CAF-RESOP_06_13_B14_E2_2210" xfId="2455" xr:uid="{00000000-0005-0000-0000-0000DD090000}"/>
    <cellStyle name="s_model2_Actualisation provision contrat déficitaire SNCM 2011 V3 30 05 2011_PAO-CAF-RESOP_06_13_B14_E2_2210_Bridge_Zone_Sud" xfId="2456" xr:uid="{00000000-0005-0000-0000-0000DE090000}"/>
    <cellStyle name="s_model2_Actualisation provision contrat déficitaire SNCM 2011 V3 30 05 2011_PAO-CAF-RESOP_06_13_Bridge_Zone_Sud" xfId="2457" xr:uid="{00000000-0005-0000-0000-0000DF090000}"/>
    <cellStyle name="s_model2_Actualisation provision contrat déficitaire SNCM 2011 V3 30 05 2011_PAO-CAF-RESOP_08_13" xfId="2458" xr:uid="{00000000-0005-0000-0000-0000E0090000}"/>
    <cellStyle name="s_model2_Actualisation provision contrat déficitaire SNCM 2011 V3 30 05 2011_PAO-CAF-RESOP_08_13_B14_E2_2210" xfId="2459" xr:uid="{00000000-0005-0000-0000-0000E1090000}"/>
    <cellStyle name="s_model2_Actualisation provision contrat déficitaire SNCM 2011 V3 30 05 2011_PAO-CAF-RESOP_08_13_B14_E2_2210_Bridge_Zone_Sud" xfId="2460" xr:uid="{00000000-0005-0000-0000-0000E2090000}"/>
    <cellStyle name="s_model2_Actualisation provision contrat déficitaire SNCM 2011 V3 30 05 2011_PAO-CAF-RESOP_08_13_Bridge_Zone_Sud" xfId="2461" xr:uid="{00000000-0005-0000-0000-0000E3090000}"/>
    <cellStyle name="s_model2_Actualisation provision contrat déficitaire SNCM 2011 V3 30 05 2011_PAO-CAF-RESOP_09_13" xfId="2462" xr:uid="{00000000-0005-0000-0000-0000E4090000}"/>
    <cellStyle name="s_model2_Actualisation provision contrat déficitaire SNCM 2011 V3 30 05 2011_PAO-CAF-RESOP_09_13_Bridge_Zone_Sud" xfId="2463" xr:uid="{00000000-0005-0000-0000-0000E5090000}"/>
    <cellStyle name="s_model2_Actualisation provision contrat déficitaire SNCM 2011 V3 30 05 2011_PAO-CAF-RESOP_09_2013_Zone_IDF (version 2)" xfId="2464" xr:uid="{00000000-0005-0000-0000-0000E6090000}"/>
    <cellStyle name="s_model2_Actualisation provision contrat déficitaire SNCM 2011 V3 30 05 2011_PAO-CAF-RESOP_10_12" xfId="2465" xr:uid="{00000000-0005-0000-0000-0000E7090000}"/>
    <cellStyle name="s_model2_Actualisation provision contrat déficitaire SNCM 2011 V3 30 05 2011_PAO-CAF-RESOP_10_12_Bridge_Zone_Sud" xfId="2466" xr:uid="{00000000-0005-0000-0000-0000E8090000}"/>
    <cellStyle name="s_model2_Actualisation provision contrat déficitaire SNCM 2011 V3 30 05 2011_PAO-CAF-RESOP_10_12_focus par entités CAFOP" xfId="2467" xr:uid="{00000000-0005-0000-0000-0000E9090000}"/>
    <cellStyle name="s_model2_Actualisation provision contrat déficitaire SNCM 2011 V3 30 05 2011_PAO-CAF-RESOP_10_12_focus par entités CAFOP_Bridge_Zone_Sud" xfId="2468" xr:uid="{00000000-0005-0000-0000-0000EA090000}"/>
    <cellStyle name="s_model2_Actualisation provision contrat déficitaire SNCM 2011 V3 30 05 2011_PAO-CAF-RESOP_11_13" xfId="2469" xr:uid="{00000000-0005-0000-0000-0000EB090000}"/>
    <cellStyle name="s_model2_Actualisation provision contrat déficitaire SNCM 2011 V3 30 05 2011_PAO-CAF-RESOP_B13" xfId="2470" xr:uid="{00000000-0005-0000-0000-0000EC090000}"/>
    <cellStyle name="s_model2_Actualisation provision contrat déficitaire SNCM 2011 V3 30 05 2011_PAO-CAF-RESOP_B13_Bridge_Zone_Sud" xfId="2471" xr:uid="{00000000-0005-0000-0000-0000ED090000}"/>
    <cellStyle name="s_model2_Actualisation provision contrat déficitaire SNCM 2011 V3 30 05 2011_PAO-CAF-RESOP_B13_focus par entités CAFOP" xfId="2472" xr:uid="{00000000-0005-0000-0000-0000EE090000}"/>
    <cellStyle name="s_model2_Actualisation provision contrat déficitaire SNCM 2011 V3 30 05 2011_PAO-CAF-RESOP_B13_focus par entités CAFOP_Bridge_Zone_Sud" xfId="2473" xr:uid="{00000000-0005-0000-0000-0000EF090000}"/>
    <cellStyle name="s_model2_Actualisation provision contrat déficitaire SNCM 2011 V3 30 05 2011_PAO-CAF-RESOP_B2014" xfId="2474" xr:uid="{00000000-0005-0000-0000-0000F0090000}"/>
    <cellStyle name="s_model2_Actualisation provision contrat déficitaire SNCM 2011 V3 30 05 2011_PAO-CAF-RESOP_B2014_Bridge_Zone_Sud" xfId="2475" xr:uid="{00000000-0005-0000-0000-0000F1090000}"/>
    <cellStyle name="s_model2_Actualisation provision contrat déficitaire SNCM 2011 V3 30 05 2011_PAO-CAF-RESOP_B2014_v2" xfId="2476" xr:uid="{00000000-0005-0000-0000-0000F2090000}"/>
    <cellStyle name="s_model2_Actualisation provision contrat déficitaire SNCM 2011 V3 30 05 2011_PAO-CAF-RESOP_E2_13" xfId="2477" xr:uid="{00000000-0005-0000-0000-0000F3090000}"/>
    <cellStyle name="s_model2_Actualisation provision contrat déficitaire SNCM 2011 V3 30 05 2011_PAO-CAF-RESOP_E2_13_B14_E2_2210" xfId="2478" xr:uid="{00000000-0005-0000-0000-0000F4090000}"/>
    <cellStyle name="s_model2_Actualisation provision contrat déficitaire SNCM 2011 V3 30 05 2011_PAO-CAF-RESOP_E2_13_B14_E2_2210_Bridge_Zone_Sud" xfId="2479" xr:uid="{00000000-0005-0000-0000-0000F5090000}"/>
    <cellStyle name="s_model2_Actualisation provision contrat déficitaire SNCM 2011 V3 30 05 2011_PAO-CAF-RESOP_E2_13_Bridge_Zone_Sud" xfId="2480" xr:uid="{00000000-0005-0000-0000-0000F6090000}"/>
    <cellStyle name="s_model2_Actualisation provision contrat déficitaire SNCM 2011 V3 30 05 2011_PAO-CAF-RESOP_E2_2013_03_10_19H" xfId="2481" xr:uid="{00000000-0005-0000-0000-0000F7090000}"/>
    <cellStyle name="s_model2_Actualisation provision contrat déficitaire SNCM 2011 V3 30 05 2011_PAO-CAF-RESOP_E2_2013_03_10_19H_Bridge_Zone_Sud" xfId="2482" xr:uid="{00000000-0005-0000-0000-0000F8090000}"/>
    <cellStyle name="s_model2_Actualisation provision contrat déficitaire SNCM 2011 V3 30 05 2011_PPA" xfId="2483" xr:uid="{00000000-0005-0000-0000-0000F9090000}"/>
    <cellStyle name="s_model2_Actualisation provision contrat déficitaire SNCM 2011 V3 30 05 2011_RESOP bef CICE&amp;PPA&amp;RepartHO" xfId="2484" xr:uid="{00000000-0005-0000-0000-0000FA090000}"/>
    <cellStyle name="s_model2_Actualisation provision contrat déficitaire SNCM 2011 V3 30 05 2011_Synthèse_Présentation_conso_retraitée" xfId="2485" xr:uid="{00000000-0005-0000-0000-0000FB090000}"/>
    <cellStyle name="s_model2_B14_E2_2210" xfId="2486" xr:uid="{00000000-0005-0000-0000-0000FC090000}"/>
    <cellStyle name="s_model2_B14_E2_2210_Bridge_Zone_Sud" xfId="2487" xr:uid="{00000000-0005-0000-0000-0000FD090000}"/>
    <cellStyle name="s_model2_BFR_TD_2014.02" xfId="2488" xr:uid="{00000000-0005-0000-0000-0000FE090000}"/>
    <cellStyle name="s_model2_Bridge_Zone_Nord" xfId="2489" xr:uid="{00000000-0005-0000-0000-0000FF090000}"/>
    <cellStyle name="s_model2_CAPEM BY COUNTRY" xfId="2490" xr:uid="{00000000-0005-0000-0000-0000000A0000}"/>
    <cellStyle name="s_model2_LI819L_B13" xfId="2491" xr:uid="{00000000-0005-0000-0000-0000010A0000}"/>
    <cellStyle name="s_model2_LI819L_B13_CAPEM BY COUNTRY" xfId="2492" xr:uid="{00000000-0005-0000-0000-0000020A0000}"/>
    <cellStyle name="s_model2_LI819L_B13_Maquette PLT" xfId="2493" xr:uid="{00000000-0005-0000-0000-0000030A0000}"/>
    <cellStyle name="s_model2_LI819L_B13_Output" xfId="3429" xr:uid="{00000000-0005-0000-0000-0000040A0000}"/>
    <cellStyle name="s_model2_LI819L_B13_PPA" xfId="2494" xr:uid="{00000000-0005-0000-0000-0000050A0000}"/>
    <cellStyle name="s_model2_LI819L_B13_RESOP bef CICE&amp;PPA&amp;RepartHO" xfId="2495" xr:uid="{00000000-0005-0000-0000-0000060A0000}"/>
    <cellStyle name="s_model2_Maquette PLT" xfId="2496" xr:uid="{00000000-0005-0000-0000-0000070A0000}"/>
    <cellStyle name="s_model2_Output" xfId="3426" xr:uid="{00000000-0005-0000-0000-0000080A0000}"/>
    <cellStyle name="s_model2_PAO-CAF-RESOP_14_01_13 à 20h" xfId="2497" xr:uid="{00000000-0005-0000-0000-0000090A0000}"/>
    <cellStyle name="s_model2_PAO-CAF-RESOP_14_01_13 à 20h_CAPEM BY COUNTRY" xfId="2498" xr:uid="{00000000-0005-0000-0000-00000A0A0000}"/>
    <cellStyle name="s_model2_PAO-CAF-RESOP_14_01_13 à 20h_Maquette PLT" xfId="2499" xr:uid="{00000000-0005-0000-0000-00000B0A0000}"/>
    <cellStyle name="s_model2_PAO-CAF-RESOP_14_01_13 à 20h_Output" xfId="3430" xr:uid="{00000000-0005-0000-0000-00000C0A0000}"/>
    <cellStyle name="s_model2_PAO-CAF-RESOP_14_01_13 à 20h_PPA" xfId="2500" xr:uid="{00000000-0005-0000-0000-00000D0A0000}"/>
    <cellStyle name="s_model2_PAO-CAF-RESOP_14_01_13 à 20h_RESOP bef CICE&amp;PPA&amp;RepartHO" xfId="2501" xr:uid="{00000000-0005-0000-0000-00000E0A0000}"/>
    <cellStyle name="s_model2_PAO-CAF-RESOP_2014.02" xfId="2502" xr:uid="{00000000-0005-0000-0000-00000F0A0000}"/>
    <cellStyle name="s_model2_PAO-CAF-RESOP_2014.02_Bridge_Zone_Sud" xfId="2503" xr:uid="{00000000-0005-0000-0000-0000100A0000}"/>
    <cellStyle name="s_model2_PPA" xfId="2504" xr:uid="{00000000-0005-0000-0000-0000110A0000}"/>
    <cellStyle name="s_model2_RESOP bef CICE&amp;PPA&amp;RepartHO" xfId="2505" xr:uid="{00000000-0005-0000-0000-0000120A0000}"/>
    <cellStyle name="s_Output" xfId="3366" xr:uid="{00000000-0005-0000-0000-0000130A0000}"/>
    <cellStyle name="s_P_L_Ratios" xfId="2506" xr:uid="{00000000-0005-0000-0000-0000140A0000}"/>
    <cellStyle name="s_P_L_Ratios_Actualisation provision contrat déficitaire SNCM 2010 V Def" xfId="2507" xr:uid="{00000000-0005-0000-0000-0000150A0000}"/>
    <cellStyle name="s_P_L_Ratios_Actualisation provision contrat déficitaire SNCM 2010 V Def_B14_E2_2210" xfId="2508" xr:uid="{00000000-0005-0000-0000-0000160A0000}"/>
    <cellStyle name="s_P_L_Ratios_Actualisation provision contrat déficitaire SNCM 2010 V Def_B14_E2_2210_Bridge_Zone_Sud" xfId="2509" xr:uid="{00000000-0005-0000-0000-0000170A0000}"/>
    <cellStyle name="s_P_L_Ratios_Actualisation provision contrat déficitaire SNCM 2010 V Def_Bridge_Zone_Sud" xfId="2510" xr:uid="{00000000-0005-0000-0000-0000180A0000}"/>
    <cellStyle name="s_P_L_Ratios_Actualisation provision contrat déficitaire SNCM 2010 V Def_CAPEM BY COUNTRY" xfId="2511" xr:uid="{00000000-0005-0000-0000-0000190A0000}"/>
    <cellStyle name="s_P_L_Ratios_Actualisation provision contrat déficitaire SNCM 2010 V Def_focus par entités CAFOPE2AMF" xfId="2512" xr:uid="{00000000-0005-0000-0000-00001A0A0000}"/>
    <cellStyle name="s_P_L_Ratios_Actualisation provision contrat déficitaire SNCM 2010 V Def_focus par entités CAFOPE2AMF_Bridge_Zone_Sud" xfId="2513" xr:uid="{00000000-0005-0000-0000-00001B0A0000}"/>
    <cellStyle name="s_P_L_Ratios_Actualisation provision contrat déficitaire SNCM 2010 V Def_Maquette PLT" xfId="2514" xr:uid="{00000000-0005-0000-0000-00001C0A0000}"/>
    <cellStyle name="s_P_L_Ratios_Actualisation provision contrat déficitaire SNCM 2010 V Def_Output" xfId="3432" xr:uid="{00000000-0005-0000-0000-00001D0A0000}"/>
    <cellStyle name="s_P_L_Ratios_Actualisation provision contrat déficitaire SNCM 2010 V Def_PAO-CAF-RESOP_04_13_pro_format_variante T1" xfId="2515" xr:uid="{00000000-0005-0000-0000-00001E0A0000}"/>
    <cellStyle name="s_P_L_Ratios_Actualisation provision contrat déficitaire SNCM 2010 V Def_PAO-CAF-RESOP_04_13_pro_format_variante T1_B14_E2_2210" xfId="2516" xr:uid="{00000000-0005-0000-0000-00001F0A0000}"/>
    <cellStyle name="s_P_L_Ratios_Actualisation provision contrat déficitaire SNCM 2010 V Def_PAO-CAF-RESOP_04_13_pro_format_variante T1_B14_E2_2210_Bridge_Zone_Sud" xfId="2517" xr:uid="{00000000-0005-0000-0000-0000200A0000}"/>
    <cellStyle name="s_P_L_Ratios_Actualisation provision contrat déficitaire SNCM 2010 V Def_PAO-CAF-RESOP_04_13_pro_format_variante T1_Bridge_Zone_Sud" xfId="2518" xr:uid="{00000000-0005-0000-0000-0000210A0000}"/>
    <cellStyle name="s_P_L_Ratios_Actualisation provision contrat déficitaire SNCM 2010 V Def_PAO-CAF-RESOP_06_13" xfId="2519" xr:uid="{00000000-0005-0000-0000-0000220A0000}"/>
    <cellStyle name="s_P_L_Ratios_Actualisation provision contrat déficitaire SNCM 2010 V Def_PAO-CAF-RESOP_06_13_B14_E2_2210" xfId="2520" xr:uid="{00000000-0005-0000-0000-0000230A0000}"/>
    <cellStyle name="s_P_L_Ratios_Actualisation provision contrat déficitaire SNCM 2010 V Def_PAO-CAF-RESOP_06_13_B14_E2_2210_Bridge_Zone_Sud" xfId="2521" xr:uid="{00000000-0005-0000-0000-0000240A0000}"/>
    <cellStyle name="s_P_L_Ratios_Actualisation provision contrat déficitaire SNCM 2010 V Def_PAO-CAF-RESOP_06_13_Bridge_Zone_Sud" xfId="2522" xr:uid="{00000000-0005-0000-0000-0000250A0000}"/>
    <cellStyle name="s_P_L_Ratios_Actualisation provision contrat déficitaire SNCM 2010 V Def_PAO-CAF-RESOP_08_13" xfId="2523" xr:uid="{00000000-0005-0000-0000-0000260A0000}"/>
    <cellStyle name="s_P_L_Ratios_Actualisation provision contrat déficitaire SNCM 2010 V Def_PAO-CAF-RESOP_08_13_B14_E2_2210" xfId="2524" xr:uid="{00000000-0005-0000-0000-0000270A0000}"/>
    <cellStyle name="s_P_L_Ratios_Actualisation provision contrat déficitaire SNCM 2010 V Def_PAO-CAF-RESOP_08_13_B14_E2_2210_Bridge_Zone_Sud" xfId="2525" xr:uid="{00000000-0005-0000-0000-0000280A0000}"/>
    <cellStyle name="s_P_L_Ratios_Actualisation provision contrat déficitaire SNCM 2010 V Def_PAO-CAF-RESOP_08_13_Bridge_Zone_Sud" xfId="2526" xr:uid="{00000000-0005-0000-0000-0000290A0000}"/>
    <cellStyle name="s_P_L_Ratios_Actualisation provision contrat déficitaire SNCM 2010 V Def_PAO-CAF-RESOP_09_13" xfId="2527" xr:uid="{00000000-0005-0000-0000-00002A0A0000}"/>
    <cellStyle name="s_P_L_Ratios_Actualisation provision contrat déficitaire SNCM 2010 V Def_PAO-CAF-RESOP_09_13_Bridge_Zone_Sud" xfId="2528" xr:uid="{00000000-0005-0000-0000-00002B0A0000}"/>
    <cellStyle name="s_P_L_Ratios_Actualisation provision contrat déficitaire SNCM 2010 V Def_PAO-CAF-RESOP_09_2013_Zone_IDF (version 2)" xfId="2529" xr:uid="{00000000-0005-0000-0000-00002C0A0000}"/>
    <cellStyle name="s_P_L_Ratios_Actualisation provision contrat déficitaire SNCM 2010 V Def_PAO-CAF-RESOP_10_12" xfId="2530" xr:uid="{00000000-0005-0000-0000-00002D0A0000}"/>
    <cellStyle name="s_P_L_Ratios_Actualisation provision contrat déficitaire SNCM 2010 V Def_PAO-CAF-RESOP_10_12_Bridge_Zone_Sud" xfId="2531" xr:uid="{00000000-0005-0000-0000-00002E0A0000}"/>
    <cellStyle name="s_P_L_Ratios_Actualisation provision contrat déficitaire SNCM 2010 V Def_PAO-CAF-RESOP_10_12_focus par entités CAFOP" xfId="2532" xr:uid="{00000000-0005-0000-0000-00002F0A0000}"/>
    <cellStyle name="s_P_L_Ratios_Actualisation provision contrat déficitaire SNCM 2010 V Def_PAO-CAF-RESOP_10_12_focus par entités CAFOP_Bridge_Zone_Sud" xfId="2533" xr:uid="{00000000-0005-0000-0000-0000300A0000}"/>
    <cellStyle name="s_P_L_Ratios_Actualisation provision contrat déficitaire SNCM 2010 V Def_PAO-CAF-RESOP_11_13" xfId="2534" xr:uid="{00000000-0005-0000-0000-0000310A0000}"/>
    <cellStyle name="s_P_L_Ratios_Actualisation provision contrat déficitaire SNCM 2010 V Def_PAO-CAF-RESOP_B13" xfId="2535" xr:uid="{00000000-0005-0000-0000-0000320A0000}"/>
    <cellStyle name="s_P_L_Ratios_Actualisation provision contrat déficitaire SNCM 2010 V Def_PAO-CAF-RESOP_B13_Bridge_Zone_Sud" xfId="2536" xr:uid="{00000000-0005-0000-0000-0000330A0000}"/>
    <cellStyle name="s_P_L_Ratios_Actualisation provision contrat déficitaire SNCM 2010 V Def_PAO-CAF-RESOP_B13_focus par entités CAFOP" xfId="2537" xr:uid="{00000000-0005-0000-0000-0000340A0000}"/>
    <cellStyle name="s_P_L_Ratios_Actualisation provision contrat déficitaire SNCM 2010 V Def_PAO-CAF-RESOP_B13_focus par entités CAFOP_Bridge_Zone_Sud" xfId="2538" xr:uid="{00000000-0005-0000-0000-0000350A0000}"/>
    <cellStyle name="s_P_L_Ratios_Actualisation provision contrat déficitaire SNCM 2010 V Def_PAO-CAF-RESOP_B2014" xfId="2539" xr:uid="{00000000-0005-0000-0000-0000360A0000}"/>
    <cellStyle name="s_P_L_Ratios_Actualisation provision contrat déficitaire SNCM 2010 V Def_PAO-CAF-RESOP_B2014_Bridge_Zone_Sud" xfId="2540" xr:uid="{00000000-0005-0000-0000-0000370A0000}"/>
    <cellStyle name="s_P_L_Ratios_Actualisation provision contrat déficitaire SNCM 2010 V Def_PAO-CAF-RESOP_B2014_v2" xfId="2541" xr:uid="{00000000-0005-0000-0000-0000380A0000}"/>
    <cellStyle name="s_P_L_Ratios_Actualisation provision contrat déficitaire SNCM 2010 V Def_PAO-CAF-RESOP_E2_13" xfId="2542" xr:uid="{00000000-0005-0000-0000-0000390A0000}"/>
    <cellStyle name="s_P_L_Ratios_Actualisation provision contrat déficitaire SNCM 2010 V Def_PAO-CAF-RESOP_E2_13_B14_E2_2210" xfId="2543" xr:uid="{00000000-0005-0000-0000-00003A0A0000}"/>
    <cellStyle name="s_P_L_Ratios_Actualisation provision contrat déficitaire SNCM 2010 V Def_PAO-CAF-RESOP_E2_13_B14_E2_2210_Bridge_Zone_Sud" xfId="2544" xr:uid="{00000000-0005-0000-0000-00003B0A0000}"/>
    <cellStyle name="s_P_L_Ratios_Actualisation provision contrat déficitaire SNCM 2010 V Def_PAO-CAF-RESOP_E2_13_Bridge_Zone_Sud" xfId="2545" xr:uid="{00000000-0005-0000-0000-00003C0A0000}"/>
    <cellStyle name="s_P_L_Ratios_Actualisation provision contrat déficitaire SNCM 2010 V Def_PAO-CAF-RESOP_E2_2013_03_10_19H" xfId="2546" xr:uid="{00000000-0005-0000-0000-00003D0A0000}"/>
    <cellStyle name="s_P_L_Ratios_Actualisation provision contrat déficitaire SNCM 2010 V Def_PAO-CAF-RESOP_E2_2013_03_10_19H_Bridge_Zone_Sud" xfId="2547" xr:uid="{00000000-0005-0000-0000-00003E0A0000}"/>
    <cellStyle name="s_P_L_Ratios_Actualisation provision contrat déficitaire SNCM 2010 V Def_PPA" xfId="2548" xr:uid="{00000000-0005-0000-0000-00003F0A0000}"/>
    <cellStyle name="s_P_L_Ratios_Actualisation provision contrat déficitaire SNCM 2010 V Def_RESOP bef CICE&amp;PPA&amp;RepartHO" xfId="2549" xr:uid="{00000000-0005-0000-0000-0000400A0000}"/>
    <cellStyle name="s_P_L_Ratios_Actualisation provision contrat déficitaire SNCM 2010 V Def_Synthèse_Présentation_conso_retraitée" xfId="2550" xr:uid="{00000000-0005-0000-0000-0000410A0000}"/>
    <cellStyle name="s_P_L_Ratios_Actualisation provision contrat déficitaire SNCM 2011 V3 30 05 2011" xfId="2551" xr:uid="{00000000-0005-0000-0000-0000420A0000}"/>
    <cellStyle name="s_P_L_Ratios_Actualisation provision contrat déficitaire SNCM 2011 V3 30 05 2011_B14_E2_2210" xfId="2552" xr:uid="{00000000-0005-0000-0000-0000430A0000}"/>
    <cellStyle name="s_P_L_Ratios_Actualisation provision contrat déficitaire SNCM 2011 V3 30 05 2011_B14_E2_2210_Bridge_Zone_Sud" xfId="2553" xr:uid="{00000000-0005-0000-0000-0000440A0000}"/>
    <cellStyle name="s_P_L_Ratios_Actualisation provision contrat déficitaire SNCM 2011 V3 30 05 2011_Bridge_Zone_Sud" xfId="2554" xr:uid="{00000000-0005-0000-0000-0000450A0000}"/>
    <cellStyle name="s_P_L_Ratios_Actualisation provision contrat déficitaire SNCM 2011 V3 30 05 2011_CAPEM BY COUNTRY" xfId="2555" xr:uid="{00000000-0005-0000-0000-0000460A0000}"/>
    <cellStyle name="s_P_L_Ratios_Actualisation provision contrat déficitaire SNCM 2011 V3 30 05 2011_focus par entités CAFOPE2AMF" xfId="2556" xr:uid="{00000000-0005-0000-0000-0000470A0000}"/>
    <cellStyle name="s_P_L_Ratios_Actualisation provision contrat déficitaire SNCM 2011 V3 30 05 2011_focus par entités CAFOPE2AMF_Bridge_Zone_Sud" xfId="2557" xr:uid="{00000000-0005-0000-0000-0000480A0000}"/>
    <cellStyle name="s_P_L_Ratios_Actualisation provision contrat déficitaire SNCM 2011 V3 30 05 2011_Maquette PLT" xfId="2558" xr:uid="{00000000-0005-0000-0000-0000490A0000}"/>
    <cellStyle name="s_P_L_Ratios_Actualisation provision contrat déficitaire SNCM 2011 V3 30 05 2011_Output" xfId="3433" xr:uid="{00000000-0005-0000-0000-00004A0A0000}"/>
    <cellStyle name="s_P_L_Ratios_Actualisation provision contrat déficitaire SNCM 2011 V3 30 05 2011_PAO-CAF-RESOP_04_13_pro_format_variante T1" xfId="2559" xr:uid="{00000000-0005-0000-0000-00004B0A0000}"/>
    <cellStyle name="s_P_L_Ratios_Actualisation provision contrat déficitaire SNCM 2011 V3 30 05 2011_PAO-CAF-RESOP_04_13_pro_format_variante T1_B14_E2_2210" xfId="2560" xr:uid="{00000000-0005-0000-0000-00004C0A0000}"/>
    <cellStyle name="s_P_L_Ratios_Actualisation provision contrat déficitaire SNCM 2011 V3 30 05 2011_PAO-CAF-RESOP_04_13_pro_format_variante T1_B14_E2_2210_Bridge_Zone_Sud" xfId="2561" xr:uid="{00000000-0005-0000-0000-00004D0A0000}"/>
    <cellStyle name="s_P_L_Ratios_Actualisation provision contrat déficitaire SNCM 2011 V3 30 05 2011_PAO-CAF-RESOP_04_13_pro_format_variante T1_Bridge_Zone_Sud" xfId="2562" xr:uid="{00000000-0005-0000-0000-00004E0A0000}"/>
    <cellStyle name="s_P_L_Ratios_Actualisation provision contrat déficitaire SNCM 2011 V3 30 05 2011_PAO-CAF-RESOP_06_13" xfId="2563" xr:uid="{00000000-0005-0000-0000-00004F0A0000}"/>
    <cellStyle name="s_P_L_Ratios_Actualisation provision contrat déficitaire SNCM 2011 V3 30 05 2011_PAO-CAF-RESOP_06_13_B14_E2_2210" xfId="2564" xr:uid="{00000000-0005-0000-0000-0000500A0000}"/>
    <cellStyle name="s_P_L_Ratios_Actualisation provision contrat déficitaire SNCM 2011 V3 30 05 2011_PAO-CAF-RESOP_06_13_B14_E2_2210_Bridge_Zone_Sud" xfId="2565" xr:uid="{00000000-0005-0000-0000-0000510A0000}"/>
    <cellStyle name="s_P_L_Ratios_Actualisation provision contrat déficitaire SNCM 2011 V3 30 05 2011_PAO-CAF-RESOP_06_13_Bridge_Zone_Sud" xfId="2566" xr:uid="{00000000-0005-0000-0000-0000520A0000}"/>
    <cellStyle name="s_P_L_Ratios_Actualisation provision contrat déficitaire SNCM 2011 V3 30 05 2011_PAO-CAF-RESOP_08_13" xfId="2567" xr:uid="{00000000-0005-0000-0000-0000530A0000}"/>
    <cellStyle name="s_P_L_Ratios_Actualisation provision contrat déficitaire SNCM 2011 V3 30 05 2011_PAO-CAF-RESOP_08_13_B14_E2_2210" xfId="2568" xr:uid="{00000000-0005-0000-0000-0000540A0000}"/>
    <cellStyle name="s_P_L_Ratios_Actualisation provision contrat déficitaire SNCM 2011 V3 30 05 2011_PAO-CAF-RESOP_08_13_B14_E2_2210_Bridge_Zone_Sud" xfId="2569" xr:uid="{00000000-0005-0000-0000-0000550A0000}"/>
    <cellStyle name="s_P_L_Ratios_Actualisation provision contrat déficitaire SNCM 2011 V3 30 05 2011_PAO-CAF-RESOP_08_13_Bridge_Zone_Sud" xfId="2570" xr:uid="{00000000-0005-0000-0000-0000560A0000}"/>
    <cellStyle name="s_P_L_Ratios_Actualisation provision contrat déficitaire SNCM 2011 V3 30 05 2011_PAO-CAF-RESOP_09_13" xfId="2571" xr:uid="{00000000-0005-0000-0000-0000570A0000}"/>
    <cellStyle name="s_P_L_Ratios_Actualisation provision contrat déficitaire SNCM 2011 V3 30 05 2011_PAO-CAF-RESOP_09_13_Bridge_Zone_Sud" xfId="2572" xr:uid="{00000000-0005-0000-0000-0000580A0000}"/>
    <cellStyle name="s_P_L_Ratios_Actualisation provision contrat déficitaire SNCM 2011 V3 30 05 2011_PAO-CAF-RESOP_09_2013_Zone_IDF (version 2)" xfId="2573" xr:uid="{00000000-0005-0000-0000-0000590A0000}"/>
    <cellStyle name="s_P_L_Ratios_Actualisation provision contrat déficitaire SNCM 2011 V3 30 05 2011_PAO-CAF-RESOP_10_12" xfId="2574" xr:uid="{00000000-0005-0000-0000-00005A0A0000}"/>
    <cellStyle name="s_P_L_Ratios_Actualisation provision contrat déficitaire SNCM 2011 V3 30 05 2011_PAO-CAF-RESOP_10_12_Bridge_Zone_Sud" xfId="2575" xr:uid="{00000000-0005-0000-0000-00005B0A0000}"/>
    <cellStyle name="s_P_L_Ratios_Actualisation provision contrat déficitaire SNCM 2011 V3 30 05 2011_PAO-CAF-RESOP_10_12_focus par entités CAFOP" xfId="2576" xr:uid="{00000000-0005-0000-0000-00005C0A0000}"/>
    <cellStyle name="s_P_L_Ratios_Actualisation provision contrat déficitaire SNCM 2011 V3 30 05 2011_PAO-CAF-RESOP_10_12_focus par entités CAFOP_Bridge_Zone_Sud" xfId="2577" xr:uid="{00000000-0005-0000-0000-00005D0A0000}"/>
    <cellStyle name="s_P_L_Ratios_Actualisation provision contrat déficitaire SNCM 2011 V3 30 05 2011_PAO-CAF-RESOP_11_13" xfId="2578" xr:uid="{00000000-0005-0000-0000-00005E0A0000}"/>
    <cellStyle name="s_P_L_Ratios_Actualisation provision contrat déficitaire SNCM 2011 V3 30 05 2011_PAO-CAF-RESOP_B13" xfId="2579" xr:uid="{00000000-0005-0000-0000-00005F0A0000}"/>
    <cellStyle name="s_P_L_Ratios_Actualisation provision contrat déficitaire SNCM 2011 V3 30 05 2011_PAO-CAF-RESOP_B13_Bridge_Zone_Sud" xfId="2580" xr:uid="{00000000-0005-0000-0000-0000600A0000}"/>
    <cellStyle name="s_P_L_Ratios_Actualisation provision contrat déficitaire SNCM 2011 V3 30 05 2011_PAO-CAF-RESOP_B13_focus par entités CAFOP" xfId="2581" xr:uid="{00000000-0005-0000-0000-0000610A0000}"/>
    <cellStyle name="s_P_L_Ratios_Actualisation provision contrat déficitaire SNCM 2011 V3 30 05 2011_PAO-CAF-RESOP_B13_focus par entités CAFOP_Bridge_Zone_Sud" xfId="2582" xr:uid="{00000000-0005-0000-0000-0000620A0000}"/>
    <cellStyle name="s_P_L_Ratios_Actualisation provision contrat déficitaire SNCM 2011 V3 30 05 2011_PAO-CAF-RESOP_B2014" xfId="2583" xr:uid="{00000000-0005-0000-0000-0000630A0000}"/>
    <cellStyle name="s_P_L_Ratios_Actualisation provision contrat déficitaire SNCM 2011 V3 30 05 2011_PAO-CAF-RESOP_B2014_Bridge_Zone_Sud" xfId="2584" xr:uid="{00000000-0005-0000-0000-0000640A0000}"/>
    <cellStyle name="s_P_L_Ratios_Actualisation provision contrat déficitaire SNCM 2011 V3 30 05 2011_PAO-CAF-RESOP_B2014_v2" xfId="2585" xr:uid="{00000000-0005-0000-0000-0000650A0000}"/>
    <cellStyle name="s_P_L_Ratios_Actualisation provision contrat déficitaire SNCM 2011 V3 30 05 2011_PAO-CAF-RESOP_E2_13" xfId="2586" xr:uid="{00000000-0005-0000-0000-0000660A0000}"/>
    <cellStyle name="s_P_L_Ratios_Actualisation provision contrat déficitaire SNCM 2011 V3 30 05 2011_PAO-CAF-RESOP_E2_13_B14_E2_2210" xfId="2587" xr:uid="{00000000-0005-0000-0000-0000670A0000}"/>
    <cellStyle name="s_P_L_Ratios_Actualisation provision contrat déficitaire SNCM 2011 V3 30 05 2011_PAO-CAF-RESOP_E2_13_B14_E2_2210_Bridge_Zone_Sud" xfId="2588" xr:uid="{00000000-0005-0000-0000-0000680A0000}"/>
    <cellStyle name="s_P_L_Ratios_Actualisation provision contrat déficitaire SNCM 2011 V3 30 05 2011_PAO-CAF-RESOP_E2_13_Bridge_Zone_Sud" xfId="2589" xr:uid="{00000000-0005-0000-0000-0000690A0000}"/>
    <cellStyle name="s_P_L_Ratios_Actualisation provision contrat déficitaire SNCM 2011 V3 30 05 2011_PAO-CAF-RESOP_E2_2013_03_10_19H" xfId="2590" xr:uid="{00000000-0005-0000-0000-00006A0A0000}"/>
    <cellStyle name="s_P_L_Ratios_Actualisation provision contrat déficitaire SNCM 2011 V3 30 05 2011_PAO-CAF-RESOP_E2_2013_03_10_19H_Bridge_Zone_Sud" xfId="2591" xr:uid="{00000000-0005-0000-0000-00006B0A0000}"/>
    <cellStyle name="s_P_L_Ratios_Actualisation provision contrat déficitaire SNCM 2011 V3 30 05 2011_PPA" xfId="2592" xr:uid="{00000000-0005-0000-0000-00006C0A0000}"/>
    <cellStyle name="s_P_L_Ratios_Actualisation provision contrat déficitaire SNCM 2011 V3 30 05 2011_RESOP bef CICE&amp;PPA&amp;RepartHO" xfId="2593" xr:uid="{00000000-0005-0000-0000-00006D0A0000}"/>
    <cellStyle name="s_P_L_Ratios_Actualisation provision contrat déficitaire SNCM 2011 V3 30 05 2011_Synthèse_Présentation_conso_retraitée" xfId="2594" xr:uid="{00000000-0005-0000-0000-00006E0A0000}"/>
    <cellStyle name="s_P_L_Ratios_B" xfId="2595" xr:uid="{00000000-0005-0000-0000-00006F0A0000}"/>
    <cellStyle name="s_P_L_Ratios_B_Actualisation provision contrat déficitaire SNCM 2010 V Def" xfId="2596" xr:uid="{00000000-0005-0000-0000-0000700A0000}"/>
    <cellStyle name="s_P_L_Ratios_B_Actualisation provision contrat déficitaire SNCM 2010 V Def_B14_E2_2210" xfId="2597" xr:uid="{00000000-0005-0000-0000-0000710A0000}"/>
    <cellStyle name="s_P_L_Ratios_B_Actualisation provision contrat déficitaire SNCM 2010 V Def_B14_E2_2210_Bridge_Zone_Sud" xfId="2598" xr:uid="{00000000-0005-0000-0000-0000720A0000}"/>
    <cellStyle name="s_P_L_Ratios_B_Actualisation provision contrat déficitaire SNCM 2010 V Def_Bridge_Zone_Sud" xfId="2599" xr:uid="{00000000-0005-0000-0000-0000730A0000}"/>
    <cellStyle name="s_P_L_Ratios_B_Actualisation provision contrat déficitaire SNCM 2010 V Def_CAPEM BY COUNTRY" xfId="2600" xr:uid="{00000000-0005-0000-0000-0000740A0000}"/>
    <cellStyle name="s_P_L_Ratios_B_Actualisation provision contrat déficitaire SNCM 2010 V Def_focus par entités CAFOPE2AMF" xfId="2601" xr:uid="{00000000-0005-0000-0000-0000750A0000}"/>
    <cellStyle name="s_P_L_Ratios_B_Actualisation provision contrat déficitaire SNCM 2010 V Def_focus par entités CAFOPE2AMF_Bridge_Zone_Sud" xfId="2602" xr:uid="{00000000-0005-0000-0000-0000760A0000}"/>
    <cellStyle name="s_P_L_Ratios_B_Actualisation provision contrat déficitaire SNCM 2010 V Def_Maquette PLT" xfId="2603" xr:uid="{00000000-0005-0000-0000-0000770A0000}"/>
    <cellStyle name="s_P_L_Ratios_B_Actualisation provision contrat déficitaire SNCM 2010 V Def_Output" xfId="3435" xr:uid="{00000000-0005-0000-0000-0000780A0000}"/>
    <cellStyle name="s_P_L_Ratios_B_Actualisation provision contrat déficitaire SNCM 2010 V Def_PAO-CAF-RESOP_04_13_pro_format_variante T1" xfId="2604" xr:uid="{00000000-0005-0000-0000-0000790A0000}"/>
    <cellStyle name="s_P_L_Ratios_B_Actualisation provision contrat déficitaire SNCM 2010 V Def_PAO-CAF-RESOP_04_13_pro_format_variante T1_B14_E2_2210" xfId="2605" xr:uid="{00000000-0005-0000-0000-00007A0A0000}"/>
    <cellStyle name="s_P_L_Ratios_B_Actualisation provision contrat déficitaire SNCM 2010 V Def_PAO-CAF-RESOP_04_13_pro_format_variante T1_B14_E2_2210_Bridge_Zone_Sud" xfId="2606" xr:uid="{00000000-0005-0000-0000-00007B0A0000}"/>
    <cellStyle name="s_P_L_Ratios_B_Actualisation provision contrat déficitaire SNCM 2010 V Def_PAO-CAF-RESOP_04_13_pro_format_variante T1_Bridge_Zone_Sud" xfId="2607" xr:uid="{00000000-0005-0000-0000-00007C0A0000}"/>
    <cellStyle name="s_P_L_Ratios_B_Actualisation provision contrat déficitaire SNCM 2010 V Def_PAO-CAF-RESOP_06_13" xfId="2608" xr:uid="{00000000-0005-0000-0000-00007D0A0000}"/>
    <cellStyle name="s_P_L_Ratios_B_Actualisation provision contrat déficitaire SNCM 2010 V Def_PAO-CAF-RESOP_06_13_B14_E2_2210" xfId="2609" xr:uid="{00000000-0005-0000-0000-00007E0A0000}"/>
    <cellStyle name="s_P_L_Ratios_B_Actualisation provision contrat déficitaire SNCM 2010 V Def_PAO-CAF-RESOP_06_13_B14_E2_2210_Bridge_Zone_Sud" xfId="2610" xr:uid="{00000000-0005-0000-0000-00007F0A0000}"/>
    <cellStyle name="s_P_L_Ratios_B_Actualisation provision contrat déficitaire SNCM 2010 V Def_PAO-CAF-RESOP_06_13_Bridge_Zone_Sud" xfId="2611" xr:uid="{00000000-0005-0000-0000-0000800A0000}"/>
    <cellStyle name="s_P_L_Ratios_B_Actualisation provision contrat déficitaire SNCM 2010 V Def_PAO-CAF-RESOP_08_13" xfId="2612" xr:uid="{00000000-0005-0000-0000-0000810A0000}"/>
    <cellStyle name="s_P_L_Ratios_B_Actualisation provision contrat déficitaire SNCM 2010 V Def_PAO-CAF-RESOP_08_13_B14_E2_2210" xfId="2613" xr:uid="{00000000-0005-0000-0000-0000820A0000}"/>
    <cellStyle name="s_P_L_Ratios_B_Actualisation provision contrat déficitaire SNCM 2010 V Def_PAO-CAF-RESOP_08_13_B14_E2_2210_Bridge_Zone_Sud" xfId="2614" xr:uid="{00000000-0005-0000-0000-0000830A0000}"/>
    <cellStyle name="s_P_L_Ratios_B_Actualisation provision contrat déficitaire SNCM 2010 V Def_PAO-CAF-RESOP_08_13_Bridge_Zone_Sud" xfId="2615" xr:uid="{00000000-0005-0000-0000-0000840A0000}"/>
    <cellStyle name="s_P_L_Ratios_B_Actualisation provision contrat déficitaire SNCM 2010 V Def_PAO-CAF-RESOP_09_13" xfId="2616" xr:uid="{00000000-0005-0000-0000-0000850A0000}"/>
    <cellStyle name="s_P_L_Ratios_B_Actualisation provision contrat déficitaire SNCM 2010 V Def_PAO-CAF-RESOP_09_13_Bridge_Zone_Sud" xfId="2617" xr:uid="{00000000-0005-0000-0000-0000860A0000}"/>
    <cellStyle name="s_P_L_Ratios_B_Actualisation provision contrat déficitaire SNCM 2010 V Def_PAO-CAF-RESOP_09_2013_Zone_IDF (version 2)" xfId="2618" xr:uid="{00000000-0005-0000-0000-0000870A0000}"/>
    <cellStyle name="s_P_L_Ratios_B_Actualisation provision contrat déficitaire SNCM 2010 V Def_PAO-CAF-RESOP_10_12" xfId="2619" xr:uid="{00000000-0005-0000-0000-0000880A0000}"/>
    <cellStyle name="s_P_L_Ratios_B_Actualisation provision contrat déficitaire SNCM 2010 V Def_PAO-CAF-RESOP_10_12_Bridge_Zone_Sud" xfId="2620" xr:uid="{00000000-0005-0000-0000-0000890A0000}"/>
    <cellStyle name="s_P_L_Ratios_B_Actualisation provision contrat déficitaire SNCM 2010 V Def_PAO-CAF-RESOP_10_12_focus par entités CAFOP" xfId="2621" xr:uid="{00000000-0005-0000-0000-00008A0A0000}"/>
    <cellStyle name="s_P_L_Ratios_B_Actualisation provision contrat déficitaire SNCM 2010 V Def_PAO-CAF-RESOP_10_12_focus par entités CAFOP_Bridge_Zone_Sud" xfId="2622" xr:uid="{00000000-0005-0000-0000-00008B0A0000}"/>
    <cellStyle name="s_P_L_Ratios_B_Actualisation provision contrat déficitaire SNCM 2010 V Def_PAO-CAF-RESOP_11_13" xfId="2623" xr:uid="{00000000-0005-0000-0000-00008C0A0000}"/>
    <cellStyle name="s_P_L_Ratios_B_Actualisation provision contrat déficitaire SNCM 2010 V Def_PAO-CAF-RESOP_B13" xfId="2624" xr:uid="{00000000-0005-0000-0000-00008D0A0000}"/>
    <cellStyle name="s_P_L_Ratios_B_Actualisation provision contrat déficitaire SNCM 2010 V Def_PAO-CAF-RESOP_B13_Bridge_Zone_Sud" xfId="2625" xr:uid="{00000000-0005-0000-0000-00008E0A0000}"/>
    <cellStyle name="s_P_L_Ratios_B_Actualisation provision contrat déficitaire SNCM 2010 V Def_PAO-CAF-RESOP_B13_focus par entités CAFOP" xfId="2626" xr:uid="{00000000-0005-0000-0000-00008F0A0000}"/>
    <cellStyle name="s_P_L_Ratios_B_Actualisation provision contrat déficitaire SNCM 2010 V Def_PAO-CAF-RESOP_B13_focus par entités CAFOP_Bridge_Zone_Sud" xfId="2627" xr:uid="{00000000-0005-0000-0000-0000900A0000}"/>
    <cellStyle name="s_P_L_Ratios_B_Actualisation provision contrat déficitaire SNCM 2010 V Def_PAO-CAF-RESOP_B2014" xfId="2628" xr:uid="{00000000-0005-0000-0000-0000910A0000}"/>
    <cellStyle name="s_P_L_Ratios_B_Actualisation provision contrat déficitaire SNCM 2010 V Def_PAO-CAF-RESOP_B2014_Bridge_Zone_Sud" xfId="2629" xr:uid="{00000000-0005-0000-0000-0000920A0000}"/>
    <cellStyle name="s_P_L_Ratios_B_Actualisation provision contrat déficitaire SNCM 2010 V Def_PAO-CAF-RESOP_B2014_v2" xfId="2630" xr:uid="{00000000-0005-0000-0000-0000930A0000}"/>
    <cellStyle name="s_P_L_Ratios_B_Actualisation provision contrat déficitaire SNCM 2010 V Def_PAO-CAF-RESOP_E2_13" xfId="2631" xr:uid="{00000000-0005-0000-0000-0000940A0000}"/>
    <cellStyle name="s_P_L_Ratios_B_Actualisation provision contrat déficitaire SNCM 2010 V Def_PAO-CAF-RESOP_E2_13_B14_E2_2210" xfId="2632" xr:uid="{00000000-0005-0000-0000-0000950A0000}"/>
    <cellStyle name="s_P_L_Ratios_B_Actualisation provision contrat déficitaire SNCM 2010 V Def_PAO-CAF-RESOP_E2_13_B14_E2_2210_Bridge_Zone_Sud" xfId="2633" xr:uid="{00000000-0005-0000-0000-0000960A0000}"/>
    <cellStyle name="s_P_L_Ratios_B_Actualisation provision contrat déficitaire SNCM 2010 V Def_PAO-CAF-RESOP_E2_13_Bridge_Zone_Sud" xfId="2634" xr:uid="{00000000-0005-0000-0000-0000970A0000}"/>
    <cellStyle name="s_P_L_Ratios_B_Actualisation provision contrat déficitaire SNCM 2010 V Def_PAO-CAF-RESOP_E2_2013_03_10_19H" xfId="2635" xr:uid="{00000000-0005-0000-0000-0000980A0000}"/>
    <cellStyle name="s_P_L_Ratios_B_Actualisation provision contrat déficitaire SNCM 2010 V Def_PAO-CAF-RESOP_E2_2013_03_10_19H_Bridge_Zone_Sud" xfId="2636" xr:uid="{00000000-0005-0000-0000-0000990A0000}"/>
    <cellStyle name="s_P_L_Ratios_B_Actualisation provision contrat déficitaire SNCM 2010 V Def_PPA" xfId="2637" xr:uid="{00000000-0005-0000-0000-00009A0A0000}"/>
    <cellStyle name="s_P_L_Ratios_B_Actualisation provision contrat déficitaire SNCM 2010 V Def_RESOP bef CICE&amp;PPA&amp;RepartHO" xfId="2638" xr:uid="{00000000-0005-0000-0000-00009B0A0000}"/>
    <cellStyle name="s_P_L_Ratios_B_Actualisation provision contrat déficitaire SNCM 2010 V Def_Synthèse_Présentation_conso_retraitée" xfId="2639" xr:uid="{00000000-0005-0000-0000-00009C0A0000}"/>
    <cellStyle name="s_P_L_Ratios_B_Actualisation provision contrat déficitaire SNCM 2011 V3 30 05 2011" xfId="2640" xr:uid="{00000000-0005-0000-0000-00009D0A0000}"/>
    <cellStyle name="s_P_L_Ratios_B_Actualisation provision contrat déficitaire SNCM 2011 V3 30 05 2011_B14_E2_2210" xfId="2641" xr:uid="{00000000-0005-0000-0000-00009E0A0000}"/>
    <cellStyle name="s_P_L_Ratios_B_Actualisation provision contrat déficitaire SNCM 2011 V3 30 05 2011_B14_E2_2210_Bridge_Zone_Sud" xfId="2642" xr:uid="{00000000-0005-0000-0000-00009F0A0000}"/>
    <cellStyle name="s_P_L_Ratios_B_Actualisation provision contrat déficitaire SNCM 2011 V3 30 05 2011_Bridge_Zone_Sud" xfId="2643" xr:uid="{00000000-0005-0000-0000-0000A00A0000}"/>
    <cellStyle name="s_P_L_Ratios_B_Actualisation provision contrat déficitaire SNCM 2011 V3 30 05 2011_CAPEM BY COUNTRY" xfId="2644" xr:uid="{00000000-0005-0000-0000-0000A10A0000}"/>
    <cellStyle name="s_P_L_Ratios_B_Actualisation provision contrat déficitaire SNCM 2011 V3 30 05 2011_focus par entités CAFOPE2AMF" xfId="2645" xr:uid="{00000000-0005-0000-0000-0000A20A0000}"/>
    <cellStyle name="s_P_L_Ratios_B_Actualisation provision contrat déficitaire SNCM 2011 V3 30 05 2011_focus par entités CAFOPE2AMF_Bridge_Zone_Sud" xfId="2646" xr:uid="{00000000-0005-0000-0000-0000A30A0000}"/>
    <cellStyle name="s_P_L_Ratios_B_Actualisation provision contrat déficitaire SNCM 2011 V3 30 05 2011_Maquette PLT" xfId="2647" xr:uid="{00000000-0005-0000-0000-0000A40A0000}"/>
    <cellStyle name="s_P_L_Ratios_B_Actualisation provision contrat déficitaire SNCM 2011 V3 30 05 2011_Output" xfId="3436" xr:uid="{00000000-0005-0000-0000-0000A50A0000}"/>
    <cellStyle name="s_P_L_Ratios_B_Actualisation provision contrat déficitaire SNCM 2011 V3 30 05 2011_PAO-CAF-RESOP_04_13_pro_format_variante T1" xfId="2648" xr:uid="{00000000-0005-0000-0000-0000A60A0000}"/>
    <cellStyle name="s_P_L_Ratios_B_Actualisation provision contrat déficitaire SNCM 2011 V3 30 05 2011_PAO-CAF-RESOP_04_13_pro_format_variante T1_B14_E2_2210" xfId="2649" xr:uid="{00000000-0005-0000-0000-0000A70A0000}"/>
    <cellStyle name="s_P_L_Ratios_B_Actualisation provision contrat déficitaire SNCM 2011 V3 30 05 2011_PAO-CAF-RESOP_04_13_pro_format_variante T1_B14_E2_2210_Bridge_Zone_Sud" xfId="2650" xr:uid="{00000000-0005-0000-0000-0000A80A0000}"/>
    <cellStyle name="s_P_L_Ratios_B_Actualisation provision contrat déficitaire SNCM 2011 V3 30 05 2011_PAO-CAF-RESOP_04_13_pro_format_variante T1_Bridge_Zone_Sud" xfId="2651" xr:uid="{00000000-0005-0000-0000-0000A90A0000}"/>
    <cellStyle name="s_P_L_Ratios_B_Actualisation provision contrat déficitaire SNCM 2011 V3 30 05 2011_PAO-CAF-RESOP_06_13" xfId="2652" xr:uid="{00000000-0005-0000-0000-0000AA0A0000}"/>
    <cellStyle name="s_P_L_Ratios_B_Actualisation provision contrat déficitaire SNCM 2011 V3 30 05 2011_PAO-CAF-RESOP_06_13_B14_E2_2210" xfId="2653" xr:uid="{00000000-0005-0000-0000-0000AB0A0000}"/>
    <cellStyle name="s_P_L_Ratios_B_Actualisation provision contrat déficitaire SNCM 2011 V3 30 05 2011_PAO-CAF-RESOP_06_13_B14_E2_2210_Bridge_Zone_Sud" xfId="2654" xr:uid="{00000000-0005-0000-0000-0000AC0A0000}"/>
    <cellStyle name="s_P_L_Ratios_B_Actualisation provision contrat déficitaire SNCM 2011 V3 30 05 2011_PAO-CAF-RESOP_06_13_Bridge_Zone_Sud" xfId="2655" xr:uid="{00000000-0005-0000-0000-0000AD0A0000}"/>
    <cellStyle name="s_P_L_Ratios_B_Actualisation provision contrat déficitaire SNCM 2011 V3 30 05 2011_PAO-CAF-RESOP_08_13" xfId="2656" xr:uid="{00000000-0005-0000-0000-0000AE0A0000}"/>
    <cellStyle name="s_P_L_Ratios_B_Actualisation provision contrat déficitaire SNCM 2011 V3 30 05 2011_PAO-CAF-RESOP_08_13_B14_E2_2210" xfId="2657" xr:uid="{00000000-0005-0000-0000-0000AF0A0000}"/>
    <cellStyle name="s_P_L_Ratios_B_Actualisation provision contrat déficitaire SNCM 2011 V3 30 05 2011_PAO-CAF-RESOP_08_13_B14_E2_2210_Bridge_Zone_Sud" xfId="2658" xr:uid="{00000000-0005-0000-0000-0000B00A0000}"/>
    <cellStyle name="s_P_L_Ratios_B_Actualisation provision contrat déficitaire SNCM 2011 V3 30 05 2011_PAO-CAF-RESOP_08_13_Bridge_Zone_Sud" xfId="2659" xr:uid="{00000000-0005-0000-0000-0000B10A0000}"/>
    <cellStyle name="s_P_L_Ratios_B_Actualisation provision contrat déficitaire SNCM 2011 V3 30 05 2011_PAO-CAF-RESOP_09_13" xfId="2660" xr:uid="{00000000-0005-0000-0000-0000B20A0000}"/>
    <cellStyle name="s_P_L_Ratios_B_Actualisation provision contrat déficitaire SNCM 2011 V3 30 05 2011_PAO-CAF-RESOP_09_13_Bridge_Zone_Sud" xfId="2661" xr:uid="{00000000-0005-0000-0000-0000B30A0000}"/>
    <cellStyle name="s_P_L_Ratios_B_Actualisation provision contrat déficitaire SNCM 2011 V3 30 05 2011_PAO-CAF-RESOP_09_2013_Zone_IDF (version 2)" xfId="2662" xr:uid="{00000000-0005-0000-0000-0000B40A0000}"/>
    <cellStyle name="s_P_L_Ratios_B_Actualisation provision contrat déficitaire SNCM 2011 V3 30 05 2011_PAO-CAF-RESOP_10_12" xfId="2663" xr:uid="{00000000-0005-0000-0000-0000B50A0000}"/>
    <cellStyle name="s_P_L_Ratios_B_Actualisation provision contrat déficitaire SNCM 2011 V3 30 05 2011_PAO-CAF-RESOP_10_12_Bridge_Zone_Sud" xfId="2664" xr:uid="{00000000-0005-0000-0000-0000B60A0000}"/>
    <cellStyle name="s_P_L_Ratios_B_Actualisation provision contrat déficitaire SNCM 2011 V3 30 05 2011_PAO-CAF-RESOP_10_12_focus par entités CAFOP" xfId="2665" xr:uid="{00000000-0005-0000-0000-0000B70A0000}"/>
    <cellStyle name="s_P_L_Ratios_B_Actualisation provision contrat déficitaire SNCM 2011 V3 30 05 2011_PAO-CAF-RESOP_10_12_focus par entités CAFOP_Bridge_Zone_Sud" xfId="2666" xr:uid="{00000000-0005-0000-0000-0000B80A0000}"/>
    <cellStyle name="s_P_L_Ratios_B_Actualisation provision contrat déficitaire SNCM 2011 V3 30 05 2011_PAO-CAF-RESOP_11_13" xfId="2667" xr:uid="{00000000-0005-0000-0000-0000B90A0000}"/>
    <cellStyle name="s_P_L_Ratios_B_Actualisation provision contrat déficitaire SNCM 2011 V3 30 05 2011_PAO-CAF-RESOP_B13" xfId="2668" xr:uid="{00000000-0005-0000-0000-0000BA0A0000}"/>
    <cellStyle name="s_P_L_Ratios_B_Actualisation provision contrat déficitaire SNCM 2011 V3 30 05 2011_PAO-CAF-RESOP_B13_Bridge_Zone_Sud" xfId="2669" xr:uid="{00000000-0005-0000-0000-0000BB0A0000}"/>
    <cellStyle name="s_P_L_Ratios_B_Actualisation provision contrat déficitaire SNCM 2011 V3 30 05 2011_PAO-CAF-RESOP_B13_focus par entités CAFOP" xfId="2670" xr:uid="{00000000-0005-0000-0000-0000BC0A0000}"/>
    <cellStyle name="s_P_L_Ratios_B_Actualisation provision contrat déficitaire SNCM 2011 V3 30 05 2011_PAO-CAF-RESOP_B13_focus par entités CAFOP_Bridge_Zone_Sud" xfId="2671" xr:uid="{00000000-0005-0000-0000-0000BD0A0000}"/>
    <cellStyle name="s_P_L_Ratios_B_Actualisation provision contrat déficitaire SNCM 2011 V3 30 05 2011_PAO-CAF-RESOP_B2014" xfId="2672" xr:uid="{00000000-0005-0000-0000-0000BE0A0000}"/>
    <cellStyle name="s_P_L_Ratios_B_Actualisation provision contrat déficitaire SNCM 2011 V3 30 05 2011_PAO-CAF-RESOP_B2014_Bridge_Zone_Sud" xfId="2673" xr:uid="{00000000-0005-0000-0000-0000BF0A0000}"/>
    <cellStyle name="s_P_L_Ratios_B_Actualisation provision contrat déficitaire SNCM 2011 V3 30 05 2011_PAO-CAF-RESOP_B2014_v2" xfId="2674" xr:uid="{00000000-0005-0000-0000-0000C00A0000}"/>
    <cellStyle name="s_P_L_Ratios_B_Actualisation provision contrat déficitaire SNCM 2011 V3 30 05 2011_PAO-CAF-RESOP_E2_13" xfId="2675" xr:uid="{00000000-0005-0000-0000-0000C10A0000}"/>
    <cellStyle name="s_P_L_Ratios_B_Actualisation provision contrat déficitaire SNCM 2011 V3 30 05 2011_PAO-CAF-RESOP_E2_13_B14_E2_2210" xfId="2676" xr:uid="{00000000-0005-0000-0000-0000C20A0000}"/>
    <cellStyle name="s_P_L_Ratios_B_Actualisation provision contrat déficitaire SNCM 2011 V3 30 05 2011_PAO-CAF-RESOP_E2_13_B14_E2_2210_Bridge_Zone_Sud" xfId="2677" xr:uid="{00000000-0005-0000-0000-0000C30A0000}"/>
    <cellStyle name="s_P_L_Ratios_B_Actualisation provision contrat déficitaire SNCM 2011 V3 30 05 2011_PAO-CAF-RESOP_E2_13_Bridge_Zone_Sud" xfId="2678" xr:uid="{00000000-0005-0000-0000-0000C40A0000}"/>
    <cellStyle name="s_P_L_Ratios_B_Actualisation provision contrat déficitaire SNCM 2011 V3 30 05 2011_PAO-CAF-RESOP_E2_2013_03_10_19H" xfId="2679" xr:uid="{00000000-0005-0000-0000-0000C50A0000}"/>
    <cellStyle name="s_P_L_Ratios_B_Actualisation provision contrat déficitaire SNCM 2011 V3 30 05 2011_PAO-CAF-RESOP_E2_2013_03_10_19H_Bridge_Zone_Sud" xfId="2680" xr:uid="{00000000-0005-0000-0000-0000C60A0000}"/>
    <cellStyle name="s_P_L_Ratios_B_Actualisation provision contrat déficitaire SNCM 2011 V3 30 05 2011_PPA" xfId="2681" xr:uid="{00000000-0005-0000-0000-0000C70A0000}"/>
    <cellStyle name="s_P_L_Ratios_B_Actualisation provision contrat déficitaire SNCM 2011 V3 30 05 2011_RESOP bef CICE&amp;PPA&amp;RepartHO" xfId="2682" xr:uid="{00000000-0005-0000-0000-0000C80A0000}"/>
    <cellStyle name="s_P_L_Ratios_B_Actualisation provision contrat déficitaire SNCM 2011 V3 30 05 2011_Synthèse_Présentation_conso_retraitée" xfId="2683" xr:uid="{00000000-0005-0000-0000-0000C90A0000}"/>
    <cellStyle name="s_P_L_Ratios_B_B14_E2_2210" xfId="2684" xr:uid="{00000000-0005-0000-0000-0000CA0A0000}"/>
    <cellStyle name="s_P_L_Ratios_B_B14_E2_2210_Bridge_Zone_Sud" xfId="2685" xr:uid="{00000000-0005-0000-0000-0000CB0A0000}"/>
    <cellStyle name="s_P_L_Ratios_B_BFR_TD_2014.02" xfId="2686" xr:uid="{00000000-0005-0000-0000-0000CC0A0000}"/>
    <cellStyle name="s_P_L_Ratios_B_Bridge_Zone_Nord" xfId="2687" xr:uid="{00000000-0005-0000-0000-0000CD0A0000}"/>
    <cellStyle name="s_P_L_Ratios_B_CAPEM BY COUNTRY" xfId="2688" xr:uid="{00000000-0005-0000-0000-0000CE0A0000}"/>
    <cellStyle name="s_P_L_Ratios_B_LI819L_B13" xfId="2689" xr:uid="{00000000-0005-0000-0000-0000CF0A0000}"/>
    <cellStyle name="s_P_L_Ratios_B_LI819L_B13_CAPEM BY COUNTRY" xfId="2690" xr:uid="{00000000-0005-0000-0000-0000D00A0000}"/>
    <cellStyle name="s_P_L_Ratios_B_LI819L_B13_Maquette PLT" xfId="2691" xr:uid="{00000000-0005-0000-0000-0000D10A0000}"/>
    <cellStyle name="s_P_L_Ratios_B_LI819L_B13_Output" xfId="3437" xr:uid="{00000000-0005-0000-0000-0000D20A0000}"/>
    <cellStyle name="s_P_L_Ratios_B_LI819L_B13_PPA" xfId="2692" xr:uid="{00000000-0005-0000-0000-0000D30A0000}"/>
    <cellStyle name="s_P_L_Ratios_B_LI819L_B13_RESOP bef CICE&amp;PPA&amp;RepartHO" xfId="2693" xr:uid="{00000000-0005-0000-0000-0000D40A0000}"/>
    <cellStyle name="s_P_L_Ratios_B_Maquette PLT" xfId="2694" xr:uid="{00000000-0005-0000-0000-0000D50A0000}"/>
    <cellStyle name="s_P_L_Ratios_B_Output" xfId="3434" xr:uid="{00000000-0005-0000-0000-0000D60A0000}"/>
    <cellStyle name="s_P_L_Ratios_B_PAO-CAF-RESOP_14_01_13 à 20h" xfId="2695" xr:uid="{00000000-0005-0000-0000-0000D70A0000}"/>
    <cellStyle name="s_P_L_Ratios_B_PAO-CAF-RESOP_14_01_13 à 20h_CAPEM BY COUNTRY" xfId="2696" xr:uid="{00000000-0005-0000-0000-0000D80A0000}"/>
    <cellStyle name="s_P_L_Ratios_B_PAO-CAF-RESOP_14_01_13 à 20h_Maquette PLT" xfId="2697" xr:uid="{00000000-0005-0000-0000-0000D90A0000}"/>
    <cellStyle name="s_P_L_Ratios_B_PAO-CAF-RESOP_14_01_13 à 20h_Output" xfId="3438" xr:uid="{00000000-0005-0000-0000-0000DA0A0000}"/>
    <cellStyle name="s_P_L_Ratios_B_PAO-CAF-RESOP_14_01_13 à 20h_PPA" xfId="2698" xr:uid="{00000000-0005-0000-0000-0000DB0A0000}"/>
    <cellStyle name="s_P_L_Ratios_B_PAO-CAF-RESOP_14_01_13 à 20h_RESOP bef CICE&amp;PPA&amp;RepartHO" xfId="2699" xr:uid="{00000000-0005-0000-0000-0000DC0A0000}"/>
    <cellStyle name="s_P_L_Ratios_B_PAO-CAF-RESOP_2014.02" xfId="2700" xr:uid="{00000000-0005-0000-0000-0000DD0A0000}"/>
    <cellStyle name="s_P_L_Ratios_B_PAO-CAF-RESOP_2014.02_Bridge_Zone_Sud" xfId="2701" xr:uid="{00000000-0005-0000-0000-0000DE0A0000}"/>
    <cellStyle name="s_P_L_Ratios_B_PPA" xfId="2702" xr:uid="{00000000-0005-0000-0000-0000DF0A0000}"/>
    <cellStyle name="s_P_L_Ratios_B_RESOP bef CICE&amp;PPA&amp;RepartHO" xfId="2703" xr:uid="{00000000-0005-0000-0000-0000E00A0000}"/>
    <cellStyle name="s_P_L_Ratios_B14_E2_2210" xfId="2704" xr:uid="{00000000-0005-0000-0000-0000E10A0000}"/>
    <cellStyle name="s_P_L_Ratios_B14_E2_2210_Bridge_Zone_Sud" xfId="2705" xr:uid="{00000000-0005-0000-0000-0000E20A0000}"/>
    <cellStyle name="s_P_L_Ratios_BFR_TD_2014.02" xfId="2706" xr:uid="{00000000-0005-0000-0000-0000E30A0000}"/>
    <cellStyle name="s_P_L_Ratios_Bridge_Zone_Nord" xfId="2707" xr:uid="{00000000-0005-0000-0000-0000E40A0000}"/>
    <cellStyle name="s_P_L_Ratios_CAPEM BY COUNTRY" xfId="2708" xr:uid="{00000000-0005-0000-0000-0000E50A0000}"/>
    <cellStyle name="s_P_L_Ratios_LI819L_B13" xfId="2709" xr:uid="{00000000-0005-0000-0000-0000E60A0000}"/>
    <cellStyle name="s_P_L_Ratios_LI819L_B13_CAPEM BY COUNTRY" xfId="2710" xr:uid="{00000000-0005-0000-0000-0000E70A0000}"/>
    <cellStyle name="s_P_L_Ratios_LI819L_B13_Maquette PLT" xfId="2711" xr:uid="{00000000-0005-0000-0000-0000E80A0000}"/>
    <cellStyle name="s_P_L_Ratios_LI819L_B13_Output" xfId="3439" xr:uid="{00000000-0005-0000-0000-0000E90A0000}"/>
    <cellStyle name="s_P_L_Ratios_LI819L_B13_PPA" xfId="2712" xr:uid="{00000000-0005-0000-0000-0000EA0A0000}"/>
    <cellStyle name="s_P_L_Ratios_LI819L_B13_RESOP bef CICE&amp;PPA&amp;RepartHO" xfId="2713" xr:uid="{00000000-0005-0000-0000-0000EB0A0000}"/>
    <cellStyle name="s_P_L_Ratios_Maquette PLT" xfId="2714" xr:uid="{00000000-0005-0000-0000-0000EC0A0000}"/>
    <cellStyle name="s_P_L_Ratios_Output" xfId="3431" xr:uid="{00000000-0005-0000-0000-0000ED0A0000}"/>
    <cellStyle name="s_P_L_Ratios_PAO-CAF-RESOP_14_01_13 à 20h" xfId="2715" xr:uid="{00000000-0005-0000-0000-0000EE0A0000}"/>
    <cellStyle name="s_P_L_Ratios_PAO-CAF-RESOP_14_01_13 à 20h_CAPEM BY COUNTRY" xfId="2716" xr:uid="{00000000-0005-0000-0000-0000EF0A0000}"/>
    <cellStyle name="s_P_L_Ratios_PAO-CAF-RESOP_14_01_13 à 20h_Maquette PLT" xfId="2717" xr:uid="{00000000-0005-0000-0000-0000F00A0000}"/>
    <cellStyle name="s_P_L_Ratios_PAO-CAF-RESOP_14_01_13 à 20h_Output" xfId="3440" xr:uid="{00000000-0005-0000-0000-0000F10A0000}"/>
    <cellStyle name="s_P_L_Ratios_PAO-CAF-RESOP_14_01_13 à 20h_PPA" xfId="2718" xr:uid="{00000000-0005-0000-0000-0000F20A0000}"/>
    <cellStyle name="s_P_L_Ratios_PAO-CAF-RESOP_14_01_13 à 20h_RESOP bef CICE&amp;PPA&amp;RepartHO" xfId="2719" xr:uid="{00000000-0005-0000-0000-0000F30A0000}"/>
    <cellStyle name="s_P_L_Ratios_PAO-CAF-RESOP_2014.02" xfId="2720" xr:uid="{00000000-0005-0000-0000-0000F40A0000}"/>
    <cellStyle name="s_P_L_Ratios_PAO-CAF-RESOP_2014.02_Bridge_Zone_Sud" xfId="2721" xr:uid="{00000000-0005-0000-0000-0000F50A0000}"/>
    <cellStyle name="s_P_L_Ratios_PPA" xfId="2722" xr:uid="{00000000-0005-0000-0000-0000F60A0000}"/>
    <cellStyle name="s_P_L_Ratios_RESOP bef CICE&amp;PPA&amp;RepartHO" xfId="2723" xr:uid="{00000000-0005-0000-0000-0000F70A0000}"/>
    <cellStyle name="s_PAO-CAF-RESOP_14_01_13 à 20h" xfId="2724" xr:uid="{00000000-0005-0000-0000-0000F80A0000}"/>
    <cellStyle name="s_PAO-CAF-RESOP_14_01_13 à 20h_CAPEM BY COUNTRY" xfId="2725" xr:uid="{00000000-0005-0000-0000-0000F90A0000}"/>
    <cellStyle name="s_PAO-CAF-RESOP_14_01_13 à 20h_Maquette PLT" xfId="2726" xr:uid="{00000000-0005-0000-0000-0000FA0A0000}"/>
    <cellStyle name="s_PAO-CAF-RESOP_14_01_13 à 20h_Output" xfId="3441" xr:uid="{00000000-0005-0000-0000-0000FB0A0000}"/>
    <cellStyle name="s_PAO-CAF-RESOP_14_01_13 à 20h_PPA" xfId="2727" xr:uid="{00000000-0005-0000-0000-0000FC0A0000}"/>
    <cellStyle name="s_PAO-CAF-RESOP_14_01_13 à 20h_RESOP bef CICE&amp;PPA&amp;RepartHO" xfId="2728" xr:uid="{00000000-0005-0000-0000-0000FD0A0000}"/>
    <cellStyle name="s_PAO-CAF-RESOP_2014.02" xfId="2729" xr:uid="{00000000-0005-0000-0000-0000FE0A0000}"/>
    <cellStyle name="s_PAO-CAF-RESOP_2014.02_Bridge_Zone_Sud" xfId="2730" xr:uid="{00000000-0005-0000-0000-0000FF0A0000}"/>
    <cellStyle name="s_PPA" xfId="2731" xr:uid="{00000000-0005-0000-0000-0000000B0000}"/>
    <cellStyle name="s_RESOP bef CICE&amp;PPA&amp;RepartHO" xfId="2732" xr:uid="{00000000-0005-0000-0000-0000010B0000}"/>
    <cellStyle name="s_S_By_S" xfId="2733" xr:uid="{00000000-0005-0000-0000-0000020B0000}"/>
    <cellStyle name="s_S_By_S_Actualisation provision contrat déficitaire SNCM 2010 V Def" xfId="2734" xr:uid="{00000000-0005-0000-0000-0000030B0000}"/>
    <cellStyle name="s_S_By_S_Actualisation provision contrat déficitaire SNCM 2010 V Def_B14_E2_2210" xfId="2735" xr:uid="{00000000-0005-0000-0000-0000040B0000}"/>
    <cellStyle name="s_S_By_S_Actualisation provision contrat déficitaire SNCM 2010 V Def_B14_E2_2210_Bridge_Zone_Sud" xfId="2736" xr:uid="{00000000-0005-0000-0000-0000050B0000}"/>
    <cellStyle name="s_S_By_S_Actualisation provision contrat déficitaire SNCM 2010 V Def_Bridge_Zone_Sud" xfId="2737" xr:uid="{00000000-0005-0000-0000-0000060B0000}"/>
    <cellStyle name="s_S_By_S_Actualisation provision contrat déficitaire SNCM 2010 V Def_CAPEM BY COUNTRY" xfId="2738" xr:uid="{00000000-0005-0000-0000-0000070B0000}"/>
    <cellStyle name="s_S_By_S_Actualisation provision contrat déficitaire SNCM 2010 V Def_focus par entités CAFOPE2AMF" xfId="2739" xr:uid="{00000000-0005-0000-0000-0000080B0000}"/>
    <cellStyle name="s_S_By_S_Actualisation provision contrat déficitaire SNCM 2010 V Def_focus par entités CAFOPE2AMF_Bridge_Zone_Sud" xfId="2740" xr:uid="{00000000-0005-0000-0000-0000090B0000}"/>
    <cellStyle name="s_S_By_S_Actualisation provision contrat déficitaire SNCM 2010 V Def_Maquette PLT" xfId="2741" xr:uid="{00000000-0005-0000-0000-00000A0B0000}"/>
    <cellStyle name="s_S_By_S_Actualisation provision contrat déficitaire SNCM 2010 V Def_Output" xfId="3443" xr:uid="{00000000-0005-0000-0000-00000B0B0000}"/>
    <cellStyle name="s_S_By_S_Actualisation provision contrat déficitaire SNCM 2010 V Def_PAO-CAF-RESOP_04_13_pro_format_variante T1" xfId="2742" xr:uid="{00000000-0005-0000-0000-00000C0B0000}"/>
    <cellStyle name="s_S_By_S_Actualisation provision contrat déficitaire SNCM 2010 V Def_PAO-CAF-RESOP_04_13_pro_format_variante T1_B14_E2_2210" xfId="2743" xr:uid="{00000000-0005-0000-0000-00000D0B0000}"/>
    <cellStyle name="s_S_By_S_Actualisation provision contrat déficitaire SNCM 2010 V Def_PAO-CAF-RESOP_04_13_pro_format_variante T1_B14_E2_2210_Bridge_Zone_Sud" xfId="2744" xr:uid="{00000000-0005-0000-0000-00000E0B0000}"/>
    <cellStyle name="s_S_By_S_Actualisation provision contrat déficitaire SNCM 2010 V Def_PAO-CAF-RESOP_04_13_pro_format_variante T1_Bridge_Zone_Sud" xfId="2745" xr:uid="{00000000-0005-0000-0000-00000F0B0000}"/>
    <cellStyle name="s_S_By_S_Actualisation provision contrat déficitaire SNCM 2010 V Def_PAO-CAF-RESOP_06_13" xfId="2746" xr:uid="{00000000-0005-0000-0000-0000100B0000}"/>
    <cellStyle name="s_S_By_S_Actualisation provision contrat déficitaire SNCM 2010 V Def_PAO-CAF-RESOP_06_13_B14_E2_2210" xfId="2747" xr:uid="{00000000-0005-0000-0000-0000110B0000}"/>
    <cellStyle name="s_S_By_S_Actualisation provision contrat déficitaire SNCM 2010 V Def_PAO-CAF-RESOP_06_13_B14_E2_2210_Bridge_Zone_Sud" xfId="2748" xr:uid="{00000000-0005-0000-0000-0000120B0000}"/>
    <cellStyle name="s_S_By_S_Actualisation provision contrat déficitaire SNCM 2010 V Def_PAO-CAF-RESOP_06_13_Bridge_Zone_Sud" xfId="2749" xr:uid="{00000000-0005-0000-0000-0000130B0000}"/>
    <cellStyle name="s_S_By_S_Actualisation provision contrat déficitaire SNCM 2010 V Def_PAO-CAF-RESOP_08_13" xfId="2750" xr:uid="{00000000-0005-0000-0000-0000140B0000}"/>
    <cellStyle name="s_S_By_S_Actualisation provision contrat déficitaire SNCM 2010 V Def_PAO-CAF-RESOP_08_13_B14_E2_2210" xfId="2751" xr:uid="{00000000-0005-0000-0000-0000150B0000}"/>
    <cellStyle name="s_S_By_S_Actualisation provision contrat déficitaire SNCM 2010 V Def_PAO-CAF-RESOP_08_13_B14_E2_2210_Bridge_Zone_Sud" xfId="2752" xr:uid="{00000000-0005-0000-0000-0000160B0000}"/>
    <cellStyle name="s_S_By_S_Actualisation provision contrat déficitaire SNCM 2010 V Def_PAO-CAF-RESOP_08_13_Bridge_Zone_Sud" xfId="2753" xr:uid="{00000000-0005-0000-0000-0000170B0000}"/>
    <cellStyle name="s_S_By_S_Actualisation provision contrat déficitaire SNCM 2010 V Def_PAO-CAF-RESOP_09_13" xfId="2754" xr:uid="{00000000-0005-0000-0000-0000180B0000}"/>
    <cellStyle name="s_S_By_S_Actualisation provision contrat déficitaire SNCM 2010 V Def_PAO-CAF-RESOP_09_13_Bridge_Zone_Sud" xfId="2755" xr:uid="{00000000-0005-0000-0000-0000190B0000}"/>
    <cellStyle name="s_S_By_S_Actualisation provision contrat déficitaire SNCM 2010 V Def_PAO-CAF-RESOP_09_2013_Zone_IDF (version 2)" xfId="2756" xr:uid="{00000000-0005-0000-0000-00001A0B0000}"/>
    <cellStyle name="s_S_By_S_Actualisation provision contrat déficitaire SNCM 2010 V Def_PAO-CAF-RESOP_10_12" xfId="2757" xr:uid="{00000000-0005-0000-0000-00001B0B0000}"/>
    <cellStyle name="s_S_By_S_Actualisation provision contrat déficitaire SNCM 2010 V Def_PAO-CAF-RESOP_10_12_Bridge_Zone_Sud" xfId="2758" xr:uid="{00000000-0005-0000-0000-00001C0B0000}"/>
    <cellStyle name="s_S_By_S_Actualisation provision contrat déficitaire SNCM 2010 V Def_PAO-CAF-RESOP_10_12_focus par entités CAFOP" xfId="2759" xr:uid="{00000000-0005-0000-0000-00001D0B0000}"/>
    <cellStyle name="s_S_By_S_Actualisation provision contrat déficitaire SNCM 2010 V Def_PAO-CAF-RESOP_10_12_focus par entités CAFOP_Bridge_Zone_Sud" xfId="2760" xr:uid="{00000000-0005-0000-0000-00001E0B0000}"/>
    <cellStyle name="s_S_By_S_Actualisation provision contrat déficitaire SNCM 2010 V Def_PAO-CAF-RESOP_11_13" xfId="2761" xr:uid="{00000000-0005-0000-0000-00001F0B0000}"/>
    <cellStyle name="s_S_By_S_Actualisation provision contrat déficitaire SNCM 2010 V Def_PAO-CAF-RESOP_B13" xfId="2762" xr:uid="{00000000-0005-0000-0000-0000200B0000}"/>
    <cellStyle name="s_S_By_S_Actualisation provision contrat déficitaire SNCM 2010 V Def_PAO-CAF-RESOP_B13_Bridge_Zone_Sud" xfId="2763" xr:uid="{00000000-0005-0000-0000-0000210B0000}"/>
    <cellStyle name="s_S_By_S_Actualisation provision contrat déficitaire SNCM 2010 V Def_PAO-CAF-RESOP_B13_focus par entités CAFOP" xfId="2764" xr:uid="{00000000-0005-0000-0000-0000220B0000}"/>
    <cellStyle name="s_S_By_S_Actualisation provision contrat déficitaire SNCM 2010 V Def_PAO-CAF-RESOP_B13_focus par entités CAFOP_Bridge_Zone_Sud" xfId="2765" xr:uid="{00000000-0005-0000-0000-0000230B0000}"/>
    <cellStyle name="s_S_By_S_Actualisation provision contrat déficitaire SNCM 2010 V Def_PAO-CAF-RESOP_B2014" xfId="2766" xr:uid="{00000000-0005-0000-0000-0000240B0000}"/>
    <cellStyle name="s_S_By_S_Actualisation provision contrat déficitaire SNCM 2010 V Def_PAO-CAF-RESOP_B2014_Bridge_Zone_Sud" xfId="2767" xr:uid="{00000000-0005-0000-0000-0000250B0000}"/>
    <cellStyle name="s_S_By_S_Actualisation provision contrat déficitaire SNCM 2010 V Def_PAO-CAF-RESOP_B2014_v2" xfId="2768" xr:uid="{00000000-0005-0000-0000-0000260B0000}"/>
    <cellStyle name="s_S_By_S_Actualisation provision contrat déficitaire SNCM 2010 V Def_PAO-CAF-RESOP_E2_13" xfId="2769" xr:uid="{00000000-0005-0000-0000-0000270B0000}"/>
    <cellStyle name="s_S_By_S_Actualisation provision contrat déficitaire SNCM 2010 V Def_PAO-CAF-RESOP_E2_13_B14_E2_2210" xfId="2770" xr:uid="{00000000-0005-0000-0000-0000280B0000}"/>
    <cellStyle name="s_S_By_S_Actualisation provision contrat déficitaire SNCM 2010 V Def_PAO-CAF-RESOP_E2_13_B14_E2_2210_Bridge_Zone_Sud" xfId="2771" xr:uid="{00000000-0005-0000-0000-0000290B0000}"/>
    <cellStyle name="s_S_By_S_Actualisation provision contrat déficitaire SNCM 2010 V Def_PAO-CAF-RESOP_E2_13_Bridge_Zone_Sud" xfId="2772" xr:uid="{00000000-0005-0000-0000-00002A0B0000}"/>
    <cellStyle name="s_S_By_S_Actualisation provision contrat déficitaire SNCM 2010 V Def_PAO-CAF-RESOP_E2_2013_03_10_19H" xfId="2773" xr:uid="{00000000-0005-0000-0000-00002B0B0000}"/>
    <cellStyle name="s_S_By_S_Actualisation provision contrat déficitaire SNCM 2010 V Def_PAO-CAF-RESOP_E2_2013_03_10_19H_Bridge_Zone_Sud" xfId="2774" xr:uid="{00000000-0005-0000-0000-00002C0B0000}"/>
    <cellStyle name="s_S_By_S_Actualisation provision contrat déficitaire SNCM 2010 V Def_PPA" xfId="2775" xr:uid="{00000000-0005-0000-0000-00002D0B0000}"/>
    <cellStyle name="s_S_By_S_Actualisation provision contrat déficitaire SNCM 2010 V Def_RESOP bef CICE&amp;PPA&amp;RepartHO" xfId="2776" xr:uid="{00000000-0005-0000-0000-00002E0B0000}"/>
    <cellStyle name="s_S_By_S_Actualisation provision contrat déficitaire SNCM 2010 V Def_Synthèse_Présentation_conso_retraitée" xfId="2777" xr:uid="{00000000-0005-0000-0000-00002F0B0000}"/>
    <cellStyle name="s_S_By_S_Actualisation provision contrat déficitaire SNCM 2011 V3 30 05 2011" xfId="2778" xr:uid="{00000000-0005-0000-0000-0000300B0000}"/>
    <cellStyle name="s_S_By_S_Actualisation provision contrat déficitaire SNCM 2011 V3 30 05 2011_B14_E2_2210" xfId="2779" xr:uid="{00000000-0005-0000-0000-0000310B0000}"/>
    <cellStyle name="s_S_By_S_Actualisation provision contrat déficitaire SNCM 2011 V3 30 05 2011_B14_E2_2210_Bridge_Zone_Sud" xfId="2780" xr:uid="{00000000-0005-0000-0000-0000320B0000}"/>
    <cellStyle name="s_S_By_S_Actualisation provision contrat déficitaire SNCM 2011 V3 30 05 2011_Bridge_Zone_Sud" xfId="2781" xr:uid="{00000000-0005-0000-0000-0000330B0000}"/>
    <cellStyle name="s_S_By_S_Actualisation provision contrat déficitaire SNCM 2011 V3 30 05 2011_CAPEM BY COUNTRY" xfId="2782" xr:uid="{00000000-0005-0000-0000-0000340B0000}"/>
    <cellStyle name="s_S_By_S_Actualisation provision contrat déficitaire SNCM 2011 V3 30 05 2011_focus par entités CAFOPE2AMF" xfId="2783" xr:uid="{00000000-0005-0000-0000-0000350B0000}"/>
    <cellStyle name="s_S_By_S_Actualisation provision contrat déficitaire SNCM 2011 V3 30 05 2011_focus par entités CAFOPE2AMF_Bridge_Zone_Sud" xfId="2784" xr:uid="{00000000-0005-0000-0000-0000360B0000}"/>
    <cellStyle name="s_S_By_S_Actualisation provision contrat déficitaire SNCM 2011 V3 30 05 2011_Maquette PLT" xfId="2785" xr:uid="{00000000-0005-0000-0000-0000370B0000}"/>
    <cellStyle name="s_S_By_S_Actualisation provision contrat déficitaire SNCM 2011 V3 30 05 2011_Output" xfId="3444" xr:uid="{00000000-0005-0000-0000-0000380B0000}"/>
    <cellStyle name="s_S_By_S_Actualisation provision contrat déficitaire SNCM 2011 V3 30 05 2011_PAO-CAF-RESOP_04_13_pro_format_variante T1" xfId="2786" xr:uid="{00000000-0005-0000-0000-0000390B0000}"/>
    <cellStyle name="s_S_By_S_Actualisation provision contrat déficitaire SNCM 2011 V3 30 05 2011_PAO-CAF-RESOP_04_13_pro_format_variante T1_B14_E2_2210" xfId="2787" xr:uid="{00000000-0005-0000-0000-00003A0B0000}"/>
    <cellStyle name="s_S_By_S_Actualisation provision contrat déficitaire SNCM 2011 V3 30 05 2011_PAO-CAF-RESOP_04_13_pro_format_variante T1_B14_E2_2210_Bridge_Zone_Sud" xfId="2788" xr:uid="{00000000-0005-0000-0000-00003B0B0000}"/>
    <cellStyle name="s_S_By_S_Actualisation provision contrat déficitaire SNCM 2011 V3 30 05 2011_PAO-CAF-RESOP_04_13_pro_format_variante T1_Bridge_Zone_Sud" xfId="2789" xr:uid="{00000000-0005-0000-0000-00003C0B0000}"/>
    <cellStyle name="s_S_By_S_Actualisation provision contrat déficitaire SNCM 2011 V3 30 05 2011_PAO-CAF-RESOP_06_13" xfId="2790" xr:uid="{00000000-0005-0000-0000-00003D0B0000}"/>
    <cellStyle name="s_S_By_S_Actualisation provision contrat déficitaire SNCM 2011 V3 30 05 2011_PAO-CAF-RESOP_06_13_B14_E2_2210" xfId="2791" xr:uid="{00000000-0005-0000-0000-00003E0B0000}"/>
    <cellStyle name="s_S_By_S_Actualisation provision contrat déficitaire SNCM 2011 V3 30 05 2011_PAO-CAF-RESOP_06_13_B14_E2_2210_Bridge_Zone_Sud" xfId="2792" xr:uid="{00000000-0005-0000-0000-00003F0B0000}"/>
    <cellStyle name="s_S_By_S_Actualisation provision contrat déficitaire SNCM 2011 V3 30 05 2011_PAO-CAF-RESOP_06_13_Bridge_Zone_Sud" xfId="2793" xr:uid="{00000000-0005-0000-0000-0000400B0000}"/>
    <cellStyle name="s_S_By_S_Actualisation provision contrat déficitaire SNCM 2011 V3 30 05 2011_PAO-CAF-RESOP_08_13" xfId="2794" xr:uid="{00000000-0005-0000-0000-0000410B0000}"/>
    <cellStyle name="s_S_By_S_Actualisation provision contrat déficitaire SNCM 2011 V3 30 05 2011_PAO-CAF-RESOP_08_13_B14_E2_2210" xfId="2795" xr:uid="{00000000-0005-0000-0000-0000420B0000}"/>
    <cellStyle name="s_S_By_S_Actualisation provision contrat déficitaire SNCM 2011 V3 30 05 2011_PAO-CAF-RESOP_08_13_B14_E2_2210_Bridge_Zone_Sud" xfId="2796" xr:uid="{00000000-0005-0000-0000-0000430B0000}"/>
    <cellStyle name="s_S_By_S_Actualisation provision contrat déficitaire SNCM 2011 V3 30 05 2011_PAO-CAF-RESOP_08_13_Bridge_Zone_Sud" xfId="2797" xr:uid="{00000000-0005-0000-0000-0000440B0000}"/>
    <cellStyle name="s_S_By_S_Actualisation provision contrat déficitaire SNCM 2011 V3 30 05 2011_PAO-CAF-RESOP_09_13" xfId="2798" xr:uid="{00000000-0005-0000-0000-0000450B0000}"/>
    <cellStyle name="s_S_By_S_Actualisation provision contrat déficitaire SNCM 2011 V3 30 05 2011_PAO-CAF-RESOP_09_13_Bridge_Zone_Sud" xfId="2799" xr:uid="{00000000-0005-0000-0000-0000460B0000}"/>
    <cellStyle name="s_S_By_S_Actualisation provision contrat déficitaire SNCM 2011 V3 30 05 2011_PAO-CAF-RESOP_09_2013_Zone_IDF (version 2)" xfId="2800" xr:uid="{00000000-0005-0000-0000-0000470B0000}"/>
    <cellStyle name="s_S_By_S_Actualisation provision contrat déficitaire SNCM 2011 V3 30 05 2011_PAO-CAF-RESOP_10_12" xfId="2801" xr:uid="{00000000-0005-0000-0000-0000480B0000}"/>
    <cellStyle name="s_S_By_S_Actualisation provision contrat déficitaire SNCM 2011 V3 30 05 2011_PAO-CAF-RESOP_10_12_Bridge_Zone_Sud" xfId="2802" xr:uid="{00000000-0005-0000-0000-0000490B0000}"/>
    <cellStyle name="s_S_By_S_Actualisation provision contrat déficitaire SNCM 2011 V3 30 05 2011_PAO-CAF-RESOP_10_12_focus par entités CAFOP" xfId="2803" xr:uid="{00000000-0005-0000-0000-00004A0B0000}"/>
    <cellStyle name="s_S_By_S_Actualisation provision contrat déficitaire SNCM 2011 V3 30 05 2011_PAO-CAF-RESOP_10_12_focus par entités CAFOP_Bridge_Zone_Sud" xfId="2804" xr:uid="{00000000-0005-0000-0000-00004B0B0000}"/>
    <cellStyle name="s_S_By_S_Actualisation provision contrat déficitaire SNCM 2011 V3 30 05 2011_PAO-CAF-RESOP_11_13" xfId="2805" xr:uid="{00000000-0005-0000-0000-00004C0B0000}"/>
    <cellStyle name="s_S_By_S_Actualisation provision contrat déficitaire SNCM 2011 V3 30 05 2011_PAO-CAF-RESOP_B13" xfId="2806" xr:uid="{00000000-0005-0000-0000-00004D0B0000}"/>
    <cellStyle name="s_S_By_S_Actualisation provision contrat déficitaire SNCM 2011 V3 30 05 2011_PAO-CAF-RESOP_B13_Bridge_Zone_Sud" xfId="2807" xr:uid="{00000000-0005-0000-0000-00004E0B0000}"/>
    <cellStyle name="s_S_By_S_Actualisation provision contrat déficitaire SNCM 2011 V3 30 05 2011_PAO-CAF-RESOP_B13_focus par entités CAFOP" xfId="2808" xr:uid="{00000000-0005-0000-0000-00004F0B0000}"/>
    <cellStyle name="s_S_By_S_Actualisation provision contrat déficitaire SNCM 2011 V3 30 05 2011_PAO-CAF-RESOP_B13_focus par entités CAFOP_Bridge_Zone_Sud" xfId="2809" xr:uid="{00000000-0005-0000-0000-0000500B0000}"/>
    <cellStyle name="s_S_By_S_Actualisation provision contrat déficitaire SNCM 2011 V3 30 05 2011_PAO-CAF-RESOP_B2014" xfId="2810" xr:uid="{00000000-0005-0000-0000-0000510B0000}"/>
    <cellStyle name="s_S_By_S_Actualisation provision contrat déficitaire SNCM 2011 V3 30 05 2011_PAO-CAF-RESOP_B2014_Bridge_Zone_Sud" xfId="2811" xr:uid="{00000000-0005-0000-0000-0000520B0000}"/>
    <cellStyle name="s_S_By_S_Actualisation provision contrat déficitaire SNCM 2011 V3 30 05 2011_PAO-CAF-RESOP_B2014_v2" xfId="2812" xr:uid="{00000000-0005-0000-0000-0000530B0000}"/>
    <cellStyle name="s_S_By_S_Actualisation provision contrat déficitaire SNCM 2011 V3 30 05 2011_PAO-CAF-RESOP_E2_13" xfId="2813" xr:uid="{00000000-0005-0000-0000-0000540B0000}"/>
    <cellStyle name="s_S_By_S_Actualisation provision contrat déficitaire SNCM 2011 V3 30 05 2011_PAO-CAF-RESOP_E2_13_B14_E2_2210" xfId="2814" xr:uid="{00000000-0005-0000-0000-0000550B0000}"/>
    <cellStyle name="s_S_By_S_Actualisation provision contrat déficitaire SNCM 2011 V3 30 05 2011_PAO-CAF-RESOP_E2_13_B14_E2_2210_Bridge_Zone_Sud" xfId="2815" xr:uid="{00000000-0005-0000-0000-0000560B0000}"/>
    <cellStyle name="s_S_By_S_Actualisation provision contrat déficitaire SNCM 2011 V3 30 05 2011_PAO-CAF-RESOP_E2_13_Bridge_Zone_Sud" xfId="2816" xr:uid="{00000000-0005-0000-0000-0000570B0000}"/>
    <cellStyle name="s_S_By_S_Actualisation provision contrat déficitaire SNCM 2011 V3 30 05 2011_PAO-CAF-RESOP_E2_2013_03_10_19H" xfId="2817" xr:uid="{00000000-0005-0000-0000-0000580B0000}"/>
    <cellStyle name="s_S_By_S_Actualisation provision contrat déficitaire SNCM 2011 V3 30 05 2011_PAO-CAF-RESOP_E2_2013_03_10_19H_Bridge_Zone_Sud" xfId="2818" xr:uid="{00000000-0005-0000-0000-0000590B0000}"/>
    <cellStyle name="s_S_By_S_Actualisation provision contrat déficitaire SNCM 2011 V3 30 05 2011_PPA" xfId="2819" xr:uid="{00000000-0005-0000-0000-00005A0B0000}"/>
    <cellStyle name="s_S_By_S_Actualisation provision contrat déficitaire SNCM 2011 V3 30 05 2011_RESOP bef CICE&amp;PPA&amp;RepartHO" xfId="2820" xr:uid="{00000000-0005-0000-0000-00005B0B0000}"/>
    <cellStyle name="s_S_By_S_Actualisation provision contrat déficitaire SNCM 2011 V3 30 05 2011_Synthèse_Présentation_conso_retraitée" xfId="2821" xr:uid="{00000000-0005-0000-0000-00005C0B0000}"/>
    <cellStyle name="s_S_By_S_B14_E2_2210" xfId="2822" xr:uid="{00000000-0005-0000-0000-00005D0B0000}"/>
    <cellStyle name="s_S_By_S_B14_E2_2210_Bridge_Zone_Sud" xfId="2823" xr:uid="{00000000-0005-0000-0000-00005E0B0000}"/>
    <cellStyle name="s_S_By_S_BFR_TD_2014.02" xfId="2824" xr:uid="{00000000-0005-0000-0000-00005F0B0000}"/>
    <cellStyle name="s_S_By_S_Bridge_Zone_Nord" xfId="2825" xr:uid="{00000000-0005-0000-0000-0000600B0000}"/>
    <cellStyle name="s_S_By_S_CAPEM BY COUNTRY" xfId="2826" xr:uid="{00000000-0005-0000-0000-0000610B0000}"/>
    <cellStyle name="s_S_By_S_LI819L_B13" xfId="2827" xr:uid="{00000000-0005-0000-0000-0000620B0000}"/>
    <cellStyle name="s_S_By_S_LI819L_B13_CAPEM BY COUNTRY" xfId="2828" xr:uid="{00000000-0005-0000-0000-0000630B0000}"/>
    <cellStyle name="s_S_By_S_LI819L_B13_Maquette PLT" xfId="2829" xr:uid="{00000000-0005-0000-0000-0000640B0000}"/>
    <cellStyle name="s_S_By_S_LI819L_B13_Output" xfId="3445" xr:uid="{00000000-0005-0000-0000-0000650B0000}"/>
    <cellStyle name="s_S_By_S_LI819L_B13_PPA" xfId="2830" xr:uid="{00000000-0005-0000-0000-0000660B0000}"/>
    <cellStyle name="s_S_By_S_LI819L_B13_RESOP bef CICE&amp;PPA&amp;RepartHO" xfId="2831" xr:uid="{00000000-0005-0000-0000-0000670B0000}"/>
    <cellStyle name="s_S_By_S_Maquette PLT" xfId="2832" xr:uid="{00000000-0005-0000-0000-0000680B0000}"/>
    <cellStyle name="s_S_By_S_Output" xfId="3442" xr:uid="{00000000-0005-0000-0000-0000690B0000}"/>
    <cellStyle name="s_S_By_S_PAO-CAF-RESOP_14_01_13 à 20h" xfId="2833" xr:uid="{00000000-0005-0000-0000-00006A0B0000}"/>
    <cellStyle name="s_S_By_S_PAO-CAF-RESOP_14_01_13 à 20h_CAPEM BY COUNTRY" xfId="2834" xr:uid="{00000000-0005-0000-0000-00006B0B0000}"/>
    <cellStyle name="s_S_By_S_PAO-CAF-RESOP_14_01_13 à 20h_Maquette PLT" xfId="2835" xr:uid="{00000000-0005-0000-0000-00006C0B0000}"/>
    <cellStyle name="s_S_By_S_PAO-CAF-RESOP_14_01_13 à 20h_Output" xfId="3446" xr:uid="{00000000-0005-0000-0000-00006D0B0000}"/>
    <cellStyle name="s_S_By_S_PAO-CAF-RESOP_14_01_13 à 20h_PPA" xfId="2836" xr:uid="{00000000-0005-0000-0000-00006E0B0000}"/>
    <cellStyle name="s_S_By_S_PAO-CAF-RESOP_14_01_13 à 20h_RESOP bef CICE&amp;PPA&amp;RepartHO" xfId="2837" xr:uid="{00000000-0005-0000-0000-00006F0B0000}"/>
    <cellStyle name="s_S_By_S_PAO-CAF-RESOP_2014.02" xfId="2838" xr:uid="{00000000-0005-0000-0000-0000700B0000}"/>
    <cellStyle name="s_S_By_S_PAO-CAF-RESOP_2014.02_Bridge_Zone_Sud" xfId="2839" xr:uid="{00000000-0005-0000-0000-0000710B0000}"/>
    <cellStyle name="s_S_By_S_PPA" xfId="2840" xr:uid="{00000000-0005-0000-0000-0000720B0000}"/>
    <cellStyle name="s_S_By_S_RESOP bef CICE&amp;PPA&amp;RepartHO" xfId="2841" xr:uid="{00000000-0005-0000-0000-0000730B0000}"/>
    <cellStyle name="s_Sheet5" xfId="2842" xr:uid="{00000000-0005-0000-0000-0000740B0000}"/>
    <cellStyle name="s_Sheet5_Actualisation provision contrat déficitaire SNCM 2010 V Def" xfId="2843" xr:uid="{00000000-0005-0000-0000-0000750B0000}"/>
    <cellStyle name="s_Sheet5_Actualisation provision contrat déficitaire SNCM 2010 V Def_B14_E2_2210" xfId="2844" xr:uid="{00000000-0005-0000-0000-0000760B0000}"/>
    <cellStyle name="s_Sheet5_Actualisation provision contrat déficitaire SNCM 2010 V Def_B14_E2_2210_Bridge_Zone_Sud" xfId="2845" xr:uid="{00000000-0005-0000-0000-0000770B0000}"/>
    <cellStyle name="s_Sheet5_Actualisation provision contrat déficitaire SNCM 2010 V Def_Bridge_Zone_Sud" xfId="2846" xr:uid="{00000000-0005-0000-0000-0000780B0000}"/>
    <cellStyle name="s_Sheet5_Actualisation provision contrat déficitaire SNCM 2010 V Def_CAPEM BY COUNTRY" xfId="2847" xr:uid="{00000000-0005-0000-0000-0000790B0000}"/>
    <cellStyle name="s_Sheet5_Actualisation provision contrat déficitaire SNCM 2010 V Def_focus par entités CAFOPE2AMF" xfId="2848" xr:uid="{00000000-0005-0000-0000-00007A0B0000}"/>
    <cellStyle name="s_Sheet5_Actualisation provision contrat déficitaire SNCM 2010 V Def_focus par entités CAFOPE2AMF_Bridge_Zone_Sud" xfId="2849" xr:uid="{00000000-0005-0000-0000-00007B0B0000}"/>
    <cellStyle name="s_Sheet5_Actualisation provision contrat déficitaire SNCM 2010 V Def_Maquette PLT" xfId="2850" xr:uid="{00000000-0005-0000-0000-00007C0B0000}"/>
    <cellStyle name="s_Sheet5_Actualisation provision contrat déficitaire SNCM 2010 V Def_Output" xfId="3448" xr:uid="{00000000-0005-0000-0000-00007D0B0000}"/>
    <cellStyle name="s_Sheet5_Actualisation provision contrat déficitaire SNCM 2010 V Def_PAO-CAF-RESOP_04_13_pro_format_variante T1" xfId="2851" xr:uid="{00000000-0005-0000-0000-00007E0B0000}"/>
    <cellStyle name="s_Sheet5_Actualisation provision contrat déficitaire SNCM 2010 V Def_PAO-CAF-RESOP_04_13_pro_format_variante T1_B14_E2_2210" xfId="2852" xr:uid="{00000000-0005-0000-0000-00007F0B0000}"/>
    <cellStyle name="s_Sheet5_Actualisation provision contrat déficitaire SNCM 2010 V Def_PAO-CAF-RESOP_04_13_pro_format_variante T1_B14_E2_2210_Bridge_Zone_Sud" xfId="2853" xr:uid="{00000000-0005-0000-0000-0000800B0000}"/>
    <cellStyle name="s_Sheet5_Actualisation provision contrat déficitaire SNCM 2010 V Def_PAO-CAF-RESOP_04_13_pro_format_variante T1_Bridge_Zone_Sud" xfId="2854" xr:uid="{00000000-0005-0000-0000-0000810B0000}"/>
    <cellStyle name="s_Sheet5_Actualisation provision contrat déficitaire SNCM 2010 V Def_PAO-CAF-RESOP_06_13" xfId="2855" xr:uid="{00000000-0005-0000-0000-0000820B0000}"/>
    <cellStyle name="s_Sheet5_Actualisation provision contrat déficitaire SNCM 2010 V Def_PAO-CAF-RESOP_06_13_B14_E2_2210" xfId="2856" xr:uid="{00000000-0005-0000-0000-0000830B0000}"/>
    <cellStyle name="s_Sheet5_Actualisation provision contrat déficitaire SNCM 2010 V Def_PAO-CAF-RESOP_06_13_B14_E2_2210_Bridge_Zone_Sud" xfId="2857" xr:uid="{00000000-0005-0000-0000-0000840B0000}"/>
    <cellStyle name="s_Sheet5_Actualisation provision contrat déficitaire SNCM 2010 V Def_PAO-CAF-RESOP_06_13_Bridge_Zone_Sud" xfId="2858" xr:uid="{00000000-0005-0000-0000-0000850B0000}"/>
    <cellStyle name="s_Sheet5_Actualisation provision contrat déficitaire SNCM 2010 V Def_PAO-CAF-RESOP_08_13" xfId="2859" xr:uid="{00000000-0005-0000-0000-0000860B0000}"/>
    <cellStyle name="s_Sheet5_Actualisation provision contrat déficitaire SNCM 2010 V Def_PAO-CAF-RESOP_08_13_B14_E2_2210" xfId="2860" xr:uid="{00000000-0005-0000-0000-0000870B0000}"/>
    <cellStyle name="s_Sheet5_Actualisation provision contrat déficitaire SNCM 2010 V Def_PAO-CAF-RESOP_08_13_B14_E2_2210_Bridge_Zone_Sud" xfId="2861" xr:uid="{00000000-0005-0000-0000-0000880B0000}"/>
    <cellStyle name="s_Sheet5_Actualisation provision contrat déficitaire SNCM 2010 V Def_PAO-CAF-RESOP_08_13_Bridge_Zone_Sud" xfId="2862" xr:uid="{00000000-0005-0000-0000-0000890B0000}"/>
    <cellStyle name="s_Sheet5_Actualisation provision contrat déficitaire SNCM 2010 V Def_PAO-CAF-RESOP_09_13" xfId="2863" xr:uid="{00000000-0005-0000-0000-00008A0B0000}"/>
    <cellStyle name="s_Sheet5_Actualisation provision contrat déficitaire SNCM 2010 V Def_PAO-CAF-RESOP_09_13_Bridge_Zone_Sud" xfId="2864" xr:uid="{00000000-0005-0000-0000-00008B0B0000}"/>
    <cellStyle name="s_Sheet5_Actualisation provision contrat déficitaire SNCM 2010 V Def_PAO-CAF-RESOP_09_2013_Zone_IDF (version 2)" xfId="2865" xr:uid="{00000000-0005-0000-0000-00008C0B0000}"/>
    <cellStyle name="s_Sheet5_Actualisation provision contrat déficitaire SNCM 2010 V Def_PAO-CAF-RESOP_10_12" xfId="2866" xr:uid="{00000000-0005-0000-0000-00008D0B0000}"/>
    <cellStyle name="s_Sheet5_Actualisation provision contrat déficitaire SNCM 2010 V Def_PAO-CAF-RESOP_10_12_Bridge_Zone_Sud" xfId="2867" xr:uid="{00000000-0005-0000-0000-00008E0B0000}"/>
    <cellStyle name="s_Sheet5_Actualisation provision contrat déficitaire SNCM 2010 V Def_PAO-CAF-RESOP_10_12_focus par entités CAFOP" xfId="2868" xr:uid="{00000000-0005-0000-0000-00008F0B0000}"/>
    <cellStyle name="s_Sheet5_Actualisation provision contrat déficitaire SNCM 2010 V Def_PAO-CAF-RESOP_10_12_focus par entités CAFOP_Bridge_Zone_Sud" xfId="2869" xr:uid="{00000000-0005-0000-0000-0000900B0000}"/>
    <cellStyle name="s_Sheet5_Actualisation provision contrat déficitaire SNCM 2010 V Def_PAO-CAF-RESOP_11_13" xfId="2870" xr:uid="{00000000-0005-0000-0000-0000910B0000}"/>
    <cellStyle name="s_Sheet5_Actualisation provision contrat déficitaire SNCM 2010 V Def_PAO-CAF-RESOP_B13" xfId="2871" xr:uid="{00000000-0005-0000-0000-0000920B0000}"/>
    <cellStyle name="s_Sheet5_Actualisation provision contrat déficitaire SNCM 2010 V Def_PAO-CAF-RESOP_B13_Bridge_Zone_Sud" xfId="2872" xr:uid="{00000000-0005-0000-0000-0000930B0000}"/>
    <cellStyle name="s_Sheet5_Actualisation provision contrat déficitaire SNCM 2010 V Def_PAO-CAF-RESOP_B13_focus par entités CAFOP" xfId="2873" xr:uid="{00000000-0005-0000-0000-0000940B0000}"/>
    <cellStyle name="s_Sheet5_Actualisation provision contrat déficitaire SNCM 2010 V Def_PAO-CAF-RESOP_B13_focus par entités CAFOP_Bridge_Zone_Sud" xfId="2874" xr:uid="{00000000-0005-0000-0000-0000950B0000}"/>
    <cellStyle name="s_Sheet5_Actualisation provision contrat déficitaire SNCM 2010 V Def_PAO-CAF-RESOP_B2014" xfId="2875" xr:uid="{00000000-0005-0000-0000-0000960B0000}"/>
    <cellStyle name="s_Sheet5_Actualisation provision contrat déficitaire SNCM 2010 V Def_PAO-CAF-RESOP_B2014_Bridge_Zone_Sud" xfId="2876" xr:uid="{00000000-0005-0000-0000-0000970B0000}"/>
    <cellStyle name="s_Sheet5_Actualisation provision contrat déficitaire SNCM 2010 V Def_PAO-CAF-RESOP_B2014_v2" xfId="2877" xr:uid="{00000000-0005-0000-0000-0000980B0000}"/>
    <cellStyle name="s_Sheet5_Actualisation provision contrat déficitaire SNCM 2010 V Def_PAO-CAF-RESOP_E2_13" xfId="2878" xr:uid="{00000000-0005-0000-0000-0000990B0000}"/>
    <cellStyle name="s_Sheet5_Actualisation provision contrat déficitaire SNCM 2010 V Def_PAO-CAF-RESOP_E2_13_B14_E2_2210" xfId="2879" xr:uid="{00000000-0005-0000-0000-00009A0B0000}"/>
    <cellStyle name="s_Sheet5_Actualisation provision contrat déficitaire SNCM 2010 V Def_PAO-CAF-RESOP_E2_13_B14_E2_2210_Bridge_Zone_Sud" xfId="2880" xr:uid="{00000000-0005-0000-0000-00009B0B0000}"/>
    <cellStyle name="s_Sheet5_Actualisation provision contrat déficitaire SNCM 2010 V Def_PAO-CAF-RESOP_E2_13_Bridge_Zone_Sud" xfId="2881" xr:uid="{00000000-0005-0000-0000-00009C0B0000}"/>
    <cellStyle name="s_Sheet5_Actualisation provision contrat déficitaire SNCM 2010 V Def_PAO-CAF-RESOP_E2_2013_03_10_19H" xfId="2882" xr:uid="{00000000-0005-0000-0000-00009D0B0000}"/>
    <cellStyle name="s_Sheet5_Actualisation provision contrat déficitaire SNCM 2010 V Def_PAO-CAF-RESOP_E2_2013_03_10_19H_Bridge_Zone_Sud" xfId="2883" xr:uid="{00000000-0005-0000-0000-00009E0B0000}"/>
    <cellStyle name="s_Sheet5_Actualisation provision contrat déficitaire SNCM 2010 V Def_PPA" xfId="2884" xr:uid="{00000000-0005-0000-0000-00009F0B0000}"/>
    <cellStyle name="s_Sheet5_Actualisation provision contrat déficitaire SNCM 2010 V Def_RESOP bef CICE&amp;PPA&amp;RepartHO" xfId="2885" xr:uid="{00000000-0005-0000-0000-0000A00B0000}"/>
    <cellStyle name="s_Sheet5_Actualisation provision contrat déficitaire SNCM 2010 V Def_Synthèse_Présentation_conso_retraitée" xfId="2886" xr:uid="{00000000-0005-0000-0000-0000A10B0000}"/>
    <cellStyle name="s_Sheet5_Actualisation provision contrat déficitaire SNCM 2011 V3 30 05 2011" xfId="2887" xr:uid="{00000000-0005-0000-0000-0000A20B0000}"/>
    <cellStyle name="s_Sheet5_Actualisation provision contrat déficitaire SNCM 2011 V3 30 05 2011_B14_E2_2210" xfId="2888" xr:uid="{00000000-0005-0000-0000-0000A30B0000}"/>
    <cellStyle name="s_Sheet5_Actualisation provision contrat déficitaire SNCM 2011 V3 30 05 2011_B14_E2_2210_Bridge_Zone_Sud" xfId="2889" xr:uid="{00000000-0005-0000-0000-0000A40B0000}"/>
    <cellStyle name="s_Sheet5_Actualisation provision contrat déficitaire SNCM 2011 V3 30 05 2011_Bridge_Zone_Sud" xfId="2890" xr:uid="{00000000-0005-0000-0000-0000A50B0000}"/>
    <cellStyle name="s_Sheet5_Actualisation provision contrat déficitaire SNCM 2011 V3 30 05 2011_CAPEM BY COUNTRY" xfId="2891" xr:uid="{00000000-0005-0000-0000-0000A60B0000}"/>
    <cellStyle name="s_Sheet5_Actualisation provision contrat déficitaire SNCM 2011 V3 30 05 2011_focus par entités CAFOPE2AMF" xfId="2892" xr:uid="{00000000-0005-0000-0000-0000A70B0000}"/>
    <cellStyle name="s_Sheet5_Actualisation provision contrat déficitaire SNCM 2011 V3 30 05 2011_focus par entités CAFOPE2AMF_Bridge_Zone_Sud" xfId="2893" xr:uid="{00000000-0005-0000-0000-0000A80B0000}"/>
    <cellStyle name="s_Sheet5_Actualisation provision contrat déficitaire SNCM 2011 V3 30 05 2011_Maquette PLT" xfId="2894" xr:uid="{00000000-0005-0000-0000-0000A90B0000}"/>
    <cellStyle name="s_Sheet5_Actualisation provision contrat déficitaire SNCM 2011 V3 30 05 2011_Output" xfId="3449" xr:uid="{00000000-0005-0000-0000-0000AA0B0000}"/>
    <cellStyle name="s_Sheet5_Actualisation provision contrat déficitaire SNCM 2011 V3 30 05 2011_PAO-CAF-RESOP_04_13_pro_format_variante T1" xfId="2895" xr:uid="{00000000-0005-0000-0000-0000AB0B0000}"/>
    <cellStyle name="s_Sheet5_Actualisation provision contrat déficitaire SNCM 2011 V3 30 05 2011_PAO-CAF-RESOP_04_13_pro_format_variante T1_B14_E2_2210" xfId="2896" xr:uid="{00000000-0005-0000-0000-0000AC0B0000}"/>
    <cellStyle name="s_Sheet5_Actualisation provision contrat déficitaire SNCM 2011 V3 30 05 2011_PAO-CAF-RESOP_04_13_pro_format_variante T1_B14_E2_2210_Bridge_Zone_Sud" xfId="2897" xr:uid="{00000000-0005-0000-0000-0000AD0B0000}"/>
    <cellStyle name="s_Sheet5_Actualisation provision contrat déficitaire SNCM 2011 V3 30 05 2011_PAO-CAF-RESOP_04_13_pro_format_variante T1_Bridge_Zone_Sud" xfId="2898" xr:uid="{00000000-0005-0000-0000-0000AE0B0000}"/>
    <cellStyle name="s_Sheet5_Actualisation provision contrat déficitaire SNCM 2011 V3 30 05 2011_PAO-CAF-RESOP_06_13" xfId="2899" xr:uid="{00000000-0005-0000-0000-0000AF0B0000}"/>
    <cellStyle name="s_Sheet5_Actualisation provision contrat déficitaire SNCM 2011 V3 30 05 2011_PAO-CAF-RESOP_06_13_B14_E2_2210" xfId="2900" xr:uid="{00000000-0005-0000-0000-0000B00B0000}"/>
    <cellStyle name="s_Sheet5_Actualisation provision contrat déficitaire SNCM 2011 V3 30 05 2011_PAO-CAF-RESOP_06_13_B14_E2_2210_Bridge_Zone_Sud" xfId="2901" xr:uid="{00000000-0005-0000-0000-0000B10B0000}"/>
    <cellStyle name="s_Sheet5_Actualisation provision contrat déficitaire SNCM 2011 V3 30 05 2011_PAO-CAF-RESOP_06_13_Bridge_Zone_Sud" xfId="2902" xr:uid="{00000000-0005-0000-0000-0000B20B0000}"/>
    <cellStyle name="s_Sheet5_Actualisation provision contrat déficitaire SNCM 2011 V3 30 05 2011_PAO-CAF-RESOP_08_13" xfId="2903" xr:uid="{00000000-0005-0000-0000-0000B30B0000}"/>
    <cellStyle name="s_Sheet5_Actualisation provision contrat déficitaire SNCM 2011 V3 30 05 2011_PAO-CAF-RESOP_08_13_B14_E2_2210" xfId="2904" xr:uid="{00000000-0005-0000-0000-0000B40B0000}"/>
    <cellStyle name="s_Sheet5_Actualisation provision contrat déficitaire SNCM 2011 V3 30 05 2011_PAO-CAF-RESOP_08_13_B14_E2_2210_Bridge_Zone_Sud" xfId="2905" xr:uid="{00000000-0005-0000-0000-0000B50B0000}"/>
    <cellStyle name="s_Sheet5_Actualisation provision contrat déficitaire SNCM 2011 V3 30 05 2011_PAO-CAF-RESOP_08_13_Bridge_Zone_Sud" xfId="2906" xr:uid="{00000000-0005-0000-0000-0000B60B0000}"/>
    <cellStyle name="s_Sheet5_Actualisation provision contrat déficitaire SNCM 2011 V3 30 05 2011_PAO-CAF-RESOP_09_13" xfId="2907" xr:uid="{00000000-0005-0000-0000-0000B70B0000}"/>
    <cellStyle name="s_Sheet5_Actualisation provision contrat déficitaire SNCM 2011 V3 30 05 2011_PAO-CAF-RESOP_09_13_Bridge_Zone_Sud" xfId="2908" xr:uid="{00000000-0005-0000-0000-0000B80B0000}"/>
    <cellStyle name="s_Sheet5_Actualisation provision contrat déficitaire SNCM 2011 V3 30 05 2011_PAO-CAF-RESOP_09_2013_Zone_IDF (version 2)" xfId="2909" xr:uid="{00000000-0005-0000-0000-0000B90B0000}"/>
    <cellStyle name="s_Sheet5_Actualisation provision contrat déficitaire SNCM 2011 V3 30 05 2011_PAO-CAF-RESOP_10_12" xfId="2910" xr:uid="{00000000-0005-0000-0000-0000BA0B0000}"/>
    <cellStyle name="s_Sheet5_Actualisation provision contrat déficitaire SNCM 2011 V3 30 05 2011_PAO-CAF-RESOP_10_12_Bridge_Zone_Sud" xfId="2911" xr:uid="{00000000-0005-0000-0000-0000BB0B0000}"/>
    <cellStyle name="s_Sheet5_Actualisation provision contrat déficitaire SNCM 2011 V3 30 05 2011_PAO-CAF-RESOP_10_12_focus par entités CAFOP" xfId="2912" xr:uid="{00000000-0005-0000-0000-0000BC0B0000}"/>
    <cellStyle name="s_Sheet5_Actualisation provision contrat déficitaire SNCM 2011 V3 30 05 2011_PAO-CAF-RESOP_10_12_focus par entités CAFOP_Bridge_Zone_Sud" xfId="2913" xr:uid="{00000000-0005-0000-0000-0000BD0B0000}"/>
    <cellStyle name="s_Sheet5_Actualisation provision contrat déficitaire SNCM 2011 V3 30 05 2011_PAO-CAF-RESOP_11_13" xfId="2914" xr:uid="{00000000-0005-0000-0000-0000BE0B0000}"/>
    <cellStyle name="s_Sheet5_Actualisation provision contrat déficitaire SNCM 2011 V3 30 05 2011_PAO-CAF-RESOP_B13" xfId="2915" xr:uid="{00000000-0005-0000-0000-0000BF0B0000}"/>
    <cellStyle name="s_Sheet5_Actualisation provision contrat déficitaire SNCM 2011 V3 30 05 2011_PAO-CAF-RESOP_B13_Bridge_Zone_Sud" xfId="2916" xr:uid="{00000000-0005-0000-0000-0000C00B0000}"/>
    <cellStyle name="s_Sheet5_Actualisation provision contrat déficitaire SNCM 2011 V3 30 05 2011_PAO-CAF-RESOP_B13_focus par entités CAFOP" xfId="2917" xr:uid="{00000000-0005-0000-0000-0000C10B0000}"/>
    <cellStyle name="s_Sheet5_Actualisation provision contrat déficitaire SNCM 2011 V3 30 05 2011_PAO-CAF-RESOP_B13_focus par entités CAFOP_Bridge_Zone_Sud" xfId="2918" xr:uid="{00000000-0005-0000-0000-0000C20B0000}"/>
    <cellStyle name="s_Sheet5_Actualisation provision contrat déficitaire SNCM 2011 V3 30 05 2011_PAO-CAF-RESOP_B2014" xfId="2919" xr:uid="{00000000-0005-0000-0000-0000C30B0000}"/>
    <cellStyle name="s_Sheet5_Actualisation provision contrat déficitaire SNCM 2011 V3 30 05 2011_PAO-CAF-RESOP_B2014_Bridge_Zone_Sud" xfId="2920" xr:uid="{00000000-0005-0000-0000-0000C40B0000}"/>
    <cellStyle name="s_Sheet5_Actualisation provision contrat déficitaire SNCM 2011 V3 30 05 2011_PAO-CAF-RESOP_B2014_v2" xfId="2921" xr:uid="{00000000-0005-0000-0000-0000C50B0000}"/>
    <cellStyle name="s_Sheet5_Actualisation provision contrat déficitaire SNCM 2011 V3 30 05 2011_PAO-CAF-RESOP_E2_13" xfId="2922" xr:uid="{00000000-0005-0000-0000-0000C60B0000}"/>
    <cellStyle name="s_Sheet5_Actualisation provision contrat déficitaire SNCM 2011 V3 30 05 2011_PAO-CAF-RESOP_E2_13_B14_E2_2210" xfId="2923" xr:uid="{00000000-0005-0000-0000-0000C70B0000}"/>
    <cellStyle name="s_Sheet5_Actualisation provision contrat déficitaire SNCM 2011 V3 30 05 2011_PAO-CAF-RESOP_E2_13_B14_E2_2210_Bridge_Zone_Sud" xfId="2924" xr:uid="{00000000-0005-0000-0000-0000C80B0000}"/>
    <cellStyle name="s_Sheet5_Actualisation provision contrat déficitaire SNCM 2011 V3 30 05 2011_PAO-CAF-RESOP_E2_13_Bridge_Zone_Sud" xfId="2925" xr:uid="{00000000-0005-0000-0000-0000C90B0000}"/>
    <cellStyle name="s_Sheet5_Actualisation provision contrat déficitaire SNCM 2011 V3 30 05 2011_PAO-CAF-RESOP_E2_2013_03_10_19H" xfId="2926" xr:uid="{00000000-0005-0000-0000-0000CA0B0000}"/>
    <cellStyle name="s_Sheet5_Actualisation provision contrat déficitaire SNCM 2011 V3 30 05 2011_PAO-CAF-RESOP_E2_2013_03_10_19H_Bridge_Zone_Sud" xfId="2927" xr:uid="{00000000-0005-0000-0000-0000CB0B0000}"/>
    <cellStyle name="s_Sheet5_Actualisation provision contrat déficitaire SNCM 2011 V3 30 05 2011_PPA" xfId="2928" xr:uid="{00000000-0005-0000-0000-0000CC0B0000}"/>
    <cellStyle name="s_Sheet5_Actualisation provision contrat déficitaire SNCM 2011 V3 30 05 2011_RESOP bef CICE&amp;PPA&amp;RepartHO" xfId="2929" xr:uid="{00000000-0005-0000-0000-0000CD0B0000}"/>
    <cellStyle name="s_Sheet5_Actualisation provision contrat déficitaire SNCM 2011 V3 30 05 2011_Synthèse_Présentation_conso_retraitée" xfId="2930" xr:uid="{00000000-0005-0000-0000-0000CE0B0000}"/>
    <cellStyle name="s_Sheet5_B14_E2_2210" xfId="2931" xr:uid="{00000000-0005-0000-0000-0000CF0B0000}"/>
    <cellStyle name="s_Sheet5_B14_E2_2210_Bridge_Zone_Sud" xfId="2932" xr:uid="{00000000-0005-0000-0000-0000D00B0000}"/>
    <cellStyle name="s_Sheet5_BFR_TD_2014.02" xfId="2933" xr:uid="{00000000-0005-0000-0000-0000D10B0000}"/>
    <cellStyle name="s_Sheet5_Bridge_Zone_Nord" xfId="2934" xr:uid="{00000000-0005-0000-0000-0000D20B0000}"/>
    <cellStyle name="s_Sheet5_CAPEM BY COUNTRY" xfId="2935" xr:uid="{00000000-0005-0000-0000-0000D30B0000}"/>
    <cellStyle name="s_Sheet5_LI819L_B13" xfId="2936" xr:uid="{00000000-0005-0000-0000-0000D40B0000}"/>
    <cellStyle name="s_Sheet5_LI819L_B13_CAPEM BY COUNTRY" xfId="2937" xr:uid="{00000000-0005-0000-0000-0000D50B0000}"/>
    <cellStyle name="s_Sheet5_LI819L_B13_Maquette PLT" xfId="2938" xr:uid="{00000000-0005-0000-0000-0000D60B0000}"/>
    <cellStyle name="s_Sheet5_LI819L_B13_Output" xfId="3450" xr:uid="{00000000-0005-0000-0000-0000D70B0000}"/>
    <cellStyle name="s_Sheet5_LI819L_B13_PPA" xfId="2939" xr:uid="{00000000-0005-0000-0000-0000D80B0000}"/>
    <cellStyle name="s_Sheet5_LI819L_B13_RESOP bef CICE&amp;PPA&amp;RepartHO" xfId="2940" xr:uid="{00000000-0005-0000-0000-0000D90B0000}"/>
    <cellStyle name="s_Sheet5_Maquette PLT" xfId="2941" xr:uid="{00000000-0005-0000-0000-0000DA0B0000}"/>
    <cellStyle name="s_Sheet5_Output" xfId="3447" xr:uid="{00000000-0005-0000-0000-0000DB0B0000}"/>
    <cellStyle name="s_Sheet5_PAO-CAF-RESOP_14_01_13 à 20h" xfId="2942" xr:uid="{00000000-0005-0000-0000-0000DC0B0000}"/>
    <cellStyle name="s_Sheet5_PAO-CAF-RESOP_14_01_13 à 20h_CAPEM BY COUNTRY" xfId="2943" xr:uid="{00000000-0005-0000-0000-0000DD0B0000}"/>
    <cellStyle name="s_Sheet5_PAO-CAF-RESOP_14_01_13 à 20h_Maquette PLT" xfId="2944" xr:uid="{00000000-0005-0000-0000-0000DE0B0000}"/>
    <cellStyle name="s_Sheet5_PAO-CAF-RESOP_14_01_13 à 20h_Output" xfId="3451" xr:uid="{00000000-0005-0000-0000-0000DF0B0000}"/>
    <cellStyle name="s_Sheet5_PAO-CAF-RESOP_14_01_13 à 20h_PPA" xfId="2945" xr:uid="{00000000-0005-0000-0000-0000E00B0000}"/>
    <cellStyle name="s_Sheet5_PAO-CAF-RESOP_14_01_13 à 20h_RESOP bef CICE&amp;PPA&amp;RepartHO" xfId="2946" xr:uid="{00000000-0005-0000-0000-0000E10B0000}"/>
    <cellStyle name="s_Sheet5_PAO-CAF-RESOP_2014.02" xfId="2947" xr:uid="{00000000-0005-0000-0000-0000E20B0000}"/>
    <cellStyle name="s_Sheet5_PAO-CAF-RESOP_2014.02_Bridge_Zone_Sud" xfId="2948" xr:uid="{00000000-0005-0000-0000-0000E30B0000}"/>
    <cellStyle name="s_Sheet5_PPA" xfId="2949" xr:uid="{00000000-0005-0000-0000-0000E40B0000}"/>
    <cellStyle name="s_Sheet5_RESOP bef CICE&amp;PPA&amp;RepartHO" xfId="2950" xr:uid="{00000000-0005-0000-0000-0000E50B0000}"/>
    <cellStyle name="s_Valuation " xfId="2951" xr:uid="{00000000-0005-0000-0000-0000E60B0000}"/>
    <cellStyle name="s_Valuation _Actualisation provision contrat déficitaire SNCM 2010 V Def" xfId="2952" xr:uid="{00000000-0005-0000-0000-0000E70B0000}"/>
    <cellStyle name="s_Valuation _Actualisation provision contrat déficitaire SNCM 2010 V Def_B14_E2_2210" xfId="2953" xr:uid="{00000000-0005-0000-0000-0000E80B0000}"/>
    <cellStyle name="s_Valuation _Actualisation provision contrat déficitaire SNCM 2010 V Def_B14_E2_2210_Bridge_Zone_Sud" xfId="2954" xr:uid="{00000000-0005-0000-0000-0000E90B0000}"/>
    <cellStyle name="s_Valuation _Actualisation provision contrat déficitaire SNCM 2010 V Def_Bridge_Zone_Sud" xfId="2955" xr:uid="{00000000-0005-0000-0000-0000EA0B0000}"/>
    <cellStyle name="s_Valuation _Actualisation provision contrat déficitaire SNCM 2010 V Def_CAPEM BY COUNTRY" xfId="2956" xr:uid="{00000000-0005-0000-0000-0000EB0B0000}"/>
    <cellStyle name="s_Valuation _Actualisation provision contrat déficitaire SNCM 2010 V Def_focus par entités CAFOPE2AMF" xfId="2957" xr:uid="{00000000-0005-0000-0000-0000EC0B0000}"/>
    <cellStyle name="s_Valuation _Actualisation provision contrat déficitaire SNCM 2010 V Def_focus par entités CAFOPE2AMF_Bridge_Zone_Sud" xfId="2958" xr:uid="{00000000-0005-0000-0000-0000ED0B0000}"/>
    <cellStyle name="s_Valuation _Actualisation provision contrat déficitaire SNCM 2010 V Def_Maquette PLT" xfId="2959" xr:uid="{00000000-0005-0000-0000-0000EE0B0000}"/>
    <cellStyle name="s_Valuation _Actualisation provision contrat déficitaire SNCM 2010 V Def_Output" xfId="3453" xr:uid="{00000000-0005-0000-0000-0000EF0B0000}"/>
    <cellStyle name="s_Valuation _Actualisation provision contrat déficitaire SNCM 2010 V Def_PAO-CAF-RESOP_04_13_pro_format_variante T1" xfId="2960" xr:uid="{00000000-0005-0000-0000-0000F00B0000}"/>
    <cellStyle name="s_Valuation _Actualisation provision contrat déficitaire SNCM 2010 V Def_PAO-CAF-RESOP_04_13_pro_format_variante T1_B14_E2_2210" xfId="2961" xr:uid="{00000000-0005-0000-0000-0000F10B0000}"/>
    <cellStyle name="s_Valuation _Actualisation provision contrat déficitaire SNCM 2010 V Def_PAO-CAF-RESOP_04_13_pro_format_variante T1_B14_E2_2210_Bridge_Zone_Sud" xfId="2962" xr:uid="{00000000-0005-0000-0000-0000F20B0000}"/>
    <cellStyle name="s_Valuation _Actualisation provision contrat déficitaire SNCM 2010 V Def_PAO-CAF-RESOP_04_13_pro_format_variante T1_Bridge_Zone_Sud" xfId="2963" xr:uid="{00000000-0005-0000-0000-0000F30B0000}"/>
    <cellStyle name="s_Valuation _Actualisation provision contrat déficitaire SNCM 2010 V Def_PAO-CAF-RESOP_06_13" xfId="2964" xr:uid="{00000000-0005-0000-0000-0000F40B0000}"/>
    <cellStyle name="s_Valuation _Actualisation provision contrat déficitaire SNCM 2010 V Def_PAO-CAF-RESOP_06_13_B14_E2_2210" xfId="2965" xr:uid="{00000000-0005-0000-0000-0000F50B0000}"/>
    <cellStyle name="s_Valuation _Actualisation provision contrat déficitaire SNCM 2010 V Def_PAO-CAF-RESOP_06_13_B14_E2_2210_Bridge_Zone_Sud" xfId="2966" xr:uid="{00000000-0005-0000-0000-0000F60B0000}"/>
    <cellStyle name="s_Valuation _Actualisation provision contrat déficitaire SNCM 2010 V Def_PAO-CAF-RESOP_06_13_Bridge_Zone_Sud" xfId="2967" xr:uid="{00000000-0005-0000-0000-0000F70B0000}"/>
    <cellStyle name="s_Valuation _Actualisation provision contrat déficitaire SNCM 2010 V Def_PAO-CAF-RESOP_08_13" xfId="2968" xr:uid="{00000000-0005-0000-0000-0000F80B0000}"/>
    <cellStyle name="s_Valuation _Actualisation provision contrat déficitaire SNCM 2010 V Def_PAO-CAF-RESOP_08_13_B14_E2_2210" xfId="2969" xr:uid="{00000000-0005-0000-0000-0000F90B0000}"/>
    <cellStyle name="s_Valuation _Actualisation provision contrat déficitaire SNCM 2010 V Def_PAO-CAF-RESOP_08_13_B14_E2_2210_Bridge_Zone_Sud" xfId="2970" xr:uid="{00000000-0005-0000-0000-0000FA0B0000}"/>
    <cellStyle name="s_Valuation _Actualisation provision contrat déficitaire SNCM 2010 V Def_PAO-CAF-RESOP_08_13_Bridge_Zone_Sud" xfId="2971" xr:uid="{00000000-0005-0000-0000-0000FB0B0000}"/>
    <cellStyle name="s_Valuation _Actualisation provision contrat déficitaire SNCM 2010 V Def_PAO-CAF-RESOP_09_13" xfId="2972" xr:uid="{00000000-0005-0000-0000-0000FC0B0000}"/>
    <cellStyle name="s_Valuation _Actualisation provision contrat déficitaire SNCM 2010 V Def_PAO-CAF-RESOP_09_13_Bridge_Zone_Sud" xfId="2973" xr:uid="{00000000-0005-0000-0000-0000FD0B0000}"/>
    <cellStyle name="s_Valuation _Actualisation provision contrat déficitaire SNCM 2010 V Def_PAO-CAF-RESOP_09_2013_Zone_IDF (version 2)" xfId="2974" xr:uid="{00000000-0005-0000-0000-0000FE0B0000}"/>
    <cellStyle name="s_Valuation _Actualisation provision contrat déficitaire SNCM 2010 V Def_PAO-CAF-RESOP_10_12" xfId="2975" xr:uid="{00000000-0005-0000-0000-0000FF0B0000}"/>
    <cellStyle name="s_Valuation _Actualisation provision contrat déficitaire SNCM 2010 V Def_PAO-CAF-RESOP_10_12_Bridge_Zone_Sud" xfId="2976" xr:uid="{00000000-0005-0000-0000-0000000C0000}"/>
    <cellStyle name="s_Valuation _Actualisation provision contrat déficitaire SNCM 2010 V Def_PAO-CAF-RESOP_10_12_focus par entités CAFOP" xfId="2977" xr:uid="{00000000-0005-0000-0000-0000010C0000}"/>
    <cellStyle name="s_Valuation _Actualisation provision contrat déficitaire SNCM 2010 V Def_PAO-CAF-RESOP_10_12_focus par entités CAFOP_Bridge_Zone_Sud" xfId="2978" xr:uid="{00000000-0005-0000-0000-0000020C0000}"/>
    <cellStyle name="s_Valuation _Actualisation provision contrat déficitaire SNCM 2010 V Def_PAO-CAF-RESOP_11_13" xfId="2979" xr:uid="{00000000-0005-0000-0000-0000030C0000}"/>
    <cellStyle name="s_Valuation _Actualisation provision contrat déficitaire SNCM 2010 V Def_PAO-CAF-RESOP_B13" xfId="2980" xr:uid="{00000000-0005-0000-0000-0000040C0000}"/>
    <cellStyle name="s_Valuation _Actualisation provision contrat déficitaire SNCM 2010 V Def_PAO-CAF-RESOP_B13_Bridge_Zone_Sud" xfId="2981" xr:uid="{00000000-0005-0000-0000-0000050C0000}"/>
    <cellStyle name="s_Valuation _Actualisation provision contrat déficitaire SNCM 2010 V Def_PAO-CAF-RESOP_B13_focus par entités CAFOP" xfId="2982" xr:uid="{00000000-0005-0000-0000-0000060C0000}"/>
    <cellStyle name="s_Valuation _Actualisation provision contrat déficitaire SNCM 2010 V Def_PAO-CAF-RESOP_B13_focus par entités CAFOP_Bridge_Zone_Sud" xfId="2983" xr:uid="{00000000-0005-0000-0000-0000070C0000}"/>
    <cellStyle name="s_Valuation _Actualisation provision contrat déficitaire SNCM 2010 V Def_PAO-CAF-RESOP_B2014" xfId="2984" xr:uid="{00000000-0005-0000-0000-0000080C0000}"/>
    <cellStyle name="s_Valuation _Actualisation provision contrat déficitaire SNCM 2010 V Def_PAO-CAF-RESOP_B2014_Bridge_Zone_Sud" xfId="2985" xr:uid="{00000000-0005-0000-0000-0000090C0000}"/>
    <cellStyle name="s_Valuation _Actualisation provision contrat déficitaire SNCM 2010 V Def_PAO-CAF-RESOP_B2014_v2" xfId="2986" xr:uid="{00000000-0005-0000-0000-00000A0C0000}"/>
    <cellStyle name="s_Valuation _Actualisation provision contrat déficitaire SNCM 2010 V Def_PAO-CAF-RESOP_E2_13" xfId="2987" xr:uid="{00000000-0005-0000-0000-00000B0C0000}"/>
    <cellStyle name="s_Valuation _Actualisation provision contrat déficitaire SNCM 2010 V Def_PAO-CAF-RESOP_E2_13_B14_E2_2210" xfId="2988" xr:uid="{00000000-0005-0000-0000-00000C0C0000}"/>
    <cellStyle name="s_Valuation _Actualisation provision contrat déficitaire SNCM 2010 V Def_PAO-CAF-RESOP_E2_13_B14_E2_2210_Bridge_Zone_Sud" xfId="2989" xr:uid="{00000000-0005-0000-0000-00000D0C0000}"/>
    <cellStyle name="s_Valuation _Actualisation provision contrat déficitaire SNCM 2010 V Def_PAO-CAF-RESOP_E2_13_Bridge_Zone_Sud" xfId="2990" xr:uid="{00000000-0005-0000-0000-00000E0C0000}"/>
    <cellStyle name="s_Valuation _Actualisation provision contrat déficitaire SNCM 2010 V Def_PAO-CAF-RESOP_E2_2013_03_10_19H" xfId="2991" xr:uid="{00000000-0005-0000-0000-00000F0C0000}"/>
    <cellStyle name="s_Valuation _Actualisation provision contrat déficitaire SNCM 2010 V Def_PAO-CAF-RESOP_E2_2013_03_10_19H_Bridge_Zone_Sud" xfId="2992" xr:uid="{00000000-0005-0000-0000-0000100C0000}"/>
    <cellStyle name="s_Valuation _Actualisation provision contrat déficitaire SNCM 2010 V Def_PPA" xfId="2993" xr:uid="{00000000-0005-0000-0000-0000110C0000}"/>
    <cellStyle name="s_Valuation _Actualisation provision contrat déficitaire SNCM 2010 V Def_RESOP bef CICE&amp;PPA&amp;RepartHO" xfId="2994" xr:uid="{00000000-0005-0000-0000-0000120C0000}"/>
    <cellStyle name="s_Valuation _Actualisation provision contrat déficitaire SNCM 2010 V Def_Synthèse_Présentation_conso_retraitée" xfId="2995" xr:uid="{00000000-0005-0000-0000-0000130C0000}"/>
    <cellStyle name="s_Valuation _Actualisation provision contrat déficitaire SNCM 2011 V3 30 05 2011" xfId="2996" xr:uid="{00000000-0005-0000-0000-0000140C0000}"/>
    <cellStyle name="s_Valuation _Actualisation provision contrat déficitaire SNCM 2011 V3 30 05 2011_B14_E2_2210" xfId="2997" xr:uid="{00000000-0005-0000-0000-0000150C0000}"/>
    <cellStyle name="s_Valuation _Actualisation provision contrat déficitaire SNCM 2011 V3 30 05 2011_B14_E2_2210_Bridge_Zone_Sud" xfId="2998" xr:uid="{00000000-0005-0000-0000-0000160C0000}"/>
    <cellStyle name="s_Valuation _Actualisation provision contrat déficitaire SNCM 2011 V3 30 05 2011_Bridge_Zone_Sud" xfId="2999" xr:uid="{00000000-0005-0000-0000-0000170C0000}"/>
    <cellStyle name="s_Valuation _Actualisation provision contrat déficitaire SNCM 2011 V3 30 05 2011_CAPEM BY COUNTRY" xfId="3000" xr:uid="{00000000-0005-0000-0000-0000180C0000}"/>
    <cellStyle name="s_Valuation _Actualisation provision contrat déficitaire SNCM 2011 V3 30 05 2011_focus par entités CAFOPE2AMF" xfId="3001" xr:uid="{00000000-0005-0000-0000-0000190C0000}"/>
    <cellStyle name="s_Valuation _Actualisation provision contrat déficitaire SNCM 2011 V3 30 05 2011_focus par entités CAFOPE2AMF_Bridge_Zone_Sud" xfId="3002" xr:uid="{00000000-0005-0000-0000-00001A0C0000}"/>
    <cellStyle name="s_Valuation _Actualisation provision contrat déficitaire SNCM 2011 V3 30 05 2011_Maquette PLT" xfId="3003" xr:uid="{00000000-0005-0000-0000-00001B0C0000}"/>
    <cellStyle name="s_Valuation _Actualisation provision contrat déficitaire SNCM 2011 V3 30 05 2011_Output" xfId="3454" xr:uid="{00000000-0005-0000-0000-00001C0C0000}"/>
    <cellStyle name="s_Valuation _Actualisation provision contrat déficitaire SNCM 2011 V3 30 05 2011_PAO-CAF-RESOP_04_13_pro_format_variante T1" xfId="3004" xr:uid="{00000000-0005-0000-0000-00001D0C0000}"/>
    <cellStyle name="s_Valuation _Actualisation provision contrat déficitaire SNCM 2011 V3 30 05 2011_PAO-CAF-RESOP_04_13_pro_format_variante T1_B14_E2_2210" xfId="3005" xr:uid="{00000000-0005-0000-0000-00001E0C0000}"/>
    <cellStyle name="s_Valuation _Actualisation provision contrat déficitaire SNCM 2011 V3 30 05 2011_PAO-CAF-RESOP_04_13_pro_format_variante T1_B14_E2_2210_Bridge_Zone_Sud" xfId="3006" xr:uid="{00000000-0005-0000-0000-00001F0C0000}"/>
    <cellStyle name="s_Valuation _Actualisation provision contrat déficitaire SNCM 2011 V3 30 05 2011_PAO-CAF-RESOP_04_13_pro_format_variante T1_Bridge_Zone_Sud" xfId="3007" xr:uid="{00000000-0005-0000-0000-0000200C0000}"/>
    <cellStyle name="s_Valuation _Actualisation provision contrat déficitaire SNCM 2011 V3 30 05 2011_PAO-CAF-RESOP_06_13" xfId="3008" xr:uid="{00000000-0005-0000-0000-0000210C0000}"/>
    <cellStyle name="s_Valuation _Actualisation provision contrat déficitaire SNCM 2011 V3 30 05 2011_PAO-CAF-RESOP_06_13_B14_E2_2210" xfId="3009" xr:uid="{00000000-0005-0000-0000-0000220C0000}"/>
    <cellStyle name="s_Valuation _Actualisation provision contrat déficitaire SNCM 2011 V3 30 05 2011_PAO-CAF-RESOP_06_13_B14_E2_2210_Bridge_Zone_Sud" xfId="3010" xr:uid="{00000000-0005-0000-0000-0000230C0000}"/>
    <cellStyle name="s_Valuation _Actualisation provision contrat déficitaire SNCM 2011 V3 30 05 2011_PAO-CAF-RESOP_06_13_Bridge_Zone_Sud" xfId="3011" xr:uid="{00000000-0005-0000-0000-0000240C0000}"/>
    <cellStyle name="s_Valuation _Actualisation provision contrat déficitaire SNCM 2011 V3 30 05 2011_PAO-CAF-RESOP_08_13" xfId="3012" xr:uid="{00000000-0005-0000-0000-0000250C0000}"/>
    <cellStyle name="s_Valuation _Actualisation provision contrat déficitaire SNCM 2011 V3 30 05 2011_PAO-CAF-RESOP_08_13_B14_E2_2210" xfId="3013" xr:uid="{00000000-0005-0000-0000-0000260C0000}"/>
    <cellStyle name="s_Valuation _Actualisation provision contrat déficitaire SNCM 2011 V3 30 05 2011_PAO-CAF-RESOP_08_13_B14_E2_2210_Bridge_Zone_Sud" xfId="3014" xr:uid="{00000000-0005-0000-0000-0000270C0000}"/>
    <cellStyle name="s_Valuation _Actualisation provision contrat déficitaire SNCM 2011 V3 30 05 2011_PAO-CAF-RESOP_08_13_Bridge_Zone_Sud" xfId="3015" xr:uid="{00000000-0005-0000-0000-0000280C0000}"/>
    <cellStyle name="s_Valuation _Actualisation provision contrat déficitaire SNCM 2011 V3 30 05 2011_PAO-CAF-RESOP_09_13" xfId="3016" xr:uid="{00000000-0005-0000-0000-0000290C0000}"/>
    <cellStyle name="s_Valuation _Actualisation provision contrat déficitaire SNCM 2011 V3 30 05 2011_PAO-CAF-RESOP_09_13_Bridge_Zone_Sud" xfId="3017" xr:uid="{00000000-0005-0000-0000-00002A0C0000}"/>
    <cellStyle name="s_Valuation _Actualisation provision contrat déficitaire SNCM 2011 V3 30 05 2011_PAO-CAF-RESOP_09_2013_Zone_IDF (version 2)" xfId="3018" xr:uid="{00000000-0005-0000-0000-00002B0C0000}"/>
    <cellStyle name="s_Valuation _Actualisation provision contrat déficitaire SNCM 2011 V3 30 05 2011_PAO-CAF-RESOP_10_12" xfId="3019" xr:uid="{00000000-0005-0000-0000-00002C0C0000}"/>
    <cellStyle name="s_Valuation _Actualisation provision contrat déficitaire SNCM 2011 V3 30 05 2011_PAO-CAF-RESOP_10_12_Bridge_Zone_Sud" xfId="3020" xr:uid="{00000000-0005-0000-0000-00002D0C0000}"/>
    <cellStyle name="s_Valuation _Actualisation provision contrat déficitaire SNCM 2011 V3 30 05 2011_PAO-CAF-RESOP_10_12_focus par entités CAFOP" xfId="3021" xr:uid="{00000000-0005-0000-0000-00002E0C0000}"/>
    <cellStyle name="s_Valuation _Actualisation provision contrat déficitaire SNCM 2011 V3 30 05 2011_PAO-CAF-RESOP_10_12_focus par entités CAFOP_Bridge_Zone_Sud" xfId="3022" xr:uid="{00000000-0005-0000-0000-00002F0C0000}"/>
    <cellStyle name="s_Valuation _Actualisation provision contrat déficitaire SNCM 2011 V3 30 05 2011_PAO-CAF-RESOP_11_13" xfId="3023" xr:uid="{00000000-0005-0000-0000-0000300C0000}"/>
    <cellStyle name="s_Valuation _Actualisation provision contrat déficitaire SNCM 2011 V3 30 05 2011_PAO-CAF-RESOP_B13" xfId="3024" xr:uid="{00000000-0005-0000-0000-0000310C0000}"/>
    <cellStyle name="s_Valuation _Actualisation provision contrat déficitaire SNCM 2011 V3 30 05 2011_PAO-CAF-RESOP_B13_Bridge_Zone_Sud" xfId="3025" xr:uid="{00000000-0005-0000-0000-0000320C0000}"/>
    <cellStyle name="s_Valuation _Actualisation provision contrat déficitaire SNCM 2011 V3 30 05 2011_PAO-CAF-RESOP_B13_focus par entités CAFOP" xfId="3026" xr:uid="{00000000-0005-0000-0000-0000330C0000}"/>
    <cellStyle name="s_Valuation _Actualisation provision contrat déficitaire SNCM 2011 V3 30 05 2011_PAO-CAF-RESOP_B13_focus par entités CAFOP_Bridge_Zone_Sud" xfId="3027" xr:uid="{00000000-0005-0000-0000-0000340C0000}"/>
    <cellStyle name="s_Valuation _Actualisation provision contrat déficitaire SNCM 2011 V3 30 05 2011_PAO-CAF-RESOP_B2014" xfId="3028" xr:uid="{00000000-0005-0000-0000-0000350C0000}"/>
    <cellStyle name="s_Valuation _Actualisation provision contrat déficitaire SNCM 2011 V3 30 05 2011_PAO-CAF-RESOP_B2014_Bridge_Zone_Sud" xfId="3029" xr:uid="{00000000-0005-0000-0000-0000360C0000}"/>
    <cellStyle name="s_Valuation _Actualisation provision contrat déficitaire SNCM 2011 V3 30 05 2011_PAO-CAF-RESOP_B2014_v2" xfId="3030" xr:uid="{00000000-0005-0000-0000-0000370C0000}"/>
    <cellStyle name="s_Valuation _Actualisation provision contrat déficitaire SNCM 2011 V3 30 05 2011_PAO-CAF-RESOP_E2_13" xfId="3031" xr:uid="{00000000-0005-0000-0000-0000380C0000}"/>
    <cellStyle name="s_Valuation _Actualisation provision contrat déficitaire SNCM 2011 V3 30 05 2011_PAO-CAF-RESOP_E2_13_B14_E2_2210" xfId="3032" xr:uid="{00000000-0005-0000-0000-0000390C0000}"/>
    <cellStyle name="s_Valuation _Actualisation provision contrat déficitaire SNCM 2011 V3 30 05 2011_PAO-CAF-RESOP_E2_13_B14_E2_2210_Bridge_Zone_Sud" xfId="3033" xr:uid="{00000000-0005-0000-0000-00003A0C0000}"/>
    <cellStyle name="s_Valuation _Actualisation provision contrat déficitaire SNCM 2011 V3 30 05 2011_PAO-CAF-RESOP_E2_13_Bridge_Zone_Sud" xfId="3034" xr:uid="{00000000-0005-0000-0000-00003B0C0000}"/>
    <cellStyle name="s_Valuation _Actualisation provision contrat déficitaire SNCM 2011 V3 30 05 2011_PAO-CAF-RESOP_E2_2013_03_10_19H" xfId="3035" xr:uid="{00000000-0005-0000-0000-00003C0C0000}"/>
    <cellStyle name="s_Valuation _Actualisation provision contrat déficitaire SNCM 2011 V3 30 05 2011_PAO-CAF-RESOP_E2_2013_03_10_19H_Bridge_Zone_Sud" xfId="3036" xr:uid="{00000000-0005-0000-0000-00003D0C0000}"/>
    <cellStyle name="s_Valuation _Actualisation provision contrat déficitaire SNCM 2011 V3 30 05 2011_PPA" xfId="3037" xr:uid="{00000000-0005-0000-0000-00003E0C0000}"/>
    <cellStyle name="s_Valuation _Actualisation provision contrat déficitaire SNCM 2011 V3 30 05 2011_RESOP bef CICE&amp;PPA&amp;RepartHO" xfId="3038" xr:uid="{00000000-0005-0000-0000-00003F0C0000}"/>
    <cellStyle name="s_Valuation _Actualisation provision contrat déficitaire SNCM 2011 V3 30 05 2011_Synthèse_Présentation_conso_retraitée" xfId="3039" xr:uid="{00000000-0005-0000-0000-0000400C0000}"/>
    <cellStyle name="s_Valuation _B14_E2_2210" xfId="3040" xr:uid="{00000000-0005-0000-0000-0000410C0000}"/>
    <cellStyle name="s_Valuation _B14_E2_2210_Bridge_Zone_Sud" xfId="3041" xr:uid="{00000000-0005-0000-0000-0000420C0000}"/>
    <cellStyle name="s_Valuation _BFR_TD_2014.02" xfId="3042" xr:uid="{00000000-0005-0000-0000-0000430C0000}"/>
    <cellStyle name="s_Valuation _Bridge_Zone_Nord" xfId="3043" xr:uid="{00000000-0005-0000-0000-0000440C0000}"/>
    <cellStyle name="s_Valuation _CAPEM BY COUNTRY" xfId="3044" xr:uid="{00000000-0005-0000-0000-0000450C0000}"/>
    <cellStyle name="s_Valuation _LI819L_B13" xfId="3045" xr:uid="{00000000-0005-0000-0000-0000460C0000}"/>
    <cellStyle name="s_Valuation _LI819L_B13_CAPEM BY COUNTRY" xfId="3046" xr:uid="{00000000-0005-0000-0000-0000470C0000}"/>
    <cellStyle name="s_Valuation _LI819L_B13_Maquette PLT" xfId="3047" xr:uid="{00000000-0005-0000-0000-0000480C0000}"/>
    <cellStyle name="s_Valuation _LI819L_B13_Output" xfId="3455" xr:uid="{00000000-0005-0000-0000-0000490C0000}"/>
    <cellStyle name="s_Valuation _LI819L_B13_PPA" xfId="3048" xr:uid="{00000000-0005-0000-0000-00004A0C0000}"/>
    <cellStyle name="s_Valuation _LI819L_B13_RESOP bef CICE&amp;PPA&amp;RepartHO" xfId="3049" xr:uid="{00000000-0005-0000-0000-00004B0C0000}"/>
    <cellStyle name="s_Valuation _Maquette PLT" xfId="3050" xr:uid="{00000000-0005-0000-0000-00004C0C0000}"/>
    <cellStyle name="s_Valuation _Output" xfId="3452" xr:uid="{00000000-0005-0000-0000-00004D0C0000}"/>
    <cellStyle name="s_Valuation _PAO-CAF-RESOP_14_01_13 à 20h" xfId="3051" xr:uid="{00000000-0005-0000-0000-00004E0C0000}"/>
    <cellStyle name="s_Valuation _PAO-CAF-RESOP_14_01_13 à 20h_CAPEM BY COUNTRY" xfId="3052" xr:uid="{00000000-0005-0000-0000-00004F0C0000}"/>
    <cellStyle name="s_Valuation _PAO-CAF-RESOP_14_01_13 à 20h_Maquette PLT" xfId="3053" xr:uid="{00000000-0005-0000-0000-0000500C0000}"/>
    <cellStyle name="s_Valuation _PAO-CAF-RESOP_14_01_13 à 20h_Output" xfId="3456" xr:uid="{00000000-0005-0000-0000-0000510C0000}"/>
    <cellStyle name="s_Valuation _PAO-CAF-RESOP_14_01_13 à 20h_PPA" xfId="3054" xr:uid="{00000000-0005-0000-0000-0000520C0000}"/>
    <cellStyle name="s_Valuation _PAO-CAF-RESOP_14_01_13 à 20h_RESOP bef CICE&amp;PPA&amp;RepartHO" xfId="3055" xr:uid="{00000000-0005-0000-0000-0000530C0000}"/>
    <cellStyle name="s_Valuation _PAO-CAF-RESOP_2014.02" xfId="3056" xr:uid="{00000000-0005-0000-0000-0000540C0000}"/>
    <cellStyle name="s_Valuation _PAO-CAF-RESOP_2014.02_Bridge_Zone_Sud" xfId="3057" xr:uid="{00000000-0005-0000-0000-0000550C0000}"/>
    <cellStyle name="s_Valuation _PPA" xfId="3058" xr:uid="{00000000-0005-0000-0000-0000560C0000}"/>
    <cellStyle name="s_Valuation _RESOP bef CICE&amp;PPA&amp;RepartHO" xfId="3059" xr:uid="{00000000-0005-0000-0000-0000570C0000}"/>
    <cellStyle name="SAPBEXHLevel1" xfId="3060" xr:uid="{00000000-0005-0000-0000-0000580C0000}"/>
    <cellStyle name="SAPBEXstdData" xfId="3061" xr:uid="{00000000-0005-0000-0000-0000590C0000}"/>
    <cellStyle name="Satisfaisant 2" xfId="3062" xr:uid="{00000000-0005-0000-0000-00005A0C0000}"/>
    <cellStyle name="Shading" xfId="3063" xr:uid="{00000000-0005-0000-0000-00005B0C0000}"/>
    <cellStyle name="Single Cell Column Heading" xfId="3064" xr:uid="{00000000-0005-0000-0000-00005C0C0000}"/>
    <cellStyle name="Smart Bold" xfId="3065" xr:uid="{00000000-0005-0000-0000-00005D0C0000}"/>
    <cellStyle name="Smart Forecast" xfId="3066" xr:uid="{00000000-0005-0000-0000-00005E0C0000}"/>
    <cellStyle name="Smart General" xfId="3067" xr:uid="{00000000-0005-0000-0000-00005F0C0000}"/>
    <cellStyle name="Smart Highlight" xfId="3068" xr:uid="{00000000-0005-0000-0000-0000600C0000}"/>
    <cellStyle name="Smart Percent" xfId="3069" xr:uid="{00000000-0005-0000-0000-0000610C0000}"/>
    <cellStyle name="Smart Source" xfId="3070" xr:uid="{00000000-0005-0000-0000-0000620C0000}"/>
    <cellStyle name="Smart Subtitle 1" xfId="3071" xr:uid="{00000000-0005-0000-0000-0000630C0000}"/>
    <cellStyle name="Smart Subtitle 2" xfId="3072" xr:uid="{00000000-0005-0000-0000-0000640C0000}"/>
    <cellStyle name="Smart Subtotal" xfId="3073" xr:uid="{00000000-0005-0000-0000-0000650C0000}"/>
    <cellStyle name="Smart Title" xfId="3074" xr:uid="{00000000-0005-0000-0000-0000660C0000}"/>
    <cellStyle name="Smart Total" xfId="3075" xr:uid="{00000000-0005-0000-0000-0000670C0000}"/>
    <cellStyle name="Sortie 2" xfId="3076" xr:uid="{00000000-0005-0000-0000-0000680C0000}"/>
    <cellStyle name="Standaard 2" xfId="3077" xr:uid="{00000000-0005-0000-0000-0000690C0000}"/>
    <cellStyle name="Standaard 2 2 10" xfId="3078" xr:uid="{00000000-0005-0000-0000-00006A0C0000}"/>
    <cellStyle name="Standaard 2 2 10 2" xfId="3079" xr:uid="{00000000-0005-0000-0000-00006B0C0000}"/>
    <cellStyle name="Standaard 2_CAPEX" xfId="3080" xr:uid="{00000000-0005-0000-0000-00006C0C0000}"/>
    <cellStyle name="Standaard_Blad1" xfId="3081" xr:uid="{00000000-0005-0000-0000-00006D0C0000}"/>
    <cellStyle name="Standard__Utopia Index Index und Guidance (Deutsch)" xfId="3082" xr:uid="{00000000-0005-0000-0000-00006E0C0000}"/>
    <cellStyle name="Style 1" xfId="3083" xr:uid="{00000000-0005-0000-0000-00006F0C0000}"/>
    <cellStyle name="STYLE1" xfId="3084" xr:uid="{00000000-0005-0000-0000-0000700C0000}"/>
    <cellStyle name="STYLE1 2" xfId="3085" xr:uid="{00000000-0005-0000-0000-0000710C0000}"/>
    <cellStyle name="STYLE2" xfId="3086" xr:uid="{00000000-0005-0000-0000-0000720C0000}"/>
    <cellStyle name="STYLE2 2" xfId="3087" xr:uid="{00000000-0005-0000-0000-0000730C0000}"/>
    <cellStyle name="STYLE3" xfId="3088" xr:uid="{00000000-0005-0000-0000-0000740C0000}"/>
    <cellStyle name="STYLE3 2" xfId="3089" xr:uid="{00000000-0005-0000-0000-0000750C0000}"/>
    <cellStyle name="STYLE4" xfId="3090" xr:uid="{00000000-0005-0000-0000-0000760C0000}"/>
    <cellStyle name="STYLE4 2" xfId="3091" xr:uid="{00000000-0005-0000-0000-0000770C0000}"/>
    <cellStyle name="STYLE5" xfId="3092" xr:uid="{00000000-0005-0000-0000-0000780C0000}"/>
    <cellStyle name="STYLE5 2" xfId="3093" xr:uid="{00000000-0005-0000-0000-0000790C0000}"/>
    <cellStyle name="STYLE6" xfId="3094" xr:uid="{00000000-0005-0000-0000-00007A0C0000}"/>
    <cellStyle name="STYLE6 2" xfId="3095" xr:uid="{00000000-0005-0000-0000-00007B0C0000}"/>
    <cellStyle name="STYLE7" xfId="3096" xr:uid="{00000000-0005-0000-0000-00007C0C0000}"/>
    <cellStyle name="STYLE7 2" xfId="3097" xr:uid="{00000000-0005-0000-0000-00007D0C0000}"/>
    <cellStyle name="STYLE8" xfId="3098" xr:uid="{00000000-0005-0000-0000-00007E0C0000}"/>
    <cellStyle name="STYLE8 2" xfId="3099" xr:uid="{00000000-0005-0000-0000-00007F0C0000}"/>
    <cellStyle name="STYLE9" xfId="3100" xr:uid="{00000000-0005-0000-0000-0000800C0000}"/>
    <cellStyle name="STYLE9 2" xfId="3101" xr:uid="{00000000-0005-0000-0000-0000810C0000}"/>
    <cellStyle name="t" xfId="3102" xr:uid="{00000000-0005-0000-0000-0000820C0000}"/>
    <cellStyle name="t_Actualisation provision contrat déficitaire SNCM 2010 V Def" xfId="3103" xr:uid="{00000000-0005-0000-0000-0000830C0000}"/>
    <cellStyle name="t_Actualisation provision contrat déficitaire SNCM 2010 V Def_B14_E2_2210" xfId="3104" xr:uid="{00000000-0005-0000-0000-0000840C0000}"/>
    <cellStyle name="t_Actualisation provision contrat déficitaire SNCM 2010 V Def_B14_E2_2210_Bridge_Zone_Sud" xfId="3105" xr:uid="{00000000-0005-0000-0000-0000850C0000}"/>
    <cellStyle name="t_Actualisation provision contrat déficitaire SNCM 2010 V Def_Bridge_Zone_Sud" xfId="3106" xr:uid="{00000000-0005-0000-0000-0000860C0000}"/>
    <cellStyle name="t_Actualisation provision contrat déficitaire SNCM 2010 V Def_CAPEM BY COUNTRY" xfId="3107" xr:uid="{00000000-0005-0000-0000-0000870C0000}"/>
    <cellStyle name="t_Actualisation provision contrat déficitaire SNCM 2010 V Def_focus par entités CAFOPE2AMF" xfId="3108" xr:uid="{00000000-0005-0000-0000-0000880C0000}"/>
    <cellStyle name="t_Actualisation provision contrat déficitaire SNCM 2010 V Def_focus par entités CAFOPE2AMF_Bridge_Zone_Sud" xfId="3109" xr:uid="{00000000-0005-0000-0000-0000890C0000}"/>
    <cellStyle name="t_Actualisation provision contrat déficitaire SNCM 2010 V Def_Maquette PLT" xfId="3110" xr:uid="{00000000-0005-0000-0000-00008A0C0000}"/>
    <cellStyle name="t_Actualisation provision contrat déficitaire SNCM 2010 V Def_Output" xfId="3458" xr:uid="{00000000-0005-0000-0000-00008B0C0000}"/>
    <cellStyle name="t_Actualisation provision contrat déficitaire SNCM 2010 V Def_PAO-CAF-RESOP_04_13_pro_format_variante T1" xfId="3111" xr:uid="{00000000-0005-0000-0000-00008C0C0000}"/>
    <cellStyle name="t_Actualisation provision contrat déficitaire SNCM 2010 V Def_PAO-CAF-RESOP_04_13_pro_format_variante T1_B14_E2_2210" xfId="3112" xr:uid="{00000000-0005-0000-0000-00008D0C0000}"/>
    <cellStyle name="t_Actualisation provision contrat déficitaire SNCM 2010 V Def_PAO-CAF-RESOP_04_13_pro_format_variante T1_B14_E2_2210_Bridge_Zone_Sud" xfId="3113" xr:uid="{00000000-0005-0000-0000-00008E0C0000}"/>
    <cellStyle name="t_Actualisation provision contrat déficitaire SNCM 2010 V Def_PAO-CAF-RESOP_04_13_pro_format_variante T1_Bridge_Zone_Sud" xfId="3114" xr:uid="{00000000-0005-0000-0000-00008F0C0000}"/>
    <cellStyle name="t_Actualisation provision contrat déficitaire SNCM 2010 V Def_PAO-CAF-RESOP_06_13" xfId="3115" xr:uid="{00000000-0005-0000-0000-0000900C0000}"/>
    <cellStyle name="t_Actualisation provision contrat déficitaire SNCM 2010 V Def_PAO-CAF-RESOP_06_13_B14_E2_2210" xfId="3116" xr:uid="{00000000-0005-0000-0000-0000910C0000}"/>
    <cellStyle name="t_Actualisation provision contrat déficitaire SNCM 2010 V Def_PAO-CAF-RESOP_06_13_B14_E2_2210_Bridge_Zone_Sud" xfId="3117" xr:uid="{00000000-0005-0000-0000-0000920C0000}"/>
    <cellStyle name="t_Actualisation provision contrat déficitaire SNCM 2010 V Def_PAO-CAF-RESOP_06_13_Bridge_Zone_Sud" xfId="3118" xr:uid="{00000000-0005-0000-0000-0000930C0000}"/>
    <cellStyle name="t_Actualisation provision contrat déficitaire SNCM 2010 V Def_PAO-CAF-RESOP_08_13" xfId="3119" xr:uid="{00000000-0005-0000-0000-0000940C0000}"/>
    <cellStyle name="t_Actualisation provision contrat déficitaire SNCM 2010 V Def_PAO-CAF-RESOP_08_13_B14_E2_2210" xfId="3120" xr:uid="{00000000-0005-0000-0000-0000950C0000}"/>
    <cellStyle name="t_Actualisation provision contrat déficitaire SNCM 2010 V Def_PAO-CAF-RESOP_08_13_B14_E2_2210_Bridge_Zone_Sud" xfId="3121" xr:uid="{00000000-0005-0000-0000-0000960C0000}"/>
    <cellStyle name="t_Actualisation provision contrat déficitaire SNCM 2010 V Def_PAO-CAF-RESOP_08_13_Bridge_Zone_Sud" xfId="3122" xr:uid="{00000000-0005-0000-0000-0000970C0000}"/>
    <cellStyle name="t_Actualisation provision contrat déficitaire SNCM 2010 V Def_PAO-CAF-RESOP_09_13" xfId="3123" xr:uid="{00000000-0005-0000-0000-0000980C0000}"/>
    <cellStyle name="t_Actualisation provision contrat déficitaire SNCM 2010 V Def_PAO-CAF-RESOP_09_13_Bridge_Zone_Sud" xfId="3124" xr:uid="{00000000-0005-0000-0000-0000990C0000}"/>
    <cellStyle name="t_Actualisation provision contrat déficitaire SNCM 2010 V Def_PAO-CAF-RESOP_09_2013_Zone_IDF (version 2)" xfId="3125" xr:uid="{00000000-0005-0000-0000-00009A0C0000}"/>
    <cellStyle name="t_Actualisation provision contrat déficitaire SNCM 2010 V Def_PAO-CAF-RESOP_10_12" xfId="3126" xr:uid="{00000000-0005-0000-0000-00009B0C0000}"/>
    <cellStyle name="t_Actualisation provision contrat déficitaire SNCM 2010 V Def_PAO-CAF-RESOP_10_12_Bridge_Zone_Sud" xfId="3127" xr:uid="{00000000-0005-0000-0000-00009C0C0000}"/>
    <cellStyle name="t_Actualisation provision contrat déficitaire SNCM 2010 V Def_PAO-CAF-RESOP_10_12_focus par entités CAFOP" xfId="3128" xr:uid="{00000000-0005-0000-0000-00009D0C0000}"/>
    <cellStyle name="t_Actualisation provision contrat déficitaire SNCM 2010 V Def_PAO-CAF-RESOP_10_12_focus par entités CAFOP_Bridge_Zone_Sud" xfId="3129" xr:uid="{00000000-0005-0000-0000-00009E0C0000}"/>
    <cellStyle name="t_Actualisation provision contrat déficitaire SNCM 2010 V Def_PAO-CAF-RESOP_11_13" xfId="3130" xr:uid="{00000000-0005-0000-0000-00009F0C0000}"/>
    <cellStyle name="t_Actualisation provision contrat déficitaire SNCM 2010 V Def_PAO-CAF-RESOP_B13" xfId="3131" xr:uid="{00000000-0005-0000-0000-0000A00C0000}"/>
    <cellStyle name="t_Actualisation provision contrat déficitaire SNCM 2010 V Def_PAO-CAF-RESOP_B13_Bridge_Zone_Sud" xfId="3132" xr:uid="{00000000-0005-0000-0000-0000A10C0000}"/>
    <cellStyle name="t_Actualisation provision contrat déficitaire SNCM 2010 V Def_PAO-CAF-RESOP_B13_focus par entités CAFOP" xfId="3133" xr:uid="{00000000-0005-0000-0000-0000A20C0000}"/>
    <cellStyle name="t_Actualisation provision contrat déficitaire SNCM 2010 V Def_PAO-CAF-RESOP_B13_focus par entités CAFOP_Bridge_Zone_Sud" xfId="3134" xr:uid="{00000000-0005-0000-0000-0000A30C0000}"/>
    <cellStyle name="t_Actualisation provision contrat déficitaire SNCM 2010 V Def_PAO-CAF-RESOP_B2014" xfId="3135" xr:uid="{00000000-0005-0000-0000-0000A40C0000}"/>
    <cellStyle name="t_Actualisation provision contrat déficitaire SNCM 2010 V Def_PAO-CAF-RESOP_B2014_Bridge_Zone_Sud" xfId="3136" xr:uid="{00000000-0005-0000-0000-0000A50C0000}"/>
    <cellStyle name="t_Actualisation provision contrat déficitaire SNCM 2010 V Def_PAO-CAF-RESOP_B2014_v2" xfId="3137" xr:uid="{00000000-0005-0000-0000-0000A60C0000}"/>
    <cellStyle name="t_Actualisation provision contrat déficitaire SNCM 2010 V Def_PAO-CAF-RESOP_E2_13" xfId="3138" xr:uid="{00000000-0005-0000-0000-0000A70C0000}"/>
    <cellStyle name="t_Actualisation provision contrat déficitaire SNCM 2010 V Def_PAO-CAF-RESOP_E2_13_B14_E2_2210" xfId="3139" xr:uid="{00000000-0005-0000-0000-0000A80C0000}"/>
    <cellStyle name="t_Actualisation provision contrat déficitaire SNCM 2010 V Def_PAO-CAF-RESOP_E2_13_B14_E2_2210_Bridge_Zone_Sud" xfId="3140" xr:uid="{00000000-0005-0000-0000-0000A90C0000}"/>
    <cellStyle name="t_Actualisation provision contrat déficitaire SNCM 2010 V Def_PAO-CAF-RESOP_E2_13_Bridge_Zone_Sud" xfId="3141" xr:uid="{00000000-0005-0000-0000-0000AA0C0000}"/>
    <cellStyle name="t_Actualisation provision contrat déficitaire SNCM 2010 V Def_PAO-CAF-RESOP_E2_2013_03_10_19H" xfId="3142" xr:uid="{00000000-0005-0000-0000-0000AB0C0000}"/>
    <cellStyle name="t_Actualisation provision contrat déficitaire SNCM 2010 V Def_PAO-CAF-RESOP_E2_2013_03_10_19H_Bridge_Zone_Sud" xfId="3143" xr:uid="{00000000-0005-0000-0000-0000AC0C0000}"/>
    <cellStyle name="t_Actualisation provision contrat déficitaire SNCM 2010 V Def_PPA" xfId="3144" xr:uid="{00000000-0005-0000-0000-0000AD0C0000}"/>
    <cellStyle name="t_Actualisation provision contrat déficitaire SNCM 2010 V Def_RESOP bef CICE&amp;PPA&amp;RepartHO" xfId="3145" xr:uid="{00000000-0005-0000-0000-0000AE0C0000}"/>
    <cellStyle name="t_Actualisation provision contrat déficitaire SNCM 2010 V Def_Synthèse_Présentation_conso_retraitée" xfId="3146" xr:uid="{00000000-0005-0000-0000-0000AF0C0000}"/>
    <cellStyle name="t_Actualisation provision contrat déficitaire SNCM 2011 V3 30 05 2011" xfId="3147" xr:uid="{00000000-0005-0000-0000-0000B00C0000}"/>
    <cellStyle name="t_Actualisation provision contrat déficitaire SNCM 2011 V3 30 05 2011_B14_E2_2210" xfId="3148" xr:uid="{00000000-0005-0000-0000-0000B10C0000}"/>
    <cellStyle name="t_Actualisation provision contrat déficitaire SNCM 2011 V3 30 05 2011_B14_E2_2210_Bridge_Zone_Sud" xfId="3149" xr:uid="{00000000-0005-0000-0000-0000B20C0000}"/>
    <cellStyle name="t_Actualisation provision contrat déficitaire SNCM 2011 V3 30 05 2011_Bridge_Zone_Sud" xfId="3150" xr:uid="{00000000-0005-0000-0000-0000B30C0000}"/>
    <cellStyle name="t_Actualisation provision contrat déficitaire SNCM 2011 V3 30 05 2011_CAPEM BY COUNTRY" xfId="3151" xr:uid="{00000000-0005-0000-0000-0000B40C0000}"/>
    <cellStyle name="t_Actualisation provision contrat déficitaire SNCM 2011 V3 30 05 2011_focus par entités CAFOPE2AMF" xfId="3152" xr:uid="{00000000-0005-0000-0000-0000B50C0000}"/>
    <cellStyle name="t_Actualisation provision contrat déficitaire SNCM 2011 V3 30 05 2011_focus par entités CAFOPE2AMF_Bridge_Zone_Sud" xfId="3153" xr:uid="{00000000-0005-0000-0000-0000B60C0000}"/>
    <cellStyle name="t_Actualisation provision contrat déficitaire SNCM 2011 V3 30 05 2011_Maquette PLT" xfId="3154" xr:uid="{00000000-0005-0000-0000-0000B70C0000}"/>
    <cellStyle name="t_Actualisation provision contrat déficitaire SNCM 2011 V3 30 05 2011_Output" xfId="3459" xr:uid="{00000000-0005-0000-0000-0000B80C0000}"/>
    <cellStyle name="t_Actualisation provision contrat déficitaire SNCM 2011 V3 30 05 2011_PAO-CAF-RESOP_04_13_pro_format_variante T1" xfId="3155" xr:uid="{00000000-0005-0000-0000-0000B90C0000}"/>
    <cellStyle name="t_Actualisation provision contrat déficitaire SNCM 2011 V3 30 05 2011_PAO-CAF-RESOP_04_13_pro_format_variante T1_B14_E2_2210" xfId="3156" xr:uid="{00000000-0005-0000-0000-0000BA0C0000}"/>
    <cellStyle name="t_Actualisation provision contrat déficitaire SNCM 2011 V3 30 05 2011_PAO-CAF-RESOP_04_13_pro_format_variante T1_B14_E2_2210_Bridge_Zone_Sud" xfId="3157" xr:uid="{00000000-0005-0000-0000-0000BB0C0000}"/>
    <cellStyle name="t_Actualisation provision contrat déficitaire SNCM 2011 V3 30 05 2011_PAO-CAF-RESOP_04_13_pro_format_variante T1_Bridge_Zone_Sud" xfId="3158" xr:uid="{00000000-0005-0000-0000-0000BC0C0000}"/>
    <cellStyle name="t_Actualisation provision contrat déficitaire SNCM 2011 V3 30 05 2011_PAO-CAF-RESOP_06_13" xfId="3159" xr:uid="{00000000-0005-0000-0000-0000BD0C0000}"/>
    <cellStyle name="t_Actualisation provision contrat déficitaire SNCM 2011 V3 30 05 2011_PAO-CAF-RESOP_06_13_B14_E2_2210" xfId="3160" xr:uid="{00000000-0005-0000-0000-0000BE0C0000}"/>
    <cellStyle name="t_Actualisation provision contrat déficitaire SNCM 2011 V3 30 05 2011_PAO-CAF-RESOP_06_13_B14_E2_2210_Bridge_Zone_Sud" xfId="3161" xr:uid="{00000000-0005-0000-0000-0000BF0C0000}"/>
    <cellStyle name="t_Actualisation provision contrat déficitaire SNCM 2011 V3 30 05 2011_PAO-CAF-RESOP_06_13_Bridge_Zone_Sud" xfId="3162" xr:uid="{00000000-0005-0000-0000-0000C00C0000}"/>
    <cellStyle name="t_Actualisation provision contrat déficitaire SNCM 2011 V3 30 05 2011_PAO-CAF-RESOP_08_13" xfId="3163" xr:uid="{00000000-0005-0000-0000-0000C10C0000}"/>
    <cellStyle name="t_Actualisation provision contrat déficitaire SNCM 2011 V3 30 05 2011_PAO-CAF-RESOP_08_13_B14_E2_2210" xfId="3164" xr:uid="{00000000-0005-0000-0000-0000C20C0000}"/>
    <cellStyle name="t_Actualisation provision contrat déficitaire SNCM 2011 V3 30 05 2011_PAO-CAF-RESOP_08_13_B14_E2_2210_Bridge_Zone_Sud" xfId="3165" xr:uid="{00000000-0005-0000-0000-0000C30C0000}"/>
    <cellStyle name="t_Actualisation provision contrat déficitaire SNCM 2011 V3 30 05 2011_PAO-CAF-RESOP_08_13_Bridge_Zone_Sud" xfId="3166" xr:uid="{00000000-0005-0000-0000-0000C40C0000}"/>
    <cellStyle name="t_Actualisation provision contrat déficitaire SNCM 2011 V3 30 05 2011_PAO-CAF-RESOP_09_13" xfId="3167" xr:uid="{00000000-0005-0000-0000-0000C50C0000}"/>
    <cellStyle name="t_Actualisation provision contrat déficitaire SNCM 2011 V3 30 05 2011_PAO-CAF-RESOP_09_13_Bridge_Zone_Sud" xfId="3168" xr:uid="{00000000-0005-0000-0000-0000C60C0000}"/>
    <cellStyle name="t_Actualisation provision contrat déficitaire SNCM 2011 V3 30 05 2011_PAO-CAF-RESOP_09_2013_Zone_IDF (version 2)" xfId="3169" xr:uid="{00000000-0005-0000-0000-0000C70C0000}"/>
    <cellStyle name="t_Actualisation provision contrat déficitaire SNCM 2011 V3 30 05 2011_PAO-CAF-RESOP_10_12" xfId="3170" xr:uid="{00000000-0005-0000-0000-0000C80C0000}"/>
    <cellStyle name="t_Actualisation provision contrat déficitaire SNCM 2011 V3 30 05 2011_PAO-CAF-RESOP_10_12_Bridge_Zone_Sud" xfId="3171" xr:uid="{00000000-0005-0000-0000-0000C90C0000}"/>
    <cellStyle name="t_Actualisation provision contrat déficitaire SNCM 2011 V3 30 05 2011_PAO-CAF-RESOP_10_12_focus par entités CAFOP" xfId="3172" xr:uid="{00000000-0005-0000-0000-0000CA0C0000}"/>
    <cellStyle name="t_Actualisation provision contrat déficitaire SNCM 2011 V3 30 05 2011_PAO-CAF-RESOP_10_12_focus par entités CAFOP_Bridge_Zone_Sud" xfId="3173" xr:uid="{00000000-0005-0000-0000-0000CB0C0000}"/>
    <cellStyle name="t_Actualisation provision contrat déficitaire SNCM 2011 V3 30 05 2011_PAO-CAF-RESOP_11_13" xfId="3174" xr:uid="{00000000-0005-0000-0000-0000CC0C0000}"/>
    <cellStyle name="t_Actualisation provision contrat déficitaire SNCM 2011 V3 30 05 2011_PAO-CAF-RESOP_B13" xfId="3175" xr:uid="{00000000-0005-0000-0000-0000CD0C0000}"/>
    <cellStyle name="t_Actualisation provision contrat déficitaire SNCM 2011 V3 30 05 2011_PAO-CAF-RESOP_B13_Bridge_Zone_Sud" xfId="3176" xr:uid="{00000000-0005-0000-0000-0000CE0C0000}"/>
    <cellStyle name="t_Actualisation provision contrat déficitaire SNCM 2011 V3 30 05 2011_PAO-CAF-RESOP_B13_focus par entités CAFOP" xfId="3177" xr:uid="{00000000-0005-0000-0000-0000CF0C0000}"/>
    <cellStyle name="t_Actualisation provision contrat déficitaire SNCM 2011 V3 30 05 2011_PAO-CAF-RESOP_B13_focus par entités CAFOP_Bridge_Zone_Sud" xfId="3178" xr:uid="{00000000-0005-0000-0000-0000D00C0000}"/>
    <cellStyle name="t_Actualisation provision contrat déficitaire SNCM 2011 V3 30 05 2011_PAO-CAF-RESOP_B2014" xfId="3179" xr:uid="{00000000-0005-0000-0000-0000D10C0000}"/>
    <cellStyle name="t_Actualisation provision contrat déficitaire SNCM 2011 V3 30 05 2011_PAO-CAF-RESOP_B2014_Bridge_Zone_Sud" xfId="3180" xr:uid="{00000000-0005-0000-0000-0000D20C0000}"/>
    <cellStyle name="t_Actualisation provision contrat déficitaire SNCM 2011 V3 30 05 2011_PAO-CAF-RESOP_B2014_v2" xfId="3181" xr:uid="{00000000-0005-0000-0000-0000D30C0000}"/>
    <cellStyle name="t_Actualisation provision contrat déficitaire SNCM 2011 V3 30 05 2011_PAO-CAF-RESOP_E2_13" xfId="3182" xr:uid="{00000000-0005-0000-0000-0000D40C0000}"/>
    <cellStyle name="t_Actualisation provision contrat déficitaire SNCM 2011 V3 30 05 2011_PAO-CAF-RESOP_E2_13_B14_E2_2210" xfId="3183" xr:uid="{00000000-0005-0000-0000-0000D50C0000}"/>
    <cellStyle name="t_Actualisation provision contrat déficitaire SNCM 2011 V3 30 05 2011_PAO-CAF-RESOP_E2_13_B14_E2_2210_Bridge_Zone_Sud" xfId="3184" xr:uid="{00000000-0005-0000-0000-0000D60C0000}"/>
    <cellStyle name="t_Actualisation provision contrat déficitaire SNCM 2011 V3 30 05 2011_PAO-CAF-RESOP_E2_13_Bridge_Zone_Sud" xfId="3185" xr:uid="{00000000-0005-0000-0000-0000D70C0000}"/>
    <cellStyle name="t_Actualisation provision contrat déficitaire SNCM 2011 V3 30 05 2011_PAO-CAF-RESOP_E2_2013_03_10_19H" xfId="3186" xr:uid="{00000000-0005-0000-0000-0000D80C0000}"/>
    <cellStyle name="t_Actualisation provision contrat déficitaire SNCM 2011 V3 30 05 2011_PAO-CAF-RESOP_E2_2013_03_10_19H_Bridge_Zone_Sud" xfId="3187" xr:uid="{00000000-0005-0000-0000-0000D90C0000}"/>
    <cellStyle name="t_Actualisation provision contrat déficitaire SNCM 2011 V3 30 05 2011_PPA" xfId="3188" xr:uid="{00000000-0005-0000-0000-0000DA0C0000}"/>
    <cellStyle name="t_Actualisation provision contrat déficitaire SNCM 2011 V3 30 05 2011_RESOP bef CICE&amp;PPA&amp;RepartHO" xfId="3189" xr:uid="{00000000-0005-0000-0000-0000DB0C0000}"/>
    <cellStyle name="t_Actualisation provision contrat déficitaire SNCM 2011 V3 30 05 2011_Synthèse_Présentation_conso_retraitée" xfId="3190" xr:uid="{00000000-0005-0000-0000-0000DC0C0000}"/>
    <cellStyle name="t_B14_E2_2210" xfId="3191" xr:uid="{00000000-0005-0000-0000-0000DD0C0000}"/>
    <cellStyle name="t_B14_E2_2210_Bridge_Zone_Sud" xfId="3192" xr:uid="{00000000-0005-0000-0000-0000DE0C0000}"/>
    <cellStyle name="t_BFR_TD_2014.02" xfId="3193" xr:uid="{00000000-0005-0000-0000-0000DF0C0000}"/>
    <cellStyle name="t_Bridge_Zone_Nord" xfId="3194" xr:uid="{00000000-0005-0000-0000-0000E00C0000}"/>
    <cellStyle name="t_CAPEM BY COUNTRY" xfId="3195" xr:uid="{00000000-0005-0000-0000-0000E10C0000}"/>
    <cellStyle name="t_LI819L_B13" xfId="3196" xr:uid="{00000000-0005-0000-0000-0000E20C0000}"/>
    <cellStyle name="t_LI819L_B13_CAPEM BY COUNTRY" xfId="3197" xr:uid="{00000000-0005-0000-0000-0000E30C0000}"/>
    <cellStyle name="t_LI819L_B13_Maquette PLT" xfId="3198" xr:uid="{00000000-0005-0000-0000-0000E40C0000}"/>
    <cellStyle name="t_LI819L_B13_Output" xfId="3460" xr:uid="{00000000-0005-0000-0000-0000E50C0000}"/>
    <cellStyle name="t_LI819L_B13_PPA" xfId="3199" xr:uid="{00000000-0005-0000-0000-0000E60C0000}"/>
    <cellStyle name="t_LI819L_B13_RESOP bef CICE&amp;PPA&amp;RepartHO" xfId="3200" xr:uid="{00000000-0005-0000-0000-0000E70C0000}"/>
    <cellStyle name="t_Manager" xfId="3201" xr:uid="{00000000-0005-0000-0000-0000E80C0000}"/>
    <cellStyle name="t_Manager_Actualisation provision contrat déficitaire SNCM 2010 V Def" xfId="3202" xr:uid="{00000000-0005-0000-0000-0000E90C0000}"/>
    <cellStyle name="t_Manager_Actualisation provision contrat déficitaire SNCM 2010 V Def_B14_E2_2210" xfId="3203" xr:uid="{00000000-0005-0000-0000-0000EA0C0000}"/>
    <cellStyle name="t_Manager_Actualisation provision contrat déficitaire SNCM 2010 V Def_B14_E2_2210_Bridge_Zone_Sud" xfId="3204" xr:uid="{00000000-0005-0000-0000-0000EB0C0000}"/>
    <cellStyle name="t_Manager_Actualisation provision contrat déficitaire SNCM 2010 V Def_Bridge_Zone_Sud" xfId="3205" xr:uid="{00000000-0005-0000-0000-0000EC0C0000}"/>
    <cellStyle name="t_Manager_Actualisation provision contrat déficitaire SNCM 2010 V Def_CAPEM BY COUNTRY" xfId="3206" xr:uid="{00000000-0005-0000-0000-0000ED0C0000}"/>
    <cellStyle name="t_Manager_Actualisation provision contrat déficitaire SNCM 2010 V Def_focus par entités CAFOPE2AMF" xfId="3207" xr:uid="{00000000-0005-0000-0000-0000EE0C0000}"/>
    <cellStyle name="t_Manager_Actualisation provision contrat déficitaire SNCM 2010 V Def_focus par entités CAFOPE2AMF_Bridge_Zone_Sud" xfId="3208" xr:uid="{00000000-0005-0000-0000-0000EF0C0000}"/>
    <cellStyle name="t_Manager_Actualisation provision contrat déficitaire SNCM 2010 V Def_Maquette PLT" xfId="3209" xr:uid="{00000000-0005-0000-0000-0000F00C0000}"/>
    <cellStyle name="t_Manager_Actualisation provision contrat déficitaire SNCM 2010 V Def_Output" xfId="3462" xr:uid="{00000000-0005-0000-0000-0000F10C0000}"/>
    <cellStyle name="t_Manager_Actualisation provision contrat déficitaire SNCM 2010 V Def_PAO-CAF-RESOP_04_13_pro_format_variante T1" xfId="3210" xr:uid="{00000000-0005-0000-0000-0000F20C0000}"/>
    <cellStyle name="t_Manager_Actualisation provision contrat déficitaire SNCM 2010 V Def_PAO-CAF-RESOP_04_13_pro_format_variante T1_B14_E2_2210" xfId="3211" xr:uid="{00000000-0005-0000-0000-0000F30C0000}"/>
    <cellStyle name="t_Manager_Actualisation provision contrat déficitaire SNCM 2010 V Def_PAO-CAF-RESOP_04_13_pro_format_variante T1_B14_E2_2210_Bridge_Zone_Sud" xfId="3212" xr:uid="{00000000-0005-0000-0000-0000F40C0000}"/>
    <cellStyle name="t_Manager_Actualisation provision contrat déficitaire SNCM 2010 V Def_PAO-CAF-RESOP_04_13_pro_format_variante T1_Bridge_Zone_Sud" xfId="3213" xr:uid="{00000000-0005-0000-0000-0000F50C0000}"/>
    <cellStyle name="t_Manager_Actualisation provision contrat déficitaire SNCM 2010 V Def_PAO-CAF-RESOP_06_13" xfId="3214" xr:uid="{00000000-0005-0000-0000-0000F60C0000}"/>
    <cellStyle name="t_Manager_Actualisation provision contrat déficitaire SNCM 2010 V Def_PAO-CAF-RESOP_06_13_B14_E2_2210" xfId="3215" xr:uid="{00000000-0005-0000-0000-0000F70C0000}"/>
    <cellStyle name="t_Manager_Actualisation provision contrat déficitaire SNCM 2010 V Def_PAO-CAF-RESOP_06_13_B14_E2_2210_Bridge_Zone_Sud" xfId="3216" xr:uid="{00000000-0005-0000-0000-0000F80C0000}"/>
    <cellStyle name="t_Manager_Actualisation provision contrat déficitaire SNCM 2010 V Def_PAO-CAF-RESOP_06_13_Bridge_Zone_Sud" xfId="3217" xr:uid="{00000000-0005-0000-0000-0000F90C0000}"/>
    <cellStyle name="t_Manager_Actualisation provision contrat déficitaire SNCM 2010 V Def_PAO-CAF-RESOP_08_13" xfId="3218" xr:uid="{00000000-0005-0000-0000-0000FA0C0000}"/>
    <cellStyle name="t_Manager_Actualisation provision contrat déficitaire SNCM 2010 V Def_PAO-CAF-RESOP_08_13_B14_E2_2210" xfId="3219" xr:uid="{00000000-0005-0000-0000-0000FB0C0000}"/>
    <cellStyle name="t_Manager_Actualisation provision contrat déficitaire SNCM 2010 V Def_PAO-CAF-RESOP_08_13_B14_E2_2210_Bridge_Zone_Sud" xfId="3220" xr:uid="{00000000-0005-0000-0000-0000FC0C0000}"/>
    <cellStyle name="t_Manager_Actualisation provision contrat déficitaire SNCM 2010 V Def_PAO-CAF-RESOP_08_13_Bridge_Zone_Sud" xfId="3221" xr:uid="{00000000-0005-0000-0000-0000FD0C0000}"/>
    <cellStyle name="t_Manager_Actualisation provision contrat déficitaire SNCM 2010 V Def_PAO-CAF-RESOP_09_13" xfId="3222" xr:uid="{00000000-0005-0000-0000-0000FE0C0000}"/>
    <cellStyle name="t_Manager_Actualisation provision contrat déficitaire SNCM 2010 V Def_PAO-CAF-RESOP_09_13_Bridge_Zone_Sud" xfId="3223" xr:uid="{00000000-0005-0000-0000-0000FF0C0000}"/>
    <cellStyle name="t_Manager_Actualisation provision contrat déficitaire SNCM 2010 V Def_PAO-CAF-RESOP_09_2013_Zone_IDF (version 2)" xfId="3224" xr:uid="{00000000-0005-0000-0000-0000000D0000}"/>
    <cellStyle name="t_Manager_Actualisation provision contrat déficitaire SNCM 2010 V Def_PAO-CAF-RESOP_10_12" xfId="3225" xr:uid="{00000000-0005-0000-0000-0000010D0000}"/>
    <cellStyle name="t_Manager_Actualisation provision contrat déficitaire SNCM 2010 V Def_PAO-CAF-RESOP_10_12_Bridge_Zone_Sud" xfId="3226" xr:uid="{00000000-0005-0000-0000-0000020D0000}"/>
    <cellStyle name="t_Manager_Actualisation provision contrat déficitaire SNCM 2010 V Def_PAO-CAF-RESOP_10_12_focus par entités CAFOP" xfId="3227" xr:uid="{00000000-0005-0000-0000-0000030D0000}"/>
    <cellStyle name="t_Manager_Actualisation provision contrat déficitaire SNCM 2010 V Def_PAO-CAF-RESOP_10_12_focus par entités CAFOP_Bridge_Zone_Sud" xfId="3228" xr:uid="{00000000-0005-0000-0000-0000040D0000}"/>
    <cellStyle name="t_Manager_Actualisation provision contrat déficitaire SNCM 2010 V Def_PAO-CAF-RESOP_11_13" xfId="3229" xr:uid="{00000000-0005-0000-0000-0000050D0000}"/>
    <cellStyle name="t_Manager_Actualisation provision contrat déficitaire SNCM 2010 V Def_PAO-CAF-RESOP_B13" xfId="3230" xr:uid="{00000000-0005-0000-0000-0000060D0000}"/>
    <cellStyle name="t_Manager_Actualisation provision contrat déficitaire SNCM 2010 V Def_PAO-CAF-RESOP_B13_Bridge_Zone_Sud" xfId="3231" xr:uid="{00000000-0005-0000-0000-0000070D0000}"/>
    <cellStyle name="t_Manager_Actualisation provision contrat déficitaire SNCM 2010 V Def_PAO-CAF-RESOP_B13_focus par entités CAFOP" xfId="3232" xr:uid="{00000000-0005-0000-0000-0000080D0000}"/>
    <cellStyle name="t_Manager_Actualisation provision contrat déficitaire SNCM 2010 V Def_PAO-CAF-RESOP_B13_focus par entités CAFOP_Bridge_Zone_Sud" xfId="3233" xr:uid="{00000000-0005-0000-0000-0000090D0000}"/>
    <cellStyle name="t_Manager_Actualisation provision contrat déficitaire SNCM 2010 V Def_PAO-CAF-RESOP_B2014" xfId="3234" xr:uid="{00000000-0005-0000-0000-00000A0D0000}"/>
    <cellStyle name="t_Manager_Actualisation provision contrat déficitaire SNCM 2010 V Def_PAO-CAF-RESOP_B2014_Bridge_Zone_Sud" xfId="3235" xr:uid="{00000000-0005-0000-0000-00000B0D0000}"/>
    <cellStyle name="t_Manager_Actualisation provision contrat déficitaire SNCM 2010 V Def_PAO-CAF-RESOP_B2014_v2" xfId="3236" xr:uid="{00000000-0005-0000-0000-00000C0D0000}"/>
    <cellStyle name="t_Manager_Actualisation provision contrat déficitaire SNCM 2010 V Def_PAO-CAF-RESOP_E2_13" xfId="3237" xr:uid="{00000000-0005-0000-0000-00000D0D0000}"/>
    <cellStyle name="t_Manager_Actualisation provision contrat déficitaire SNCM 2010 V Def_PAO-CAF-RESOP_E2_13_B14_E2_2210" xfId="3238" xr:uid="{00000000-0005-0000-0000-00000E0D0000}"/>
    <cellStyle name="t_Manager_Actualisation provision contrat déficitaire SNCM 2010 V Def_PAO-CAF-RESOP_E2_13_B14_E2_2210_Bridge_Zone_Sud" xfId="3239" xr:uid="{00000000-0005-0000-0000-00000F0D0000}"/>
    <cellStyle name="t_Manager_Actualisation provision contrat déficitaire SNCM 2010 V Def_PAO-CAF-RESOP_E2_13_Bridge_Zone_Sud" xfId="3240" xr:uid="{00000000-0005-0000-0000-0000100D0000}"/>
    <cellStyle name="t_Manager_Actualisation provision contrat déficitaire SNCM 2010 V Def_PAO-CAF-RESOP_E2_2013_03_10_19H" xfId="3241" xr:uid="{00000000-0005-0000-0000-0000110D0000}"/>
    <cellStyle name="t_Manager_Actualisation provision contrat déficitaire SNCM 2010 V Def_PAO-CAF-RESOP_E2_2013_03_10_19H_Bridge_Zone_Sud" xfId="3242" xr:uid="{00000000-0005-0000-0000-0000120D0000}"/>
    <cellStyle name="t_Manager_Actualisation provision contrat déficitaire SNCM 2010 V Def_PPA" xfId="3243" xr:uid="{00000000-0005-0000-0000-0000130D0000}"/>
    <cellStyle name="t_Manager_Actualisation provision contrat déficitaire SNCM 2010 V Def_RESOP bef CICE&amp;PPA&amp;RepartHO" xfId="3244" xr:uid="{00000000-0005-0000-0000-0000140D0000}"/>
    <cellStyle name="t_Manager_Actualisation provision contrat déficitaire SNCM 2010 V Def_Synthèse_Présentation_conso_retraitée" xfId="3245" xr:uid="{00000000-0005-0000-0000-0000150D0000}"/>
    <cellStyle name="t_Manager_Actualisation provision contrat déficitaire SNCM 2011 V3 30 05 2011" xfId="3246" xr:uid="{00000000-0005-0000-0000-0000160D0000}"/>
    <cellStyle name="t_Manager_Actualisation provision contrat déficitaire SNCM 2011 V3 30 05 2011_B14_E2_2210" xfId="3247" xr:uid="{00000000-0005-0000-0000-0000170D0000}"/>
    <cellStyle name="t_Manager_Actualisation provision contrat déficitaire SNCM 2011 V3 30 05 2011_B14_E2_2210_Bridge_Zone_Sud" xfId="3248" xr:uid="{00000000-0005-0000-0000-0000180D0000}"/>
    <cellStyle name="t_Manager_Actualisation provision contrat déficitaire SNCM 2011 V3 30 05 2011_Bridge_Zone_Sud" xfId="3249" xr:uid="{00000000-0005-0000-0000-0000190D0000}"/>
    <cellStyle name="t_Manager_Actualisation provision contrat déficitaire SNCM 2011 V3 30 05 2011_CAPEM BY COUNTRY" xfId="3250" xr:uid="{00000000-0005-0000-0000-00001A0D0000}"/>
    <cellStyle name="t_Manager_Actualisation provision contrat déficitaire SNCM 2011 V3 30 05 2011_focus par entités CAFOPE2AMF" xfId="3251" xr:uid="{00000000-0005-0000-0000-00001B0D0000}"/>
    <cellStyle name="t_Manager_Actualisation provision contrat déficitaire SNCM 2011 V3 30 05 2011_focus par entités CAFOPE2AMF_Bridge_Zone_Sud" xfId="3252" xr:uid="{00000000-0005-0000-0000-00001C0D0000}"/>
    <cellStyle name="t_Manager_Actualisation provision contrat déficitaire SNCM 2011 V3 30 05 2011_Maquette PLT" xfId="3253" xr:uid="{00000000-0005-0000-0000-00001D0D0000}"/>
    <cellStyle name="t_Manager_Actualisation provision contrat déficitaire SNCM 2011 V3 30 05 2011_Output" xfId="3463" xr:uid="{00000000-0005-0000-0000-00001E0D0000}"/>
    <cellStyle name="t_Manager_Actualisation provision contrat déficitaire SNCM 2011 V3 30 05 2011_PAO-CAF-RESOP_04_13_pro_format_variante T1" xfId="3254" xr:uid="{00000000-0005-0000-0000-00001F0D0000}"/>
    <cellStyle name="t_Manager_Actualisation provision contrat déficitaire SNCM 2011 V3 30 05 2011_PAO-CAF-RESOP_04_13_pro_format_variante T1_B14_E2_2210" xfId="3255" xr:uid="{00000000-0005-0000-0000-0000200D0000}"/>
    <cellStyle name="t_Manager_Actualisation provision contrat déficitaire SNCM 2011 V3 30 05 2011_PAO-CAF-RESOP_04_13_pro_format_variante T1_B14_E2_2210_Bridge_Zone_Sud" xfId="3256" xr:uid="{00000000-0005-0000-0000-0000210D0000}"/>
    <cellStyle name="t_Manager_Actualisation provision contrat déficitaire SNCM 2011 V3 30 05 2011_PAO-CAF-RESOP_04_13_pro_format_variante T1_Bridge_Zone_Sud" xfId="3257" xr:uid="{00000000-0005-0000-0000-0000220D0000}"/>
    <cellStyle name="t_Manager_Actualisation provision contrat déficitaire SNCM 2011 V3 30 05 2011_PAO-CAF-RESOP_06_13" xfId="3258" xr:uid="{00000000-0005-0000-0000-0000230D0000}"/>
    <cellStyle name="t_Manager_Actualisation provision contrat déficitaire SNCM 2011 V3 30 05 2011_PAO-CAF-RESOP_06_13_B14_E2_2210" xfId="3259" xr:uid="{00000000-0005-0000-0000-0000240D0000}"/>
    <cellStyle name="t_Manager_Actualisation provision contrat déficitaire SNCM 2011 V3 30 05 2011_PAO-CAF-RESOP_06_13_B14_E2_2210_Bridge_Zone_Sud" xfId="3260" xr:uid="{00000000-0005-0000-0000-0000250D0000}"/>
    <cellStyle name="t_Manager_Actualisation provision contrat déficitaire SNCM 2011 V3 30 05 2011_PAO-CAF-RESOP_06_13_Bridge_Zone_Sud" xfId="3261" xr:uid="{00000000-0005-0000-0000-0000260D0000}"/>
    <cellStyle name="t_Manager_Actualisation provision contrat déficitaire SNCM 2011 V3 30 05 2011_PAO-CAF-RESOP_08_13" xfId="3262" xr:uid="{00000000-0005-0000-0000-0000270D0000}"/>
    <cellStyle name="t_Manager_Actualisation provision contrat déficitaire SNCM 2011 V3 30 05 2011_PAO-CAF-RESOP_08_13_B14_E2_2210" xfId="3263" xr:uid="{00000000-0005-0000-0000-0000280D0000}"/>
    <cellStyle name="t_Manager_Actualisation provision contrat déficitaire SNCM 2011 V3 30 05 2011_PAO-CAF-RESOP_08_13_B14_E2_2210_Bridge_Zone_Sud" xfId="3264" xr:uid="{00000000-0005-0000-0000-0000290D0000}"/>
    <cellStyle name="t_Manager_Actualisation provision contrat déficitaire SNCM 2011 V3 30 05 2011_PAO-CAF-RESOP_08_13_Bridge_Zone_Sud" xfId="3265" xr:uid="{00000000-0005-0000-0000-00002A0D0000}"/>
    <cellStyle name="t_Manager_Actualisation provision contrat déficitaire SNCM 2011 V3 30 05 2011_PAO-CAF-RESOP_09_13" xfId="3266" xr:uid="{00000000-0005-0000-0000-00002B0D0000}"/>
    <cellStyle name="t_Manager_Actualisation provision contrat déficitaire SNCM 2011 V3 30 05 2011_PAO-CAF-RESOP_09_13_Bridge_Zone_Sud" xfId="3267" xr:uid="{00000000-0005-0000-0000-00002C0D0000}"/>
    <cellStyle name="t_Manager_Actualisation provision contrat déficitaire SNCM 2011 V3 30 05 2011_PAO-CAF-RESOP_09_2013_Zone_IDF (version 2)" xfId="3268" xr:uid="{00000000-0005-0000-0000-00002D0D0000}"/>
    <cellStyle name="t_Manager_Actualisation provision contrat déficitaire SNCM 2011 V3 30 05 2011_PAO-CAF-RESOP_10_12" xfId="3269" xr:uid="{00000000-0005-0000-0000-00002E0D0000}"/>
    <cellStyle name="t_Manager_Actualisation provision contrat déficitaire SNCM 2011 V3 30 05 2011_PAO-CAF-RESOP_10_12_Bridge_Zone_Sud" xfId="3270" xr:uid="{00000000-0005-0000-0000-00002F0D0000}"/>
    <cellStyle name="t_Manager_Actualisation provision contrat déficitaire SNCM 2011 V3 30 05 2011_PAO-CAF-RESOP_10_12_focus par entités CAFOP" xfId="3271" xr:uid="{00000000-0005-0000-0000-0000300D0000}"/>
    <cellStyle name="t_Manager_Actualisation provision contrat déficitaire SNCM 2011 V3 30 05 2011_PAO-CAF-RESOP_10_12_focus par entités CAFOP_Bridge_Zone_Sud" xfId="3272" xr:uid="{00000000-0005-0000-0000-0000310D0000}"/>
    <cellStyle name="t_Manager_Actualisation provision contrat déficitaire SNCM 2011 V3 30 05 2011_PAO-CAF-RESOP_11_13" xfId="3273" xr:uid="{00000000-0005-0000-0000-0000320D0000}"/>
    <cellStyle name="t_Manager_Actualisation provision contrat déficitaire SNCM 2011 V3 30 05 2011_PAO-CAF-RESOP_B13" xfId="3274" xr:uid="{00000000-0005-0000-0000-0000330D0000}"/>
    <cellStyle name="t_Manager_Actualisation provision contrat déficitaire SNCM 2011 V3 30 05 2011_PAO-CAF-RESOP_B13_Bridge_Zone_Sud" xfId="3275" xr:uid="{00000000-0005-0000-0000-0000340D0000}"/>
    <cellStyle name="t_Manager_Actualisation provision contrat déficitaire SNCM 2011 V3 30 05 2011_PAO-CAF-RESOP_B13_focus par entités CAFOP" xfId="3276" xr:uid="{00000000-0005-0000-0000-0000350D0000}"/>
    <cellStyle name="t_Manager_Actualisation provision contrat déficitaire SNCM 2011 V3 30 05 2011_PAO-CAF-RESOP_B13_focus par entités CAFOP_Bridge_Zone_Sud" xfId="3277" xr:uid="{00000000-0005-0000-0000-0000360D0000}"/>
    <cellStyle name="t_Manager_Actualisation provision contrat déficitaire SNCM 2011 V3 30 05 2011_PAO-CAF-RESOP_B2014" xfId="3278" xr:uid="{00000000-0005-0000-0000-0000370D0000}"/>
    <cellStyle name="t_Manager_Actualisation provision contrat déficitaire SNCM 2011 V3 30 05 2011_PAO-CAF-RESOP_B2014_Bridge_Zone_Sud" xfId="3279" xr:uid="{00000000-0005-0000-0000-0000380D0000}"/>
    <cellStyle name="t_Manager_Actualisation provision contrat déficitaire SNCM 2011 V3 30 05 2011_PAO-CAF-RESOP_B2014_v2" xfId="3280" xr:uid="{00000000-0005-0000-0000-0000390D0000}"/>
    <cellStyle name="t_Manager_Actualisation provision contrat déficitaire SNCM 2011 V3 30 05 2011_PAO-CAF-RESOP_E2_13" xfId="3281" xr:uid="{00000000-0005-0000-0000-00003A0D0000}"/>
    <cellStyle name="t_Manager_Actualisation provision contrat déficitaire SNCM 2011 V3 30 05 2011_PAO-CAF-RESOP_E2_13_B14_E2_2210" xfId="3282" xr:uid="{00000000-0005-0000-0000-00003B0D0000}"/>
    <cellStyle name="t_Manager_Actualisation provision contrat déficitaire SNCM 2011 V3 30 05 2011_PAO-CAF-RESOP_E2_13_B14_E2_2210_Bridge_Zone_Sud" xfId="3283" xr:uid="{00000000-0005-0000-0000-00003C0D0000}"/>
    <cellStyle name="t_Manager_Actualisation provision contrat déficitaire SNCM 2011 V3 30 05 2011_PAO-CAF-RESOP_E2_13_Bridge_Zone_Sud" xfId="3284" xr:uid="{00000000-0005-0000-0000-00003D0D0000}"/>
    <cellStyle name="t_Manager_Actualisation provision contrat déficitaire SNCM 2011 V3 30 05 2011_PAO-CAF-RESOP_E2_2013_03_10_19H" xfId="3285" xr:uid="{00000000-0005-0000-0000-00003E0D0000}"/>
    <cellStyle name="t_Manager_Actualisation provision contrat déficitaire SNCM 2011 V3 30 05 2011_PAO-CAF-RESOP_E2_2013_03_10_19H_Bridge_Zone_Sud" xfId="3286" xr:uid="{00000000-0005-0000-0000-00003F0D0000}"/>
    <cellStyle name="t_Manager_Actualisation provision contrat déficitaire SNCM 2011 V3 30 05 2011_PPA" xfId="3287" xr:uid="{00000000-0005-0000-0000-0000400D0000}"/>
    <cellStyle name="t_Manager_Actualisation provision contrat déficitaire SNCM 2011 V3 30 05 2011_RESOP bef CICE&amp;PPA&amp;RepartHO" xfId="3288" xr:uid="{00000000-0005-0000-0000-0000410D0000}"/>
    <cellStyle name="t_Manager_Actualisation provision contrat déficitaire SNCM 2011 V3 30 05 2011_Synthèse_Présentation_conso_retraitée" xfId="3289" xr:uid="{00000000-0005-0000-0000-0000420D0000}"/>
    <cellStyle name="t_Manager_B14_E2_2210" xfId="3290" xr:uid="{00000000-0005-0000-0000-0000430D0000}"/>
    <cellStyle name="t_Manager_B14_E2_2210_Bridge_Zone_Sud" xfId="3291" xr:uid="{00000000-0005-0000-0000-0000440D0000}"/>
    <cellStyle name="t_Manager_BFR_TD_2014.02" xfId="3292" xr:uid="{00000000-0005-0000-0000-0000450D0000}"/>
    <cellStyle name="t_Manager_Bridge_Zone_Nord" xfId="3293" xr:uid="{00000000-0005-0000-0000-0000460D0000}"/>
    <cellStyle name="t_Manager_CAPEM BY COUNTRY" xfId="3294" xr:uid="{00000000-0005-0000-0000-0000470D0000}"/>
    <cellStyle name="t_Manager_LI819L_B13" xfId="3295" xr:uid="{00000000-0005-0000-0000-0000480D0000}"/>
    <cellStyle name="t_Manager_LI819L_B13_CAPEM BY COUNTRY" xfId="3296" xr:uid="{00000000-0005-0000-0000-0000490D0000}"/>
    <cellStyle name="t_Manager_LI819L_B13_Maquette PLT" xfId="3297" xr:uid="{00000000-0005-0000-0000-00004A0D0000}"/>
    <cellStyle name="t_Manager_LI819L_B13_Output" xfId="3464" xr:uid="{00000000-0005-0000-0000-00004B0D0000}"/>
    <cellStyle name="t_Manager_LI819L_B13_PPA" xfId="3298" xr:uid="{00000000-0005-0000-0000-00004C0D0000}"/>
    <cellStyle name="t_Manager_LI819L_B13_RESOP bef CICE&amp;PPA&amp;RepartHO" xfId="3299" xr:uid="{00000000-0005-0000-0000-00004D0D0000}"/>
    <cellStyle name="t_Manager_Maquette PLT" xfId="3300" xr:uid="{00000000-0005-0000-0000-00004E0D0000}"/>
    <cellStyle name="t_Manager_Output" xfId="3461" xr:uid="{00000000-0005-0000-0000-00004F0D0000}"/>
    <cellStyle name="t_Manager_PAO-CAF-RESOP_14_01_13 à 20h" xfId="3301" xr:uid="{00000000-0005-0000-0000-0000500D0000}"/>
    <cellStyle name="t_Manager_PAO-CAF-RESOP_14_01_13 à 20h_CAPEM BY COUNTRY" xfId="3302" xr:uid="{00000000-0005-0000-0000-0000510D0000}"/>
    <cellStyle name="t_Manager_PAO-CAF-RESOP_14_01_13 à 20h_Maquette PLT" xfId="3303" xr:uid="{00000000-0005-0000-0000-0000520D0000}"/>
    <cellStyle name="t_Manager_PAO-CAF-RESOP_14_01_13 à 20h_Output" xfId="3465" xr:uid="{00000000-0005-0000-0000-0000530D0000}"/>
    <cellStyle name="t_Manager_PAO-CAF-RESOP_14_01_13 à 20h_PPA" xfId="3304" xr:uid="{00000000-0005-0000-0000-0000540D0000}"/>
    <cellStyle name="t_Manager_PAO-CAF-RESOP_14_01_13 à 20h_RESOP bef CICE&amp;PPA&amp;RepartHO" xfId="3305" xr:uid="{00000000-0005-0000-0000-0000550D0000}"/>
    <cellStyle name="t_Manager_PAO-CAF-RESOP_2014.02" xfId="3306" xr:uid="{00000000-0005-0000-0000-0000560D0000}"/>
    <cellStyle name="t_Manager_PAO-CAF-RESOP_2014.02_Bridge_Zone_Sud" xfId="3307" xr:uid="{00000000-0005-0000-0000-0000570D0000}"/>
    <cellStyle name="t_Manager_PPA" xfId="3308" xr:uid="{00000000-0005-0000-0000-0000580D0000}"/>
    <cellStyle name="t_Manager_RESOP bef CICE&amp;PPA&amp;RepartHO" xfId="3309" xr:uid="{00000000-0005-0000-0000-0000590D0000}"/>
    <cellStyle name="t_Maquette PLT" xfId="3310" xr:uid="{00000000-0005-0000-0000-00005A0D0000}"/>
    <cellStyle name="t_Output" xfId="3457" xr:uid="{00000000-0005-0000-0000-00005B0D0000}"/>
    <cellStyle name="t_PAO-CAF-RESOP_14_01_13 à 20h" xfId="3311" xr:uid="{00000000-0005-0000-0000-00005C0D0000}"/>
    <cellStyle name="t_PAO-CAF-RESOP_14_01_13 à 20h_CAPEM BY COUNTRY" xfId="3312" xr:uid="{00000000-0005-0000-0000-00005D0D0000}"/>
    <cellStyle name="t_PAO-CAF-RESOP_14_01_13 à 20h_Maquette PLT" xfId="3313" xr:uid="{00000000-0005-0000-0000-00005E0D0000}"/>
    <cellStyle name="t_PAO-CAF-RESOP_14_01_13 à 20h_Output" xfId="3466" xr:uid="{00000000-0005-0000-0000-00005F0D0000}"/>
    <cellStyle name="t_PAO-CAF-RESOP_14_01_13 à 20h_PPA" xfId="3314" xr:uid="{00000000-0005-0000-0000-0000600D0000}"/>
    <cellStyle name="t_PAO-CAF-RESOP_14_01_13 à 20h_RESOP bef CICE&amp;PPA&amp;RepartHO" xfId="3315" xr:uid="{00000000-0005-0000-0000-0000610D0000}"/>
    <cellStyle name="t_PAO-CAF-RESOP_2014.02" xfId="3316" xr:uid="{00000000-0005-0000-0000-0000620D0000}"/>
    <cellStyle name="t_PAO-CAF-RESOP_2014.02_Bridge_Zone_Sud" xfId="3317" xr:uid="{00000000-0005-0000-0000-0000630D0000}"/>
    <cellStyle name="t_PPA" xfId="3318" xr:uid="{00000000-0005-0000-0000-0000640D0000}"/>
    <cellStyle name="t_RESOP bef CICE&amp;PPA&amp;RepartHO" xfId="3319" xr:uid="{00000000-0005-0000-0000-0000650D0000}"/>
    <cellStyle name="Text Level 1" xfId="3320" xr:uid="{00000000-0005-0000-0000-0000660D0000}"/>
    <cellStyle name="Text Level 2" xfId="3321" xr:uid="{00000000-0005-0000-0000-0000670D0000}"/>
    <cellStyle name="Text Level 3" xfId="3322" xr:uid="{00000000-0005-0000-0000-0000680D0000}"/>
    <cellStyle name="Text Level 4" xfId="3323" xr:uid="{00000000-0005-0000-0000-0000690D0000}"/>
    <cellStyle name="Texte explicatif 2" xfId="3324" xr:uid="{00000000-0005-0000-0000-00006A0D0000}"/>
    <cellStyle name="Title" xfId="287" xr:uid="{00000000-0005-0000-0000-00006B0D0000}"/>
    <cellStyle name="Title 2" xfId="288" xr:uid="{00000000-0005-0000-0000-00006C0D0000}"/>
    <cellStyle name="Title 3" xfId="289" xr:uid="{00000000-0005-0000-0000-00006D0D0000}"/>
    <cellStyle name="Title 4" xfId="290" xr:uid="{00000000-0005-0000-0000-00006E0D0000}"/>
    <cellStyle name="Title 5" xfId="291" xr:uid="{00000000-0005-0000-0000-00006F0D0000}"/>
    <cellStyle name="Title 6" xfId="292" xr:uid="{00000000-0005-0000-0000-0000700D0000}"/>
    <cellStyle name="Title_Decote croissance organique" xfId="3325" xr:uid="{00000000-0005-0000-0000-0000710D0000}"/>
    <cellStyle name="Titles" xfId="3326" xr:uid="{00000000-0005-0000-0000-0000720D0000}"/>
    <cellStyle name="Titre 2" xfId="3327" xr:uid="{00000000-0005-0000-0000-0000730D0000}"/>
    <cellStyle name="Titre colonnes" xfId="293" xr:uid="{00000000-0005-0000-0000-0000740D0000}"/>
    <cellStyle name="Titre lignes" xfId="294" xr:uid="{00000000-0005-0000-0000-0000750D0000}"/>
    <cellStyle name="Titre 1 2" xfId="3328" xr:uid="{00000000-0005-0000-0000-0000760D0000}"/>
    <cellStyle name="Titre 2 2" xfId="3329" xr:uid="{00000000-0005-0000-0000-0000770D0000}"/>
    <cellStyle name="Titre 3 2" xfId="3330" xr:uid="{00000000-0005-0000-0000-0000780D0000}"/>
    <cellStyle name="Titre 4 2" xfId="3331" xr:uid="{00000000-0005-0000-0000-0000790D0000}"/>
    <cellStyle name="Top_Double_Bottom" xfId="3332" xr:uid="{00000000-0005-0000-0000-00007A0D0000}"/>
    <cellStyle name="Total 2" xfId="295" xr:uid="{00000000-0005-0000-0000-00007B0D0000}"/>
    <cellStyle name="Total 3" xfId="296" xr:uid="{00000000-0005-0000-0000-00007C0D0000}"/>
    <cellStyle name="Total 4" xfId="297" xr:uid="{00000000-0005-0000-0000-00007D0D0000}"/>
    <cellStyle name="Total 5" xfId="298" xr:uid="{00000000-0005-0000-0000-00007E0D0000}"/>
    <cellStyle name="Total 6" xfId="299" xr:uid="{00000000-0005-0000-0000-00007F0D0000}"/>
    <cellStyle name="UNDERRUBRIK" xfId="3333" xr:uid="{00000000-0005-0000-0000-0000800D0000}"/>
    <cellStyle name="Vérification 2" xfId="3334" xr:uid="{00000000-0005-0000-0000-0000810D0000}"/>
    <cellStyle name="Warning Text" xfId="300" xr:uid="{00000000-0005-0000-0000-0000820D0000}"/>
    <cellStyle name="Warning Text 2" xfId="301" xr:uid="{00000000-0005-0000-0000-0000830D0000}"/>
    <cellStyle name="Warning Text 3" xfId="302" xr:uid="{00000000-0005-0000-0000-0000840D0000}"/>
    <cellStyle name="Warning Text 4" xfId="303" xr:uid="{00000000-0005-0000-0000-0000850D0000}"/>
    <cellStyle name="Warning Text 5" xfId="304" xr:uid="{00000000-0005-0000-0000-0000860D0000}"/>
    <cellStyle name="Warning Text_Feuil1" xfId="3335" xr:uid="{00000000-0005-0000-0000-0000870D0000}"/>
    <cellStyle name="Year" xfId="3336" xr:uid="{00000000-0005-0000-0000-0000880D0000}"/>
    <cellStyle name="zoe" xfId="3337" xr:uid="{00000000-0005-0000-0000-0000890D0000}"/>
    <cellStyle name="常规_Sheet1_Sub-consolidation Scope 2008 12 SX432 Lanzhou" xfId="3338" xr:uid="{00000000-0005-0000-0000-00008A0D0000}"/>
  </cellStyles>
  <dxfs count="3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1523998</xdr:colOff>
      <xdr:row>11</xdr:row>
      <xdr:rowOff>0</xdr:rowOff>
    </xdr:from>
    <xdr:to>
      <xdr:col>11</xdr:col>
      <xdr:colOff>666748</xdr:colOff>
      <xdr:row>13</xdr:row>
      <xdr:rowOff>261937</xdr:rowOff>
    </xdr:to>
    <xdr:sp macro="[0]!RefreshActivity_Cliquer" textlink="">
      <xdr:nvSpPr>
        <xdr:cNvPr id="2" name="RefreshActivityLis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39373" y="20478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>
    <xdr:from>
      <xdr:col>9</xdr:col>
      <xdr:colOff>1485898</xdr:colOff>
      <xdr:row>14</xdr:row>
      <xdr:rowOff>271462</xdr:rowOff>
    </xdr:from>
    <xdr:to>
      <xdr:col>11</xdr:col>
      <xdr:colOff>628648</xdr:colOff>
      <xdr:row>17</xdr:row>
      <xdr:rowOff>223837</xdr:rowOff>
    </xdr:to>
    <xdr:sp macro="[0]!RefreshReport_Cliquer" textlink="">
      <xdr:nvSpPr>
        <xdr:cNvPr id="7" name="RefreshActivityList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01273" y="31527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</a:t>
          </a:r>
          <a:r>
            <a:rPr lang="en-US" sz="2000" b="1" baseline="0">
              <a:solidFill>
                <a:schemeClr val="accent5">
                  <a:lumMod val="50000"/>
                </a:schemeClr>
              </a:solidFill>
            </a:rPr>
            <a:t> Report</a:t>
          </a:r>
          <a:endParaRPr lang="en-US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22</xdr:col>
      <xdr:colOff>128594</xdr:colOff>
      <xdr:row>10</xdr:row>
      <xdr:rowOff>200024</xdr:rowOff>
    </xdr:from>
    <xdr:to>
      <xdr:col>23</xdr:col>
      <xdr:colOff>1223969</xdr:colOff>
      <xdr:row>13</xdr:row>
      <xdr:rowOff>200024</xdr:rowOff>
    </xdr:to>
    <xdr:sp macro="[0]!RefreshActivity_Cliquer" textlink="">
      <xdr:nvSpPr>
        <xdr:cNvPr id="8" name="RefreshActivityLis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751719" y="1985962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EN~1.CAU/AppData/Local/Temp/19/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workbookViewId="0">
      <selection activeCell="H16" sqref="H16"/>
    </sheetView>
  </sheetViews>
  <sheetFormatPr baseColWidth="10" defaultColWidth="9.1796875" defaultRowHeight="13"/>
  <cols>
    <col min="1" max="1" width="35.7265625" customWidth="1"/>
    <col min="2" max="2" width="24.726562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5">
      <c r="A3" s="10" t="s">
        <v>86</v>
      </c>
      <c r="B3" s="9"/>
    </row>
    <row r="4" spans="1:2">
      <c r="A4" s="11" t="s">
        <v>87</v>
      </c>
      <c r="B4" s="12" t="s">
        <v>123</v>
      </c>
    </row>
    <row r="5" spans="1:2">
      <c r="A5" s="11" t="s">
        <v>88</v>
      </c>
      <c r="B5" s="13" t="str">
        <f>LEFT(Server,LEN(Server)-1)</f>
        <v>tango_core_model</v>
      </c>
    </row>
    <row r="6" spans="1:2">
      <c r="A6" s="11" t="s">
        <v>89</v>
      </c>
      <c r="B6" s="13" t="s">
        <v>174</v>
      </c>
    </row>
    <row r="7" spans="1:2">
      <c r="A7" s="11" t="s">
        <v>90</v>
      </c>
      <c r="B7" s="13">
        <v>0</v>
      </c>
    </row>
    <row r="8" spans="1:2">
      <c r="A8" s="11" t="s">
        <v>91</v>
      </c>
      <c r="B8" s="13">
        <v>0</v>
      </c>
    </row>
    <row r="9" spans="1:2">
      <c r="B9" s="14"/>
    </row>
    <row r="10" spans="1:2" ht="15.5">
      <c r="A10" s="10" t="s">
        <v>92</v>
      </c>
      <c r="B10" s="14"/>
    </row>
    <row r="11" spans="1:2">
      <c r="A11" s="11" t="s">
        <v>93</v>
      </c>
      <c r="B11" s="13" t="s">
        <v>155</v>
      </c>
    </row>
    <row r="12" spans="1:2">
      <c r="A12" s="11" t="s">
        <v>94</v>
      </c>
      <c r="B12" s="13" t="s">
        <v>95</v>
      </c>
    </row>
    <row r="13" spans="1:2">
      <c r="A13" s="11" t="s">
        <v>96</v>
      </c>
      <c r="B13" s="13" t="str">
        <f>_xll.DBR(Server&amp;"z_Admin_Param","YEAR_LTP","STR_VAR1")</f>
        <v>2025</v>
      </c>
    </row>
    <row r="14" spans="1:2">
      <c r="A14" s="11" t="s">
        <v>97</v>
      </c>
      <c r="B14" s="13" t="str">
        <f>_xll.DBR(Server&amp;"z_Admin_Param","PHASE_LTP","STR_VAR1")</f>
        <v>LTP_2025_VC</v>
      </c>
    </row>
    <row r="15" spans="1:2">
      <c r="A15" s="11" t="s">
        <v>98</v>
      </c>
      <c r="B15" s="13" t="str">
        <f>_xll.DBR(Server&amp;"z_Client_Properties","Language",_xll.TM1USER(xServer))</f>
        <v>French</v>
      </c>
    </row>
    <row r="16" spans="1:2">
      <c r="A16" s="187" t="s">
        <v>99</v>
      </c>
      <c r="B16" s="15" t="s">
        <v>100</v>
      </c>
    </row>
    <row r="17" spans="1:2">
      <c r="A17" s="188"/>
      <c r="B17" s="15" t="s">
        <v>101</v>
      </c>
    </row>
    <row r="18" spans="1:2">
      <c r="A18" s="188"/>
      <c r="B18" s="15"/>
    </row>
    <row r="19" spans="1:2">
      <c r="A19" s="188"/>
      <c r="B19" s="15"/>
    </row>
    <row r="20" spans="1:2">
      <c r="A20" s="189"/>
      <c r="B20" s="15"/>
    </row>
    <row r="21" spans="1:2">
      <c r="A21" s="187" t="s">
        <v>102</v>
      </c>
      <c r="B21" s="15" t="s">
        <v>103</v>
      </c>
    </row>
    <row r="22" spans="1:2">
      <c r="A22" s="188"/>
      <c r="B22" s="15" t="s">
        <v>104</v>
      </c>
    </row>
    <row r="23" spans="1:2">
      <c r="A23" s="189"/>
      <c r="B23" s="15" t="s">
        <v>105</v>
      </c>
    </row>
    <row r="25" spans="1:2" ht="15.5">
      <c r="A25" s="10" t="s">
        <v>106</v>
      </c>
    </row>
    <row r="26" spans="1:2" ht="15.5">
      <c r="A26" t="s">
        <v>107</v>
      </c>
      <c r="B26" s="1"/>
    </row>
    <row r="27" spans="1:2">
      <c r="A27" t="s">
        <v>108</v>
      </c>
      <c r="B27" s="16"/>
    </row>
    <row r="28" spans="1:2">
      <c r="A28" t="s">
        <v>109</v>
      </c>
      <c r="B28" s="17"/>
    </row>
    <row r="29" spans="1:2" ht="13.5">
      <c r="A29" s="18"/>
      <c r="B29" s="18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rgb="FFFF0000"/>
    <pageSetUpPr fitToPage="1"/>
  </sheetPr>
  <dimension ref="A1:XEY134"/>
  <sheetViews>
    <sheetView showGridLines="0" tabSelected="1" topLeftCell="F7" zoomScale="40" zoomScaleNormal="40" zoomScalePageLayoutView="60" workbookViewId="0">
      <pane xSplit="3" ySplit="17" topLeftCell="I24" activePane="bottomRight" state="frozen"/>
      <selection activeCell="F7" sqref="F7"/>
      <selection pane="topRight" activeCell="I7" sqref="I7"/>
      <selection pane="bottomLeft" activeCell="F24" sqref="F24"/>
      <selection pane="bottomRight"/>
    </sheetView>
  </sheetViews>
  <sheetFormatPr baseColWidth="10" defaultColWidth="11.453125" defaultRowHeight="18" customHeight="1" outlineLevelRow="1" outlineLevelCol="1"/>
  <cols>
    <col min="1" max="1" width="23.54296875" style="50" hidden="1" customWidth="1" outlineLevel="1"/>
    <col min="2" max="2" width="21" style="50" hidden="1" customWidth="1" outlineLevel="1"/>
    <col min="3" max="3" width="35.81640625" style="50" hidden="1" customWidth="1" outlineLevel="1"/>
    <col min="4" max="4" width="11" style="50" hidden="1" customWidth="1" outlineLevel="1"/>
    <col min="5" max="5" width="5.453125" style="22" hidden="1" customWidth="1" outlineLevel="1"/>
    <col min="6" max="6" width="5.7265625" style="47" customWidth="1" collapsed="1"/>
    <col min="7" max="7" width="42.453125" style="43" customWidth="1"/>
    <col min="8" max="8" width="52.54296875" style="43" customWidth="1"/>
    <col min="9" max="16" width="18.81640625" style="44" bestFit="1" customWidth="1"/>
    <col min="17" max="17" width="9" style="85" bestFit="1" customWidth="1"/>
    <col min="18" max="18" width="31.6328125" style="85" hidden="1" customWidth="1"/>
    <col min="19" max="20" width="18.81640625" style="44" bestFit="1" customWidth="1"/>
    <col min="21" max="21" width="20.5" style="44" bestFit="1" customWidth="1"/>
    <col min="22" max="26" width="18.81640625" style="44" bestFit="1" customWidth="1"/>
    <col min="27" max="27" width="6" style="85" customWidth="1"/>
    <col min="28" max="33" width="9.40625" style="85" bestFit="1" customWidth="1"/>
    <col min="34" max="35" width="9.40625" style="44" bestFit="1" customWidth="1"/>
    <col min="36" max="36" width="5.7265625" style="45" customWidth="1"/>
    <col min="37" max="37" width="11.26953125" style="45" hidden="1" customWidth="1"/>
    <col min="38" max="38" width="33.1796875" style="45" hidden="1" customWidth="1"/>
    <col min="39" max="39" width="30" style="45" hidden="1" customWidth="1"/>
    <col min="40" max="40" width="28.1796875" style="45" hidden="1" customWidth="1"/>
    <col min="41" max="41" width="29.7265625" style="45" hidden="1" customWidth="1"/>
    <col min="42" max="42" width="27.1796875" style="45" hidden="1" customWidth="1"/>
    <col min="43" max="43" width="21.1796875" style="45" hidden="1" customWidth="1"/>
    <col min="44" max="44" width="9" style="45" hidden="1" customWidth="1"/>
    <col min="45" max="45" width="9" style="45" customWidth="1"/>
    <col min="46" max="46" width="9" style="44" customWidth="1"/>
    <col min="47" max="47" width="6.54296875" style="44" customWidth="1"/>
    <col min="48" max="48" width="6.453125" style="44" customWidth="1"/>
    <col min="49" max="49" width="6.453125" style="46" customWidth="1"/>
    <col min="50" max="16384" width="11.453125" style="44"/>
  </cols>
  <sheetData>
    <row r="1" spans="1:49" s="26" customFormat="1" ht="23.5" hidden="1">
      <c r="A1" s="22"/>
      <c r="B1" s="22"/>
      <c r="C1" s="22"/>
      <c r="D1" s="22"/>
      <c r="E1" s="22"/>
      <c r="F1" s="23"/>
      <c r="G1" s="24" t="s">
        <v>53</v>
      </c>
      <c r="H1" s="25" t="str">
        <f>_xll.SUBNM(Server&amp;"Phase","",$H$12,"")</f>
        <v>LTP_2021_VC</v>
      </c>
      <c r="Q1" s="82"/>
      <c r="R1" s="25" t="str">
        <f>_xll.SUBNM(Server&amp;"Phase","",$U$12,"")</f>
        <v>LTP_2019_V9_V14_V3</v>
      </c>
      <c r="AA1" s="82"/>
      <c r="AB1" s="82"/>
      <c r="AC1" s="82"/>
      <c r="AD1" s="82"/>
      <c r="AE1" s="82"/>
      <c r="AF1" s="82"/>
      <c r="AG1" s="82"/>
      <c r="AJ1" s="45"/>
      <c r="AK1" s="27"/>
      <c r="AL1" s="27"/>
      <c r="AM1" s="27"/>
      <c r="AN1" s="27"/>
      <c r="AO1" s="27"/>
      <c r="AP1" s="27"/>
      <c r="AQ1" s="27"/>
      <c r="AR1" s="27"/>
      <c r="AS1" s="27"/>
      <c r="AW1" s="28"/>
    </row>
    <row r="2" spans="1:49" s="26" customFormat="1" ht="23.5" hidden="1">
      <c r="A2" s="22"/>
      <c r="B2" s="22"/>
      <c r="C2" s="22"/>
      <c r="D2" s="22"/>
      <c r="E2" s="22"/>
      <c r="F2" s="23"/>
      <c r="G2" s="24" t="s">
        <v>58</v>
      </c>
      <c r="H2" s="29" t="str">
        <f>MID(H1,5,4)</f>
        <v>2021</v>
      </c>
      <c r="I2" s="30" t="str">
        <f>_xll.DBRA(Server&amp;$G$2,$J2,"Prior Year")</f>
        <v>F_year_2020</v>
      </c>
      <c r="J2" s="30" t="str">
        <f>"F_year_"&amp;$H$2</f>
        <v>F_year_2021</v>
      </c>
      <c r="K2" s="30" t="str">
        <f>_xll.DBRA(Server&amp;$G$2,J2,"Next Year")</f>
        <v>F_year_2022</v>
      </c>
      <c r="L2" s="30" t="str">
        <f>_xll.DBRA(Server&amp;$G$2,K2,"Next Year")</f>
        <v>F_year_2023</v>
      </c>
      <c r="M2" s="30" t="str">
        <f>_xll.DBRA(Server&amp;$G$2,L2,"Next Year")</f>
        <v>F_year_2024</v>
      </c>
      <c r="N2" s="30" t="str">
        <f>_xll.DBRA(Server&amp;$G$2,M2,"Next Year")</f>
        <v>F_year_2025</v>
      </c>
      <c r="O2" s="30" t="str">
        <f>_xll.DBRA(Server&amp;$G$2,N2,"Next Year")</f>
        <v>F_year_2026</v>
      </c>
      <c r="P2" s="30" t="str">
        <f>_xll.DBRA(Server&amp;$G$2,O2,"Next Year")</f>
        <v>F_year_2027</v>
      </c>
      <c r="Q2" s="83"/>
      <c r="R2" s="29" t="str">
        <f>MID(R1,5,4)</f>
        <v>2019</v>
      </c>
      <c r="S2" s="30" t="str">
        <f>_xll.DBRA(Server&amp;$G$2,$T2,"Prior Year")</f>
        <v>F_year_2018</v>
      </c>
      <c r="T2" s="30" t="str">
        <f>"F_year_"&amp;$R$2</f>
        <v>F_year_2019</v>
      </c>
      <c r="U2" s="30" t="str">
        <f>_xll.DBRA(Server&amp;$G$2,T2,"Next Year")</f>
        <v>F_year_2020</v>
      </c>
      <c r="V2" s="30" t="str">
        <f>_xll.DBRA(Server&amp;$G$2,U2,"Next Year")</f>
        <v>F_year_2021</v>
      </c>
      <c r="W2" s="30" t="str">
        <f>_xll.DBRA(Server&amp;$G$2,V2,"Next Year")</f>
        <v>F_year_2022</v>
      </c>
      <c r="X2" s="30" t="str">
        <f>_xll.DBRA(Server&amp;$G$2,W2,"Next Year")</f>
        <v>F_year_2023</v>
      </c>
      <c r="Y2" s="30" t="str">
        <f>_xll.DBRA(Server&amp;$G$2,X2,"Next Year")</f>
        <v>F_year_2024</v>
      </c>
      <c r="Z2" s="30" t="str">
        <f>_xll.DBRA(Server&amp;$G$2,Y2,"Next Year")</f>
        <v>F_year_2025</v>
      </c>
      <c r="AA2" s="83"/>
      <c r="AB2" s="83"/>
      <c r="AC2" s="83"/>
      <c r="AD2" s="83"/>
      <c r="AE2" s="83"/>
      <c r="AF2" s="83"/>
      <c r="AG2" s="83"/>
      <c r="AH2" s="31"/>
      <c r="AI2" s="31"/>
      <c r="AJ2" s="89"/>
      <c r="AK2" s="27"/>
      <c r="AL2" s="27"/>
      <c r="AM2" s="27"/>
      <c r="AN2" s="27"/>
      <c r="AO2" s="27"/>
      <c r="AP2" s="27"/>
      <c r="AQ2" s="27"/>
      <c r="AR2" s="27"/>
      <c r="AS2" s="27"/>
      <c r="AW2" s="28"/>
    </row>
    <row r="3" spans="1:49" s="26" customFormat="1" ht="23.5" hidden="1">
      <c r="A3" s="22"/>
      <c r="B3" s="22"/>
      <c r="C3" s="22"/>
      <c r="D3" s="22"/>
      <c r="E3" s="22"/>
      <c r="F3" s="23"/>
      <c r="G3" s="32" t="str">
        <f>_xll.VIEW(Server&amp;Cube1,ctx_activity_Context,$H$17,$H$13,$H$16,ctx_legal_Context,"!",$H$12,"!")</f>
        <v>tango_core_model:Report_LTP</v>
      </c>
      <c r="H3" s="33" t="s">
        <v>122</v>
      </c>
      <c r="I3" s="34" t="str">
        <f>_xll.DBRA(Server&amp;$G$2,$J3,"Prior Year")</f>
        <v>2020</v>
      </c>
      <c r="J3" s="34" t="str">
        <f>$H$2</f>
        <v>2021</v>
      </c>
      <c r="K3" s="34" t="str">
        <f>_xll.DBRA(Server&amp;$G$2,J3,"Next Year")</f>
        <v>2022</v>
      </c>
      <c r="L3" s="34" t="str">
        <f>_xll.DBRA(Server&amp;$G$2,K3,"Next Year")</f>
        <v>2023</v>
      </c>
      <c r="M3" s="34" t="str">
        <f>_xll.DBRA(Server&amp;$G$2,L3,"Next Year")</f>
        <v>2024</v>
      </c>
      <c r="N3" s="34" t="str">
        <f>_xll.DBRA(Server&amp;$G$2,M3,"Next Year")</f>
        <v>2025</v>
      </c>
      <c r="O3" s="34" t="str">
        <f>_xll.DBRA(Server&amp;$G$2,N3,"Next Year")</f>
        <v>2026</v>
      </c>
      <c r="P3" s="34" t="str">
        <f>_xll.DBRA(Server&amp;$G$2,O3,"Next Year")</f>
        <v>2027</v>
      </c>
      <c r="Q3" s="83"/>
      <c r="R3" s="83"/>
      <c r="S3" s="34" t="str">
        <f>_xll.DBRA(Server&amp;$G$2,$T3,"Prior Year")</f>
        <v>2018</v>
      </c>
      <c r="T3" s="34" t="str">
        <f>$R$2</f>
        <v>2019</v>
      </c>
      <c r="U3" s="34" t="str">
        <f>_xll.DBRA(Server&amp;$G$2,T3,"Next Year")</f>
        <v>2020</v>
      </c>
      <c r="V3" s="34" t="str">
        <f>_xll.DBRA(Server&amp;$G$2,U3,"Next Year")</f>
        <v>2021</v>
      </c>
      <c r="W3" s="34" t="str">
        <f>_xll.DBRA(Server&amp;$G$2,V3,"Next Year")</f>
        <v>2022</v>
      </c>
      <c r="X3" s="34" t="str">
        <f>_xll.DBRA(Server&amp;$G$2,W3,"Next Year")</f>
        <v>2023</v>
      </c>
      <c r="Y3" s="34" t="str">
        <f>_xll.DBRA(Server&amp;$G$2,X3,"Next Year")</f>
        <v>2024</v>
      </c>
      <c r="Z3" s="34" t="str">
        <f>_xll.DBRA(Server&amp;$G$2,Y3,"Next Year")</f>
        <v>2025</v>
      </c>
      <c r="AA3" s="83"/>
      <c r="AB3" s="83"/>
      <c r="AC3" s="83"/>
      <c r="AD3" s="83"/>
      <c r="AE3" s="83"/>
      <c r="AF3" s="83"/>
      <c r="AG3" s="83"/>
      <c r="AH3" s="31"/>
      <c r="AI3" s="31"/>
      <c r="AJ3" s="89"/>
      <c r="AK3" s="27"/>
      <c r="AL3" s="27"/>
      <c r="AM3" s="27"/>
      <c r="AN3" s="27"/>
      <c r="AO3" s="27"/>
      <c r="AP3" s="27"/>
      <c r="AQ3" s="27"/>
      <c r="AR3" s="27"/>
      <c r="AS3" s="27"/>
      <c r="AW3" s="28"/>
    </row>
    <row r="4" spans="1:49" s="26" customFormat="1" ht="23.25" hidden="1" customHeight="1">
      <c r="A4" s="22"/>
      <c r="B4" s="22"/>
      <c r="C4" s="22"/>
      <c r="D4" s="22"/>
      <c r="E4" s="22"/>
      <c r="F4" s="23"/>
      <c r="G4" s="35"/>
      <c r="H4" s="32"/>
      <c r="I4" s="36" t="str">
        <f>_xll.DBRW("tango_core_model:TC_LTP_Version_Annee_Ouverture",$H$12,I$2,"STR_VAR1")</f>
        <v/>
      </c>
      <c r="J4" s="36" t="str">
        <f>_xll.DBRW("tango_core_model:TC_LTP_Version_Annee_Ouverture",$H$12,J$2,"STR_VAR1")</f>
        <v/>
      </c>
      <c r="K4" s="36" t="str">
        <f>_xll.DBRW("tango_core_model:TC_LTP_Version_Annee_Ouverture",$H$12,K$2,"STR_VAR1")</f>
        <v/>
      </c>
      <c r="L4" s="36" t="str">
        <f>_xll.DBRW("tango_core_model:TC_LTP_Version_Annee_Ouverture",$H$12,L$2,"STR_VAR1")</f>
        <v/>
      </c>
      <c r="M4" s="36" t="str">
        <f>_xll.DBRW("tango_core_model:TC_LTP_Version_Annee_Ouverture",$H$12,M$2,"STR_VAR1")</f>
        <v/>
      </c>
      <c r="N4" s="36" t="str">
        <f>_xll.DBRW("tango_core_model:TC_LTP_Version_Annee_Ouverture",$H$12,N$2,"STR_VAR1")</f>
        <v/>
      </c>
      <c r="O4" s="36" t="str">
        <f>_xll.DBRW("tango_core_model:TC_LTP_Version_Annee_Ouverture",$H$12,O$2,"STR_VAR1")</f>
        <v/>
      </c>
      <c r="P4" s="36" t="str">
        <f>_xll.DBRW("tango_core_model:TC_LTP_Version_Annee_Ouverture",$H$12,P$2,"STR_VAR1")</f>
        <v/>
      </c>
      <c r="Q4" s="84"/>
      <c r="R4" s="84"/>
      <c r="S4" s="36" t="str">
        <f>_xll.DBRW("tango_core_model:TC_LTP_Version_Annee_Ouverture",$U$12,S$2,"STR_VAR1")</f>
        <v/>
      </c>
      <c r="T4" s="36" t="str">
        <f>_xll.DBRW("tango_core_model:TC_LTP_Version_Annee_Ouverture",$U$12,T$2,"STR_VAR1")</f>
        <v/>
      </c>
      <c r="U4" s="36" t="str">
        <f>_xll.DBRW("tango_core_model:TC_LTP_Version_Annee_Ouverture",$U$12,U$2,"STR_VAR1")</f>
        <v/>
      </c>
      <c r="V4" s="36" t="str">
        <f>_xll.DBRW("tango_core_model:TC_LTP_Version_Annee_Ouverture",$U$12,V$2,"STR_VAR1")</f>
        <v/>
      </c>
      <c r="W4" s="36" t="str">
        <f>_xll.DBRW("tango_core_model:TC_LTP_Version_Annee_Ouverture",$U$12,W$2,"STR_VAR1")</f>
        <v/>
      </c>
      <c r="X4" s="36" t="str">
        <f>_xll.DBRW("tango_core_model:TC_LTP_Version_Annee_Ouverture",$U$12,X$2,"STR_VAR1")</f>
        <v/>
      </c>
      <c r="Y4" s="36" t="str">
        <f>_xll.DBRW("tango_core_model:TC_LTP_Version_Annee_Ouverture",$U$12,Y$2,"STR_VAR1")</f>
        <v/>
      </c>
      <c r="Z4" s="36" t="str">
        <f>_xll.DBRW("tango_core_model:TC_LTP_Version_Annee_Ouverture",$U$12,Z$2,"STR_VAR1")</f>
        <v/>
      </c>
      <c r="AA4" s="84"/>
      <c r="AB4" s="84"/>
      <c r="AC4" s="84"/>
      <c r="AD4" s="84"/>
      <c r="AE4" s="84"/>
      <c r="AF4" s="84"/>
      <c r="AG4" s="84"/>
      <c r="AH4" s="38"/>
      <c r="AI4" s="38"/>
      <c r="AJ4" s="45"/>
      <c r="AK4" s="27"/>
      <c r="AL4" s="27"/>
      <c r="AM4" s="27"/>
      <c r="AN4" s="27"/>
      <c r="AO4" s="27"/>
      <c r="AP4" s="27"/>
      <c r="AQ4" s="27"/>
      <c r="AR4" s="27"/>
      <c r="AS4" s="27"/>
      <c r="AW4" s="28"/>
    </row>
    <row r="5" spans="1:49" s="26" customFormat="1" ht="14.25" hidden="1" customHeight="1" outlineLevel="1">
      <c r="A5" s="22"/>
      <c r="B5" s="22"/>
      <c r="C5" s="22"/>
      <c r="D5" s="22"/>
      <c r="E5" s="22"/>
      <c r="F5" s="23"/>
      <c r="G5" s="35"/>
      <c r="H5" s="32" t="str">
        <f>_xll.DBR(Server&amp;"z_Admin_Param","PHASE_LTP","STR_VAR1")</f>
        <v>LTP_2025_VC</v>
      </c>
      <c r="I5" s="36"/>
      <c r="J5" s="37"/>
      <c r="K5" s="38"/>
      <c r="L5" s="38"/>
      <c r="M5" s="38"/>
      <c r="N5" s="38"/>
      <c r="O5" s="38"/>
      <c r="P5" s="38"/>
      <c r="Q5" s="84"/>
      <c r="R5" s="84"/>
      <c r="S5" s="36"/>
      <c r="T5" s="37"/>
      <c r="U5" s="38"/>
      <c r="V5" s="38"/>
      <c r="W5" s="38"/>
      <c r="X5" s="38"/>
      <c r="Y5" s="38"/>
      <c r="Z5" s="38"/>
      <c r="AA5" s="84"/>
      <c r="AB5" s="84"/>
      <c r="AC5" s="84"/>
      <c r="AD5" s="84"/>
      <c r="AE5" s="84"/>
      <c r="AF5" s="84"/>
      <c r="AG5" s="84"/>
      <c r="AH5" s="38"/>
      <c r="AI5" s="38"/>
      <c r="AJ5" s="45"/>
      <c r="AK5" s="27"/>
      <c r="AL5" s="27"/>
      <c r="AM5" s="27"/>
      <c r="AN5" s="27"/>
      <c r="AO5" s="27"/>
      <c r="AP5" s="27"/>
      <c r="AQ5" s="27"/>
      <c r="AR5" s="27"/>
      <c r="AS5" s="27"/>
      <c r="AW5" s="28"/>
    </row>
    <row r="6" spans="1:49" s="26" customFormat="1" ht="9.75" hidden="1" customHeight="1" outlineLevel="1">
      <c r="A6" s="22"/>
      <c r="B6" s="22"/>
      <c r="C6" s="22"/>
      <c r="D6" s="22"/>
      <c r="E6" s="22"/>
      <c r="F6" s="23"/>
      <c r="G6" s="35"/>
      <c r="H6" s="32"/>
      <c r="I6" s="36"/>
      <c r="J6" s="37"/>
      <c r="K6" s="38"/>
      <c r="L6" s="38"/>
      <c r="M6" s="38"/>
      <c r="N6" s="38"/>
      <c r="O6" s="38"/>
      <c r="P6" s="38"/>
      <c r="Q6" s="84"/>
      <c r="R6" s="84"/>
      <c r="S6" s="36"/>
      <c r="T6" s="37"/>
      <c r="U6" s="38"/>
      <c r="V6" s="38"/>
      <c r="W6" s="38"/>
      <c r="X6" s="38"/>
      <c r="Y6" s="38"/>
      <c r="Z6" s="38"/>
      <c r="AA6" s="84"/>
      <c r="AB6" s="84"/>
      <c r="AC6" s="84"/>
      <c r="AD6" s="84"/>
      <c r="AE6" s="84"/>
      <c r="AF6" s="84"/>
      <c r="AG6" s="84"/>
      <c r="AH6" s="38"/>
      <c r="AI6" s="38"/>
      <c r="AJ6" s="45"/>
      <c r="AK6" s="27"/>
      <c r="AL6" s="27"/>
      <c r="AM6" s="27"/>
      <c r="AN6" s="27"/>
      <c r="AO6" s="27"/>
      <c r="AP6" s="27"/>
      <c r="AQ6" s="27"/>
      <c r="AR6" s="27"/>
      <c r="AS6" s="27"/>
      <c r="AW6" s="28"/>
    </row>
    <row r="7" spans="1:49" s="26" customFormat="1" ht="23.5" collapsed="1">
      <c r="A7" s="22"/>
      <c r="B7" s="22"/>
      <c r="C7" s="22"/>
      <c r="D7" s="22"/>
      <c r="E7" s="22"/>
      <c r="F7" s="23"/>
      <c r="G7" s="35"/>
      <c r="H7" s="32"/>
      <c r="I7" s="36"/>
      <c r="J7" s="37"/>
      <c r="K7" s="38"/>
      <c r="L7" s="38"/>
      <c r="M7" s="38"/>
      <c r="N7" s="38"/>
      <c r="O7" s="38"/>
      <c r="P7" s="38"/>
      <c r="Q7" s="84"/>
      <c r="R7" s="84"/>
      <c r="S7" s="36"/>
      <c r="T7" s="37"/>
      <c r="U7" s="38"/>
      <c r="V7" s="38"/>
      <c r="W7" s="38"/>
      <c r="X7" s="38"/>
      <c r="Y7" s="38"/>
      <c r="Z7" s="38"/>
      <c r="AA7" s="84"/>
      <c r="AB7" s="84"/>
      <c r="AC7" s="84"/>
      <c r="AD7" s="84"/>
      <c r="AE7" s="84"/>
      <c r="AF7" s="84"/>
      <c r="AG7" s="84"/>
      <c r="AH7" s="38"/>
      <c r="AI7" s="38"/>
      <c r="AJ7" s="45"/>
      <c r="AK7" s="27"/>
      <c r="AL7" s="27"/>
      <c r="AM7" s="27"/>
      <c r="AN7" s="27"/>
      <c r="AO7" s="27"/>
      <c r="AP7" s="27"/>
      <c r="AQ7" s="27"/>
      <c r="AR7" s="27"/>
      <c r="AS7" s="27"/>
      <c r="AW7" s="28"/>
    </row>
    <row r="8" spans="1:49" s="26" customFormat="1" ht="39.75" customHeight="1">
      <c r="A8" s="22"/>
      <c r="B8" s="22"/>
      <c r="C8" s="22"/>
      <c r="D8" s="22"/>
      <c r="E8" s="22"/>
      <c r="F8" s="23"/>
      <c r="G8" s="191" t="str">
        <f>H13</f>
        <v>Total - Long Term Plan</v>
      </c>
      <c r="H8" s="191"/>
      <c r="I8" s="191"/>
      <c r="J8" s="191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45"/>
      <c r="AK8" s="27"/>
      <c r="AL8" s="27"/>
      <c r="AM8" s="27"/>
      <c r="AN8" s="27"/>
      <c r="AO8" s="27"/>
      <c r="AP8" s="27"/>
      <c r="AQ8" s="27"/>
      <c r="AR8" s="27"/>
      <c r="AS8" s="27"/>
      <c r="AW8" s="28"/>
    </row>
    <row r="9" spans="1:49" s="26" customFormat="1" ht="39.75" customHeight="1">
      <c r="A9" s="22"/>
      <c r="B9" s="22"/>
      <c r="C9" s="22"/>
      <c r="D9" s="22"/>
      <c r="E9" s="22"/>
      <c r="F9" s="23"/>
      <c r="G9" s="192" t="str">
        <f>$H$14&amp;" - "&amp;$H$15&amp;" - "&amp;$H$16&amp;" - "&amp;$H$17</f>
        <v>TRANSDEV All - All activity - W_APP - MEUR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45"/>
      <c r="AK9" s="27"/>
      <c r="AL9" s="27"/>
      <c r="AM9" s="27"/>
      <c r="AN9" s="27"/>
      <c r="AO9" s="27"/>
      <c r="AP9" s="27"/>
      <c r="AQ9" s="27"/>
      <c r="AR9" s="27"/>
      <c r="AS9" s="27"/>
      <c r="AW9" s="28"/>
    </row>
    <row r="10" spans="1:49" s="26" customFormat="1" ht="39.75" customHeight="1">
      <c r="A10" s="22"/>
      <c r="B10" s="22"/>
      <c r="C10" s="22"/>
      <c r="D10" s="22"/>
      <c r="E10" s="22"/>
      <c r="F10" s="23"/>
      <c r="G10" s="193" t="str">
        <f>I20&amp;"  vs  "&amp;S20</f>
        <v>LTP_2021_VC  vs  LTP_2019_V9_V14_V3</v>
      </c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  <c r="AF10" s="193"/>
      <c r="AG10" s="193"/>
      <c r="AH10" s="193"/>
      <c r="AI10" s="193"/>
      <c r="AJ10" s="45"/>
      <c r="AK10" s="27"/>
      <c r="AL10" s="27"/>
      <c r="AM10" s="27"/>
      <c r="AN10" s="27"/>
      <c r="AO10" s="27"/>
      <c r="AP10" s="27"/>
      <c r="AQ10" s="27"/>
      <c r="AR10" s="27"/>
      <c r="AS10" s="27"/>
      <c r="AW10" s="28"/>
    </row>
    <row r="11" spans="1:49" s="26" customFormat="1" ht="21" customHeight="1">
      <c r="A11" s="22"/>
      <c r="B11" s="22"/>
      <c r="C11" s="22"/>
      <c r="D11" s="22"/>
      <c r="E11" s="22"/>
      <c r="F11" s="23"/>
      <c r="G11" s="35"/>
      <c r="H11" s="32"/>
      <c r="I11" s="36"/>
      <c r="J11" s="37"/>
      <c r="K11" s="38"/>
      <c r="L11" s="38"/>
      <c r="M11" s="38"/>
      <c r="N11" s="38"/>
      <c r="O11" s="38"/>
      <c r="P11" s="38"/>
      <c r="Q11" s="84"/>
      <c r="R11" s="84"/>
      <c r="S11" s="36"/>
      <c r="T11" s="37"/>
      <c r="U11" s="38"/>
      <c r="V11" s="38"/>
      <c r="W11" s="38"/>
      <c r="X11" s="38"/>
      <c r="Y11" s="38"/>
      <c r="Z11" s="38"/>
      <c r="AA11" s="84"/>
      <c r="AB11" s="84"/>
      <c r="AC11" s="84"/>
      <c r="AD11" s="84"/>
      <c r="AE11" s="84"/>
      <c r="AF11" s="84"/>
      <c r="AG11" s="84"/>
      <c r="AH11" s="38"/>
      <c r="AI11" s="38"/>
      <c r="AJ11" s="45"/>
      <c r="AK11" s="27"/>
      <c r="AL11" s="27"/>
      <c r="AM11" s="27"/>
      <c r="AN11" s="27"/>
      <c r="AO11" s="27"/>
      <c r="AP11" s="27"/>
      <c r="AQ11" s="27"/>
      <c r="AR11" s="27"/>
      <c r="AS11" s="27"/>
      <c r="AW11" s="28"/>
    </row>
    <row r="12" spans="1:49" s="26" customFormat="1" ht="21" customHeight="1">
      <c r="A12" s="22"/>
      <c r="B12" s="22"/>
      <c r="C12" s="22"/>
      <c r="D12" s="22"/>
      <c r="E12" s="22"/>
      <c r="F12" s="23"/>
      <c r="G12" s="39" t="str">
        <f>_xll.DBRA(Server&amp;$AL$25,$AL29,$H$18)</f>
        <v>Phase</v>
      </c>
      <c r="H12" s="40" t="str">
        <f>_xll.SUBNM(Server&amp;"Phase","LTP_Current","LTP_2021_VC")</f>
        <v>LTP_2021_VC</v>
      </c>
      <c r="I12" s="36"/>
      <c r="J12" s="37"/>
      <c r="K12" s="38"/>
      <c r="L12" s="38"/>
      <c r="M12" s="38"/>
      <c r="N12" s="38"/>
      <c r="O12" s="38"/>
      <c r="P12" s="38"/>
      <c r="Q12" s="84"/>
      <c r="R12" s="84"/>
      <c r="S12" s="194" t="str">
        <f>_xll.DBRA(Server&amp;$AL$25,$AL29,$H$18)</f>
        <v>Phase</v>
      </c>
      <c r="T12" s="195"/>
      <c r="U12" s="196" t="str">
        <f>_xll.SUBNM(Server&amp;"Phase","LTP_Phase_LAST_YEAR","LTP_2019_V9_V14_V3")</f>
        <v>LTP_2019_V9_V14_V3</v>
      </c>
      <c r="V12" s="197"/>
      <c r="W12" s="38"/>
      <c r="X12" s="38"/>
      <c r="Y12" s="38"/>
      <c r="Z12" s="38"/>
      <c r="AA12" s="84"/>
      <c r="AB12" s="84"/>
      <c r="AC12" s="84"/>
      <c r="AD12" s="84"/>
      <c r="AE12" s="84"/>
      <c r="AF12" s="84"/>
      <c r="AG12" s="84"/>
      <c r="AH12" s="38"/>
      <c r="AI12" s="38"/>
      <c r="AJ12" s="45"/>
      <c r="AK12" s="27"/>
      <c r="AL12" s="27"/>
      <c r="AM12" s="27"/>
      <c r="AN12" s="27"/>
      <c r="AO12" s="27"/>
      <c r="AP12" s="27"/>
      <c r="AQ12" s="27"/>
      <c r="AR12" s="27"/>
      <c r="AS12" s="27"/>
      <c r="AW12" s="28"/>
    </row>
    <row r="13" spans="1:49" s="26" customFormat="1" ht="23.5">
      <c r="A13" s="22"/>
      <c r="B13" s="22"/>
      <c r="C13" s="22"/>
      <c r="D13" s="22"/>
      <c r="E13" s="22"/>
      <c r="F13" s="23"/>
      <c r="G13" s="39" t="str">
        <f>_xll.DBRA(Server&amp;$AL$25,$AL30,$H$18)</f>
        <v>LTP component</v>
      </c>
      <c r="H13" s="40" t="str">
        <f>_xll.SUBNM(Server&amp;"LTP_Components","",$AN$29,$H$18)</f>
        <v>Total - Long Term Plan</v>
      </c>
      <c r="I13" s="37"/>
      <c r="J13" s="37"/>
      <c r="K13" s="38"/>
      <c r="L13" s="179"/>
      <c r="M13" s="37"/>
      <c r="N13" s="38"/>
      <c r="O13" s="38"/>
      <c r="P13" s="38"/>
      <c r="Q13" s="84"/>
      <c r="R13" s="84"/>
      <c r="S13" s="194" t="str">
        <f>_xll.DBRA(Server&amp;$AL$25,$AL30,$H$18)</f>
        <v>LTP component</v>
      </c>
      <c r="T13" s="195"/>
      <c r="U13" s="196" t="str">
        <f>_xll.SUBNM(Server&amp;"LTP_Components","",$AN$29,$H$18)</f>
        <v>Total - Long Term Plan</v>
      </c>
      <c r="V13" s="197"/>
      <c r="W13" s="37"/>
      <c r="X13" s="38"/>
      <c r="Y13" s="38"/>
      <c r="Z13" s="38"/>
      <c r="AA13" s="84"/>
      <c r="AB13" s="84"/>
      <c r="AC13" s="84"/>
      <c r="AD13" s="84"/>
      <c r="AE13" s="84"/>
      <c r="AF13" s="84"/>
      <c r="AG13" s="84"/>
      <c r="AH13" s="38"/>
      <c r="AI13" s="38"/>
      <c r="AJ13" s="45"/>
      <c r="AK13" s="27"/>
      <c r="AL13" s="27"/>
      <c r="AM13" s="27"/>
      <c r="AN13" s="27"/>
      <c r="AO13" s="27"/>
      <c r="AP13" s="27"/>
      <c r="AQ13" s="27"/>
      <c r="AR13" s="27"/>
      <c r="AS13" s="27"/>
      <c r="AW13" s="28"/>
    </row>
    <row r="14" spans="1:49" s="26" customFormat="1" ht="23.5">
      <c r="A14" s="22"/>
      <c r="B14" s="22"/>
      <c r="C14" s="22"/>
      <c r="D14" s="22"/>
      <c r="E14" s="22"/>
      <c r="F14" s="23"/>
      <c r="G14" s="39" t="str">
        <f>_xll.DBRA(Server&amp;$AL$25,$AL$31,$H$18)</f>
        <v>Legal organization</v>
      </c>
      <c r="H14" s="40" t="str">
        <f>_xll.SUBNM(Server&amp;"Legal_Organization","",_xll.DBR(Server&amp;"z_Client_Properties","Default_Legal_Organization",_xll.TM1USER(xServer)),"Code_Name")</f>
        <v>TRANSDEV All</v>
      </c>
      <c r="I14" s="37"/>
      <c r="J14" s="37"/>
      <c r="K14" s="38"/>
      <c r="L14" s="180"/>
      <c r="M14" s="87" t="s">
        <v>8</v>
      </c>
      <c r="N14" s="38"/>
      <c r="O14" s="38"/>
      <c r="P14" s="38"/>
      <c r="Q14" s="84"/>
      <c r="R14" s="84"/>
      <c r="S14" s="194" t="str">
        <f>_xll.DBRA(Server&amp;$AL$25,$AL$31,$H$18)</f>
        <v>Legal organization</v>
      </c>
      <c r="T14" s="195"/>
      <c r="U14" s="40" t="str">
        <f>_xll.SUBNM(Server&amp;"Legal_Organization","",_xll.DBR(Server&amp;"z_Client_Properties","Default_Legal_Organization",_xll.TM1USER(xServer)),"Code_Name")</f>
        <v>TRANSDEV All</v>
      </c>
      <c r="V14" s="180"/>
      <c r="W14" s="87" t="s">
        <v>8</v>
      </c>
      <c r="X14" s="38"/>
      <c r="Y14" s="38"/>
      <c r="Z14" s="38"/>
      <c r="AA14" s="84"/>
      <c r="AB14" s="84"/>
      <c r="AC14" s="84"/>
      <c r="AD14" s="185"/>
      <c r="AE14" s="84"/>
      <c r="AF14" s="84"/>
      <c r="AG14" s="84"/>
      <c r="AH14" s="38"/>
      <c r="AI14" s="38"/>
      <c r="AJ14" s="45"/>
      <c r="AK14" s="27"/>
      <c r="AL14" s="27"/>
      <c r="AM14" s="27"/>
      <c r="AN14" s="27"/>
      <c r="AO14" s="27"/>
      <c r="AP14" s="27"/>
      <c r="AQ14" s="27"/>
      <c r="AR14" s="27"/>
      <c r="AS14" s="27"/>
      <c r="AW14" s="28"/>
    </row>
    <row r="15" spans="1:49" s="26" customFormat="1" ht="23.5">
      <c r="A15" s="22"/>
      <c r="B15" s="22"/>
      <c r="C15" s="22"/>
      <c r="D15" s="22"/>
      <c r="E15" s="22"/>
      <c r="F15" s="23"/>
      <c r="G15" s="39" t="str">
        <f>_xll.DBRA(Server&amp;$AL$25,$AL$36,$H$18)</f>
        <v>Activity</v>
      </c>
      <c r="H15" s="40" t="s">
        <v>124</v>
      </c>
      <c r="I15" s="37"/>
      <c r="J15" s="37"/>
      <c r="K15" s="38"/>
      <c r="L15" s="180"/>
      <c r="M15" s="38"/>
      <c r="N15" s="38"/>
      <c r="O15" s="38"/>
      <c r="P15" s="38"/>
      <c r="Q15" s="84"/>
      <c r="R15" s="84"/>
      <c r="S15" s="194" t="str">
        <f>_xll.DBRA(Server&amp;$AL$25,$AL$36,$H$18)</f>
        <v>Activity</v>
      </c>
      <c r="T15" s="195"/>
      <c r="U15" s="40" t="s">
        <v>124</v>
      </c>
      <c r="V15" s="180"/>
      <c r="W15" s="38"/>
      <c r="X15" s="38"/>
      <c r="Y15" s="38"/>
      <c r="Z15" s="38"/>
      <c r="AA15" s="84"/>
      <c r="AB15" s="84"/>
      <c r="AC15" s="84"/>
      <c r="AD15" s="84"/>
      <c r="AE15" s="84"/>
      <c r="AF15" s="84"/>
      <c r="AG15" s="84"/>
      <c r="AH15" s="38"/>
      <c r="AI15" s="38"/>
      <c r="AJ15" s="45"/>
      <c r="AK15" s="27"/>
      <c r="AL15" s="27"/>
      <c r="AM15" s="27"/>
      <c r="AN15" s="27"/>
      <c r="AO15" s="27"/>
      <c r="AP15" s="27"/>
      <c r="AQ15" s="27"/>
      <c r="AR15" s="27"/>
      <c r="AS15" s="27"/>
      <c r="AW15" s="28"/>
    </row>
    <row r="16" spans="1:49" s="26" customFormat="1" ht="23.5">
      <c r="A16" s="22"/>
      <c r="B16" s="22"/>
      <c r="C16" s="22"/>
      <c r="D16" s="22"/>
      <c r="E16" s="22"/>
      <c r="F16" s="23"/>
      <c r="G16" s="39" t="str">
        <f>_xll.DBRA(Server&amp;$AL$25,$AL$32,$H$18)</f>
        <v>Weighting</v>
      </c>
      <c r="H16" s="40" t="str">
        <f>IF(MID(H12,5,4)&gt;"2020",_xll.SUBNM(Server&amp;"Weighting","","W_APP"),_xll.SUBNM(Server&amp;"Weighting","","W_NO_APP"))</f>
        <v>W_APP</v>
      </c>
      <c r="I16" s="36"/>
      <c r="J16" s="37"/>
      <c r="K16" s="38"/>
      <c r="L16" s="179"/>
      <c r="M16" s="37"/>
      <c r="N16" s="38"/>
      <c r="O16" s="38"/>
      <c r="P16" s="38"/>
      <c r="Q16" s="84"/>
      <c r="R16" s="84"/>
      <c r="S16" s="194" t="str">
        <f>_xll.DBRA(Server&amp;$AL$25,$AL$32,$H$18)</f>
        <v>Weighting</v>
      </c>
      <c r="T16" s="195"/>
      <c r="U16" s="40" t="str">
        <f>IF(MID(U12,5,4)&gt;"2020",_xll.SUBNM(Server&amp;"Weighting","","W_APP"),_xll.SUBNM(Server&amp;"Weighting","","W_NO_APP"))</f>
        <v>W_NO_APP</v>
      </c>
      <c r="V16" s="179"/>
      <c r="W16" s="37"/>
      <c r="X16" s="38"/>
      <c r="Y16" s="38"/>
      <c r="Z16" s="38"/>
      <c r="AA16" s="84"/>
      <c r="AB16" s="84"/>
      <c r="AC16" s="84"/>
      <c r="AD16" s="84"/>
      <c r="AE16" s="84"/>
      <c r="AF16" s="84"/>
      <c r="AG16" s="84"/>
      <c r="AH16" s="38"/>
      <c r="AI16" s="38"/>
      <c r="AJ16" s="45"/>
      <c r="AK16" s="27"/>
      <c r="AL16" s="27"/>
      <c r="AM16" s="27"/>
      <c r="AN16" s="27"/>
      <c r="AO16" s="27"/>
      <c r="AP16" s="27"/>
      <c r="AQ16" s="27"/>
      <c r="AR16" s="27"/>
      <c r="AS16" s="27"/>
      <c r="AW16" s="28"/>
    </row>
    <row r="17" spans="1:50" s="26" customFormat="1" ht="23.5">
      <c r="A17" s="22"/>
      <c r="B17" s="22"/>
      <c r="C17" s="22"/>
      <c r="D17" s="22"/>
      <c r="E17" s="22"/>
      <c r="F17" s="23"/>
      <c r="G17" s="39" t="str">
        <f>_xll.DBRA(Server&amp;$AL$25,$AL37,$H$18)</f>
        <v>Currency</v>
      </c>
      <c r="H17" s="40" t="str">
        <f>_xll.SUBNM(Server&amp;"Currency","","MEUR")</f>
        <v>MEUR</v>
      </c>
      <c r="I17" s="36"/>
      <c r="J17" s="37"/>
      <c r="K17" s="38"/>
      <c r="L17" s="38"/>
      <c r="M17" s="38"/>
      <c r="N17" s="38"/>
      <c r="O17" s="38"/>
      <c r="P17" s="38"/>
      <c r="Q17" s="84"/>
      <c r="R17" s="84"/>
      <c r="S17" s="36"/>
      <c r="U17" s="37"/>
      <c r="V17" s="38"/>
      <c r="W17" s="38"/>
      <c r="X17" s="38"/>
      <c r="Y17" s="38"/>
      <c r="Z17" s="38"/>
      <c r="AA17" s="84"/>
      <c r="AB17" s="84"/>
      <c r="AC17" s="84"/>
      <c r="AD17" s="84"/>
      <c r="AE17" s="84"/>
      <c r="AF17" s="84"/>
      <c r="AG17" s="84"/>
      <c r="AH17" s="38"/>
      <c r="AI17" s="38"/>
      <c r="AJ17" s="45"/>
      <c r="AK17" s="27"/>
      <c r="AL17" s="27"/>
      <c r="AM17" s="27"/>
      <c r="AN17" s="27"/>
      <c r="AO17" s="27"/>
      <c r="AP17" s="27"/>
      <c r="AQ17" s="27"/>
      <c r="AR17" s="27"/>
      <c r="AS17" s="27"/>
      <c r="AW17" s="28"/>
    </row>
    <row r="18" spans="1:50" s="26" customFormat="1" ht="23.5">
      <c r="A18" s="22"/>
      <c r="B18" s="22"/>
      <c r="C18" s="22"/>
      <c r="D18" s="22"/>
      <c r="E18" s="22"/>
      <c r="F18" s="23"/>
      <c r="G18" s="39" t="str">
        <f>_xll.DBRA(Server&amp;$AL$25,$AL$38,$H$18)</f>
        <v>Language</v>
      </c>
      <c r="H18" s="41" t="s">
        <v>100</v>
      </c>
      <c r="I18" s="36"/>
      <c r="J18" s="37"/>
      <c r="K18" s="38"/>
      <c r="L18" s="38"/>
      <c r="M18" s="38"/>
      <c r="N18" s="38"/>
      <c r="O18" s="38"/>
      <c r="P18" s="38"/>
      <c r="Q18" s="84"/>
      <c r="R18" s="84"/>
      <c r="S18" s="36"/>
      <c r="T18" s="37"/>
      <c r="U18" s="38"/>
      <c r="V18" s="38"/>
      <c r="W18" s="38"/>
      <c r="X18" s="38"/>
      <c r="Y18" s="38"/>
      <c r="Z18" s="38"/>
      <c r="AA18" s="84"/>
      <c r="AB18" s="84"/>
      <c r="AC18" s="84"/>
      <c r="AD18" s="84"/>
      <c r="AE18" s="84"/>
      <c r="AF18" s="84"/>
      <c r="AG18" s="84"/>
      <c r="AH18" s="38"/>
      <c r="AI18" s="38"/>
      <c r="AJ18" s="45"/>
      <c r="AK18" s="27"/>
      <c r="AL18" s="27"/>
      <c r="AM18" s="27"/>
      <c r="AN18" s="27"/>
      <c r="AO18" s="27"/>
      <c r="AP18" s="27"/>
      <c r="AQ18" s="27"/>
      <c r="AR18" s="27"/>
      <c r="AS18" s="27"/>
      <c r="AW18" s="28"/>
    </row>
    <row r="19" spans="1:50" ht="29.25" customHeight="1">
      <c r="A19" s="42"/>
      <c r="B19" s="42"/>
      <c r="C19" s="42"/>
      <c r="D19" s="42"/>
      <c r="F19" s="23"/>
    </row>
    <row r="20" spans="1:50" ht="34.5" customHeight="1">
      <c r="A20" s="42"/>
      <c r="B20" s="42"/>
      <c r="C20" s="42"/>
      <c r="D20" s="42"/>
      <c r="G20" s="183"/>
      <c r="H20" s="183"/>
      <c r="I20" s="190" t="str">
        <f>H12</f>
        <v>LTP_2021_VC</v>
      </c>
      <c r="J20" s="190"/>
      <c r="K20" s="190"/>
      <c r="L20" s="190"/>
      <c r="M20" s="190"/>
      <c r="N20" s="190"/>
      <c r="O20" s="190"/>
      <c r="P20" s="190"/>
      <c r="Q20" s="86"/>
      <c r="R20" s="86"/>
      <c r="S20" s="190" t="str">
        <f>U12</f>
        <v>LTP_2019_V9_V14_V3</v>
      </c>
      <c r="T20" s="190"/>
      <c r="U20" s="190"/>
      <c r="V20" s="190"/>
      <c r="W20" s="190"/>
      <c r="X20" s="190"/>
      <c r="Y20" s="190"/>
      <c r="Z20" s="190"/>
      <c r="AA20" s="86"/>
      <c r="AB20" s="190" t="str">
        <f>I20&amp;"  vs  "&amp;S20</f>
        <v>LTP_2021_VC  vs  LTP_2019_V9_V14_V3</v>
      </c>
      <c r="AC20" s="190"/>
      <c r="AD20" s="190"/>
      <c r="AE20" s="190"/>
      <c r="AF20" s="190"/>
      <c r="AG20" s="190"/>
      <c r="AH20" s="190"/>
      <c r="AI20" s="190"/>
      <c r="AT20" s="26"/>
    </row>
    <row r="21" spans="1:50" s="126" customFormat="1" ht="27.75" customHeight="1">
      <c r="A21" s="121" t="s">
        <v>59</v>
      </c>
      <c r="B21" s="121"/>
      <c r="C21" s="121"/>
      <c r="D21" s="121">
        <v>1</v>
      </c>
      <c r="E21" s="122"/>
      <c r="F21" s="123"/>
      <c r="G21" s="205" t="str">
        <f>_xll.DBRA(Server&amp;$AL$25,$AL$50,$H$18)</f>
        <v>I - P&amp;L INDICATORS</v>
      </c>
      <c r="H21" s="205"/>
      <c r="I21" s="128" t="str">
        <f t="shared" ref="I21:P21" si="0">I4&amp;" "&amp;I3</f>
        <v xml:space="preserve"> 2020</v>
      </c>
      <c r="J21" s="128" t="str">
        <f t="shared" si="0"/>
        <v xml:space="preserve"> 2021</v>
      </c>
      <c r="K21" s="128" t="str">
        <f t="shared" si="0"/>
        <v xml:space="preserve"> 2022</v>
      </c>
      <c r="L21" s="128" t="str">
        <f t="shared" si="0"/>
        <v xml:space="preserve"> 2023</v>
      </c>
      <c r="M21" s="128" t="str">
        <f t="shared" si="0"/>
        <v xml:space="preserve"> 2024</v>
      </c>
      <c r="N21" s="128" t="str">
        <f t="shared" si="0"/>
        <v xml:space="preserve"> 2025</v>
      </c>
      <c r="O21" s="128" t="str">
        <f t="shared" si="0"/>
        <v xml:space="preserve"> 2026</v>
      </c>
      <c r="P21" s="128" t="str">
        <f t="shared" si="0"/>
        <v xml:space="preserve"> 2027</v>
      </c>
      <c r="Q21" s="129"/>
      <c r="R21" s="129"/>
      <c r="S21" s="128" t="str">
        <f t="shared" ref="S21:Z21" si="1">S4&amp;" "&amp;S3</f>
        <v xml:space="preserve"> 2018</v>
      </c>
      <c r="T21" s="128" t="str">
        <f t="shared" si="1"/>
        <v xml:space="preserve"> 2019</v>
      </c>
      <c r="U21" s="128" t="str">
        <f t="shared" si="1"/>
        <v xml:space="preserve"> 2020</v>
      </c>
      <c r="V21" s="128" t="str">
        <f t="shared" si="1"/>
        <v xml:space="preserve"> 2021</v>
      </c>
      <c r="W21" s="128" t="str">
        <f t="shared" si="1"/>
        <v xml:space="preserve"> 2022</v>
      </c>
      <c r="X21" s="128" t="str">
        <f t="shared" si="1"/>
        <v xml:space="preserve"> 2023</v>
      </c>
      <c r="Y21" s="128" t="str">
        <f t="shared" si="1"/>
        <v xml:space="preserve"> 2024</v>
      </c>
      <c r="Z21" s="128" t="str">
        <f t="shared" si="1"/>
        <v xml:space="preserve"> 2025</v>
      </c>
      <c r="AA21" s="129"/>
      <c r="AB21" s="128" t="str">
        <f>_xll.DBRA(Server&amp;$G$2,I$3,$H$18)</f>
        <v>2020</v>
      </c>
      <c r="AC21" s="128" t="str">
        <f>_xll.DBRA(Server&amp;$G$2,J$3,$H$18)</f>
        <v>2021</v>
      </c>
      <c r="AD21" s="128" t="str">
        <f>_xll.DBRA(Server&amp;$G$2,K$3,$H$18)</f>
        <v>2022</v>
      </c>
      <c r="AE21" s="128" t="str">
        <f>_xll.DBRA(Server&amp;$G$2,L$3,$H$18)</f>
        <v>2023</v>
      </c>
      <c r="AF21" s="128" t="str">
        <f>_xll.DBRA(Server&amp;$G$2,M$3,$H$18)</f>
        <v>2024</v>
      </c>
      <c r="AG21" s="128" t="str">
        <f>_xll.DBRA(Server&amp;$G$2,N$3,$H$18)</f>
        <v>2025</v>
      </c>
      <c r="AH21" s="128" t="str">
        <f>_xll.DBRA(Server&amp;$G$2,O$3,$H$18)</f>
        <v>2026</v>
      </c>
      <c r="AI21" s="128" t="str">
        <f>_xll.DBRA(Server&amp;$G$2,P$3,$H$18)</f>
        <v>2027</v>
      </c>
      <c r="AK21" s="168"/>
      <c r="AL21" s="168"/>
      <c r="AM21" s="168"/>
      <c r="AN21" s="168"/>
      <c r="AO21" s="168"/>
      <c r="AP21" s="168"/>
      <c r="AQ21" s="168"/>
      <c r="AR21" s="168"/>
      <c r="AS21" s="124"/>
      <c r="AT21" s="125"/>
      <c r="AW21" s="127"/>
    </row>
    <row r="22" spans="1:50" s="126" customFormat="1" ht="27.75" hidden="1" customHeight="1">
      <c r="A22" s="121"/>
      <c r="B22" s="121"/>
      <c r="C22" s="121"/>
      <c r="D22" s="121"/>
      <c r="E22" s="122"/>
      <c r="F22" s="123"/>
      <c r="G22" s="181"/>
      <c r="H22" s="181"/>
      <c r="I22" s="128" t="str">
        <f>I3</f>
        <v>2020</v>
      </c>
      <c r="J22" s="128" t="str">
        <f t="shared" ref="J22:P22" si="2">J3</f>
        <v>2021</v>
      </c>
      <c r="K22" s="128" t="str">
        <f t="shared" si="2"/>
        <v>2022</v>
      </c>
      <c r="L22" s="128" t="str">
        <f t="shared" si="2"/>
        <v>2023</v>
      </c>
      <c r="M22" s="128" t="str">
        <f t="shared" si="2"/>
        <v>2024</v>
      </c>
      <c r="N22" s="128" t="str">
        <f t="shared" si="2"/>
        <v>2025</v>
      </c>
      <c r="O22" s="128" t="str">
        <f t="shared" si="2"/>
        <v>2026</v>
      </c>
      <c r="P22" s="128" t="str">
        <f t="shared" si="2"/>
        <v>2027</v>
      </c>
      <c r="Q22" s="129"/>
      <c r="R22" s="129"/>
      <c r="S22" s="128" t="str">
        <f>S3</f>
        <v>2018</v>
      </c>
      <c r="T22" s="128" t="str">
        <f t="shared" ref="T22:Z22" si="3">T3</f>
        <v>2019</v>
      </c>
      <c r="U22" s="128" t="str">
        <f t="shared" si="3"/>
        <v>2020</v>
      </c>
      <c r="V22" s="128" t="str">
        <f t="shared" si="3"/>
        <v>2021</v>
      </c>
      <c r="W22" s="128" t="str">
        <f t="shared" si="3"/>
        <v>2022</v>
      </c>
      <c r="X22" s="128" t="str">
        <f t="shared" si="3"/>
        <v>2023</v>
      </c>
      <c r="Y22" s="128" t="str">
        <f t="shared" si="3"/>
        <v>2024</v>
      </c>
      <c r="Z22" s="128" t="str">
        <f t="shared" si="3"/>
        <v>2025</v>
      </c>
      <c r="AA22" s="129"/>
      <c r="AB22" s="128"/>
      <c r="AC22" s="128"/>
      <c r="AD22" s="128"/>
      <c r="AE22" s="128"/>
      <c r="AF22" s="128"/>
      <c r="AG22" s="128"/>
      <c r="AH22" s="128"/>
      <c r="AI22" s="128"/>
      <c r="AK22" s="168"/>
      <c r="AL22" s="168"/>
      <c r="AM22" s="168"/>
      <c r="AN22" s="168"/>
      <c r="AO22" s="168"/>
      <c r="AP22" s="168"/>
      <c r="AQ22" s="168"/>
      <c r="AR22" s="168"/>
      <c r="AS22" s="124"/>
      <c r="AT22" s="125"/>
      <c r="AW22" s="127"/>
    </row>
    <row r="23" spans="1:50" ht="8.25" customHeight="1" thickBot="1">
      <c r="B23" s="42"/>
      <c r="C23" s="42"/>
      <c r="D23" s="42">
        <v>2</v>
      </c>
      <c r="G23" s="130"/>
      <c r="H23" s="131"/>
      <c r="I23" s="132"/>
      <c r="J23" s="132"/>
      <c r="K23" s="132"/>
      <c r="L23" s="132"/>
      <c r="M23" s="132"/>
      <c r="N23" s="132"/>
      <c r="O23" s="132"/>
      <c r="P23" s="132"/>
      <c r="Q23" s="129"/>
      <c r="R23" s="129"/>
      <c r="S23" s="132"/>
      <c r="T23" s="132"/>
      <c r="U23" s="132"/>
      <c r="V23" s="132"/>
      <c r="W23" s="132"/>
      <c r="X23" s="132"/>
      <c r="Y23" s="132"/>
      <c r="Z23" s="132"/>
      <c r="AA23" s="129"/>
      <c r="AB23" s="132"/>
      <c r="AC23" s="132"/>
      <c r="AD23" s="132"/>
      <c r="AE23" s="132"/>
      <c r="AF23" s="132"/>
      <c r="AG23" s="132"/>
      <c r="AH23" s="132"/>
      <c r="AI23" s="132"/>
      <c r="AJ23" s="44"/>
      <c r="AK23" s="49"/>
      <c r="AL23" s="51"/>
      <c r="AM23" s="49"/>
      <c r="AN23" s="49"/>
      <c r="AO23" s="49"/>
      <c r="AP23" s="49"/>
      <c r="AQ23" s="49"/>
      <c r="AR23" s="49"/>
      <c r="AS23" s="27"/>
      <c r="AT23" s="26"/>
    </row>
    <row r="24" spans="1:50" ht="21.75" customHeight="1" thickBot="1">
      <c r="A24" s="52" t="s">
        <v>0</v>
      </c>
      <c r="B24" s="42"/>
      <c r="C24" s="42"/>
      <c r="D24" s="42">
        <v>3</v>
      </c>
      <c r="G24" s="201" t="str">
        <f>_xll.DBRA(Server&amp;$A$21,$A24,$H$18)</f>
        <v>Sales of goods and services</v>
      </c>
      <c r="H24" s="202"/>
      <c r="I24" s="133">
        <f>_xll.DBRW($G$3,$H$15,$H$17,$H$13,$H$16,$H$14,I$2,$H$12,$A24)</f>
        <v>0</v>
      </c>
      <c r="J24" s="134">
        <f>_xll.DBRW($G$3,$H$15,$H$17,$H$13,$H$16,$H$14,J$2,$H$12,$A24)</f>
        <v>0</v>
      </c>
      <c r="K24" s="134">
        <f>_xll.DBRW($G$3,$H$15,$H$17,$H$13,$H$16,$H$14,K$2,$H$12,$A24)</f>
        <v>0</v>
      </c>
      <c r="L24" s="134">
        <f>_xll.DBRW($G$3,$H$15,$H$17,$H$13,$H$16,$H$14,L$2,$H$12,$A24)</f>
        <v>0</v>
      </c>
      <c r="M24" s="134">
        <f>_xll.DBRW($G$3,$H$15,$H$17,$H$13,$H$16,$H$14,M$2,$H$12,$A24)</f>
        <v>0</v>
      </c>
      <c r="N24" s="134">
        <f>_xll.DBRW($G$3,$H$15,$H$17,$H$13,$H$16,$H$14,N$2,$H$12,$A24)</f>
        <v>0</v>
      </c>
      <c r="O24" s="134">
        <f>_xll.DBRW($G$3,$H$15,$H$17,$H$13,$H$16,$H$14,O$2,$H$12,$A24)</f>
        <v>0</v>
      </c>
      <c r="P24" s="135">
        <f>_xll.DBRW($G$3,$H$15,$H$17,$H$13,$H$16,$H$14,P$2,$H$12,$A24)</f>
        <v>0</v>
      </c>
      <c r="Q24" s="136"/>
      <c r="R24" s="136"/>
      <c r="S24" s="133">
        <f>_xll.DBRW($G$3,$U$15,$H$17,$U$13,$U$16,$U$14,S$2,$U$12,$A24)</f>
        <v>0</v>
      </c>
      <c r="T24" s="134">
        <f>_xll.DBRW($G$3,$U$15,$H$17,$U$13,$U$16,$U$14,T$2,$U$12,$A24)</f>
        <v>0</v>
      </c>
      <c r="U24" s="134">
        <f>_xll.DBRW($G$3,$U$15,$H$17,$U$13,$U$16,$U$14,U$2,$U$12,$A24)</f>
        <v>0</v>
      </c>
      <c r="V24" s="134">
        <f>_xll.DBRW($G$3,$U$15,$H$17,$U$13,$U$16,$U$14,V$2,$U$12,$A24)</f>
        <v>0</v>
      </c>
      <c r="W24" s="134">
        <f>_xll.DBRW($G$3,$U$15,$H$17,$U$13,$U$16,$U$14,W$2,$U$12,$A24)</f>
        <v>0</v>
      </c>
      <c r="X24" s="134">
        <f>_xll.DBRW($G$3,$U$15,$H$17,$U$13,$U$16,$U$14,X$2,$U$12,$A24)</f>
        <v>0</v>
      </c>
      <c r="Y24" s="134">
        <f>_xll.DBRW($G$3,$U$15,$H$17,$U$13,$U$16,$U$14,Y$2,$U$12,$A24)</f>
        <v>0</v>
      </c>
      <c r="Z24" s="135">
        <f>_xll.DBRW($G$3,$U$15,$H$17,$U$13,$U$16,$U$14,Z$2,$U$12,$A24)</f>
        <v>0</v>
      </c>
      <c r="AA24" s="136"/>
      <c r="AB24" s="133" t="str">
        <f t="shared" ref="AB24:AI33" si="4">IF(OR(AND(IFERROR(HLOOKUP(AB$21,$S$22:$Z$189,$D24,FALSE)=0,"VRAI"),IFERROR(HLOOKUP(AB$21,$I$22:$P$189,$D24,FALSE)=0,"VRAI")),AND(IFERROR(HLOOKUP(AB$21,$S$22:$Z$189,$D24,FALSE)="","VRAI"),IFERROR(HLOOKUP(AB$21,$I$22:$P$188,$D24,FALSE)="","VRAI"))),"",IFERROR(HLOOKUP(AB$21,$I$22:$P$189,$D24,FALSE)-HLOOKUP(AB$21,$S$22:$Z$189,$D24,FALSE),""))</f>
        <v/>
      </c>
      <c r="AC24" s="133" t="str">
        <f t="shared" si="4"/>
        <v/>
      </c>
      <c r="AD24" s="133" t="str">
        <f t="shared" si="4"/>
        <v/>
      </c>
      <c r="AE24" s="133" t="str">
        <f t="shared" si="4"/>
        <v/>
      </c>
      <c r="AF24" s="133" t="str">
        <f t="shared" si="4"/>
        <v/>
      </c>
      <c r="AG24" s="133" t="str">
        <f t="shared" si="4"/>
        <v/>
      </c>
      <c r="AH24" s="133" t="str">
        <f t="shared" si="4"/>
        <v/>
      </c>
      <c r="AI24" s="133" t="str">
        <f t="shared" si="4"/>
        <v/>
      </c>
      <c r="AJ24" s="44"/>
      <c r="AK24" s="49"/>
      <c r="AL24" s="49"/>
      <c r="AM24" s="49"/>
      <c r="AN24" s="49"/>
      <c r="AO24" s="49"/>
      <c r="AP24" s="49"/>
      <c r="AQ24" s="49"/>
      <c r="AR24" s="49"/>
      <c r="AS24" s="27"/>
      <c r="AT24" s="26"/>
      <c r="AU24" s="54"/>
      <c r="AV24" s="54"/>
      <c r="AW24" s="54"/>
      <c r="AX24" s="54"/>
    </row>
    <row r="25" spans="1:50" ht="21.75" customHeight="1" thickBot="1">
      <c r="A25" s="52" t="s">
        <v>1</v>
      </c>
      <c r="B25" s="42"/>
      <c r="C25" s="42"/>
      <c r="D25" s="42">
        <v>4</v>
      </c>
      <c r="G25" s="201" t="str">
        <f>_xll.DBRA(Server&amp;$A$21,$A25,$H$18)</f>
        <v>Revenues from operating financial assets (IFRIC12)</v>
      </c>
      <c r="H25" s="202"/>
      <c r="I25" s="133">
        <f>_xll.DBRW($G$3,$H$15,$H$17,$H$13,$H$16,$H$14,I$2,$H$12,$A25)</f>
        <v>0</v>
      </c>
      <c r="J25" s="134">
        <f>_xll.DBRW($G$3,$H$15,$H$17,$H$13,$H$16,$H$14,J$2,$H$12,$A25)</f>
        <v>0</v>
      </c>
      <c r="K25" s="134">
        <f>_xll.DBRW($G$3,$H$15,$H$17,$H$13,$H$16,$H$14,K$2,$H$12,$A25)</f>
        <v>0</v>
      </c>
      <c r="L25" s="134">
        <f>_xll.DBRW($G$3,$H$15,$H$17,$H$13,$H$16,$H$14,L$2,$H$12,$A25)</f>
        <v>0</v>
      </c>
      <c r="M25" s="134">
        <f>_xll.DBRW($G$3,$H$15,$H$17,$H$13,$H$16,$H$14,M$2,$H$12,$A25)</f>
        <v>0</v>
      </c>
      <c r="N25" s="134">
        <f>_xll.DBRW($G$3,$H$15,$H$17,$H$13,$H$16,$H$14,N$2,$H$12,$A25)</f>
        <v>0</v>
      </c>
      <c r="O25" s="134">
        <f>_xll.DBRW($G$3,$H$15,$H$17,$H$13,$H$16,$H$14,O$2,$H$12,$A25)</f>
        <v>0</v>
      </c>
      <c r="P25" s="135">
        <f>_xll.DBRW($G$3,$H$15,$H$17,$H$13,$H$16,$H$14,P$2,$H$12,$A25)</f>
        <v>0</v>
      </c>
      <c r="Q25" s="136"/>
      <c r="R25" s="136"/>
      <c r="S25" s="133">
        <f>_xll.DBRW($G$3,$U$15,$H$17,$U$13,$U$16,$U$14,S$2,$U$12,$A25)</f>
        <v>0</v>
      </c>
      <c r="T25" s="134">
        <f>_xll.DBRW($G$3,$U$15,$H$17,$U$13,$U$16,$U$14,T$2,$U$12,$A25)</f>
        <v>0</v>
      </c>
      <c r="U25" s="134">
        <f>_xll.DBRW($G$3,$U$15,$H$17,$U$13,$U$16,$U$14,U$2,$U$12,$A25)</f>
        <v>0</v>
      </c>
      <c r="V25" s="134">
        <f>_xll.DBRW($G$3,$U$15,$H$17,$U$13,$U$16,$U$14,V$2,$U$12,$A25)</f>
        <v>0</v>
      </c>
      <c r="W25" s="134">
        <f>_xll.DBRW($G$3,$U$15,$H$17,$U$13,$U$16,$U$14,W$2,$U$12,$A25)</f>
        <v>0</v>
      </c>
      <c r="X25" s="134">
        <f>_xll.DBRW($G$3,$U$15,$H$17,$U$13,$U$16,$U$14,X$2,$U$12,$A25)</f>
        <v>0</v>
      </c>
      <c r="Y25" s="134">
        <f>_xll.DBRW($G$3,$U$15,$H$17,$U$13,$U$16,$U$14,Y$2,$U$12,$A25)</f>
        <v>0</v>
      </c>
      <c r="Z25" s="135">
        <f>_xll.DBRW($G$3,$U$15,$H$17,$U$13,$U$16,$U$14,Z$2,$U$12,$A25)</f>
        <v>0</v>
      </c>
      <c r="AA25" s="136"/>
      <c r="AB25" s="133" t="str">
        <f t="shared" si="4"/>
        <v/>
      </c>
      <c r="AC25" s="134" t="str">
        <f t="shared" si="4"/>
        <v/>
      </c>
      <c r="AD25" s="134" t="str">
        <f t="shared" si="4"/>
        <v/>
      </c>
      <c r="AE25" s="134" t="str">
        <f t="shared" si="4"/>
        <v/>
      </c>
      <c r="AF25" s="134" t="str">
        <f t="shared" si="4"/>
        <v/>
      </c>
      <c r="AG25" s="134" t="str">
        <f t="shared" si="4"/>
        <v/>
      </c>
      <c r="AH25" s="134" t="str">
        <f t="shared" si="4"/>
        <v/>
      </c>
      <c r="AI25" s="135" t="str">
        <f t="shared" si="4"/>
        <v/>
      </c>
      <c r="AJ25" s="44"/>
      <c r="AK25" s="49"/>
      <c r="AL25" s="55" t="s">
        <v>54</v>
      </c>
      <c r="AM25" s="49"/>
      <c r="AN25" s="49"/>
      <c r="AO25" s="49"/>
      <c r="AP25" s="56" t="s">
        <v>54</v>
      </c>
      <c r="AQ25" s="57" t="s">
        <v>60</v>
      </c>
      <c r="AR25" s="49"/>
      <c r="AS25" s="27"/>
      <c r="AT25" s="26"/>
      <c r="AU25" s="54"/>
    </row>
    <row r="26" spans="1:50" ht="21.75" customHeight="1" thickBot="1">
      <c r="A26" s="52" t="s">
        <v>49</v>
      </c>
      <c r="B26" s="42"/>
      <c r="C26" s="42"/>
      <c r="D26" s="42">
        <v>5</v>
      </c>
      <c r="G26" s="206" t="str">
        <f>_xll.DBRA(Server&amp;$A$21,$A26,$H$18)</f>
        <v>Revenue from ordinary activities</v>
      </c>
      <c r="H26" s="207"/>
      <c r="I26" s="137">
        <f>_xll.DBRW($G$3,$H$15,$H$17,$H$13,$H$16,$H$14,I$2,$H$12,$A26)</f>
        <v>0</v>
      </c>
      <c r="J26" s="137">
        <f>_xll.DBRW($G$3,$H$15,$H$17,$H$13,$H$16,$H$14,J$2,$H$12,$A26)</f>
        <v>0</v>
      </c>
      <c r="K26" s="137">
        <f>_xll.DBRW($G$3,$H$15,$H$17,$H$13,$H$16,$H$14,K$2,$H$12,$A26)</f>
        <v>0</v>
      </c>
      <c r="L26" s="137">
        <f>_xll.DBRW($G$3,$H$15,$H$17,$H$13,$H$16,$H$14,L$2,$H$12,$A26)</f>
        <v>0</v>
      </c>
      <c r="M26" s="137">
        <f>_xll.DBRW($G$3,$H$15,$H$17,$H$13,$H$16,$H$14,M$2,$H$12,$A26)</f>
        <v>0</v>
      </c>
      <c r="N26" s="137">
        <f>_xll.DBRW($G$3,$H$15,$H$17,$H$13,$H$16,$H$14,N$2,$H$12,$A26)</f>
        <v>0</v>
      </c>
      <c r="O26" s="137">
        <f>_xll.DBRW($G$3,$H$15,$H$17,$H$13,$H$16,$H$14,O$2,$H$12,$A26)</f>
        <v>0</v>
      </c>
      <c r="P26" s="137">
        <f>_xll.DBRW($G$3,$H$15,$H$17,$H$13,$H$16,$H$14,P$2,$H$12,$A26)</f>
        <v>0</v>
      </c>
      <c r="Q26" s="138">
        <f>SUM(I26:P26)-SUM(I24:P25)</f>
        <v>0</v>
      </c>
      <c r="R26" s="138"/>
      <c r="S26" s="137">
        <f>_xll.DBRW($G$3,$U$15,$H$17,$U$13,$U$16,$U$14,S$2,$U$12,$A26)</f>
        <v>0</v>
      </c>
      <c r="T26" s="137">
        <f>_xll.DBRW($G$3,$U$15,$H$17,$U$13,$U$16,$U$14,T$2,$U$12,$A26)</f>
        <v>0</v>
      </c>
      <c r="U26" s="137">
        <f>_xll.DBRW($G$3,$U$15,$H$17,$U$13,$U$16,$U$14,U$2,$U$12,$A26)</f>
        <v>0</v>
      </c>
      <c r="V26" s="137">
        <f>_xll.DBRW($G$3,$U$15,$H$17,$U$13,$U$16,$U$14,V$2,$U$12,$A26)</f>
        <v>0</v>
      </c>
      <c r="W26" s="137">
        <f>_xll.DBRW($G$3,$U$15,$H$17,$U$13,$U$16,$U$14,W$2,$U$12,$A26)</f>
        <v>0</v>
      </c>
      <c r="X26" s="137">
        <f>_xll.DBRW($G$3,$U$15,$H$17,$U$13,$U$16,$U$14,X$2,$U$12,$A26)</f>
        <v>0</v>
      </c>
      <c r="Y26" s="137">
        <f>_xll.DBRW($G$3,$U$15,$H$17,$U$13,$U$16,$U$14,Y$2,$U$12,$A26)</f>
        <v>0</v>
      </c>
      <c r="Z26" s="137">
        <f>_xll.DBRW($G$3,$U$15,$H$17,$U$13,$U$16,$U$14,Z$2,$U$12,$A26)</f>
        <v>0</v>
      </c>
      <c r="AA26" s="138">
        <f>SUM(S26:Z26)-SUM(S24:Z25)</f>
        <v>0</v>
      </c>
      <c r="AB26" s="137" t="str">
        <f t="shared" si="4"/>
        <v/>
      </c>
      <c r="AC26" s="137" t="str">
        <f t="shared" si="4"/>
        <v/>
      </c>
      <c r="AD26" s="137" t="str">
        <f t="shared" si="4"/>
        <v/>
      </c>
      <c r="AE26" s="137" t="str">
        <f t="shared" si="4"/>
        <v/>
      </c>
      <c r="AF26" s="137" t="str">
        <f t="shared" si="4"/>
        <v/>
      </c>
      <c r="AG26" s="137" t="str">
        <f t="shared" si="4"/>
        <v/>
      </c>
      <c r="AH26" s="137" t="str">
        <f t="shared" si="4"/>
        <v/>
      </c>
      <c r="AI26" s="137" t="str">
        <f t="shared" si="4"/>
        <v/>
      </c>
      <c r="AJ26" s="44"/>
      <c r="AK26" s="49"/>
      <c r="AL26" s="58" t="s">
        <v>55</v>
      </c>
      <c r="AM26" s="59" t="s">
        <v>111</v>
      </c>
      <c r="AN26" s="59" t="s">
        <v>112</v>
      </c>
      <c r="AO26" s="49"/>
      <c r="AP26" s="60" t="s">
        <v>55</v>
      </c>
      <c r="AQ26" s="61" t="s">
        <v>62</v>
      </c>
      <c r="AR26" s="49"/>
      <c r="AS26" s="27"/>
      <c r="AT26" s="26"/>
      <c r="AU26" s="54"/>
    </row>
    <row r="27" spans="1:50" ht="21.75" customHeight="1">
      <c r="A27" s="88" t="s">
        <v>158</v>
      </c>
      <c r="B27" s="42"/>
      <c r="C27" s="42"/>
      <c r="D27" s="42">
        <v>6</v>
      </c>
      <c r="G27" s="201" t="str">
        <f>IF($H$18="English","Total operating costs excluding MF","Total coûts opérationnels hors MF")</f>
        <v>Total operating costs excluding MF</v>
      </c>
      <c r="H27" s="202"/>
      <c r="I27" s="133">
        <f t="shared" ref="I27:P27" si="5">I33-I26-I32</f>
        <v>0</v>
      </c>
      <c r="J27" s="133">
        <f t="shared" si="5"/>
        <v>0</v>
      </c>
      <c r="K27" s="133">
        <f t="shared" si="5"/>
        <v>0</v>
      </c>
      <c r="L27" s="133">
        <f t="shared" si="5"/>
        <v>0</v>
      </c>
      <c r="M27" s="133">
        <f t="shared" si="5"/>
        <v>0</v>
      </c>
      <c r="N27" s="133">
        <f t="shared" si="5"/>
        <v>0</v>
      </c>
      <c r="O27" s="133">
        <f t="shared" si="5"/>
        <v>0</v>
      </c>
      <c r="P27" s="133">
        <f t="shared" si="5"/>
        <v>0</v>
      </c>
      <c r="Q27" s="136">
        <f>SUM(I28:P31)-SUM(I27:P27)</f>
        <v>0</v>
      </c>
      <c r="R27" s="136"/>
      <c r="S27" s="133">
        <f t="shared" ref="S27:Z27" si="6">S33-S26-S32</f>
        <v>0</v>
      </c>
      <c r="T27" s="133">
        <f t="shared" si="6"/>
        <v>0</v>
      </c>
      <c r="U27" s="133">
        <f t="shared" si="6"/>
        <v>0</v>
      </c>
      <c r="V27" s="133">
        <f t="shared" si="6"/>
        <v>0</v>
      </c>
      <c r="W27" s="133">
        <f t="shared" si="6"/>
        <v>0</v>
      </c>
      <c r="X27" s="133">
        <f t="shared" si="6"/>
        <v>0</v>
      </c>
      <c r="Y27" s="133">
        <f t="shared" si="6"/>
        <v>0</v>
      </c>
      <c r="Z27" s="133">
        <f t="shared" si="6"/>
        <v>0</v>
      </c>
      <c r="AA27" s="136">
        <f>SUM(S28:Z31)-SUM(S27:Z27)</f>
        <v>0</v>
      </c>
      <c r="AB27" s="133" t="str">
        <f t="shared" si="4"/>
        <v/>
      </c>
      <c r="AC27" s="133" t="str">
        <f t="shared" si="4"/>
        <v/>
      </c>
      <c r="AD27" s="133" t="str">
        <f t="shared" si="4"/>
        <v/>
      </c>
      <c r="AE27" s="133" t="str">
        <f t="shared" si="4"/>
        <v/>
      </c>
      <c r="AF27" s="133" t="str">
        <f t="shared" si="4"/>
        <v/>
      </c>
      <c r="AG27" s="133" t="str">
        <f t="shared" si="4"/>
        <v/>
      </c>
      <c r="AH27" s="133" t="str">
        <f t="shared" si="4"/>
        <v/>
      </c>
      <c r="AI27" s="133" t="str">
        <f t="shared" si="4"/>
        <v/>
      </c>
      <c r="AJ27" s="44"/>
      <c r="AK27" s="62"/>
      <c r="AL27" s="63"/>
      <c r="AM27" s="64"/>
      <c r="AN27" s="64"/>
      <c r="AO27" s="49"/>
      <c r="AP27" s="65"/>
      <c r="AQ27" s="65"/>
      <c r="AR27" s="49"/>
      <c r="AS27" s="27"/>
      <c r="AT27" s="26"/>
      <c r="AU27" s="54"/>
    </row>
    <row r="28" spans="1:50" ht="21.75" hidden="1" customHeight="1" outlineLevel="1" thickBot="1">
      <c r="A28" s="52" t="s">
        <v>140</v>
      </c>
      <c r="B28" s="88" t="s">
        <v>158</v>
      </c>
      <c r="C28" s="42"/>
      <c r="D28" s="42">
        <v>7</v>
      </c>
      <c r="G28" s="199" t="str">
        <f>_xll.DBRA(Server&amp;$A$21,$A28,$H$18)</f>
        <v>Operating costs excl.MF &amp; non cash items</v>
      </c>
      <c r="H28" s="200"/>
      <c r="I28" s="133">
        <f>IF(MID($H$12,5,4)&gt;"2019",_xll.DBRW($G$3,$H$15,$H$17,$H$13,$H$16,$H$14,I$2,$H$12,$A28),I27-SUM(I29:I31))</f>
        <v>0</v>
      </c>
      <c r="J28" s="133">
        <f>IF(MID($H$12,5,4)&gt;"2019",_xll.DBRW($G$3,$H$15,$H$17,$H$13,$H$16,$H$14,J$2,$H$12,$A28),J27-SUM(J29:J31))</f>
        <v>0</v>
      </c>
      <c r="K28" s="133">
        <f>IF(MID($H$12,5,4)&gt;"2019",_xll.DBRW($G$3,$H$15,$H$17,$H$13,$H$16,$H$14,K$2,$H$12,$A28),K27-SUM(K29:K31))</f>
        <v>0</v>
      </c>
      <c r="L28" s="133">
        <f>IF(MID($H$12,5,4)&gt;"2019",_xll.DBRW($G$3,$H$15,$H$17,$H$13,$H$16,$H$14,L$2,$H$12,$A28),L27-SUM(L29:L31))</f>
        <v>0</v>
      </c>
      <c r="M28" s="133">
        <f>IF(MID($H$12,5,4)&gt;"2019",_xll.DBRW($G$3,$H$15,$H$17,$H$13,$H$16,$H$14,M$2,$H$12,$A28),M27-SUM(M29:M31))</f>
        <v>0</v>
      </c>
      <c r="N28" s="133">
        <f>IF(MID($H$12,5,4)&gt;"2019",_xll.DBRW($G$3,$H$15,$H$17,$H$13,$H$16,$H$14,N$2,$H$12,$A28),N27-SUM(N29:N31))</f>
        <v>0</v>
      </c>
      <c r="O28" s="133">
        <f>IF(MID($H$12,5,4)&gt;"2019",_xll.DBRW($G$3,$H$15,$H$17,$H$13,$H$16,$H$14,O$2,$H$12,$A28),O27-SUM(O29:O31))</f>
        <v>0</v>
      </c>
      <c r="P28" s="133">
        <f>IF(MID($H$12,5,4)&gt;"2019",_xll.DBRW($G$3,$H$15,$H$17,$H$13,$H$16,$H$14,P$2,$H$12,$A28),P27-SUM(P29:P31))</f>
        <v>0</v>
      </c>
      <c r="Q28" s="136"/>
      <c r="R28" s="136"/>
      <c r="S28" s="133">
        <f>IF(MID($U$12,5,4)&gt;"2019",_xll.DBRW($G$3,$U$15,$H$17,$U$13,$U$16,$U$14,S$2,$U$12,$A28),S27-SUM(S29:S31))</f>
        <v>0</v>
      </c>
      <c r="T28" s="133">
        <f>IF(MID($U$12,5,4)&gt;"2019",_xll.DBRW($G$3,$U$15,$H$17,$U$13,$U$16,$U$14,T$2,$U$12,$A28),T27-SUM(T29:T31))</f>
        <v>0</v>
      </c>
      <c r="U28" s="133">
        <f>IF(MID($U$12,5,4)&gt;"2019",_xll.DBRW($G$3,$U$15,$H$17,$U$13,$U$16,$U$14,U$2,$U$12,$A28),U27-SUM(U29:U31))</f>
        <v>0</v>
      </c>
      <c r="V28" s="133">
        <f>IF(MID($U$12,5,4)&gt;"2019",_xll.DBRW($G$3,$U$15,$H$17,$U$13,$U$16,$U$14,V$2,$U$12,$A28),V27-SUM(V29:V31))</f>
        <v>0</v>
      </c>
      <c r="W28" s="133">
        <f>IF(MID($U$12,5,4)&gt;"2019",_xll.DBRW($G$3,$U$15,$H$17,$U$13,$U$16,$U$14,W$2,$U$12,$A28),W27-SUM(W29:W31))</f>
        <v>0</v>
      </c>
      <c r="X28" s="133">
        <f>IF(MID($U$12,5,4)&gt;"2019",_xll.DBRW($G$3,$U$15,$H$17,$U$13,$U$16,$U$14,X$2,$U$12,$A28),X27-SUM(X29:X31))</f>
        <v>0</v>
      </c>
      <c r="Y28" s="133">
        <f>IF(MID($U$12,5,4)&gt;"2019",_xll.DBRW($G$3,$U$15,$H$17,$U$13,$U$16,$U$14,Y$2,$U$12,$A28),Y27-SUM(Y29:Y31))</f>
        <v>0</v>
      </c>
      <c r="Z28" s="133">
        <f>IF(MID($U$12,5,4)&gt;"2019",_xll.DBRW($G$3,$U$15,$H$17,$U$13,$U$16,$U$14,Z$2,$U$12,$A28),Z27-SUM(Z29:Z31))</f>
        <v>0</v>
      </c>
      <c r="AA28" s="136"/>
      <c r="AB28" s="133" t="str">
        <f t="shared" si="4"/>
        <v/>
      </c>
      <c r="AC28" s="133" t="str">
        <f t="shared" si="4"/>
        <v/>
      </c>
      <c r="AD28" s="133" t="str">
        <f t="shared" si="4"/>
        <v/>
      </c>
      <c r="AE28" s="133" t="str">
        <f t="shared" si="4"/>
        <v/>
      </c>
      <c r="AF28" s="133" t="str">
        <f t="shared" si="4"/>
        <v/>
      </c>
      <c r="AG28" s="133" t="str">
        <f t="shared" si="4"/>
        <v/>
      </c>
      <c r="AH28" s="133" t="str">
        <f t="shared" si="4"/>
        <v/>
      </c>
      <c r="AI28" s="133" t="str">
        <f t="shared" si="4"/>
        <v/>
      </c>
      <c r="AJ28" s="44"/>
      <c r="AK28" s="62"/>
      <c r="AL28" s="63" t="s">
        <v>113</v>
      </c>
      <c r="AM28" s="64" t="str">
        <f>_xll.DBRA(Server&amp;"LTP_Components",$AL40,$H$18)</f>
        <v>Total - Long Term Plan</v>
      </c>
      <c r="AN28" s="64" t="str">
        <f>_xll.DBR(Server&amp;"z_Client_Properties","LTP_Corp_Security",_xll.TM1USER(xServer))</f>
        <v>1</v>
      </c>
      <c r="AO28" s="49"/>
      <c r="AP28" s="65" t="s">
        <v>56</v>
      </c>
      <c r="AQ28" s="65" t="s">
        <v>63</v>
      </c>
      <c r="AR28" s="49"/>
      <c r="AS28" s="27"/>
      <c r="AT28" s="26"/>
      <c r="AU28" s="54"/>
    </row>
    <row r="29" spans="1:50" ht="21.75" hidden="1" customHeight="1" outlineLevel="1">
      <c r="A29" s="52" t="s">
        <v>135</v>
      </c>
      <c r="B29" s="42" t="s">
        <v>141</v>
      </c>
      <c r="C29" s="42"/>
      <c r="D29" s="42">
        <v>8</v>
      </c>
      <c r="G29" s="199" t="str">
        <f>_xll.DBRA(Server&amp;$A$21,$A29,$H$18)</f>
        <v>Amortization</v>
      </c>
      <c r="H29" s="200"/>
      <c r="I29" s="133">
        <f>-_xll.DBRW($G$3,$H$15,$H$17,$H$13,$H$16,$H$14,I$2,$H$12,$B29)+_xll.DBRW($G$3,$H$15,$H$17,$H$13,$H$16,$H$14,I$2,$H$12,$A29)</f>
        <v>0</v>
      </c>
      <c r="J29" s="133">
        <f>-_xll.DBRW($G$3,$H$15,$H$17,$H$13,$H$16,$H$14,J$2,$H$12,$B29)+_xll.DBRW($G$3,$H$15,$H$17,$H$13,$H$16,$H$14,J$2,$H$12,$A29)</f>
        <v>0</v>
      </c>
      <c r="K29" s="133">
        <f>-_xll.DBRW($G$3,$H$15,$H$17,$H$13,$H$16,$H$14,K$2,$H$12,$B29)+_xll.DBRW($G$3,$H$15,$H$17,$H$13,$H$16,$H$14,K$2,$H$12,$A29)</f>
        <v>0</v>
      </c>
      <c r="L29" s="133">
        <f>-_xll.DBRW($G$3,$H$15,$H$17,$H$13,$H$16,$H$14,L$2,$H$12,$B29)+_xll.DBRW($G$3,$H$15,$H$17,$H$13,$H$16,$H$14,L$2,$H$12,$A29)</f>
        <v>0</v>
      </c>
      <c r="M29" s="133">
        <f>-_xll.DBRW($G$3,$H$15,$H$17,$H$13,$H$16,$H$14,M$2,$H$12,$B29)+_xll.DBRW($G$3,$H$15,$H$17,$H$13,$H$16,$H$14,M$2,$H$12,$A29)</f>
        <v>0</v>
      </c>
      <c r="N29" s="133">
        <f>-_xll.DBRW($G$3,$H$15,$H$17,$H$13,$H$16,$H$14,N$2,$H$12,$B29)+_xll.DBRW($G$3,$H$15,$H$17,$H$13,$H$16,$H$14,N$2,$H$12,$A29)</f>
        <v>0</v>
      </c>
      <c r="O29" s="133">
        <f>-_xll.DBRW($G$3,$H$15,$H$17,$H$13,$H$16,$H$14,O$2,$H$12,$B29)+_xll.DBRW($G$3,$H$15,$H$17,$H$13,$H$16,$H$14,O$2,$H$12,$A29)</f>
        <v>0</v>
      </c>
      <c r="P29" s="133">
        <f>-_xll.DBRW($G$3,$H$15,$H$17,$H$13,$H$16,$H$14,P$2,$H$12,$B29)+_xll.DBRW($G$3,$H$15,$H$17,$H$13,$H$16,$H$14,P$2,$H$12,$A29)</f>
        <v>0</v>
      </c>
      <c r="Q29" s="136"/>
      <c r="R29" s="136"/>
      <c r="S29" s="133">
        <f>-_xll.DBRW($G$3,$U$15,$H$17,$U$13,$U$16,$U$14,S$2,$U$12,$B29)+_xll.DBRW($G$3,$U$15,$H$17,$U$13,$U$16,$U$14,S$2,$U$12,$A29)</f>
        <v>0</v>
      </c>
      <c r="T29" s="133">
        <f>-_xll.DBRW($G$3,$U$15,$H$17,$U$13,$U$16,$U$14,T$2,$U$12,$B29)+_xll.DBRW($G$3,$U$15,$H$17,$U$13,$U$16,$U$14,T$2,$U$12,$A29)</f>
        <v>0</v>
      </c>
      <c r="U29" s="133">
        <f>-_xll.DBRW($G$3,$U$15,$H$17,$U$13,$U$16,$U$14,U$2,$U$12,$B29)+_xll.DBRW($G$3,$U$15,$H$17,$U$13,$U$16,$U$14,U$2,$U$12,$A29)</f>
        <v>0</v>
      </c>
      <c r="V29" s="133">
        <f>-_xll.DBRW($G$3,$U$15,$H$17,$U$13,$U$16,$U$14,V$2,$U$12,$B29)+_xll.DBRW($G$3,$U$15,$H$17,$U$13,$U$16,$U$14,V$2,$U$12,$A29)</f>
        <v>0</v>
      </c>
      <c r="W29" s="133">
        <f>-_xll.DBRW($G$3,$U$15,$H$17,$U$13,$U$16,$U$14,W$2,$U$12,$B29)+_xll.DBRW($G$3,$U$15,$H$17,$U$13,$U$16,$U$14,W$2,$U$12,$A29)</f>
        <v>0</v>
      </c>
      <c r="X29" s="133">
        <f>-_xll.DBRW($G$3,$U$15,$H$17,$U$13,$U$16,$U$14,X$2,$U$12,$B29)+_xll.DBRW($G$3,$U$15,$H$17,$U$13,$U$16,$U$14,X$2,$U$12,$A29)</f>
        <v>0</v>
      </c>
      <c r="Y29" s="133">
        <f>-_xll.DBRW($G$3,$U$15,$H$17,$U$13,$U$16,$U$14,Y$2,$U$12,$B29)+_xll.DBRW($G$3,$U$15,$H$17,$U$13,$U$16,$U$14,Y$2,$U$12,$A29)</f>
        <v>0</v>
      </c>
      <c r="Z29" s="133">
        <f>-_xll.DBRW($G$3,$U$15,$H$17,$U$13,$U$16,$U$14,Z$2,$U$12,$B29)+_xll.DBRW($G$3,$U$15,$H$17,$U$13,$U$16,$U$14,Z$2,$U$12,$A29)</f>
        <v>0</v>
      </c>
      <c r="AA29" s="136"/>
      <c r="AB29" s="133" t="str">
        <f t="shared" si="4"/>
        <v/>
      </c>
      <c r="AC29" s="133" t="str">
        <f t="shared" si="4"/>
        <v/>
      </c>
      <c r="AD29" s="133" t="str">
        <f t="shared" si="4"/>
        <v/>
      </c>
      <c r="AE29" s="133" t="str">
        <f t="shared" si="4"/>
        <v/>
      </c>
      <c r="AF29" s="133" t="str">
        <f t="shared" si="4"/>
        <v/>
      </c>
      <c r="AG29" s="133" t="str">
        <f t="shared" si="4"/>
        <v/>
      </c>
      <c r="AH29" s="133" t="str">
        <f t="shared" si="4"/>
        <v/>
      </c>
      <c r="AI29" s="133" t="str">
        <f t="shared" si="4"/>
        <v/>
      </c>
      <c r="AJ29" s="44"/>
      <c r="AK29" s="62"/>
      <c r="AL29" s="63" t="s">
        <v>53</v>
      </c>
      <c r="AM29" s="66" t="str">
        <f>_xll.DBRA(Server&amp;"LTP_Components",$AL44,$H$18)</f>
        <v>Long Term Plan - Country</v>
      </c>
      <c r="AN29" s="64" t="str">
        <f>IF($AN$28 = "1",$AM$28,$AM$29)</f>
        <v>Total - Long Term Plan</v>
      </c>
      <c r="AO29" s="49"/>
      <c r="AP29" s="65" t="s">
        <v>57</v>
      </c>
      <c r="AQ29" s="65" t="s">
        <v>64</v>
      </c>
      <c r="AR29" s="49"/>
      <c r="AS29" s="27"/>
      <c r="AT29" s="26"/>
      <c r="AU29" s="54"/>
    </row>
    <row r="30" spans="1:50" ht="21.75" hidden="1" customHeight="1" outlineLevel="1" thickBot="1">
      <c r="A30" s="52" t="s">
        <v>136</v>
      </c>
      <c r="B30" s="42" t="s">
        <v>142</v>
      </c>
      <c r="C30" s="42"/>
      <c r="D30" s="42">
        <v>9</v>
      </c>
      <c r="G30" s="199" t="str">
        <f>_xll.DBRA(Server&amp;$A$21,$A30,$H$18)</f>
        <v>Provisions</v>
      </c>
      <c r="H30" s="200"/>
      <c r="I30" s="133">
        <f>-_xll.DBRW($G$3,$H$15,$H$17,$H$13,$H$16,$H$14,I$2,$H$12,$B30)+_xll.DBRW($G$3,$H$15,$H$17,$H$13,$H$16,$H$14,I$2,$H$12,$A30)</f>
        <v>0</v>
      </c>
      <c r="J30" s="133">
        <f>-_xll.DBRW($G$3,$H$15,$H$17,$H$13,$H$16,$H$14,J$2,$H$12,$B30)+_xll.DBRW($G$3,$H$15,$H$17,$H$13,$H$16,$H$14,J$2,$H$12,$A30)</f>
        <v>0</v>
      </c>
      <c r="K30" s="133">
        <f>-_xll.DBRW($G$3,$H$15,$H$17,$H$13,$H$16,$H$14,K$2,$H$12,$B30)+_xll.DBRW($G$3,$H$15,$H$17,$H$13,$H$16,$H$14,K$2,$H$12,$A30)</f>
        <v>0</v>
      </c>
      <c r="L30" s="133">
        <f>-_xll.DBRW($G$3,$H$15,$H$17,$H$13,$H$16,$H$14,L$2,$H$12,$B30)+_xll.DBRW($G$3,$H$15,$H$17,$H$13,$H$16,$H$14,L$2,$H$12,$A30)</f>
        <v>0</v>
      </c>
      <c r="M30" s="133">
        <f>-_xll.DBRW($G$3,$H$15,$H$17,$H$13,$H$16,$H$14,M$2,$H$12,$B30)+_xll.DBRW($G$3,$H$15,$H$17,$H$13,$H$16,$H$14,M$2,$H$12,$A30)</f>
        <v>0</v>
      </c>
      <c r="N30" s="133">
        <f>-_xll.DBRW($G$3,$H$15,$H$17,$H$13,$H$16,$H$14,N$2,$H$12,$B30)+_xll.DBRW($G$3,$H$15,$H$17,$H$13,$H$16,$H$14,N$2,$H$12,$A30)</f>
        <v>0</v>
      </c>
      <c r="O30" s="133">
        <f>-_xll.DBRW($G$3,$H$15,$H$17,$H$13,$H$16,$H$14,O$2,$H$12,$B30)+_xll.DBRW($G$3,$H$15,$H$17,$H$13,$H$16,$H$14,O$2,$H$12,$A30)</f>
        <v>0</v>
      </c>
      <c r="P30" s="133">
        <f>-_xll.DBRW($G$3,$H$15,$H$17,$H$13,$H$16,$H$14,P$2,$H$12,$B30)+_xll.DBRW($G$3,$H$15,$H$17,$H$13,$H$16,$H$14,P$2,$H$12,$A30)</f>
        <v>0</v>
      </c>
      <c r="Q30" s="136"/>
      <c r="R30" s="136"/>
      <c r="S30" s="133">
        <f>-_xll.DBRW($G$3,$U$15,$H$17,$U$13,$U$16,$U$14,S$2,$U$12,$B30)+_xll.DBRW($G$3,$U$15,$H$17,$U$13,$U$16,$U$14,S$2,$U$12,$A30)</f>
        <v>0</v>
      </c>
      <c r="T30" s="133">
        <f>-_xll.DBRW($G$3,$U$15,$H$17,$U$13,$U$16,$U$14,T$2,$U$12,$B30)+_xll.DBRW($G$3,$U$15,$H$17,$U$13,$U$16,$U$14,T$2,$U$12,$A30)</f>
        <v>0</v>
      </c>
      <c r="U30" s="133">
        <f>-_xll.DBRW($G$3,$U$15,$H$17,$U$13,$U$16,$U$14,U$2,$U$12,$B30)+_xll.DBRW($G$3,$U$15,$H$17,$U$13,$U$16,$U$14,U$2,$U$12,$A30)</f>
        <v>0</v>
      </c>
      <c r="V30" s="133">
        <f>-_xll.DBRW($G$3,$U$15,$H$17,$U$13,$U$16,$U$14,V$2,$U$12,$B30)+_xll.DBRW($G$3,$U$15,$H$17,$U$13,$U$16,$U$14,V$2,$U$12,$A30)</f>
        <v>0</v>
      </c>
      <c r="W30" s="133">
        <f>-_xll.DBRW($G$3,$U$15,$H$17,$U$13,$U$16,$U$14,W$2,$U$12,$B30)+_xll.DBRW($G$3,$U$15,$H$17,$U$13,$U$16,$U$14,W$2,$U$12,$A30)</f>
        <v>0</v>
      </c>
      <c r="X30" s="133">
        <f>-_xll.DBRW($G$3,$U$15,$H$17,$U$13,$U$16,$U$14,X$2,$U$12,$B30)+_xll.DBRW($G$3,$U$15,$H$17,$U$13,$U$16,$U$14,X$2,$U$12,$A30)</f>
        <v>0</v>
      </c>
      <c r="Y30" s="133">
        <f>-_xll.DBRW($G$3,$U$15,$H$17,$U$13,$U$16,$U$14,Y$2,$U$12,$B30)+_xll.DBRW($G$3,$U$15,$H$17,$U$13,$U$16,$U$14,Y$2,$U$12,$A30)</f>
        <v>0</v>
      </c>
      <c r="Z30" s="133">
        <f>-_xll.DBRW($G$3,$U$15,$H$17,$U$13,$U$16,$U$14,Z$2,$U$12,$B30)+_xll.DBRW($G$3,$U$15,$H$17,$U$13,$U$16,$U$14,Z$2,$U$12,$A30)</f>
        <v>0</v>
      </c>
      <c r="AA30" s="136"/>
      <c r="AB30" s="133" t="str">
        <f t="shared" si="4"/>
        <v/>
      </c>
      <c r="AC30" s="133" t="str">
        <f t="shared" si="4"/>
        <v/>
      </c>
      <c r="AD30" s="133" t="str">
        <f t="shared" si="4"/>
        <v/>
      </c>
      <c r="AE30" s="133" t="str">
        <f t="shared" si="4"/>
        <v/>
      </c>
      <c r="AF30" s="133" t="str">
        <f t="shared" si="4"/>
        <v/>
      </c>
      <c r="AG30" s="133" t="str">
        <f t="shared" si="4"/>
        <v/>
      </c>
      <c r="AH30" s="133" t="str">
        <f t="shared" si="4"/>
        <v/>
      </c>
      <c r="AI30" s="133" t="str">
        <f t="shared" si="4"/>
        <v/>
      </c>
      <c r="AJ30" s="44"/>
      <c r="AK30" s="62"/>
      <c r="AL30" s="68" t="s">
        <v>83</v>
      </c>
      <c r="AM30" s="49"/>
      <c r="AN30" s="49"/>
      <c r="AO30" s="49"/>
      <c r="AP30" s="65" t="s">
        <v>75</v>
      </c>
      <c r="AQ30" s="65" t="s">
        <v>65</v>
      </c>
      <c r="AR30" s="49"/>
      <c r="AS30" s="27"/>
      <c r="AT30" s="26"/>
      <c r="AU30" s="54"/>
    </row>
    <row r="31" spans="1:50" ht="21.75" hidden="1" customHeight="1" outlineLevel="1">
      <c r="A31" s="80" t="s">
        <v>137</v>
      </c>
      <c r="B31" s="88" t="s">
        <v>158</v>
      </c>
      <c r="C31" s="42"/>
      <c r="D31" s="42">
        <v>10</v>
      </c>
      <c r="G31" s="199" t="str">
        <f>_xll.DBRA(Server&amp;$A$21,$A31,$H$18)</f>
        <v>Other non cash items (Gain or loss on sales, Impairment)</v>
      </c>
      <c r="H31" s="200"/>
      <c r="I31" s="133">
        <f>IF(MID($H$12,5,4)&gt;"2019",_xll.DBRW($G$3,$H$15,$H$17,$H$13,$H$16,$H$14,I$2,$H$12,$A31),-I53)</f>
        <v>0</v>
      </c>
      <c r="J31" s="133">
        <f>IF(MID($H$12,5,4)&gt;"2019",_xll.DBRW($G$3,$H$15,$H$17,$H$13,$H$16,$H$14,J$2,$H$12,$A31),-J53)</f>
        <v>0</v>
      </c>
      <c r="K31" s="133">
        <f>IF(MID($H$12,5,4)&gt;"2019",_xll.DBRW($G$3,$H$15,$H$17,$H$13,$H$16,$H$14,K$2,$H$12,$A31),-K53)</f>
        <v>0</v>
      </c>
      <c r="L31" s="133">
        <f>IF(MID($H$12,5,4)&gt;"2019",_xll.DBRW($G$3,$H$15,$H$17,$H$13,$H$16,$H$14,L$2,$H$12,$A31),-L53)</f>
        <v>0</v>
      </c>
      <c r="M31" s="133">
        <f>IF(MID($H$12,5,4)&gt;"2019",_xll.DBRW($G$3,$H$15,$H$17,$H$13,$H$16,$H$14,M$2,$H$12,$A31),-M53)</f>
        <v>0</v>
      </c>
      <c r="N31" s="133">
        <f>IF(MID($H$12,5,4)&gt;"2019",_xll.DBRW($G$3,$H$15,$H$17,$H$13,$H$16,$H$14,N$2,$H$12,$A31),-N53)</f>
        <v>0</v>
      </c>
      <c r="O31" s="133">
        <f>IF(MID($H$12,5,4)&gt;"2019",_xll.DBRW($G$3,$H$15,$H$17,$H$13,$H$16,$H$14,O$2,$H$12,$A31),-O53)</f>
        <v>0</v>
      </c>
      <c r="P31" s="133">
        <f>IF(MID($H$12,5,4)&gt;"2019",_xll.DBRW($G$3,$H$15,$H$17,$H$13,$H$16,$H$14,P$2,$H$12,$A31),-P53)</f>
        <v>0</v>
      </c>
      <c r="Q31" s="136"/>
      <c r="R31" s="136"/>
      <c r="S31" s="133">
        <f>IF(MID($U$12,5,4)&gt;"2019",_xll.DBRW($G$3,$U$15,$H$17,$U$13,$U$16,$U$14,S$2,$U$12,$A31),-S53)</f>
        <v>0</v>
      </c>
      <c r="T31" s="133">
        <f>IF(MID($U$12,5,4)&gt;"2019",_xll.DBRW($G$3,$U$15,$H$17,$U$13,$U$16,$U$14,T$2,$U$12,$A31),-T53)</f>
        <v>0</v>
      </c>
      <c r="U31" s="133">
        <f>IF(MID($U$12,5,4)&gt;"2019",_xll.DBRW($G$3,$U$15,$H$17,$U$13,$U$16,$U$14,U$2,$U$12,$A31),-U53)</f>
        <v>0</v>
      </c>
      <c r="V31" s="133">
        <f>IF(MID($U$12,5,4)&gt;"2019",_xll.DBRW($G$3,$U$15,$H$17,$U$13,$U$16,$U$14,V$2,$U$12,$A31),-V53)</f>
        <v>0</v>
      </c>
      <c r="W31" s="133">
        <f>IF(MID($U$12,5,4)&gt;"2019",_xll.DBRW($G$3,$U$15,$H$17,$U$13,$U$16,$U$14,W$2,$U$12,$A31),-W53)</f>
        <v>0</v>
      </c>
      <c r="X31" s="133">
        <f>IF(MID($U$12,5,4)&gt;"2019",_xll.DBRW($G$3,$U$15,$H$17,$U$13,$U$16,$U$14,X$2,$U$12,$A31),-X53)</f>
        <v>0</v>
      </c>
      <c r="Y31" s="133">
        <f>IF(MID($U$12,5,4)&gt;"2019",_xll.DBRW($G$3,$U$15,$H$17,$U$13,$U$16,$U$14,Y$2,$U$12,$A31),-Y53)</f>
        <v>0</v>
      </c>
      <c r="Z31" s="133">
        <f>IF(MID($U$12,5,4)&gt;"2019",_xll.DBRW($G$3,$U$15,$H$17,$U$13,$U$16,$U$14,Z$2,$U$12,$A31),-Z53)</f>
        <v>0</v>
      </c>
      <c r="AA31" s="136"/>
      <c r="AB31" s="133" t="str">
        <f t="shared" si="4"/>
        <v/>
      </c>
      <c r="AC31" s="133" t="str">
        <f t="shared" si="4"/>
        <v/>
      </c>
      <c r="AD31" s="133" t="str">
        <f t="shared" si="4"/>
        <v/>
      </c>
      <c r="AE31" s="133" t="str">
        <f t="shared" si="4"/>
        <v/>
      </c>
      <c r="AF31" s="133" t="str">
        <f t="shared" si="4"/>
        <v/>
      </c>
      <c r="AG31" s="133" t="str">
        <f t="shared" si="4"/>
        <v/>
      </c>
      <c r="AH31" s="133" t="str">
        <f t="shared" si="4"/>
        <v/>
      </c>
      <c r="AI31" s="133" t="str">
        <f t="shared" si="4"/>
        <v/>
      </c>
      <c r="AJ31" s="44"/>
      <c r="AK31" s="62"/>
      <c r="AL31" s="51" t="s">
        <v>84</v>
      </c>
      <c r="AM31" s="69" t="s">
        <v>116</v>
      </c>
      <c r="AN31" s="49"/>
      <c r="AO31" s="49"/>
      <c r="AP31" s="65"/>
      <c r="AQ31" s="65"/>
      <c r="AR31" s="49"/>
      <c r="AS31" s="27"/>
      <c r="AT31" s="26"/>
      <c r="AU31" s="54"/>
    </row>
    <row r="32" spans="1:50" ht="21.75" customHeight="1" collapsed="1" thickBot="1">
      <c r="A32" s="52" t="s">
        <v>138</v>
      </c>
      <c r="B32" s="67" t="s">
        <v>143</v>
      </c>
      <c r="C32" s="42"/>
      <c r="D32" s="42">
        <v>11</v>
      </c>
      <c r="G32" s="201" t="str">
        <f>_xll.DBRA(Server&amp;$A$21,$A32,$H$18)</f>
        <v>Profit or loss of associates &amp; JV</v>
      </c>
      <c r="H32" s="202"/>
      <c r="I32" s="133">
        <f>_xll.DBRW($G$3,$H$15,$H$17,$H$13,$H$16,$H$14,I$2,$H$12,$B32)+_xll.DBRW($G$3,$H$15,$H$17,$H$13,$H$16,$H$14,I$2,$H$12,$A32)</f>
        <v>0</v>
      </c>
      <c r="J32" s="133">
        <f>_xll.DBRW($G$3,$H$15,$H$17,$H$13,$H$16,$H$14,J$2,$H$12,$B32)+_xll.DBRW($G$3,$H$15,$H$17,$H$13,$H$16,$H$14,J$2,$H$12,$A32)</f>
        <v>0</v>
      </c>
      <c r="K32" s="133">
        <f>_xll.DBRW($G$3,$H$15,$H$17,$H$13,$H$16,$H$14,K$2,$H$12,$B32)+_xll.DBRW($G$3,$H$15,$H$17,$H$13,$H$16,$H$14,K$2,$H$12,$A32)</f>
        <v>0</v>
      </c>
      <c r="L32" s="133">
        <f>_xll.DBRW($G$3,$H$15,$H$17,$H$13,$H$16,$H$14,L$2,$H$12,$B32)+_xll.DBRW($G$3,$H$15,$H$17,$H$13,$H$16,$H$14,L$2,$H$12,$A32)</f>
        <v>0</v>
      </c>
      <c r="M32" s="133">
        <f>_xll.DBRW($G$3,$H$15,$H$17,$H$13,$H$16,$H$14,M$2,$H$12,$B32)+_xll.DBRW($G$3,$H$15,$H$17,$H$13,$H$16,$H$14,M$2,$H$12,$A32)</f>
        <v>0</v>
      </c>
      <c r="N32" s="133">
        <f>_xll.DBRW($G$3,$H$15,$H$17,$H$13,$H$16,$H$14,N$2,$H$12,$B32)+_xll.DBRW($G$3,$H$15,$H$17,$H$13,$H$16,$H$14,N$2,$H$12,$A32)</f>
        <v>0</v>
      </c>
      <c r="O32" s="133">
        <f>_xll.DBRW($G$3,$H$15,$H$17,$H$13,$H$16,$H$14,O$2,$H$12,$B32)+_xll.DBRW($G$3,$H$15,$H$17,$H$13,$H$16,$H$14,O$2,$H$12,$A32)</f>
        <v>0</v>
      </c>
      <c r="P32" s="133">
        <f>_xll.DBRW($G$3,$H$15,$H$17,$H$13,$H$16,$H$14,P$2,$H$12,$B32)+_xll.DBRW($G$3,$H$15,$H$17,$H$13,$H$16,$H$14,P$2,$H$12,$A32)</f>
        <v>0</v>
      </c>
      <c r="Q32" s="136"/>
      <c r="R32" s="136"/>
      <c r="S32" s="133">
        <f>_xll.DBRW($G$3,$U$15,$H$17,$U$13,$U$16,$U$14,S$2,$U$12,$B32)+_xll.DBRW($G$3,$U$15,$H$17,$U$13,$U$16,$U$14,S$2,$U$12,$A32)</f>
        <v>0</v>
      </c>
      <c r="T32" s="133">
        <f>_xll.DBRW($G$3,$U$15,$H$17,$U$13,$U$16,$U$14,T$2,$U$12,$B32)+_xll.DBRW($G$3,$U$15,$H$17,$U$13,$U$16,$U$14,T$2,$U$12,$A32)</f>
        <v>0</v>
      </c>
      <c r="U32" s="133">
        <f>_xll.DBRW($G$3,$U$15,$H$17,$U$13,$U$16,$U$14,U$2,$U$12,$B32)+_xll.DBRW($G$3,$U$15,$H$17,$U$13,$U$16,$U$14,U$2,$U$12,$A32)</f>
        <v>0</v>
      </c>
      <c r="V32" s="133">
        <f>_xll.DBRW($G$3,$U$15,$H$17,$U$13,$U$16,$U$14,V$2,$U$12,$B32)+_xll.DBRW($G$3,$U$15,$H$17,$U$13,$U$16,$U$14,V$2,$U$12,$A32)</f>
        <v>0</v>
      </c>
      <c r="W32" s="133">
        <f>_xll.DBRW($G$3,$U$15,$H$17,$U$13,$U$16,$U$14,W$2,$U$12,$B32)+_xll.DBRW($G$3,$U$15,$H$17,$U$13,$U$16,$U$14,W$2,$U$12,$A32)</f>
        <v>0</v>
      </c>
      <c r="X32" s="133">
        <f>_xll.DBRW($G$3,$U$15,$H$17,$U$13,$U$16,$U$14,X$2,$U$12,$B32)+_xll.DBRW($G$3,$U$15,$H$17,$U$13,$U$16,$U$14,X$2,$U$12,$A32)</f>
        <v>0</v>
      </c>
      <c r="Y32" s="133">
        <f>_xll.DBRW($G$3,$U$15,$H$17,$U$13,$U$16,$U$14,Y$2,$U$12,$B32)+_xll.DBRW($G$3,$U$15,$H$17,$U$13,$U$16,$U$14,Y$2,$U$12,$A32)</f>
        <v>0</v>
      </c>
      <c r="Z32" s="133">
        <f>_xll.DBRW($G$3,$U$15,$H$17,$U$13,$U$16,$U$14,Z$2,$U$12,$B32)+_xll.DBRW($G$3,$U$15,$H$17,$U$13,$U$16,$U$14,Z$2,$U$12,$A32)</f>
        <v>0</v>
      </c>
      <c r="AA32" s="136"/>
      <c r="AB32" s="133" t="str">
        <f t="shared" si="4"/>
        <v/>
      </c>
      <c r="AC32" s="133" t="str">
        <f t="shared" si="4"/>
        <v/>
      </c>
      <c r="AD32" s="133" t="str">
        <f t="shared" si="4"/>
        <v/>
      </c>
      <c r="AE32" s="133" t="str">
        <f t="shared" si="4"/>
        <v/>
      </c>
      <c r="AF32" s="133" t="str">
        <f t="shared" si="4"/>
        <v/>
      </c>
      <c r="AG32" s="133" t="str">
        <f t="shared" si="4"/>
        <v/>
      </c>
      <c r="AH32" s="133" t="str">
        <f t="shared" si="4"/>
        <v/>
      </c>
      <c r="AI32" s="133" t="str">
        <f t="shared" si="4"/>
        <v/>
      </c>
      <c r="AJ32" s="44"/>
      <c r="AK32" s="62"/>
      <c r="AL32" s="63" t="s">
        <v>47</v>
      </c>
      <c r="AM32" s="66" t="s">
        <v>117</v>
      </c>
      <c r="AN32" s="49"/>
      <c r="AO32" s="49"/>
      <c r="AP32" s="65"/>
      <c r="AQ32" s="65"/>
      <c r="AR32" s="49"/>
      <c r="AS32" s="27"/>
      <c r="AT32" s="26"/>
      <c r="AU32" s="54"/>
    </row>
    <row r="33" spans="1:49" ht="21.75" customHeight="1" thickBot="1">
      <c r="A33" s="52" t="s">
        <v>157</v>
      </c>
      <c r="B33" s="67"/>
      <c r="C33" s="42"/>
      <c r="D33" s="42">
        <v>12</v>
      </c>
      <c r="G33" s="214" t="str">
        <f>_xll.DBRA(Server&amp;$A$21,$A33,$H$18)</f>
        <v>RESOP before Management fees</v>
      </c>
      <c r="H33" s="214"/>
      <c r="I33" s="137">
        <f>_xll.DBRW($G$3,$H$15,$H$17,$H$13,$H$16,$H$14,I$2,$H$12,$A33)</f>
        <v>0</v>
      </c>
      <c r="J33" s="137">
        <f>_xll.DBRW($G$3,$H$15,$H$17,$H$13,$H$16,$H$14,J$2,$H$12,$A33)</f>
        <v>0</v>
      </c>
      <c r="K33" s="137">
        <f>_xll.DBRW($G$3,$H$15,$H$17,$H$13,$H$16,$H$14,K$2,$H$12,$A33)</f>
        <v>0</v>
      </c>
      <c r="L33" s="137">
        <f>_xll.DBRW($G$3,$H$15,$H$17,$H$13,$H$16,$H$14,L$2,$H$12,$A33)</f>
        <v>0</v>
      </c>
      <c r="M33" s="137">
        <f>_xll.DBRW($G$3,$H$15,$H$17,$H$13,$H$16,$H$14,M$2,$H$12,$A33)</f>
        <v>0</v>
      </c>
      <c r="N33" s="137">
        <f>_xll.DBRW($G$3,$H$15,$H$17,$H$13,$H$16,$H$14,N$2,$H$12,$A33)</f>
        <v>0</v>
      </c>
      <c r="O33" s="137">
        <f>_xll.DBRW($G$3,$H$15,$H$17,$H$13,$H$16,$H$14,O$2,$H$12,$A33)</f>
        <v>0</v>
      </c>
      <c r="P33" s="137">
        <f>_xll.DBRW($G$3,$H$15,$H$17,$H$13,$H$16,$H$14,P$2,$H$12,$A33)</f>
        <v>0</v>
      </c>
      <c r="Q33" s="138">
        <f>SUM(I26:P26)+SUM(I27:P27)+SUM(I32:P32)-SUM(I33:P33)</f>
        <v>0</v>
      </c>
      <c r="R33" s="138"/>
      <c r="S33" s="137">
        <f>_xll.DBRW($G$3,$U$15,$H$17,$U$13,$U$16,$U$14,S$2,$U$12,$A33)</f>
        <v>0</v>
      </c>
      <c r="T33" s="137">
        <f>_xll.DBRW($G$3,$U$15,$H$17,$U$13,$U$16,$U$14,T$2,$U$12,$A33)</f>
        <v>0</v>
      </c>
      <c r="U33" s="137">
        <f>_xll.DBRW($G$3,$U$15,$H$17,$U$13,$U$16,$U$14,U$2,$U$12,$A33)</f>
        <v>0</v>
      </c>
      <c r="V33" s="137">
        <f>_xll.DBRW($G$3,$U$15,$H$17,$U$13,$U$16,$U$14,V$2,$U$12,$A33)</f>
        <v>0</v>
      </c>
      <c r="W33" s="137">
        <f>_xll.DBRW($G$3,$U$15,$H$17,$U$13,$U$16,$U$14,W$2,$U$12,$A33)</f>
        <v>0</v>
      </c>
      <c r="X33" s="137">
        <f>_xll.DBRW($G$3,$U$15,$H$17,$U$13,$U$16,$U$14,X$2,$U$12,$A33)</f>
        <v>0</v>
      </c>
      <c r="Y33" s="137">
        <f>_xll.DBRW($G$3,$U$15,$H$17,$U$13,$U$16,$U$14,Y$2,$U$12,$A33)</f>
        <v>0</v>
      </c>
      <c r="Z33" s="137">
        <f>_xll.DBRW($G$3,$U$15,$H$17,$U$13,$U$16,$U$14,Z$2,$U$12,$A33)</f>
        <v>0</v>
      </c>
      <c r="AA33" s="138">
        <f>SUM(S26:Z26)+SUM(S27:Z27)+SUM(S32:Z32)-SUM(S33:Z33)</f>
        <v>0</v>
      </c>
      <c r="AB33" s="137" t="str">
        <f t="shared" si="4"/>
        <v/>
      </c>
      <c r="AC33" s="137" t="str">
        <f t="shared" si="4"/>
        <v/>
      </c>
      <c r="AD33" s="137" t="str">
        <f t="shared" si="4"/>
        <v/>
      </c>
      <c r="AE33" s="137" t="str">
        <f t="shared" si="4"/>
        <v/>
      </c>
      <c r="AF33" s="137" t="str">
        <f t="shared" si="4"/>
        <v/>
      </c>
      <c r="AG33" s="137" t="str">
        <f t="shared" si="4"/>
        <v/>
      </c>
      <c r="AH33" s="137" t="str">
        <f t="shared" si="4"/>
        <v/>
      </c>
      <c r="AI33" s="137" t="str">
        <f t="shared" si="4"/>
        <v/>
      </c>
      <c r="AJ33" s="44"/>
      <c r="AK33" s="62"/>
      <c r="AL33" s="63"/>
      <c r="AM33" s="48"/>
      <c r="AN33" s="49"/>
      <c r="AO33" s="49"/>
      <c r="AP33" s="65"/>
      <c r="AQ33" s="65"/>
      <c r="AR33" s="49"/>
      <c r="AS33" s="27"/>
      <c r="AT33" s="26"/>
      <c r="AU33" s="54"/>
    </row>
    <row r="34" spans="1:49" s="97" customFormat="1" ht="21.75" customHeight="1">
      <c r="A34" s="92" t="s">
        <v>158</v>
      </c>
      <c r="B34" s="93"/>
      <c r="C34" s="94"/>
      <c r="D34" s="42">
        <v>13</v>
      </c>
      <c r="E34" s="95"/>
      <c r="F34" s="96"/>
      <c r="G34" s="139" t="str">
        <f>IF($H$18="English","        EBIT bef. MF margin (% ROA)","        Marge RESOP av. FS (%PAO)")</f>
        <v xml:space="preserve">        EBIT bef. MF margin (% ROA)</v>
      </c>
      <c r="H34" s="139"/>
      <c r="I34" s="140">
        <f t="shared" ref="I34:Z34" si="7">IF(ISERROR(+I$33/I$26)=TRUE,0,+I$33/I$26)</f>
        <v>0</v>
      </c>
      <c r="J34" s="140">
        <f t="shared" si="7"/>
        <v>0</v>
      </c>
      <c r="K34" s="140">
        <f t="shared" si="7"/>
        <v>0</v>
      </c>
      <c r="L34" s="140">
        <f t="shared" si="7"/>
        <v>0</v>
      </c>
      <c r="M34" s="140">
        <f t="shared" si="7"/>
        <v>0</v>
      </c>
      <c r="N34" s="140">
        <f t="shared" si="7"/>
        <v>0</v>
      </c>
      <c r="O34" s="140">
        <f t="shared" si="7"/>
        <v>0</v>
      </c>
      <c r="P34" s="140">
        <f t="shared" si="7"/>
        <v>0</v>
      </c>
      <c r="Q34" s="138"/>
      <c r="R34" s="138"/>
      <c r="S34" s="140">
        <f t="shared" si="7"/>
        <v>0</v>
      </c>
      <c r="T34" s="140">
        <f t="shared" si="7"/>
        <v>0</v>
      </c>
      <c r="U34" s="140">
        <f t="shared" si="7"/>
        <v>0</v>
      </c>
      <c r="V34" s="140">
        <f t="shared" si="7"/>
        <v>0</v>
      </c>
      <c r="W34" s="140">
        <f t="shared" si="7"/>
        <v>0</v>
      </c>
      <c r="X34" s="140">
        <f t="shared" si="7"/>
        <v>0</v>
      </c>
      <c r="Y34" s="140">
        <f t="shared" si="7"/>
        <v>0</v>
      </c>
      <c r="Z34" s="140">
        <f t="shared" si="7"/>
        <v>0</v>
      </c>
      <c r="AA34" s="138"/>
      <c r="AB34" s="140" t="str">
        <f t="shared" ref="AB34:AI46" si="8">IF(OR(AND(IFERROR(HLOOKUP(AB$21,$S$22:$Z$189,$D34,FALSE)=0,"VRAI"),IFERROR(HLOOKUP(AB$21,$I$22:$P$189,$D34,FALSE)=0,"VRAI")),AND(IFERROR(HLOOKUP(AB$21,$S$22:$Z$189,$D34,FALSE)="","VRAI"),IFERROR(HLOOKUP(AB$21,$I$22:$P$188,$D34,FALSE)="","VRAI"))),"",IFERROR(HLOOKUP(AB$21,$I$22:$P$189,$D34,FALSE)-HLOOKUP(AB$21,$S$22:$Z$189,$D34,FALSE),""))</f>
        <v/>
      </c>
      <c r="AC34" s="140" t="str">
        <f t="shared" si="8"/>
        <v/>
      </c>
      <c r="AD34" s="140" t="str">
        <f t="shared" si="8"/>
        <v/>
      </c>
      <c r="AE34" s="140" t="str">
        <f t="shared" si="8"/>
        <v/>
      </c>
      <c r="AF34" s="140" t="str">
        <f t="shared" si="8"/>
        <v/>
      </c>
      <c r="AG34" s="140" t="str">
        <f t="shared" si="8"/>
        <v/>
      </c>
      <c r="AH34" s="140" t="str">
        <f t="shared" si="8"/>
        <v/>
      </c>
      <c r="AI34" s="140" t="str">
        <f t="shared" si="8"/>
        <v/>
      </c>
      <c r="AK34" s="98"/>
      <c r="AL34" s="99"/>
      <c r="AM34" s="100"/>
      <c r="AN34" s="101"/>
      <c r="AO34" s="101"/>
      <c r="AP34" s="102"/>
      <c r="AQ34" s="102"/>
      <c r="AR34" s="101"/>
      <c r="AS34" s="103"/>
      <c r="AT34" s="103"/>
      <c r="AU34" s="104"/>
      <c r="AW34" s="105"/>
    </row>
    <row r="35" spans="1:49" ht="21.75" customHeight="1" thickBot="1">
      <c r="A35" s="52" t="s">
        <v>78</v>
      </c>
      <c r="B35" s="42"/>
      <c r="C35" s="42"/>
      <c r="D35" s="42">
        <v>14</v>
      </c>
      <c r="G35" s="201" t="str">
        <f>_xll.DBRA(Server&amp;$A$21,$A35,$H$18)</f>
        <v>Management fees</v>
      </c>
      <c r="H35" s="202"/>
      <c r="I35" s="133">
        <f>_xll.DBRW($G$3,$H$15,$H$17,$H$13,$H$16,$H$14,I$2,$H$12,$A35)</f>
        <v>0</v>
      </c>
      <c r="J35" s="134">
        <f>_xll.DBRW($G$3,$H$15,$H$17,$H$13,$H$16,$H$14,J$2,$H$12,$A35)</f>
        <v>0</v>
      </c>
      <c r="K35" s="134">
        <f>_xll.DBRW($G$3,$H$15,$H$17,$H$13,$H$16,$H$14,K$2,$H$12,$A35)</f>
        <v>0</v>
      </c>
      <c r="L35" s="134">
        <f>_xll.DBRW($G$3,$H$15,$H$17,$H$13,$H$16,$H$14,L$2,$H$12,$A35)</f>
        <v>0</v>
      </c>
      <c r="M35" s="134">
        <f>_xll.DBRW($G$3,$H$15,$H$17,$H$13,$H$16,$H$14,M$2,$H$12,$A35)</f>
        <v>0</v>
      </c>
      <c r="N35" s="134">
        <f>_xll.DBRW($G$3,$H$15,$H$17,$H$13,$H$16,$H$14,N$2,$H$12,$A35)</f>
        <v>0</v>
      </c>
      <c r="O35" s="134">
        <f>_xll.DBRW($G$3,$H$15,$H$17,$H$13,$H$16,$H$14,O$2,$H$12,$A35)</f>
        <v>0</v>
      </c>
      <c r="P35" s="135">
        <f>_xll.DBRW($G$3,$H$15,$H$17,$H$13,$H$16,$H$14,P$2,$H$12,$A35)</f>
        <v>0</v>
      </c>
      <c r="Q35" s="136"/>
      <c r="R35" s="136"/>
      <c r="S35" s="133">
        <f>_xll.DBRW($G$3,$U$15,$H$17,$U$13,$U$16,$U$14,S$2,$U$12,$A35)</f>
        <v>0</v>
      </c>
      <c r="T35" s="134">
        <f>_xll.DBRW($G$3,$U$15,$H$17,$U$13,$U$16,$U$14,T$2,$U$12,$A35)</f>
        <v>0</v>
      </c>
      <c r="U35" s="134">
        <f>_xll.DBRW($G$3,$U$15,$H$17,$U$13,$U$16,$U$14,U$2,$U$12,$A35)</f>
        <v>0</v>
      </c>
      <c r="V35" s="134">
        <f>_xll.DBRW($G$3,$U$15,$H$17,$U$13,$U$16,$U$14,V$2,$U$12,$A35)</f>
        <v>0</v>
      </c>
      <c r="W35" s="134">
        <f>_xll.DBRW($G$3,$U$15,$H$17,$U$13,$U$16,$U$14,W$2,$U$12,$A35)</f>
        <v>0</v>
      </c>
      <c r="X35" s="134">
        <f>_xll.DBRW($G$3,$U$15,$H$17,$U$13,$U$16,$U$14,X$2,$U$12,$A35)</f>
        <v>0</v>
      </c>
      <c r="Y35" s="134">
        <f>_xll.DBRW($G$3,$U$15,$H$17,$U$13,$U$16,$U$14,Y$2,$U$12,$A35)</f>
        <v>0</v>
      </c>
      <c r="Z35" s="135">
        <f>_xll.DBRW($G$3,$U$15,$H$17,$U$13,$U$16,$U$14,Z$2,$U$12,$A35)</f>
        <v>0</v>
      </c>
      <c r="AA35" s="136"/>
      <c r="AB35" s="133" t="str">
        <f t="shared" si="8"/>
        <v/>
      </c>
      <c r="AC35" s="134" t="str">
        <f t="shared" si="8"/>
        <v/>
      </c>
      <c r="AD35" s="134" t="str">
        <f t="shared" si="8"/>
        <v/>
      </c>
      <c r="AE35" s="134" t="str">
        <f t="shared" si="8"/>
        <v/>
      </c>
      <c r="AF35" s="134" t="str">
        <f t="shared" si="8"/>
        <v/>
      </c>
      <c r="AG35" s="134" t="str">
        <f t="shared" si="8"/>
        <v/>
      </c>
      <c r="AH35" s="134" t="str">
        <f t="shared" si="8"/>
        <v/>
      </c>
      <c r="AI35" s="135" t="str">
        <f t="shared" si="8"/>
        <v/>
      </c>
      <c r="AJ35" s="44"/>
      <c r="AK35" s="62"/>
      <c r="AL35" s="63"/>
      <c r="AM35" s="48"/>
      <c r="AN35" s="49"/>
      <c r="AO35" s="49"/>
      <c r="AP35" s="65"/>
      <c r="AQ35" s="65"/>
      <c r="AR35" s="49"/>
      <c r="AS35" s="27"/>
      <c r="AT35" s="26"/>
      <c r="AU35" s="54"/>
    </row>
    <row r="36" spans="1:49" ht="21.75" customHeight="1" thickBot="1">
      <c r="A36" s="52" t="s">
        <v>50</v>
      </c>
      <c r="B36" s="67"/>
      <c r="C36" s="42"/>
      <c r="D36" s="42">
        <v>15</v>
      </c>
      <c r="G36" s="213" t="str">
        <f>_xll.DBRA(Server&amp;$A$21,$A36,$H$18)</f>
        <v>OPERATING PROFIT</v>
      </c>
      <c r="H36" s="213"/>
      <c r="I36" s="137">
        <f>_xll.DBRW($G$3,$H$15,$H$17,$H$13,$H$16,$H$14,I$2,$H$12,$A36)</f>
        <v>0</v>
      </c>
      <c r="J36" s="137">
        <f>_xll.DBRW($G$3,$H$15,$H$17,$H$13,$H$16,$H$14,J$2,$H$12,$A36)</f>
        <v>0</v>
      </c>
      <c r="K36" s="137">
        <f>_xll.DBRW($G$3,$H$15,$H$17,$H$13,$H$16,$H$14,K$2,$H$12,$A36)</f>
        <v>0</v>
      </c>
      <c r="L36" s="137">
        <f>_xll.DBRW($G$3,$H$15,$H$17,$H$13,$H$16,$H$14,L$2,$H$12,$A36)</f>
        <v>0</v>
      </c>
      <c r="M36" s="137">
        <f>_xll.DBRW($G$3,$H$15,$H$17,$H$13,$H$16,$H$14,M$2,$H$12,$A36)</f>
        <v>0</v>
      </c>
      <c r="N36" s="137">
        <f>_xll.DBRW($G$3,$H$15,$H$17,$H$13,$H$16,$H$14,N$2,$H$12,$A36)</f>
        <v>0</v>
      </c>
      <c r="O36" s="137">
        <f>_xll.DBRW($G$3,$H$15,$H$17,$H$13,$H$16,$H$14,O$2,$H$12,$A36)</f>
        <v>0</v>
      </c>
      <c r="P36" s="137">
        <f>_xll.DBRW($G$3,$H$15,$H$17,$H$13,$H$16,$H$14,P$2,$H$12,$A36)</f>
        <v>0</v>
      </c>
      <c r="Q36" s="138">
        <f>SUM(I36:P36)-SUM(I33:P33)-SUM(I35:P35)</f>
        <v>0</v>
      </c>
      <c r="R36" s="138"/>
      <c r="S36" s="137">
        <f>_xll.DBRW($G$3,$U$15,$H$17,$U$13,$U$16,$U$14,S$2,$U$12,$A36)</f>
        <v>0</v>
      </c>
      <c r="T36" s="137">
        <f>_xll.DBRW($G$3,$U$15,$H$17,$U$13,$U$16,$U$14,T$2,$U$12,$A36)</f>
        <v>0</v>
      </c>
      <c r="U36" s="137">
        <f>_xll.DBRW($G$3,$U$15,$H$17,$U$13,$U$16,$U$14,U$2,$U$12,$A36)</f>
        <v>0</v>
      </c>
      <c r="V36" s="137">
        <f>_xll.DBRW($G$3,$U$15,$H$17,$U$13,$U$16,$U$14,V$2,$U$12,$A36)</f>
        <v>0</v>
      </c>
      <c r="W36" s="137">
        <f>_xll.DBRW($G$3,$U$15,$H$17,$U$13,$U$16,$U$14,W$2,$U$12,$A36)</f>
        <v>0</v>
      </c>
      <c r="X36" s="137">
        <f>_xll.DBRW($G$3,$U$15,$H$17,$U$13,$U$16,$U$14,X$2,$U$12,$A36)</f>
        <v>0</v>
      </c>
      <c r="Y36" s="137">
        <f>_xll.DBRW($G$3,$U$15,$H$17,$U$13,$U$16,$U$14,Y$2,$U$12,$A36)</f>
        <v>0</v>
      </c>
      <c r="Z36" s="137">
        <f>_xll.DBRW($G$3,$U$15,$H$17,$U$13,$U$16,$U$14,Z$2,$U$12,$A36)</f>
        <v>0</v>
      </c>
      <c r="AA36" s="138">
        <f>SUM(S36:Z36)-SUM(S33:Z33)-SUM(S35:Z35)</f>
        <v>0</v>
      </c>
      <c r="AB36" s="137" t="str">
        <f t="shared" si="8"/>
        <v/>
      </c>
      <c r="AC36" s="137" t="str">
        <f t="shared" si="8"/>
        <v/>
      </c>
      <c r="AD36" s="137" t="str">
        <f t="shared" si="8"/>
        <v/>
      </c>
      <c r="AE36" s="137" t="str">
        <f t="shared" si="8"/>
        <v/>
      </c>
      <c r="AF36" s="137" t="str">
        <f t="shared" si="8"/>
        <v/>
      </c>
      <c r="AG36" s="137" t="str">
        <f t="shared" si="8"/>
        <v/>
      </c>
      <c r="AH36" s="137" t="str">
        <f t="shared" si="8"/>
        <v/>
      </c>
      <c r="AI36" s="137" t="str">
        <f t="shared" si="8"/>
        <v/>
      </c>
      <c r="AJ36" s="44"/>
      <c r="AK36" s="49"/>
      <c r="AL36" s="51" t="s">
        <v>48</v>
      </c>
      <c r="AM36" s="49"/>
      <c r="AN36" s="49"/>
      <c r="AO36" s="49"/>
      <c r="AP36" s="65" t="s">
        <v>76</v>
      </c>
      <c r="AQ36" s="65" t="s">
        <v>66</v>
      </c>
      <c r="AR36" s="49"/>
      <c r="AS36" s="27"/>
      <c r="AT36" s="26"/>
      <c r="AU36" s="54"/>
    </row>
    <row r="37" spans="1:49" s="97" customFormat="1" ht="21.75" customHeight="1">
      <c r="A37" s="92" t="s">
        <v>158</v>
      </c>
      <c r="B37" s="93"/>
      <c r="C37" s="94"/>
      <c r="D37" s="42">
        <v>16</v>
      </c>
      <c r="E37" s="95"/>
      <c r="F37" s="96"/>
      <c r="G37" s="139" t="str">
        <f>IF(H18="English","        EBIT margin (% ROA)","        Marge RESOP (%PAO)")</f>
        <v xml:space="preserve">        EBIT margin (% ROA)</v>
      </c>
      <c r="H37" s="139"/>
      <c r="I37" s="140">
        <f t="shared" ref="I37:Z37" si="9">IF(ISERROR(+I$36/I$26)=TRUE,0,+I$36/I$26)</f>
        <v>0</v>
      </c>
      <c r="J37" s="140">
        <f t="shared" si="9"/>
        <v>0</v>
      </c>
      <c r="K37" s="140">
        <f t="shared" si="9"/>
        <v>0</v>
      </c>
      <c r="L37" s="140">
        <f t="shared" si="9"/>
        <v>0</v>
      </c>
      <c r="M37" s="140">
        <f t="shared" si="9"/>
        <v>0</v>
      </c>
      <c r="N37" s="140">
        <f t="shared" si="9"/>
        <v>0</v>
      </c>
      <c r="O37" s="140">
        <f t="shared" si="9"/>
        <v>0</v>
      </c>
      <c r="P37" s="140">
        <f t="shared" si="9"/>
        <v>0</v>
      </c>
      <c r="Q37" s="136"/>
      <c r="R37" s="136"/>
      <c r="S37" s="140">
        <f t="shared" si="9"/>
        <v>0</v>
      </c>
      <c r="T37" s="140">
        <f t="shared" si="9"/>
        <v>0</v>
      </c>
      <c r="U37" s="140">
        <f t="shared" si="9"/>
        <v>0</v>
      </c>
      <c r="V37" s="140">
        <f t="shared" si="9"/>
        <v>0</v>
      </c>
      <c r="W37" s="140">
        <f t="shared" si="9"/>
        <v>0</v>
      </c>
      <c r="X37" s="140">
        <f t="shared" si="9"/>
        <v>0</v>
      </c>
      <c r="Y37" s="140">
        <f t="shared" si="9"/>
        <v>0</v>
      </c>
      <c r="Z37" s="140">
        <f t="shared" si="9"/>
        <v>0</v>
      </c>
      <c r="AA37" s="136"/>
      <c r="AB37" s="140" t="str">
        <f t="shared" si="8"/>
        <v/>
      </c>
      <c r="AC37" s="140" t="str">
        <f t="shared" si="8"/>
        <v/>
      </c>
      <c r="AD37" s="140" t="str">
        <f t="shared" si="8"/>
        <v/>
      </c>
      <c r="AE37" s="140" t="str">
        <f t="shared" si="8"/>
        <v/>
      </c>
      <c r="AF37" s="140" t="str">
        <f t="shared" si="8"/>
        <v/>
      </c>
      <c r="AG37" s="140" t="str">
        <f t="shared" si="8"/>
        <v/>
      </c>
      <c r="AH37" s="140" t="str">
        <f t="shared" si="8"/>
        <v/>
      </c>
      <c r="AI37" s="140" t="str">
        <f t="shared" si="8"/>
        <v/>
      </c>
      <c r="AK37" s="101"/>
      <c r="AL37" s="106" t="s">
        <v>45</v>
      </c>
      <c r="AM37" s="101"/>
      <c r="AN37" s="101"/>
      <c r="AO37" s="101"/>
      <c r="AP37" s="102" t="s">
        <v>77</v>
      </c>
      <c r="AQ37" s="102" t="s">
        <v>67</v>
      </c>
      <c r="AR37" s="101"/>
      <c r="AS37" s="103"/>
      <c r="AT37" s="103"/>
      <c r="AU37" s="104"/>
      <c r="AW37" s="105"/>
    </row>
    <row r="38" spans="1:49" ht="21.75" customHeight="1">
      <c r="A38" s="52" t="s">
        <v>144</v>
      </c>
      <c r="B38" s="67"/>
      <c r="C38" s="42"/>
      <c r="D38" s="42">
        <v>17</v>
      </c>
      <c r="G38" s="201" t="str">
        <f>_xll.DBRA(Server&amp;$A$21,$A38,$H$18)</f>
        <v>Cost of net financial debt (total)</v>
      </c>
      <c r="H38" s="202"/>
      <c r="I38" s="133">
        <f>_xll.DBRW($G$3,$H$15,$H$17,$H$13,$H$16,$H$14,I$2,$H$12,$A38)</f>
        <v>0</v>
      </c>
      <c r="J38" s="134">
        <f>_xll.DBRW($G$3,$H$15,$H$17,$H$13,$H$16,$H$14,J$2,$H$12,$A38)</f>
        <v>0</v>
      </c>
      <c r="K38" s="134">
        <f>_xll.DBRW($G$3,$H$15,$H$17,$H$13,$H$16,$H$14,K$2,$H$12,$A38)</f>
        <v>0</v>
      </c>
      <c r="L38" s="134">
        <f>_xll.DBRW($G$3,$H$15,$H$17,$H$13,$H$16,$H$14,L$2,$H$12,$A38)</f>
        <v>0</v>
      </c>
      <c r="M38" s="134">
        <f>_xll.DBRW($G$3,$H$15,$H$17,$H$13,$H$16,$H$14,M$2,$H$12,$A38)</f>
        <v>0</v>
      </c>
      <c r="N38" s="134">
        <f>_xll.DBRW($G$3,$H$15,$H$17,$H$13,$H$16,$H$14,N$2,$H$12,$A38)</f>
        <v>0</v>
      </c>
      <c r="O38" s="134">
        <f>_xll.DBRW($G$3,$H$15,$H$17,$H$13,$H$16,$H$14,O$2,$H$12,$A38)</f>
        <v>0</v>
      </c>
      <c r="P38" s="135">
        <f>_xll.DBRW($G$3,$H$15,$H$17,$H$13,$H$16,$H$14,P$2,$H$12,$A38)</f>
        <v>0</v>
      </c>
      <c r="Q38" s="129"/>
      <c r="R38" s="129"/>
      <c r="S38" s="133">
        <f>_xll.DBRW($G$3,$U$15,$H$17,$U$13,$U$16,$U$14,S$2,$U$12,$A38)</f>
        <v>0</v>
      </c>
      <c r="T38" s="134">
        <f>_xll.DBRW($G$3,$U$15,$H$17,$U$13,$U$16,$U$14,T$2,$U$12,$A38)</f>
        <v>0</v>
      </c>
      <c r="U38" s="134">
        <f>_xll.DBRW($G$3,$U$15,$H$17,$U$13,$U$16,$U$14,U$2,$U$12,$A38)</f>
        <v>0</v>
      </c>
      <c r="V38" s="134">
        <f>_xll.DBRW($G$3,$U$15,$H$17,$U$13,$U$16,$U$14,V$2,$U$12,$A38)</f>
        <v>0</v>
      </c>
      <c r="W38" s="134">
        <f>_xll.DBRW($G$3,$U$15,$H$17,$U$13,$U$16,$U$14,W$2,$U$12,$A38)</f>
        <v>0</v>
      </c>
      <c r="X38" s="134">
        <f>_xll.DBRW($G$3,$U$15,$H$17,$U$13,$U$16,$U$14,X$2,$U$12,$A38)</f>
        <v>0</v>
      </c>
      <c r="Y38" s="134">
        <f>_xll.DBRW($G$3,$U$15,$H$17,$U$13,$U$16,$U$14,Y$2,$U$12,$A38)</f>
        <v>0</v>
      </c>
      <c r="Z38" s="135">
        <f>_xll.DBRW($G$3,$U$15,$H$17,$U$13,$U$16,$U$14,Z$2,$U$12,$A38)</f>
        <v>0</v>
      </c>
      <c r="AA38" s="129"/>
      <c r="AB38" s="133" t="str">
        <f t="shared" si="8"/>
        <v/>
      </c>
      <c r="AC38" s="134" t="str">
        <f t="shared" si="8"/>
        <v/>
      </c>
      <c r="AD38" s="134" t="str">
        <f t="shared" si="8"/>
        <v/>
      </c>
      <c r="AE38" s="134" t="str">
        <f t="shared" si="8"/>
        <v/>
      </c>
      <c r="AF38" s="134" t="str">
        <f t="shared" si="8"/>
        <v/>
      </c>
      <c r="AG38" s="134" t="str">
        <f t="shared" si="8"/>
        <v/>
      </c>
      <c r="AH38" s="134" t="str">
        <f t="shared" si="8"/>
        <v/>
      </c>
      <c r="AI38" s="135" t="str">
        <f t="shared" si="8"/>
        <v/>
      </c>
      <c r="AJ38" s="44"/>
      <c r="AK38" s="49"/>
      <c r="AL38" s="51" t="s">
        <v>85</v>
      </c>
      <c r="AM38" s="49"/>
      <c r="AN38" s="49"/>
      <c r="AO38" s="49"/>
      <c r="AP38" s="70"/>
      <c r="AQ38" s="70"/>
      <c r="AR38" s="49"/>
      <c r="AS38" s="27"/>
      <c r="AT38" s="26"/>
      <c r="AU38" s="54"/>
    </row>
    <row r="39" spans="1:49" ht="21.75" customHeight="1" thickBot="1">
      <c r="A39" s="52" t="s">
        <v>2</v>
      </c>
      <c r="B39" s="42"/>
      <c r="C39" s="42"/>
      <c r="D39" s="42">
        <v>18</v>
      </c>
      <c r="G39" s="201" t="str">
        <f>_xll.DBRA(Server&amp;$A$21,$A39,$H$18)</f>
        <v>Other financial result</v>
      </c>
      <c r="H39" s="202"/>
      <c r="I39" s="133">
        <f>_xll.DBRW($G$3,$H$15,$H$17,$H$13,$H$16,$H$14,I$2,$H$12,$A39)</f>
        <v>0</v>
      </c>
      <c r="J39" s="134">
        <f>_xll.DBRW($G$3,$H$15,$H$17,$H$13,$H$16,$H$14,J$2,$H$12,$A39)</f>
        <v>0</v>
      </c>
      <c r="K39" s="134">
        <f>_xll.DBRW($G$3,$H$15,$H$17,$H$13,$H$16,$H$14,K$2,$H$12,$A39)</f>
        <v>0</v>
      </c>
      <c r="L39" s="134">
        <f>_xll.DBRW($G$3,$H$15,$H$17,$H$13,$H$16,$H$14,L$2,$H$12,$A39)</f>
        <v>0</v>
      </c>
      <c r="M39" s="134">
        <f>_xll.DBRW($G$3,$H$15,$H$17,$H$13,$H$16,$H$14,M$2,$H$12,$A39)</f>
        <v>0</v>
      </c>
      <c r="N39" s="134">
        <f>_xll.DBRW($G$3,$H$15,$H$17,$H$13,$H$16,$H$14,N$2,$H$12,$A39)</f>
        <v>0</v>
      </c>
      <c r="O39" s="134">
        <f>_xll.DBRW($G$3,$H$15,$H$17,$H$13,$H$16,$H$14,O$2,$H$12,$A39)</f>
        <v>0</v>
      </c>
      <c r="P39" s="135">
        <f>_xll.DBRW($G$3,$H$15,$H$17,$H$13,$H$16,$H$14,P$2,$H$12,$A39)</f>
        <v>0</v>
      </c>
      <c r="Q39" s="129"/>
      <c r="R39" s="129"/>
      <c r="S39" s="133">
        <f>_xll.DBRW($G$3,$U$15,$H$17,$U$13,$U$16,$U$14,S$2,$U$12,$A39)</f>
        <v>0</v>
      </c>
      <c r="T39" s="134">
        <f>_xll.DBRW($G$3,$U$15,$H$17,$U$13,$U$16,$U$14,T$2,$U$12,$A39)</f>
        <v>0</v>
      </c>
      <c r="U39" s="134">
        <f>_xll.DBRW($G$3,$U$15,$H$17,$U$13,$U$16,$U$14,U$2,$U$12,$A39)</f>
        <v>0</v>
      </c>
      <c r="V39" s="134">
        <f>_xll.DBRW($G$3,$U$15,$H$17,$U$13,$U$16,$U$14,V$2,$U$12,$A39)</f>
        <v>0</v>
      </c>
      <c r="W39" s="134">
        <f>_xll.DBRW($G$3,$U$15,$H$17,$U$13,$U$16,$U$14,W$2,$U$12,$A39)</f>
        <v>0</v>
      </c>
      <c r="X39" s="134">
        <f>_xll.DBRW($G$3,$U$15,$H$17,$U$13,$U$16,$U$14,X$2,$U$12,$A39)</f>
        <v>0</v>
      </c>
      <c r="Y39" s="134">
        <f>_xll.DBRW($G$3,$U$15,$H$17,$U$13,$U$16,$U$14,Y$2,$U$12,$A39)</f>
        <v>0</v>
      </c>
      <c r="Z39" s="135">
        <f>_xll.DBRW($G$3,$U$15,$H$17,$U$13,$U$16,$U$14,Z$2,$U$12,$A39)</f>
        <v>0</v>
      </c>
      <c r="AA39" s="129"/>
      <c r="AB39" s="133" t="str">
        <f t="shared" si="8"/>
        <v/>
      </c>
      <c r="AC39" s="134" t="str">
        <f t="shared" si="8"/>
        <v/>
      </c>
      <c r="AD39" s="134" t="str">
        <f t="shared" si="8"/>
        <v/>
      </c>
      <c r="AE39" s="134" t="str">
        <f t="shared" si="8"/>
        <v/>
      </c>
      <c r="AF39" s="134" t="str">
        <f t="shared" si="8"/>
        <v/>
      </c>
      <c r="AG39" s="134" t="str">
        <f t="shared" si="8"/>
        <v/>
      </c>
      <c r="AH39" s="134" t="str">
        <f t="shared" si="8"/>
        <v/>
      </c>
      <c r="AI39" s="135" t="str">
        <f t="shared" si="8"/>
        <v/>
      </c>
      <c r="AJ39" s="44"/>
      <c r="AK39" s="49"/>
      <c r="AL39" s="51"/>
      <c r="AM39" s="49"/>
      <c r="AN39" s="49"/>
      <c r="AO39" s="49"/>
      <c r="AP39" s="70"/>
      <c r="AQ39" s="70"/>
      <c r="AR39" s="49"/>
      <c r="AS39" s="27"/>
      <c r="AT39" s="26"/>
      <c r="AU39" s="54"/>
    </row>
    <row r="40" spans="1:49" ht="21.75" customHeight="1" thickBot="1">
      <c r="A40" s="52" t="s">
        <v>3</v>
      </c>
      <c r="B40" s="67"/>
      <c r="C40" s="42"/>
      <c r="D40" s="42">
        <v>19</v>
      </c>
      <c r="G40" s="210" t="str">
        <f>_xll.DBRA(Server&amp;$A$21,$A40,$H$18)</f>
        <v>PROFIT OR LOSS before Tax</v>
      </c>
      <c r="H40" s="211"/>
      <c r="I40" s="137">
        <f>_xll.DBRW($G$3,$H$15,$H$17,$H$13,$H$16,$H$14,I$2,$H$12,$A40)</f>
        <v>0</v>
      </c>
      <c r="J40" s="137">
        <f>_xll.DBRW($G$3,$H$15,$H$17,$H$13,$H$16,$H$14,J$2,$H$12,$A40)</f>
        <v>0</v>
      </c>
      <c r="K40" s="137">
        <f>_xll.DBRW($G$3,$H$15,$H$17,$H$13,$H$16,$H$14,K$2,$H$12,$A40)</f>
        <v>0</v>
      </c>
      <c r="L40" s="137">
        <f>_xll.DBRW($G$3,$H$15,$H$17,$H$13,$H$16,$H$14,L$2,$H$12,$A40)</f>
        <v>0</v>
      </c>
      <c r="M40" s="137">
        <f>_xll.DBRW($G$3,$H$15,$H$17,$H$13,$H$16,$H$14,M$2,$H$12,$A40)</f>
        <v>0</v>
      </c>
      <c r="N40" s="137">
        <f>_xll.DBRW($G$3,$H$15,$H$17,$H$13,$H$16,$H$14,N$2,$H$12,$A40)</f>
        <v>0</v>
      </c>
      <c r="O40" s="137">
        <f>_xll.DBRW($G$3,$H$15,$H$17,$H$13,$H$16,$H$14,O$2,$H$12,$A40)</f>
        <v>0</v>
      </c>
      <c r="P40" s="137">
        <f>_xll.DBRW($G$3,$H$15,$H$17,$H$13,$H$16,$H$14,P$2,$H$12,$A40)</f>
        <v>0</v>
      </c>
      <c r="Q40" s="138">
        <f>SUM(I40:P40)-SUM(I36:P36)-SUM(I38:P39)</f>
        <v>0</v>
      </c>
      <c r="R40" s="138"/>
      <c r="S40" s="137">
        <f>_xll.DBRW($G$3,$U$15,$H$17,$U$13,$U$16,$U$14,S$2,$U$12,$A40)</f>
        <v>0</v>
      </c>
      <c r="T40" s="137">
        <f>_xll.DBRW($G$3,$U$15,$H$17,$U$13,$U$16,$U$14,T$2,$U$12,$A40)</f>
        <v>0</v>
      </c>
      <c r="U40" s="137">
        <f>_xll.DBRW($G$3,$U$15,$H$17,$U$13,$U$16,$U$14,U$2,$U$12,$A40)</f>
        <v>0</v>
      </c>
      <c r="V40" s="137">
        <f>_xll.DBRW($G$3,$U$15,$H$17,$U$13,$U$16,$U$14,V$2,$U$12,$A40)</f>
        <v>0</v>
      </c>
      <c r="W40" s="137">
        <f>_xll.DBRW($G$3,$U$15,$H$17,$U$13,$U$16,$U$14,W$2,$U$12,$A40)</f>
        <v>0</v>
      </c>
      <c r="X40" s="137">
        <f>_xll.DBRW($G$3,$U$15,$H$17,$U$13,$U$16,$U$14,X$2,$U$12,$A40)</f>
        <v>0</v>
      </c>
      <c r="Y40" s="137">
        <f>_xll.DBRW($G$3,$U$15,$H$17,$U$13,$U$16,$U$14,Y$2,$U$12,$A40)</f>
        <v>0</v>
      </c>
      <c r="Z40" s="137">
        <f>_xll.DBRW($G$3,$U$15,$H$17,$U$13,$U$16,$U$14,Z$2,$U$12,$A40)</f>
        <v>0</v>
      </c>
      <c r="AA40" s="138">
        <f>SUM(S40:Z40)-SUM(S36:Z36)-SUM(S38:Z39)</f>
        <v>0</v>
      </c>
      <c r="AB40" s="137" t="str">
        <f t="shared" si="8"/>
        <v/>
      </c>
      <c r="AC40" s="137" t="str">
        <f t="shared" si="8"/>
        <v/>
      </c>
      <c r="AD40" s="137" t="str">
        <f t="shared" si="8"/>
        <v/>
      </c>
      <c r="AE40" s="137" t="str">
        <f t="shared" si="8"/>
        <v/>
      </c>
      <c r="AF40" s="137" t="str">
        <f t="shared" si="8"/>
        <v/>
      </c>
      <c r="AG40" s="137" t="str">
        <f t="shared" si="8"/>
        <v/>
      </c>
      <c r="AH40" s="137" t="str">
        <f t="shared" si="8"/>
        <v/>
      </c>
      <c r="AI40" s="137" t="str">
        <f t="shared" si="8"/>
        <v/>
      </c>
      <c r="AJ40" s="44"/>
      <c r="AK40" s="49"/>
      <c r="AL40" s="51" t="s">
        <v>120</v>
      </c>
      <c r="AM40" s="49"/>
      <c r="AN40" s="49"/>
      <c r="AO40" s="49"/>
      <c r="AP40" s="65" t="s">
        <v>46</v>
      </c>
      <c r="AQ40" s="70" t="s">
        <v>80</v>
      </c>
      <c r="AR40" s="49"/>
      <c r="AS40" s="27"/>
      <c r="AT40" s="26"/>
      <c r="AU40" s="54"/>
    </row>
    <row r="41" spans="1:49" ht="21.75" customHeight="1" thickBot="1">
      <c r="A41" s="52" t="s">
        <v>4</v>
      </c>
      <c r="B41" s="81"/>
      <c r="C41" s="42"/>
      <c r="D41" s="42">
        <v>20</v>
      </c>
      <c r="G41" s="201" t="str">
        <f>_xll.DBRA(Server&amp;$A$21,$A41,$H$18)</f>
        <v>Income tax expense</v>
      </c>
      <c r="H41" s="202"/>
      <c r="I41" s="133">
        <f>_xll.DBRW($G$3,$H$15,$H$17,$H$13,$H$16,$H$14,I$2,$H$12,$A41)</f>
        <v>0</v>
      </c>
      <c r="J41" s="134">
        <f>_xll.DBRW($G$3,$H$15,$H$17,$H$13,$H$16,$H$14,J$2,$H$12,$A41)</f>
        <v>0</v>
      </c>
      <c r="K41" s="134">
        <f>_xll.DBRW($G$3,$H$15,$H$17,$H$13,$H$16,$H$14,K$2,$H$12,$A41)</f>
        <v>0</v>
      </c>
      <c r="L41" s="134">
        <f>_xll.DBRW($G$3,$H$15,$H$17,$H$13,$H$16,$H$14,L$2,$H$12,$A41)</f>
        <v>0</v>
      </c>
      <c r="M41" s="134">
        <f>_xll.DBRW($G$3,$H$15,$H$17,$H$13,$H$16,$H$14,M$2,$H$12,$A41)</f>
        <v>0</v>
      </c>
      <c r="N41" s="134">
        <f>_xll.DBRW($G$3,$H$15,$H$17,$H$13,$H$16,$H$14,N$2,$H$12,$A41)</f>
        <v>0</v>
      </c>
      <c r="O41" s="134">
        <f>_xll.DBRW($G$3,$H$15,$H$17,$H$13,$H$16,$H$14,O$2,$H$12,$A41)</f>
        <v>0</v>
      </c>
      <c r="P41" s="135">
        <f>_xll.DBRW($G$3,$H$15,$H$17,$H$13,$H$16,$H$14,P$2,$H$12,$A41)</f>
        <v>0</v>
      </c>
      <c r="Q41" s="138"/>
      <c r="R41" s="138"/>
      <c r="S41" s="133">
        <f>_xll.DBRW($G$3,$U$15,$H$17,$U$13,$U$16,$U$14,S$2,$U$12,$A41)</f>
        <v>0</v>
      </c>
      <c r="T41" s="134">
        <f>_xll.DBRW($G$3,$U$15,$H$17,$U$13,$U$16,$U$14,T$2,$U$12,$A41)</f>
        <v>0</v>
      </c>
      <c r="U41" s="134">
        <f>_xll.DBRW($G$3,$U$15,$H$17,$U$13,$U$16,$U$14,U$2,$U$12,$A41)</f>
        <v>0</v>
      </c>
      <c r="V41" s="134">
        <f>_xll.DBRW($G$3,$U$15,$H$17,$U$13,$U$16,$U$14,V$2,$U$12,$A41)</f>
        <v>0</v>
      </c>
      <c r="W41" s="134">
        <f>_xll.DBRW($G$3,$U$15,$H$17,$U$13,$U$16,$U$14,W$2,$U$12,$A41)</f>
        <v>0</v>
      </c>
      <c r="X41" s="134">
        <f>_xll.DBRW($G$3,$U$15,$H$17,$U$13,$U$16,$U$14,X$2,$U$12,$A41)</f>
        <v>0</v>
      </c>
      <c r="Y41" s="134">
        <f>_xll.DBRW($G$3,$U$15,$H$17,$U$13,$U$16,$U$14,Y$2,$U$12,$A41)</f>
        <v>0</v>
      </c>
      <c r="Z41" s="135">
        <f>_xll.DBRW($G$3,$U$15,$H$17,$U$13,$U$16,$U$14,Z$2,$U$12,$A41)</f>
        <v>0</v>
      </c>
      <c r="AA41" s="138"/>
      <c r="AB41" s="133" t="str">
        <f t="shared" si="8"/>
        <v/>
      </c>
      <c r="AC41" s="134" t="str">
        <f t="shared" si="8"/>
        <v/>
      </c>
      <c r="AD41" s="134" t="str">
        <f t="shared" si="8"/>
        <v/>
      </c>
      <c r="AE41" s="134" t="str">
        <f t="shared" si="8"/>
        <v/>
      </c>
      <c r="AF41" s="134" t="str">
        <f t="shared" si="8"/>
        <v/>
      </c>
      <c r="AG41" s="134" t="str">
        <f t="shared" si="8"/>
        <v/>
      </c>
      <c r="AH41" s="134" t="str">
        <f t="shared" si="8"/>
        <v/>
      </c>
      <c r="AI41" s="135" t="str">
        <f t="shared" si="8"/>
        <v/>
      </c>
      <c r="AJ41" s="44"/>
      <c r="AK41" s="62"/>
      <c r="AL41" s="63" t="s">
        <v>53</v>
      </c>
      <c r="AM41" s="66" t="str">
        <f>_xll.DBRA(Server&amp;"LTP_Components",$AL54,$H$18)</f>
        <v/>
      </c>
      <c r="AN41" s="64" t="str">
        <f>IF($AN$28 = "1",$AM$28,$AM$29)</f>
        <v>Total - Long Term Plan</v>
      </c>
      <c r="AO41" s="49"/>
      <c r="AP41" s="65" t="s">
        <v>57</v>
      </c>
      <c r="AQ41" s="65" t="s">
        <v>64</v>
      </c>
      <c r="AR41" s="49"/>
      <c r="AS41" s="27"/>
      <c r="AT41" s="26"/>
      <c r="AU41" s="54"/>
    </row>
    <row r="42" spans="1:49" ht="21.75" hidden="1" customHeight="1" outlineLevel="1" thickBot="1">
      <c r="A42" s="52" t="s">
        <v>145</v>
      </c>
      <c r="B42" s="81"/>
      <c r="C42" s="42"/>
      <c r="D42" s="42">
        <v>21</v>
      </c>
      <c r="G42" s="201" t="str">
        <f>_xll.DBRA(Server&amp;$A$21,$A42,$H$18)</f>
        <v>Profit or loss from discontinued activities</v>
      </c>
      <c r="H42" s="202"/>
      <c r="I42" s="133">
        <f>_xll.DBRW($G$3,$H$15,$H$17,$H$13,$H$16,$H$14,I$2,$H$12,$A42)</f>
        <v>0</v>
      </c>
      <c r="J42" s="134">
        <f>_xll.DBRW($G$3,$H$15,$H$17,$H$13,$H$16,$H$14,J$2,$H$12,$A42)</f>
        <v>0</v>
      </c>
      <c r="K42" s="134">
        <f>_xll.DBRW($G$3,$H$15,$H$17,$H$13,$H$16,$H$14,K$2,$H$12,$A42)</f>
        <v>0</v>
      </c>
      <c r="L42" s="134">
        <f>_xll.DBRW($G$3,$H$15,$H$17,$H$13,$H$16,$H$14,L$2,$H$12,$A42)</f>
        <v>0</v>
      </c>
      <c r="M42" s="134">
        <f>_xll.DBRW($G$3,$H$15,$H$17,$H$13,$H$16,$H$14,M$2,$H$12,$A42)</f>
        <v>0</v>
      </c>
      <c r="N42" s="134">
        <f>_xll.DBRW($G$3,$H$15,$H$17,$H$13,$H$16,$H$14,N$2,$H$12,$A42)</f>
        <v>0</v>
      </c>
      <c r="O42" s="134">
        <f>_xll.DBRW($G$3,$H$15,$H$17,$H$13,$H$16,$H$14,O$2,$H$12,$A42)</f>
        <v>0</v>
      </c>
      <c r="P42" s="135">
        <f>_xll.DBRW($G$3,$H$15,$H$17,$H$13,$H$16,$H$14,P$2,$H$12,$A42)</f>
        <v>0</v>
      </c>
      <c r="Q42" s="138"/>
      <c r="R42" s="138"/>
      <c r="S42" s="133">
        <f>_xll.DBRW($G$3,$U$15,$H$17,$U$13,$U$16,$U$14,S$2,$U$12,$A42)</f>
        <v>0</v>
      </c>
      <c r="T42" s="134">
        <f>_xll.DBRW($G$3,$U$15,$H$17,$U$13,$U$16,$U$14,T$2,$U$12,$A42)</f>
        <v>0</v>
      </c>
      <c r="U42" s="134">
        <f>_xll.DBRW($G$3,$U$15,$H$17,$U$13,$U$16,$U$14,U$2,$U$12,$A42)</f>
        <v>0</v>
      </c>
      <c r="V42" s="134">
        <f>_xll.DBRW($G$3,$U$15,$H$17,$U$13,$U$16,$U$14,V$2,$U$12,$A42)</f>
        <v>0</v>
      </c>
      <c r="W42" s="134">
        <f>_xll.DBRW($G$3,$U$15,$H$17,$U$13,$U$16,$U$14,W$2,$U$12,$A42)</f>
        <v>0</v>
      </c>
      <c r="X42" s="134">
        <f>_xll.DBRW($G$3,$U$15,$H$17,$U$13,$U$16,$U$14,X$2,$U$12,$A42)</f>
        <v>0</v>
      </c>
      <c r="Y42" s="134">
        <f>_xll.DBRW($G$3,$U$15,$H$17,$U$13,$U$16,$U$14,Y$2,$U$12,$A42)</f>
        <v>0</v>
      </c>
      <c r="Z42" s="135">
        <f>_xll.DBRW($G$3,$U$15,$H$17,$U$13,$U$16,$U$14,Z$2,$U$12,$A42)</f>
        <v>0</v>
      </c>
      <c r="AA42" s="138"/>
      <c r="AB42" s="133" t="str">
        <f t="shared" si="8"/>
        <v/>
      </c>
      <c r="AC42" s="134" t="str">
        <f t="shared" si="8"/>
        <v/>
      </c>
      <c r="AD42" s="134" t="str">
        <f t="shared" si="8"/>
        <v/>
      </c>
      <c r="AE42" s="134" t="str">
        <f t="shared" si="8"/>
        <v/>
      </c>
      <c r="AF42" s="134" t="str">
        <f t="shared" si="8"/>
        <v/>
      </c>
      <c r="AG42" s="134" t="str">
        <f t="shared" si="8"/>
        <v/>
      </c>
      <c r="AH42" s="134" t="str">
        <f t="shared" si="8"/>
        <v/>
      </c>
      <c r="AI42" s="135" t="str">
        <f t="shared" si="8"/>
        <v/>
      </c>
      <c r="AJ42" s="44"/>
      <c r="AK42" s="49"/>
      <c r="AL42" s="51"/>
      <c r="AM42" s="49"/>
      <c r="AN42" s="49"/>
      <c r="AO42" s="49"/>
      <c r="AP42" s="70"/>
      <c r="AQ42" s="70"/>
      <c r="AR42" s="49"/>
      <c r="AS42" s="27"/>
      <c r="AT42" s="26"/>
      <c r="AU42" s="54"/>
    </row>
    <row r="43" spans="1:49" ht="21.75" customHeight="1" collapsed="1" thickBot="1">
      <c r="A43" s="52" t="s">
        <v>5</v>
      </c>
      <c r="B43" s="67"/>
      <c r="C43" s="42"/>
      <c r="D43" s="42">
        <v>22</v>
      </c>
      <c r="G43" s="210" t="str">
        <f>_xll.DBRA(Server&amp;$A$21,$A43,$H$18)</f>
        <v>NET PROFIT OR LOSS</v>
      </c>
      <c r="H43" s="211"/>
      <c r="I43" s="141">
        <f>_xll.DBRW($G$3,$H$15,$H$17,$H$13,$H$16,$H$14,I$2,$H$12,$A43)</f>
        <v>0</v>
      </c>
      <c r="J43" s="141">
        <f>_xll.DBRW($G$3,$H$15,$H$17,$H$13,$H$16,$H$14,J$2,$H$12,$A43)</f>
        <v>0</v>
      </c>
      <c r="K43" s="141">
        <f>_xll.DBRW($G$3,$H$15,$H$17,$H$13,$H$16,$H$14,K$2,$H$12,$A43)</f>
        <v>0</v>
      </c>
      <c r="L43" s="141">
        <f>_xll.DBRW($G$3,$H$15,$H$17,$H$13,$H$16,$H$14,L$2,$H$12,$A43)</f>
        <v>0</v>
      </c>
      <c r="M43" s="141">
        <f>_xll.DBRW($G$3,$H$15,$H$17,$H$13,$H$16,$H$14,M$2,$H$12,$A43)</f>
        <v>0</v>
      </c>
      <c r="N43" s="141">
        <f>_xll.DBRW($G$3,$H$15,$H$17,$H$13,$H$16,$H$14,N$2,$H$12,$A43)</f>
        <v>0</v>
      </c>
      <c r="O43" s="141">
        <f>_xll.DBRW($G$3,$H$15,$H$17,$H$13,$H$16,$H$14,O$2,$H$12,$A43)</f>
        <v>0</v>
      </c>
      <c r="P43" s="141">
        <f>_xll.DBRW($G$3,$H$15,$H$17,$H$13,$H$16,$H$14,P$2,$H$12,$A43)</f>
        <v>0</v>
      </c>
      <c r="Q43" s="138">
        <f>SUM(I43:P43)-SUM(I40:P42)</f>
        <v>0</v>
      </c>
      <c r="R43" s="138"/>
      <c r="S43" s="141">
        <f>_xll.DBRW($G$3,$U$15,$H$17,$U$13,$U$16,$U$14,S$2,$U$12,$A43)</f>
        <v>0</v>
      </c>
      <c r="T43" s="141">
        <f>_xll.DBRW($G$3,$U$15,$H$17,$U$13,$U$16,$U$14,T$2,$U$12,$A43)</f>
        <v>0</v>
      </c>
      <c r="U43" s="141">
        <f>_xll.DBRW($G$3,$U$15,$H$17,$U$13,$U$16,$U$14,U$2,$U$12,$A43)</f>
        <v>0</v>
      </c>
      <c r="V43" s="141">
        <f>_xll.DBRW($G$3,$U$15,$H$17,$U$13,$U$16,$U$14,V$2,$U$12,$A43)</f>
        <v>0</v>
      </c>
      <c r="W43" s="141">
        <f>_xll.DBRW($G$3,$U$15,$H$17,$U$13,$U$16,$U$14,W$2,$U$12,$A43)</f>
        <v>0</v>
      </c>
      <c r="X43" s="141">
        <f>_xll.DBRW($G$3,$U$15,$H$17,$U$13,$U$16,$U$14,X$2,$U$12,$A43)</f>
        <v>0</v>
      </c>
      <c r="Y43" s="141">
        <f>_xll.DBRW($G$3,$U$15,$H$17,$U$13,$U$16,$U$14,Y$2,$U$12,$A43)</f>
        <v>0</v>
      </c>
      <c r="Z43" s="141">
        <f>_xll.DBRW($G$3,$U$15,$H$17,$U$13,$U$16,$U$14,Z$2,$U$12,$A43)</f>
        <v>0</v>
      </c>
      <c r="AA43" s="138">
        <f>SUM(S43:Z43)-SUM(S40:Z42)</f>
        <v>0</v>
      </c>
      <c r="AB43" s="141" t="str">
        <f t="shared" si="8"/>
        <v/>
      </c>
      <c r="AC43" s="141" t="str">
        <f t="shared" si="8"/>
        <v/>
      </c>
      <c r="AD43" s="141" t="str">
        <f t="shared" si="8"/>
        <v/>
      </c>
      <c r="AE43" s="141" t="str">
        <f t="shared" si="8"/>
        <v/>
      </c>
      <c r="AF43" s="141" t="str">
        <f t="shared" si="8"/>
        <v/>
      </c>
      <c r="AG43" s="141" t="str">
        <f t="shared" si="8"/>
        <v/>
      </c>
      <c r="AH43" s="141" t="str">
        <f t="shared" si="8"/>
        <v/>
      </c>
      <c r="AI43" s="141" t="str">
        <f t="shared" si="8"/>
        <v/>
      </c>
      <c r="AJ43" s="44"/>
      <c r="AK43" s="49"/>
      <c r="AL43" s="51"/>
      <c r="AM43" s="49"/>
      <c r="AN43" s="49"/>
      <c r="AO43" s="49"/>
      <c r="AP43" s="70"/>
      <c r="AQ43" s="70"/>
      <c r="AR43" s="49"/>
      <c r="AS43" s="27"/>
      <c r="AT43" s="26"/>
      <c r="AU43" s="54"/>
    </row>
    <row r="44" spans="1:49" ht="21.75" customHeight="1" thickBot="1">
      <c r="A44" s="52" t="s">
        <v>6</v>
      </c>
      <c r="B44" s="42"/>
      <c r="C44" s="42"/>
      <c r="D44" s="42">
        <v>23</v>
      </c>
      <c r="G44" s="201" t="str">
        <f>_xll.DBRA(Server&amp;$A$21,$A44,$H$18)</f>
        <v>Non controlling Interest</v>
      </c>
      <c r="H44" s="202"/>
      <c r="I44" s="133">
        <f>_xll.DBRW($G$3,$H$15,$H$17,$H$13,$H$16,$H$14,I$2,$H$12,$A44)</f>
        <v>0</v>
      </c>
      <c r="J44" s="134">
        <f>_xll.DBRW($G$3,$H$15,$H$17,$H$13,$H$16,$H$14,J$2,$H$12,$A44)</f>
        <v>0</v>
      </c>
      <c r="K44" s="134">
        <f>_xll.DBRW($G$3,$H$15,$H$17,$H$13,$H$16,$H$14,K$2,$H$12,$A44)</f>
        <v>0</v>
      </c>
      <c r="L44" s="134">
        <f>_xll.DBRW($G$3,$H$15,$H$17,$H$13,$H$16,$H$14,L$2,$H$12,$A44)</f>
        <v>0</v>
      </c>
      <c r="M44" s="134">
        <f>_xll.DBRW($G$3,$H$15,$H$17,$H$13,$H$16,$H$14,M$2,$H$12,$A44)</f>
        <v>0</v>
      </c>
      <c r="N44" s="134">
        <f>_xll.DBRW($G$3,$H$15,$H$17,$H$13,$H$16,$H$14,N$2,$H$12,$A44)</f>
        <v>0</v>
      </c>
      <c r="O44" s="134">
        <f>_xll.DBRW($G$3,$H$15,$H$17,$H$13,$H$16,$H$14,O$2,$H$12,$A44)</f>
        <v>0</v>
      </c>
      <c r="P44" s="135">
        <f>_xll.DBRW($G$3,$H$15,$H$17,$H$13,$H$16,$H$14,P$2,$H$12,$A44)</f>
        <v>0</v>
      </c>
      <c r="Q44" s="138"/>
      <c r="R44" s="138"/>
      <c r="S44" s="133">
        <f>_xll.DBRW($G$3,$U$15,$H$17,$U$13,$U$16,$U$14,S$2,$U$12,$A44)</f>
        <v>0</v>
      </c>
      <c r="T44" s="134">
        <f>_xll.DBRW($G$3,$U$15,$H$17,$U$13,$U$16,$U$14,T$2,$U$12,$A44)</f>
        <v>0</v>
      </c>
      <c r="U44" s="134">
        <f>_xll.DBRW($G$3,$U$15,$H$17,$U$13,$U$16,$U$14,U$2,$U$12,$A44)</f>
        <v>0</v>
      </c>
      <c r="V44" s="134">
        <f>_xll.DBRW($G$3,$U$15,$H$17,$U$13,$U$16,$U$14,V$2,$U$12,$A44)</f>
        <v>0</v>
      </c>
      <c r="W44" s="134">
        <f>_xll.DBRW($G$3,$U$15,$H$17,$U$13,$U$16,$U$14,W$2,$U$12,$A44)</f>
        <v>0</v>
      </c>
      <c r="X44" s="134">
        <f>_xll.DBRW($G$3,$U$15,$H$17,$U$13,$U$16,$U$14,X$2,$U$12,$A44)</f>
        <v>0</v>
      </c>
      <c r="Y44" s="134">
        <f>_xll.DBRW($G$3,$U$15,$H$17,$U$13,$U$16,$U$14,Y$2,$U$12,$A44)</f>
        <v>0</v>
      </c>
      <c r="Z44" s="135">
        <f>_xll.DBRW($G$3,$U$15,$H$17,$U$13,$U$16,$U$14,Z$2,$U$12,$A44)</f>
        <v>0</v>
      </c>
      <c r="AA44" s="138"/>
      <c r="AB44" s="133" t="str">
        <f t="shared" si="8"/>
        <v/>
      </c>
      <c r="AC44" s="134" t="str">
        <f t="shared" si="8"/>
        <v/>
      </c>
      <c r="AD44" s="134" t="str">
        <f t="shared" si="8"/>
        <v/>
      </c>
      <c r="AE44" s="134" t="str">
        <f t="shared" si="8"/>
        <v/>
      </c>
      <c r="AF44" s="134" t="str">
        <f t="shared" si="8"/>
        <v/>
      </c>
      <c r="AG44" s="134" t="str">
        <f t="shared" si="8"/>
        <v/>
      </c>
      <c r="AH44" s="134" t="str">
        <f t="shared" si="8"/>
        <v/>
      </c>
      <c r="AI44" s="135" t="str">
        <f t="shared" si="8"/>
        <v/>
      </c>
      <c r="AJ44" s="44"/>
      <c r="AK44" s="49"/>
      <c r="AL44" s="51" t="s">
        <v>121</v>
      </c>
      <c r="AM44" s="49"/>
      <c r="AN44" s="49"/>
      <c r="AO44" s="49"/>
      <c r="AP44" s="49" t="s">
        <v>44</v>
      </c>
      <c r="AQ44" s="49"/>
      <c r="AR44" s="49"/>
      <c r="AS44" s="27"/>
      <c r="AT44" s="26"/>
      <c r="AU44" s="54"/>
    </row>
    <row r="45" spans="1:49" ht="21.75" customHeight="1" thickBot="1">
      <c r="A45" s="52" t="s">
        <v>7</v>
      </c>
      <c r="B45" s="67"/>
      <c r="C45" s="42"/>
      <c r="D45" s="42">
        <v>24</v>
      </c>
      <c r="G45" s="210" t="str">
        <f>_xll.DBRA(Server&amp;$A$21,$A45,$H$18)</f>
        <v>NET PROFIT OR LOSS ATTRIBUTABLE TO GROUP</v>
      </c>
      <c r="H45" s="211"/>
      <c r="I45" s="141">
        <f>_xll.DBRW($G$3,$H$15,$H$17,$H$13,$H$16,$H$14,I$2,$H$12,$A45)</f>
        <v>0</v>
      </c>
      <c r="J45" s="141">
        <f>_xll.DBRW($G$3,$H$15,$H$17,$H$13,$H$16,$H$14,J$2,$H$12,$A45)</f>
        <v>0</v>
      </c>
      <c r="K45" s="141">
        <f>_xll.DBRW($G$3,$H$15,$H$17,$H$13,$H$16,$H$14,K$2,$H$12,$A45)</f>
        <v>0</v>
      </c>
      <c r="L45" s="141">
        <f>_xll.DBRW($G$3,$H$15,$H$17,$H$13,$H$16,$H$14,L$2,$H$12,$A45)</f>
        <v>0</v>
      </c>
      <c r="M45" s="141">
        <f>_xll.DBRW($G$3,$H$15,$H$17,$H$13,$H$16,$H$14,M$2,$H$12,$A45)</f>
        <v>0</v>
      </c>
      <c r="N45" s="141">
        <f>_xll.DBRW($G$3,$H$15,$H$17,$H$13,$H$16,$H$14,N$2,$H$12,$A45)</f>
        <v>0</v>
      </c>
      <c r="O45" s="141">
        <f>_xll.DBRW($G$3,$H$15,$H$17,$H$13,$H$16,$H$14,O$2,$H$12,$A45)</f>
        <v>0</v>
      </c>
      <c r="P45" s="141">
        <f>_xll.DBRW($G$3,$H$15,$H$17,$H$13,$H$16,$H$14,P$2,$H$12,$A45)</f>
        <v>0</v>
      </c>
      <c r="Q45" s="138">
        <f>SUM(I45:P45)-SUM(I43:P44)</f>
        <v>0</v>
      </c>
      <c r="R45" s="138"/>
      <c r="S45" s="141">
        <f>_xll.DBRW($G$3,$U$15,$H$17,$U$13,$U$16,$U$14,S$2,$U$12,$A45)</f>
        <v>0</v>
      </c>
      <c r="T45" s="141">
        <f>_xll.DBRW($G$3,$U$15,$H$17,$U$13,$U$16,$U$14,T$2,$U$12,$A45)</f>
        <v>0</v>
      </c>
      <c r="U45" s="141">
        <f>_xll.DBRW($G$3,$U$15,$H$17,$U$13,$U$16,$U$14,U$2,$U$12,$A45)</f>
        <v>0</v>
      </c>
      <c r="V45" s="141">
        <f>_xll.DBRW($G$3,$U$15,$H$17,$U$13,$U$16,$U$14,V$2,$U$12,$A45)</f>
        <v>0</v>
      </c>
      <c r="W45" s="141">
        <f>_xll.DBRW($G$3,$U$15,$H$17,$U$13,$U$16,$U$14,W$2,$U$12,$A45)</f>
        <v>0</v>
      </c>
      <c r="X45" s="141">
        <f>_xll.DBRW($G$3,$U$15,$H$17,$U$13,$U$16,$U$14,X$2,$U$12,$A45)</f>
        <v>0</v>
      </c>
      <c r="Y45" s="141">
        <f>_xll.DBRW($G$3,$U$15,$H$17,$U$13,$U$16,$U$14,Y$2,$U$12,$A45)</f>
        <v>0</v>
      </c>
      <c r="Z45" s="141">
        <f>_xll.DBRW($G$3,$U$15,$H$17,$U$13,$U$16,$U$14,Z$2,$U$12,$A45)</f>
        <v>0</v>
      </c>
      <c r="AA45" s="138">
        <f>SUM(S45:Z45)-SUM(S43:Z44)</f>
        <v>0</v>
      </c>
      <c r="AB45" s="141" t="str">
        <f t="shared" si="8"/>
        <v/>
      </c>
      <c r="AC45" s="141" t="str">
        <f t="shared" si="8"/>
        <v/>
      </c>
      <c r="AD45" s="141" t="str">
        <f t="shared" si="8"/>
        <v/>
      </c>
      <c r="AE45" s="141" t="str">
        <f t="shared" si="8"/>
        <v/>
      </c>
      <c r="AF45" s="141" t="str">
        <f t="shared" si="8"/>
        <v/>
      </c>
      <c r="AG45" s="141" t="str">
        <f t="shared" si="8"/>
        <v/>
      </c>
      <c r="AH45" s="141" t="str">
        <f t="shared" si="8"/>
        <v/>
      </c>
      <c r="AI45" s="141" t="str">
        <f t="shared" si="8"/>
        <v/>
      </c>
      <c r="AJ45" s="44"/>
      <c r="AK45" s="49"/>
      <c r="AL45" s="51"/>
      <c r="AM45" s="49"/>
      <c r="AN45" s="49"/>
      <c r="AO45" s="49"/>
      <c r="AP45" s="49"/>
      <c r="AQ45" s="49"/>
      <c r="AR45" s="49"/>
      <c r="AS45" s="27"/>
      <c r="AT45" s="26"/>
      <c r="AU45" s="54"/>
    </row>
    <row r="46" spans="1:49" s="97" customFormat="1" ht="21.75" customHeight="1">
      <c r="A46" s="92" t="s">
        <v>158</v>
      </c>
      <c r="B46" s="93"/>
      <c r="C46" s="94"/>
      <c r="D46" s="42">
        <v>25</v>
      </c>
      <c r="E46" s="95"/>
      <c r="F46" s="96"/>
      <c r="G46" s="139" t="str">
        <f>IF(H18="English","        Net profit GS margin (% ROA)","        Marge RNPG (%PAO)")</f>
        <v xml:space="preserve">        Net profit GS margin (% ROA)</v>
      </c>
      <c r="H46" s="139"/>
      <c r="I46" s="140">
        <f t="shared" ref="I46:Z46" si="10">IF(ISERROR(+I$45/I$26)=TRUE,0,+I$45/I$26)</f>
        <v>0</v>
      </c>
      <c r="J46" s="140">
        <f t="shared" si="10"/>
        <v>0</v>
      </c>
      <c r="K46" s="140">
        <f t="shared" si="10"/>
        <v>0</v>
      </c>
      <c r="L46" s="140">
        <f t="shared" si="10"/>
        <v>0</v>
      </c>
      <c r="M46" s="140">
        <f t="shared" si="10"/>
        <v>0</v>
      </c>
      <c r="N46" s="140">
        <f t="shared" si="10"/>
        <v>0</v>
      </c>
      <c r="O46" s="140">
        <f t="shared" si="10"/>
        <v>0</v>
      </c>
      <c r="P46" s="140">
        <f t="shared" si="10"/>
        <v>0</v>
      </c>
      <c r="Q46" s="138"/>
      <c r="R46" s="138"/>
      <c r="S46" s="140">
        <f t="shared" si="10"/>
        <v>0</v>
      </c>
      <c r="T46" s="140">
        <f t="shared" si="10"/>
        <v>0</v>
      </c>
      <c r="U46" s="140">
        <f t="shared" si="10"/>
        <v>0</v>
      </c>
      <c r="V46" s="140">
        <f t="shared" si="10"/>
        <v>0</v>
      </c>
      <c r="W46" s="140">
        <f t="shared" si="10"/>
        <v>0</v>
      </c>
      <c r="X46" s="140">
        <f t="shared" si="10"/>
        <v>0</v>
      </c>
      <c r="Y46" s="140">
        <f t="shared" si="10"/>
        <v>0</v>
      </c>
      <c r="Z46" s="140">
        <f t="shared" si="10"/>
        <v>0</v>
      </c>
      <c r="AA46" s="138"/>
      <c r="AB46" s="140" t="str">
        <f t="shared" si="8"/>
        <v/>
      </c>
      <c r="AC46" s="140" t="str">
        <f t="shared" si="8"/>
        <v/>
      </c>
      <c r="AD46" s="140" t="str">
        <f t="shared" si="8"/>
        <v/>
      </c>
      <c r="AE46" s="140" t="str">
        <f t="shared" si="8"/>
        <v/>
      </c>
      <c r="AF46" s="140" t="str">
        <f t="shared" si="8"/>
        <v/>
      </c>
      <c r="AG46" s="140" t="str">
        <f t="shared" si="8"/>
        <v/>
      </c>
      <c r="AH46" s="140" t="str">
        <f t="shared" si="8"/>
        <v/>
      </c>
      <c r="AI46" s="140" t="str">
        <f t="shared" si="8"/>
        <v/>
      </c>
      <c r="AK46" s="101"/>
      <c r="AL46" s="106" t="s">
        <v>82</v>
      </c>
      <c r="AM46" s="101"/>
      <c r="AN46" s="101"/>
      <c r="AO46" s="101"/>
      <c r="AP46" s="107"/>
      <c r="AQ46" s="107"/>
      <c r="AR46" s="101"/>
      <c r="AS46" s="103"/>
      <c r="AT46" s="103"/>
      <c r="AU46" s="104"/>
      <c r="AW46" s="105"/>
    </row>
    <row r="47" spans="1:49" ht="24.75" customHeight="1">
      <c r="A47" s="42"/>
      <c r="B47" s="42"/>
      <c r="C47" s="42"/>
      <c r="D47" s="42">
        <v>26</v>
      </c>
      <c r="G47" s="142"/>
      <c r="H47" s="143" t="s">
        <v>8</v>
      </c>
      <c r="I47" s="144"/>
      <c r="J47" s="144"/>
      <c r="K47" s="144"/>
      <c r="L47" s="144"/>
      <c r="M47" s="144"/>
      <c r="N47" s="144"/>
      <c r="O47" s="144"/>
      <c r="P47" s="144"/>
      <c r="Q47" s="138"/>
      <c r="R47" s="138"/>
      <c r="S47" s="144"/>
      <c r="T47" s="144"/>
      <c r="U47" s="144"/>
      <c r="V47" s="144"/>
      <c r="W47" s="144"/>
      <c r="X47" s="144"/>
      <c r="Y47" s="144"/>
      <c r="Z47" s="144"/>
      <c r="AA47" s="138"/>
      <c r="AB47" s="144"/>
      <c r="AC47" s="144"/>
      <c r="AD47" s="144"/>
      <c r="AE47" s="144"/>
      <c r="AF47" s="144"/>
      <c r="AG47" s="144"/>
      <c r="AH47" s="144"/>
      <c r="AI47" s="144"/>
      <c r="AJ47" s="44"/>
      <c r="AK47" s="49"/>
      <c r="AL47" s="51"/>
      <c r="AM47" s="49"/>
      <c r="AN47" s="49"/>
      <c r="AO47" s="49"/>
      <c r="AP47" s="70" t="s">
        <v>82</v>
      </c>
      <c r="AQ47" s="49"/>
      <c r="AR47" s="49"/>
      <c r="AS47" s="27"/>
      <c r="AT47" s="26"/>
      <c r="AU47" s="54"/>
    </row>
    <row r="48" spans="1:49" s="126" customFormat="1" ht="27.75" customHeight="1">
      <c r="A48" s="121"/>
      <c r="B48" s="121"/>
      <c r="C48" s="121"/>
      <c r="D48" s="121">
        <v>27</v>
      </c>
      <c r="E48" s="122"/>
      <c r="F48" s="123"/>
      <c r="G48" s="205" t="str">
        <f>_xll.DBRA(Server&amp;$AL$25,$AL$51,$H$18)</f>
        <v>II - CASH FLOW STATEMENT</v>
      </c>
      <c r="H48" s="205"/>
      <c r="I48" s="128" t="str">
        <f>I$21</f>
        <v xml:space="preserve"> 2020</v>
      </c>
      <c r="J48" s="128" t="str">
        <f t="shared" ref="J48:P48" si="11">J$21</f>
        <v xml:space="preserve"> 2021</v>
      </c>
      <c r="K48" s="128" t="str">
        <f t="shared" si="11"/>
        <v xml:space="preserve"> 2022</v>
      </c>
      <c r="L48" s="128" t="str">
        <f t="shared" si="11"/>
        <v xml:space="preserve"> 2023</v>
      </c>
      <c r="M48" s="128" t="str">
        <f t="shared" si="11"/>
        <v xml:space="preserve"> 2024</v>
      </c>
      <c r="N48" s="128" t="str">
        <f t="shared" si="11"/>
        <v xml:space="preserve"> 2025</v>
      </c>
      <c r="O48" s="128" t="str">
        <f t="shared" si="11"/>
        <v xml:space="preserve"> 2026</v>
      </c>
      <c r="P48" s="128" t="str">
        <f t="shared" si="11"/>
        <v xml:space="preserve"> 2027</v>
      </c>
      <c r="Q48" s="138"/>
      <c r="R48" s="138"/>
      <c r="S48" s="128" t="str">
        <f>S$21</f>
        <v xml:space="preserve"> 2018</v>
      </c>
      <c r="T48" s="128" t="str">
        <f t="shared" ref="T48:Z48" si="12">T$21</f>
        <v xml:space="preserve"> 2019</v>
      </c>
      <c r="U48" s="128" t="str">
        <f t="shared" si="12"/>
        <v xml:space="preserve"> 2020</v>
      </c>
      <c r="V48" s="128" t="str">
        <f t="shared" si="12"/>
        <v xml:space="preserve"> 2021</v>
      </c>
      <c r="W48" s="128" t="str">
        <f t="shared" si="12"/>
        <v xml:space="preserve"> 2022</v>
      </c>
      <c r="X48" s="128" t="str">
        <f t="shared" si="12"/>
        <v xml:space="preserve"> 2023</v>
      </c>
      <c r="Y48" s="128" t="str">
        <f t="shared" si="12"/>
        <v xml:space="preserve"> 2024</v>
      </c>
      <c r="Z48" s="128" t="str">
        <f t="shared" si="12"/>
        <v xml:space="preserve"> 2025</v>
      </c>
      <c r="AA48" s="138"/>
      <c r="AB48" s="128" t="str">
        <f>I48</f>
        <v xml:space="preserve"> 2020</v>
      </c>
      <c r="AC48" s="128" t="str">
        <f t="shared" ref="AC48:AI48" si="13">J48</f>
        <v xml:space="preserve"> 2021</v>
      </c>
      <c r="AD48" s="128" t="str">
        <f t="shared" si="13"/>
        <v xml:space="preserve"> 2022</v>
      </c>
      <c r="AE48" s="128" t="str">
        <f t="shared" si="13"/>
        <v xml:space="preserve"> 2023</v>
      </c>
      <c r="AF48" s="128" t="str">
        <f t="shared" si="13"/>
        <v xml:space="preserve"> 2024</v>
      </c>
      <c r="AG48" s="128" t="str">
        <f t="shared" si="13"/>
        <v xml:space="preserve"> 2025</v>
      </c>
      <c r="AH48" s="128" t="str">
        <f t="shared" si="13"/>
        <v xml:space="preserve"> 2026</v>
      </c>
      <c r="AI48" s="128" t="str">
        <f t="shared" si="13"/>
        <v xml:space="preserve"> 2027</v>
      </c>
      <c r="AK48" s="168"/>
      <c r="AL48" s="169"/>
      <c r="AM48" s="168"/>
      <c r="AN48" s="168"/>
      <c r="AO48" s="168"/>
      <c r="AP48" s="170" t="s">
        <v>82</v>
      </c>
      <c r="AQ48" s="168"/>
      <c r="AR48" s="168"/>
      <c r="AS48" s="171"/>
      <c r="AT48" s="125"/>
      <c r="AU48" s="172"/>
      <c r="AW48" s="127"/>
    </row>
    <row r="49" spans="1:47" ht="6.75" customHeight="1" thickBot="1">
      <c r="A49" s="42"/>
      <c r="B49" s="42"/>
      <c r="C49" s="42"/>
      <c r="D49" s="42">
        <v>28</v>
      </c>
      <c r="G49" s="130"/>
      <c r="H49" s="131"/>
      <c r="I49" s="132"/>
      <c r="J49" s="132"/>
      <c r="K49" s="132"/>
      <c r="L49" s="132"/>
      <c r="M49" s="132"/>
      <c r="N49" s="132"/>
      <c r="O49" s="132"/>
      <c r="P49" s="132"/>
      <c r="Q49" s="138"/>
      <c r="R49" s="138"/>
      <c r="S49" s="132"/>
      <c r="T49" s="132"/>
      <c r="U49" s="132"/>
      <c r="V49" s="132"/>
      <c r="W49" s="132"/>
      <c r="X49" s="132"/>
      <c r="Y49" s="132"/>
      <c r="Z49" s="132"/>
      <c r="AA49" s="138"/>
      <c r="AB49" s="132"/>
      <c r="AC49" s="132"/>
      <c r="AD49" s="132"/>
      <c r="AE49" s="132"/>
      <c r="AF49" s="132"/>
      <c r="AG49" s="132"/>
      <c r="AH49" s="132"/>
      <c r="AI49" s="132"/>
      <c r="AJ49" s="44"/>
      <c r="AK49" s="49"/>
      <c r="AL49" s="51" t="s">
        <v>62</v>
      </c>
      <c r="AM49" s="44"/>
      <c r="AN49" s="49"/>
      <c r="AO49" s="49"/>
      <c r="AP49" s="49"/>
      <c r="AQ49" s="49"/>
      <c r="AR49" s="49"/>
      <c r="AS49" s="27"/>
      <c r="AT49" s="26"/>
      <c r="AU49" s="54"/>
    </row>
    <row r="50" spans="1:47" ht="21.75" customHeight="1" thickBot="1">
      <c r="A50" s="52" t="s">
        <v>50</v>
      </c>
      <c r="B50" s="67"/>
      <c r="C50" s="42"/>
      <c r="D50" s="42">
        <v>29</v>
      </c>
      <c r="G50" s="212" t="str">
        <f>_xll.DBRA(Server&amp;$A$21,$A50,$H$18)</f>
        <v>OPERATING PROFIT</v>
      </c>
      <c r="H50" s="212"/>
      <c r="I50" s="145">
        <f>_xll.DBRW($G$3,$H$15,$H$17,$H$13,$H$16,$H$14,I$2,$H$12,$A50)</f>
        <v>0</v>
      </c>
      <c r="J50" s="145">
        <f>_xll.DBRW($G$3,$H$15,$H$17,$H$13,$H$16,$H$14,J$2,$H$12,$A50)</f>
        <v>0</v>
      </c>
      <c r="K50" s="145">
        <f>_xll.DBRW($G$3,$H$15,$H$17,$H$13,$H$16,$H$14,K$2,$H$12,$A50)</f>
        <v>0</v>
      </c>
      <c r="L50" s="145">
        <f>_xll.DBRW($G$3,$H$15,$H$17,$H$13,$H$16,$H$14,L$2,$H$12,$A50)</f>
        <v>0</v>
      </c>
      <c r="M50" s="145">
        <f>_xll.DBRW($G$3,$H$15,$H$17,$H$13,$H$16,$H$14,M$2,$H$12,$A50)</f>
        <v>0</v>
      </c>
      <c r="N50" s="145">
        <f>_xll.DBRW($G$3,$H$15,$H$17,$H$13,$H$16,$H$14,N$2,$H$12,$A50)</f>
        <v>0</v>
      </c>
      <c r="O50" s="145">
        <f>_xll.DBRW($G$3,$H$15,$H$17,$H$13,$H$16,$H$14,O$2,$H$12,$A50)</f>
        <v>0</v>
      </c>
      <c r="P50" s="145">
        <f>_xll.DBRW($G$3,$H$15,$H$17,$H$13,$H$16,$H$14,P$2,$H$12,$A50)</f>
        <v>0</v>
      </c>
      <c r="Q50" s="138">
        <f>SUM(I50:P50)-SUM(I36:P36)</f>
        <v>0</v>
      </c>
      <c r="R50" s="138"/>
      <c r="S50" s="145">
        <f>_xll.DBRW($G$3,$U$15,$H$17,$U$13,$U$16,$U$14,S$2,$U$12,$A50)</f>
        <v>0</v>
      </c>
      <c r="T50" s="145">
        <f>_xll.DBRW($G$3,$U$15,$H$17,$U$13,$U$16,$U$14,T$2,$U$12,$A50)</f>
        <v>0</v>
      </c>
      <c r="U50" s="145">
        <f>_xll.DBRW($G$3,$U$15,$H$17,$U$13,$U$16,$U$14,U$2,$U$12,$A50)</f>
        <v>0</v>
      </c>
      <c r="V50" s="145">
        <f>_xll.DBRW($G$3,$U$15,$H$17,$U$13,$U$16,$U$14,V$2,$U$12,$A50)</f>
        <v>0</v>
      </c>
      <c r="W50" s="145">
        <f>_xll.DBRW($G$3,$U$15,$H$17,$U$13,$U$16,$U$14,W$2,$U$12,$A50)</f>
        <v>0</v>
      </c>
      <c r="X50" s="145">
        <f>_xll.DBRW($G$3,$U$15,$H$17,$U$13,$U$16,$U$14,X$2,$U$12,$A50)</f>
        <v>0</v>
      </c>
      <c r="Y50" s="145">
        <f>_xll.DBRW($G$3,$U$15,$H$17,$U$13,$U$16,$U$14,Y$2,$U$12,$A50)</f>
        <v>0</v>
      </c>
      <c r="Z50" s="145">
        <f>_xll.DBRW($G$3,$U$15,$H$17,$U$13,$U$16,$U$14,Z$2,$U$12,$A50)</f>
        <v>0</v>
      </c>
      <c r="AA50" s="138">
        <f>SUM(S50:Z50)-SUM(S36:Z36)</f>
        <v>0</v>
      </c>
      <c r="AB50" s="141" t="str">
        <f t="shared" ref="AB50:AI59" si="14">IF(OR(AND(IFERROR(HLOOKUP(AB$21,$S$22:$Z$189,$D50,FALSE)=0,"VRAI"),IFERROR(HLOOKUP(AB$21,$I$22:$P$189,$D50,FALSE)=0,"VRAI")),AND(IFERROR(HLOOKUP(AB$21,$S$22:$Z$189,$D50,FALSE)="","VRAI"),IFERROR(HLOOKUP(AB$21,$I$22:$P$188,$D50,FALSE)="","VRAI"))),"",IFERROR(HLOOKUP(AB$21,$I$22:$P$189,$D50,FALSE)-HLOOKUP(AB$21,$S$22:$Z$189,$D50,FALSE),""))</f>
        <v/>
      </c>
      <c r="AC50" s="141" t="str">
        <f t="shared" si="14"/>
        <v/>
      </c>
      <c r="AD50" s="141" t="str">
        <f t="shared" si="14"/>
        <v/>
      </c>
      <c r="AE50" s="141" t="str">
        <f t="shared" si="14"/>
        <v/>
      </c>
      <c r="AF50" s="141" t="str">
        <f t="shared" si="14"/>
        <v/>
      </c>
      <c r="AG50" s="141" t="str">
        <f t="shared" si="14"/>
        <v/>
      </c>
      <c r="AH50" s="141" t="str">
        <f t="shared" si="14"/>
        <v/>
      </c>
      <c r="AI50" s="141" t="str">
        <f t="shared" si="14"/>
        <v/>
      </c>
      <c r="AJ50" s="44"/>
      <c r="AK50" s="49"/>
      <c r="AL50" s="51" t="s">
        <v>63</v>
      </c>
      <c r="AM50" s="44"/>
      <c r="AN50" s="71"/>
      <c r="AO50" s="71"/>
      <c r="AP50" s="49"/>
      <c r="AQ50" s="49"/>
      <c r="AR50" s="49"/>
      <c r="AS50" s="27"/>
      <c r="AT50" s="26"/>
      <c r="AU50" s="54"/>
    </row>
    <row r="51" spans="1:47" ht="21.75" customHeight="1">
      <c r="A51" s="52" t="s">
        <v>135</v>
      </c>
      <c r="B51" s="42" t="s">
        <v>141</v>
      </c>
      <c r="C51" s="42"/>
      <c r="D51" s="42">
        <v>30</v>
      </c>
      <c r="G51" s="204" t="str">
        <f>_xll.DBRA(Server&amp;$A$21,$A51,$H$18)</f>
        <v>Amortization</v>
      </c>
      <c r="H51" s="204"/>
      <c r="I51" s="146">
        <f>_xll.DBRW($G$3,$H$15,$H$17,$H$13,$H$16,$H$14,I$2,$H$12,$B51)-_xll.DBRW($G$3,$H$15,$H$17,$H$13,$H$16,$H$14,I$2,$H$12,$A51)</f>
        <v>0</v>
      </c>
      <c r="J51" s="146">
        <f>_xll.DBRW($G$3,$H$15,$H$17,$H$13,$H$16,$H$14,J$2,$H$12,$B51)-_xll.DBRW($G$3,$H$15,$H$17,$H$13,$H$16,$H$14,J$2,$H$12,$A51)</f>
        <v>0</v>
      </c>
      <c r="K51" s="146">
        <f>_xll.DBRW($G$3,$H$15,$H$17,$H$13,$H$16,$H$14,K$2,$H$12,$B51)-_xll.DBRW($G$3,$H$15,$H$17,$H$13,$H$16,$H$14,K$2,$H$12,$A51)</f>
        <v>0</v>
      </c>
      <c r="L51" s="146">
        <f>_xll.DBRW($G$3,$H$15,$H$17,$H$13,$H$16,$H$14,L$2,$H$12,$B51)-_xll.DBRW($G$3,$H$15,$H$17,$H$13,$H$16,$H$14,L$2,$H$12,$A51)</f>
        <v>0</v>
      </c>
      <c r="M51" s="146">
        <f>_xll.DBRW($G$3,$H$15,$H$17,$H$13,$H$16,$H$14,M$2,$H$12,$B51)-_xll.DBRW($G$3,$H$15,$H$17,$H$13,$H$16,$H$14,M$2,$H$12,$A51)</f>
        <v>0</v>
      </c>
      <c r="N51" s="146">
        <f>_xll.DBRW($G$3,$H$15,$H$17,$H$13,$H$16,$H$14,N$2,$H$12,$B51)-_xll.DBRW($G$3,$H$15,$H$17,$H$13,$H$16,$H$14,N$2,$H$12,$A51)</f>
        <v>0</v>
      </c>
      <c r="O51" s="146">
        <f>_xll.DBRW($G$3,$H$15,$H$17,$H$13,$H$16,$H$14,O$2,$H$12,$B51)-_xll.DBRW($G$3,$H$15,$H$17,$H$13,$H$16,$H$14,O$2,$H$12,$A51)</f>
        <v>0</v>
      </c>
      <c r="P51" s="146">
        <f>_xll.DBRW($G$3,$H$15,$H$17,$H$13,$H$16,$H$14,P$2,$H$12,$B51)-_xll.DBRW($G$3,$H$15,$H$17,$H$13,$H$16,$H$14,P$2,$H$12,$A51)</f>
        <v>0</v>
      </c>
      <c r="Q51" s="138"/>
      <c r="R51" s="138"/>
      <c r="S51" s="146">
        <f>_xll.DBRW($G$3,$U$15,$H$17,$U$13,$U$16,$U$14,S$2,$U$12,$B51)-_xll.DBRW($G$3,$U$15,$H$17,$U$13,$U$16,$U$14,S$2,$U$12,$A51)</f>
        <v>0</v>
      </c>
      <c r="T51" s="146">
        <f>_xll.DBRW($G$3,$U$15,$H$17,$U$13,$U$16,$U$14,T$2,$U$12,$B51)-_xll.DBRW($G$3,$U$15,$H$17,$U$13,$U$16,$U$14,T$2,$U$12,$A51)</f>
        <v>0</v>
      </c>
      <c r="U51" s="146">
        <f>_xll.DBRW($G$3,$U$15,$H$17,$U$13,$U$16,$U$14,U$2,$U$12,$B51)-_xll.DBRW($G$3,$U$15,$H$17,$U$13,$U$16,$U$14,U$2,$U$12,$A51)</f>
        <v>0</v>
      </c>
      <c r="V51" s="146">
        <f>_xll.DBRW($G$3,$U$15,$H$17,$U$13,$U$16,$U$14,V$2,$U$12,$B51)-_xll.DBRW($G$3,$U$15,$H$17,$U$13,$U$16,$U$14,V$2,$U$12,$A51)</f>
        <v>0</v>
      </c>
      <c r="W51" s="146">
        <f>_xll.DBRW($G$3,$U$15,$H$17,$U$13,$U$16,$U$14,W$2,$U$12,$B51)-_xll.DBRW($G$3,$U$15,$H$17,$U$13,$U$16,$U$14,W$2,$U$12,$A51)</f>
        <v>0</v>
      </c>
      <c r="X51" s="146">
        <f>_xll.DBRW($G$3,$U$15,$H$17,$U$13,$U$16,$U$14,X$2,$U$12,$B51)-_xll.DBRW($G$3,$U$15,$H$17,$U$13,$U$16,$U$14,X$2,$U$12,$A51)</f>
        <v>0</v>
      </c>
      <c r="Y51" s="146">
        <f>_xll.DBRW($G$3,$U$15,$H$17,$U$13,$U$16,$U$14,Y$2,$U$12,$B51)-_xll.DBRW($G$3,$U$15,$H$17,$U$13,$U$16,$U$14,Y$2,$U$12,$A51)</f>
        <v>0</v>
      </c>
      <c r="Z51" s="146">
        <f>_xll.DBRW($G$3,$U$15,$H$17,$U$13,$U$16,$U$14,Z$2,$U$12,$B51)-_xll.DBRW($G$3,$U$15,$H$17,$U$13,$U$16,$U$14,Z$2,$U$12,$A51)</f>
        <v>0</v>
      </c>
      <c r="AA51" s="138"/>
      <c r="AB51" s="146" t="str">
        <f t="shared" si="14"/>
        <v/>
      </c>
      <c r="AC51" s="146" t="str">
        <f t="shared" si="14"/>
        <v/>
      </c>
      <c r="AD51" s="146" t="str">
        <f t="shared" si="14"/>
        <v/>
      </c>
      <c r="AE51" s="146" t="str">
        <f t="shared" si="14"/>
        <v/>
      </c>
      <c r="AF51" s="146" t="str">
        <f t="shared" si="14"/>
        <v/>
      </c>
      <c r="AG51" s="146" t="str">
        <f t="shared" si="14"/>
        <v/>
      </c>
      <c r="AH51" s="146" t="str">
        <f t="shared" si="14"/>
        <v/>
      </c>
      <c r="AI51" s="146" t="str">
        <f t="shared" si="14"/>
        <v/>
      </c>
      <c r="AJ51" s="44"/>
      <c r="AK51" s="49"/>
      <c r="AL51" s="51" t="s">
        <v>64</v>
      </c>
      <c r="AM51" s="44"/>
      <c r="AN51" s="72"/>
      <c r="AO51" s="72"/>
      <c r="AP51" s="49"/>
      <c r="AQ51" s="49"/>
      <c r="AR51" s="49"/>
      <c r="AS51" s="27"/>
      <c r="AT51" s="26"/>
      <c r="AU51" s="54"/>
    </row>
    <row r="52" spans="1:47" ht="21.75" customHeight="1">
      <c r="A52" s="52" t="s">
        <v>136</v>
      </c>
      <c r="B52" s="42" t="s">
        <v>142</v>
      </c>
      <c r="C52" s="42"/>
      <c r="D52" s="42">
        <v>31</v>
      </c>
      <c r="G52" s="201" t="str">
        <f>_xll.DBRA(Server&amp;$A$21,$A52,$H$18)</f>
        <v>Provisions</v>
      </c>
      <c r="H52" s="202"/>
      <c r="I52" s="133">
        <f>_xll.DBRW($G$3,$H$15,$H$17,$H$13,$H$16,$H$14,I$2,$H$12,$B52)-_xll.DBRW($G$3,$H$15,$H$17,$H$13,$H$16,$H$14,I$2,$H$12,$A52)</f>
        <v>0</v>
      </c>
      <c r="J52" s="133">
        <f>_xll.DBRW($G$3,$H$15,$H$17,$H$13,$H$16,$H$14,J$2,$H$12,$B52)-_xll.DBRW($G$3,$H$15,$H$17,$H$13,$H$16,$H$14,J$2,$H$12,$A52)</f>
        <v>0</v>
      </c>
      <c r="K52" s="133">
        <f>_xll.DBRW($G$3,$H$15,$H$17,$H$13,$H$16,$H$14,K$2,$H$12,$B52)-_xll.DBRW($G$3,$H$15,$H$17,$H$13,$H$16,$H$14,K$2,$H$12,$A52)</f>
        <v>0</v>
      </c>
      <c r="L52" s="133">
        <f>_xll.DBRW($G$3,$H$15,$H$17,$H$13,$H$16,$H$14,L$2,$H$12,$B52)-_xll.DBRW($G$3,$H$15,$H$17,$H$13,$H$16,$H$14,L$2,$H$12,$A52)</f>
        <v>0</v>
      </c>
      <c r="M52" s="133">
        <f>_xll.DBRW($G$3,$H$15,$H$17,$H$13,$H$16,$H$14,M$2,$H$12,$B52)-_xll.DBRW($G$3,$H$15,$H$17,$H$13,$H$16,$H$14,M$2,$H$12,$A52)</f>
        <v>0</v>
      </c>
      <c r="N52" s="133">
        <f>_xll.DBRW($G$3,$H$15,$H$17,$H$13,$H$16,$H$14,N$2,$H$12,$B52)-_xll.DBRW($G$3,$H$15,$H$17,$H$13,$H$16,$H$14,N$2,$H$12,$A52)</f>
        <v>0</v>
      </c>
      <c r="O52" s="133">
        <f>_xll.DBRW($G$3,$H$15,$H$17,$H$13,$H$16,$H$14,O$2,$H$12,$B52)-_xll.DBRW($G$3,$H$15,$H$17,$H$13,$H$16,$H$14,O$2,$H$12,$A52)</f>
        <v>0</v>
      </c>
      <c r="P52" s="133">
        <f>_xll.DBRW($G$3,$H$15,$H$17,$H$13,$H$16,$H$14,P$2,$H$12,$B52)-_xll.DBRW($G$3,$H$15,$H$17,$H$13,$H$16,$H$14,P$2,$H$12,$A52)</f>
        <v>0</v>
      </c>
      <c r="Q52" s="138"/>
      <c r="R52" s="138"/>
      <c r="S52" s="133">
        <f>_xll.DBRW($G$3,$U$15,$H$17,$U$13,$U$16,$U$14,S$2,$U$12,$B52)-_xll.DBRW($G$3,$U$15,$H$17,$U$13,$U$16,$U$14,S$2,$U$12,$A52)</f>
        <v>0</v>
      </c>
      <c r="T52" s="133">
        <f>_xll.DBRW($G$3,$U$15,$H$17,$U$13,$U$16,$U$14,T$2,$U$12,$B52)-_xll.DBRW($G$3,$U$15,$H$17,$U$13,$U$16,$U$14,T$2,$U$12,$A52)</f>
        <v>0</v>
      </c>
      <c r="U52" s="133">
        <f>_xll.DBRW($G$3,$U$15,$H$17,$U$13,$U$16,$U$14,U$2,$U$12,$B52)-_xll.DBRW($G$3,$U$15,$H$17,$U$13,$U$16,$U$14,U$2,$U$12,$A52)</f>
        <v>0</v>
      </c>
      <c r="V52" s="133">
        <f>_xll.DBRW($G$3,$U$15,$H$17,$U$13,$U$16,$U$14,V$2,$U$12,$B52)-_xll.DBRW($G$3,$U$15,$H$17,$U$13,$U$16,$U$14,V$2,$U$12,$A52)</f>
        <v>0</v>
      </c>
      <c r="W52" s="133">
        <f>_xll.DBRW($G$3,$U$15,$H$17,$U$13,$U$16,$U$14,W$2,$U$12,$B52)-_xll.DBRW($G$3,$U$15,$H$17,$U$13,$U$16,$U$14,W$2,$U$12,$A52)</f>
        <v>0</v>
      </c>
      <c r="X52" s="133">
        <f>_xll.DBRW($G$3,$U$15,$H$17,$U$13,$U$16,$U$14,X$2,$U$12,$B52)-_xll.DBRW($G$3,$U$15,$H$17,$U$13,$U$16,$U$14,X$2,$U$12,$A52)</f>
        <v>0</v>
      </c>
      <c r="Y52" s="133">
        <f>_xll.DBRW($G$3,$U$15,$H$17,$U$13,$U$16,$U$14,Y$2,$U$12,$B52)-_xll.DBRW($G$3,$U$15,$H$17,$U$13,$U$16,$U$14,Y$2,$U$12,$A52)</f>
        <v>0</v>
      </c>
      <c r="Z52" s="133">
        <f>_xll.DBRW($G$3,$U$15,$H$17,$U$13,$U$16,$U$14,Z$2,$U$12,$B52)-_xll.DBRW($G$3,$U$15,$H$17,$U$13,$U$16,$U$14,Z$2,$U$12,$A52)</f>
        <v>0</v>
      </c>
      <c r="AA52" s="138"/>
      <c r="AB52" s="133" t="str">
        <f t="shared" si="14"/>
        <v/>
      </c>
      <c r="AC52" s="133" t="str">
        <f t="shared" si="14"/>
        <v/>
      </c>
      <c r="AD52" s="133" t="str">
        <f t="shared" si="14"/>
        <v/>
      </c>
      <c r="AE52" s="133" t="str">
        <f t="shared" si="14"/>
        <v/>
      </c>
      <c r="AF52" s="133" t="str">
        <f t="shared" si="14"/>
        <v/>
      </c>
      <c r="AG52" s="133" t="str">
        <f t="shared" si="14"/>
        <v/>
      </c>
      <c r="AH52" s="133" t="str">
        <f t="shared" si="14"/>
        <v/>
      </c>
      <c r="AI52" s="133" t="str">
        <f t="shared" si="14"/>
        <v/>
      </c>
      <c r="AJ52" s="44"/>
      <c r="AK52" s="49"/>
      <c r="AL52" s="51" t="s">
        <v>65</v>
      </c>
      <c r="AM52" s="73"/>
      <c r="AN52" s="73"/>
      <c r="AO52" s="73"/>
      <c r="AP52" s="49"/>
      <c r="AQ52" s="49"/>
      <c r="AR52" s="49"/>
      <c r="AS52" s="27"/>
      <c r="AT52" s="26"/>
      <c r="AU52" s="54"/>
    </row>
    <row r="53" spans="1:47" ht="21.75" customHeight="1">
      <c r="A53" s="52" t="s">
        <v>137</v>
      </c>
      <c r="B53" s="88" t="s">
        <v>158</v>
      </c>
      <c r="C53" s="42"/>
      <c r="D53" s="42">
        <v>32</v>
      </c>
      <c r="G53" s="201" t="str">
        <f>_xll.DBRA(Server&amp;$A$21,$A53,$H$18)</f>
        <v>Other non cash items (Gain or loss on sales, Impairment)</v>
      </c>
      <c r="H53" s="202"/>
      <c r="I53" s="133">
        <f>I55-I50-I51-I52-I54</f>
        <v>0</v>
      </c>
      <c r="J53" s="133">
        <f t="shared" ref="J53:P53" si="15">J55-J50-J51-J52-J54</f>
        <v>0</v>
      </c>
      <c r="K53" s="133">
        <f t="shared" si="15"/>
        <v>0</v>
      </c>
      <c r="L53" s="133">
        <f t="shared" si="15"/>
        <v>0</v>
      </c>
      <c r="M53" s="133">
        <f t="shared" si="15"/>
        <v>0</v>
      </c>
      <c r="N53" s="133">
        <f t="shared" si="15"/>
        <v>0</v>
      </c>
      <c r="O53" s="133">
        <f t="shared" si="15"/>
        <v>0</v>
      </c>
      <c r="P53" s="133">
        <f t="shared" si="15"/>
        <v>0</v>
      </c>
      <c r="Q53" s="138"/>
      <c r="R53" s="138"/>
      <c r="S53" s="133">
        <f>S55-S50-S51-S52-S54</f>
        <v>0</v>
      </c>
      <c r="T53" s="133">
        <f t="shared" ref="T53:Z53" si="16">T55-T50-T51-T52-T54</f>
        <v>0</v>
      </c>
      <c r="U53" s="133">
        <f t="shared" si="16"/>
        <v>0</v>
      </c>
      <c r="V53" s="133">
        <f t="shared" si="16"/>
        <v>0</v>
      </c>
      <c r="W53" s="133">
        <f t="shared" si="16"/>
        <v>0</v>
      </c>
      <c r="X53" s="133">
        <f t="shared" si="16"/>
        <v>0</v>
      </c>
      <c r="Y53" s="133">
        <f t="shared" si="16"/>
        <v>0</v>
      </c>
      <c r="Z53" s="133">
        <f t="shared" si="16"/>
        <v>0</v>
      </c>
      <c r="AA53" s="138"/>
      <c r="AB53" s="133" t="str">
        <f t="shared" si="14"/>
        <v/>
      </c>
      <c r="AC53" s="133" t="str">
        <f t="shared" si="14"/>
        <v/>
      </c>
      <c r="AD53" s="133" t="str">
        <f t="shared" si="14"/>
        <v/>
      </c>
      <c r="AE53" s="133" t="str">
        <f t="shared" si="14"/>
        <v/>
      </c>
      <c r="AF53" s="133" t="str">
        <f t="shared" si="14"/>
        <v/>
      </c>
      <c r="AG53" s="133" t="str">
        <f t="shared" si="14"/>
        <v/>
      </c>
      <c r="AH53" s="133" t="str">
        <f t="shared" si="14"/>
        <v/>
      </c>
      <c r="AI53" s="133" t="str">
        <f t="shared" si="14"/>
        <v/>
      </c>
      <c r="AJ53" s="44"/>
      <c r="AK53" s="49"/>
      <c r="AL53" s="51" t="s">
        <v>66</v>
      </c>
      <c r="AM53" s="49"/>
      <c r="AN53" s="49"/>
      <c r="AO53" s="49"/>
      <c r="AP53" s="49"/>
      <c r="AQ53" s="49"/>
      <c r="AR53" s="49"/>
      <c r="AS53" s="27"/>
      <c r="AT53" s="26"/>
      <c r="AU53" s="54"/>
    </row>
    <row r="54" spans="1:47" ht="21.75" customHeight="1" thickBot="1">
      <c r="A54" s="52" t="s">
        <v>138</v>
      </c>
      <c r="B54" s="67" t="s">
        <v>143</v>
      </c>
      <c r="C54" s="42"/>
      <c r="D54" s="42">
        <v>33</v>
      </c>
      <c r="G54" s="201" t="str">
        <f>_xll.DBRA(Server&amp;$A$21,$A54,$H$18)</f>
        <v>Profit or loss of associates &amp; JV</v>
      </c>
      <c r="H54" s="202"/>
      <c r="I54" s="133">
        <f>-_xll.DBRW($G$3,$H$15,$H$17,$H$13,$H$16,$H$14,I$2,$H$12,$B54)-_xll.DBRW($G$3,$H$15,$H$17,$H$13,$H$16,$H$14,I$2,$H$12,$A54)</f>
        <v>0</v>
      </c>
      <c r="J54" s="133">
        <f>-_xll.DBRW($G$3,$H$15,$H$17,$H$13,$H$16,$H$14,J$2,$H$12,$B54)-_xll.DBRW($G$3,$H$15,$H$17,$H$13,$H$16,$H$14,J$2,$H$12,$A54)</f>
        <v>0</v>
      </c>
      <c r="K54" s="133">
        <f>-_xll.DBRW($G$3,$H$15,$H$17,$H$13,$H$16,$H$14,K$2,$H$12,$B54)-_xll.DBRW($G$3,$H$15,$H$17,$H$13,$H$16,$H$14,K$2,$H$12,$A54)</f>
        <v>0</v>
      </c>
      <c r="L54" s="133">
        <f>-_xll.DBRW($G$3,$H$15,$H$17,$H$13,$H$16,$H$14,L$2,$H$12,$B54)-_xll.DBRW($G$3,$H$15,$H$17,$H$13,$H$16,$H$14,L$2,$H$12,$A54)</f>
        <v>0</v>
      </c>
      <c r="M54" s="133">
        <f>-_xll.DBRW($G$3,$H$15,$H$17,$H$13,$H$16,$H$14,M$2,$H$12,$B54)-_xll.DBRW($G$3,$H$15,$H$17,$H$13,$H$16,$H$14,M$2,$H$12,$A54)</f>
        <v>0</v>
      </c>
      <c r="N54" s="133">
        <f>-_xll.DBRW($G$3,$H$15,$H$17,$H$13,$H$16,$H$14,N$2,$H$12,$B54)-_xll.DBRW($G$3,$H$15,$H$17,$H$13,$H$16,$H$14,N$2,$H$12,$A54)</f>
        <v>0</v>
      </c>
      <c r="O54" s="133">
        <f>-_xll.DBRW($G$3,$H$15,$H$17,$H$13,$H$16,$H$14,O$2,$H$12,$B54)-_xll.DBRW($G$3,$H$15,$H$17,$H$13,$H$16,$H$14,O$2,$H$12,$A54)</f>
        <v>0</v>
      </c>
      <c r="P54" s="133">
        <f>-_xll.DBRW($G$3,$H$15,$H$17,$H$13,$H$16,$H$14,P$2,$H$12,$B54)-_xll.DBRW($G$3,$H$15,$H$17,$H$13,$H$16,$H$14,P$2,$H$12,$A54)</f>
        <v>0</v>
      </c>
      <c r="Q54" s="138"/>
      <c r="R54" s="138"/>
      <c r="S54" s="133">
        <f>-_xll.DBRW($G$3,$U$15,$H$17,$U$13,$U$16,$U$14,S$2,$U$12,$B54)-_xll.DBRW($G$3,$U$15,$H$17,$U$13,$U$16,$U$14,S$2,$U$12,$A54)</f>
        <v>0</v>
      </c>
      <c r="T54" s="133">
        <f>-_xll.DBRW($G$3,$U$15,$H$17,$U$13,$U$16,$U$14,T$2,$U$12,$B54)-_xll.DBRW($G$3,$U$15,$H$17,$U$13,$U$16,$U$14,T$2,$U$12,$A54)</f>
        <v>0</v>
      </c>
      <c r="U54" s="133">
        <f>-_xll.DBRW($G$3,$U$15,$H$17,$U$13,$U$16,$U$14,U$2,$U$12,$B54)-_xll.DBRW($G$3,$U$15,$H$17,$U$13,$U$16,$U$14,U$2,$U$12,$A54)</f>
        <v>0</v>
      </c>
      <c r="V54" s="133">
        <f>-_xll.DBRW($G$3,$U$15,$H$17,$U$13,$U$16,$U$14,V$2,$U$12,$B54)-_xll.DBRW($G$3,$U$15,$H$17,$U$13,$U$16,$U$14,V$2,$U$12,$A54)</f>
        <v>0</v>
      </c>
      <c r="W54" s="133">
        <f>-_xll.DBRW($G$3,$U$15,$H$17,$U$13,$U$16,$U$14,W$2,$U$12,$B54)-_xll.DBRW($G$3,$U$15,$H$17,$U$13,$U$16,$U$14,W$2,$U$12,$A54)</f>
        <v>0</v>
      </c>
      <c r="X54" s="133">
        <f>-_xll.DBRW($G$3,$U$15,$H$17,$U$13,$U$16,$U$14,X$2,$U$12,$B54)-_xll.DBRW($G$3,$U$15,$H$17,$U$13,$U$16,$U$14,X$2,$U$12,$A54)</f>
        <v>0</v>
      </c>
      <c r="Y54" s="133">
        <f>-_xll.DBRW($G$3,$U$15,$H$17,$U$13,$U$16,$U$14,Y$2,$U$12,$B54)-_xll.DBRW($G$3,$U$15,$H$17,$U$13,$U$16,$U$14,Y$2,$U$12,$A54)</f>
        <v>0</v>
      </c>
      <c r="Z54" s="133">
        <f>-_xll.DBRW($G$3,$U$15,$H$17,$U$13,$U$16,$U$14,Z$2,$U$12,$B54)-_xll.DBRW($G$3,$U$15,$H$17,$U$13,$U$16,$U$14,Z$2,$U$12,$A54)</f>
        <v>0</v>
      </c>
      <c r="AA54" s="138"/>
      <c r="AB54" s="133" t="str">
        <f t="shared" si="14"/>
        <v/>
      </c>
      <c r="AC54" s="133" t="str">
        <f t="shared" si="14"/>
        <v/>
      </c>
      <c r="AD54" s="133" t="str">
        <f t="shared" si="14"/>
        <v/>
      </c>
      <c r="AE54" s="133" t="str">
        <f t="shared" si="14"/>
        <v/>
      </c>
      <c r="AF54" s="133" t="str">
        <f t="shared" si="14"/>
        <v/>
      </c>
      <c r="AG54" s="133" t="str">
        <f t="shared" si="14"/>
        <v/>
      </c>
      <c r="AH54" s="133" t="str">
        <f t="shared" si="14"/>
        <v/>
      </c>
      <c r="AI54" s="133" t="str">
        <f t="shared" si="14"/>
        <v/>
      </c>
      <c r="AJ54" s="44"/>
      <c r="AK54" s="49"/>
      <c r="AL54" s="51" t="s">
        <v>67</v>
      </c>
      <c r="AM54" s="49"/>
      <c r="AN54" s="49"/>
      <c r="AO54" s="49"/>
      <c r="AP54" s="49"/>
      <c r="AQ54" s="49"/>
      <c r="AR54" s="49"/>
      <c r="AS54" s="27"/>
      <c r="AT54" s="26"/>
      <c r="AU54" s="54"/>
    </row>
    <row r="55" spans="1:47" ht="23.25" customHeight="1" thickBot="1">
      <c r="A55" s="52" t="s">
        <v>9</v>
      </c>
      <c r="B55" s="67"/>
      <c r="C55" s="42"/>
      <c r="D55" s="42">
        <v>34</v>
      </c>
      <c r="G55" s="203" t="str">
        <f>_xll.DBRA(Server&amp;$A$21,$A55,$H$18)</f>
        <v>OPERATING CASH FLOW (EBITDA)</v>
      </c>
      <c r="H55" s="203"/>
      <c r="I55" s="141">
        <f>_xll.DBRW($G$3,$H$15,$H$17,$H$13,$H$16,$H$14,I$2,$H$12,$A55)</f>
        <v>0</v>
      </c>
      <c r="J55" s="141">
        <f>_xll.DBRW($G$3,$H$15,$H$17,$H$13,$H$16,$H$14,J$2,$H$12,$A55)</f>
        <v>0</v>
      </c>
      <c r="K55" s="141">
        <f>_xll.DBRW($G$3,$H$15,$H$17,$H$13,$H$16,$H$14,K$2,$H$12,$A55)</f>
        <v>0</v>
      </c>
      <c r="L55" s="141">
        <f>_xll.DBRW($G$3,$H$15,$H$17,$H$13,$H$16,$H$14,L$2,$H$12,$A55)</f>
        <v>0</v>
      </c>
      <c r="M55" s="141">
        <f>_xll.DBRW($G$3,$H$15,$H$17,$H$13,$H$16,$H$14,M$2,$H$12,$A55)</f>
        <v>0</v>
      </c>
      <c r="N55" s="141">
        <f>_xll.DBRW($G$3,$H$15,$H$17,$H$13,$H$16,$H$14,N$2,$H$12,$A55)</f>
        <v>0</v>
      </c>
      <c r="O55" s="141">
        <f>_xll.DBRW($G$3,$H$15,$H$17,$H$13,$H$16,$H$14,O$2,$H$12,$A55)</f>
        <v>0</v>
      </c>
      <c r="P55" s="141">
        <f>_xll.DBRW($G$3,$H$15,$H$17,$H$13,$H$16,$H$14,P$2,$H$12,$A55)</f>
        <v>0</v>
      </c>
      <c r="Q55" s="138">
        <f>SUM(I55:P55)-SUM(I50:P54)</f>
        <v>0</v>
      </c>
      <c r="R55" s="138"/>
      <c r="S55" s="141">
        <f>_xll.DBRW($G$3,$U$15,$H$17,$U$13,$U$16,$U$14,S$2,$U$12,$A55)</f>
        <v>0</v>
      </c>
      <c r="T55" s="141">
        <f>_xll.DBRW($G$3,$U$15,$H$17,$U$13,$U$16,$U$14,T$2,$U$12,$A55)</f>
        <v>0</v>
      </c>
      <c r="U55" s="141">
        <f>_xll.DBRW($G$3,$U$15,$H$17,$U$13,$U$16,$U$14,U$2,$U$12,$A55)</f>
        <v>0</v>
      </c>
      <c r="V55" s="141">
        <f>_xll.DBRW($G$3,$U$15,$H$17,$U$13,$U$16,$U$14,V$2,$U$12,$A55)</f>
        <v>0</v>
      </c>
      <c r="W55" s="141">
        <f>_xll.DBRW($G$3,$U$15,$H$17,$U$13,$U$16,$U$14,W$2,$U$12,$A55)</f>
        <v>0</v>
      </c>
      <c r="X55" s="141">
        <f>_xll.DBRW($G$3,$U$15,$H$17,$U$13,$U$16,$U$14,X$2,$U$12,$A55)</f>
        <v>0</v>
      </c>
      <c r="Y55" s="141">
        <f>_xll.DBRW($G$3,$U$15,$H$17,$U$13,$U$16,$U$14,Y$2,$U$12,$A55)</f>
        <v>0</v>
      </c>
      <c r="Z55" s="141">
        <f>_xll.DBRW($G$3,$U$15,$H$17,$U$13,$U$16,$U$14,Z$2,$U$12,$A55)</f>
        <v>0</v>
      </c>
      <c r="AA55" s="138">
        <f>SUM(S55:Z55)-SUM(S50:Z54)</f>
        <v>0</v>
      </c>
      <c r="AB55" s="141" t="str">
        <f t="shared" si="14"/>
        <v/>
      </c>
      <c r="AC55" s="141" t="str">
        <f t="shared" si="14"/>
        <v/>
      </c>
      <c r="AD55" s="141" t="str">
        <f t="shared" si="14"/>
        <v/>
      </c>
      <c r="AE55" s="141" t="str">
        <f t="shared" si="14"/>
        <v/>
      </c>
      <c r="AF55" s="141" t="str">
        <f t="shared" si="14"/>
        <v/>
      </c>
      <c r="AG55" s="141" t="str">
        <f t="shared" si="14"/>
        <v/>
      </c>
      <c r="AH55" s="141" t="str">
        <f t="shared" si="14"/>
        <v/>
      </c>
      <c r="AI55" s="141" t="str">
        <f t="shared" si="14"/>
        <v/>
      </c>
      <c r="AJ55" s="44"/>
      <c r="AK55" s="49"/>
      <c r="AL55" s="51" t="s">
        <v>114</v>
      </c>
      <c r="AM55" s="49"/>
      <c r="AN55" s="49"/>
      <c r="AO55" s="49"/>
      <c r="AP55" s="49"/>
      <c r="AQ55" s="49"/>
      <c r="AR55" s="49"/>
      <c r="AS55" s="27"/>
      <c r="AT55" s="26"/>
      <c r="AU55" s="54"/>
    </row>
    <row r="56" spans="1:47" ht="21.75" customHeight="1" thickBot="1">
      <c r="A56" s="52" t="s">
        <v>10</v>
      </c>
      <c r="B56" s="42"/>
      <c r="C56" s="42"/>
      <c r="D56" s="42">
        <v>35</v>
      </c>
      <c r="G56" s="201" t="str">
        <f>_xll.DBRA(Server&amp;$A$21,$A56,$H$18)</f>
        <v>Other financial income and expenses (cash)</v>
      </c>
      <c r="H56" s="202"/>
      <c r="I56" s="133">
        <f>_xll.DBRW($G$3,$H$15,$H$17,$H$13,$H$16,$H$14,I$2,$H$12,$A56)</f>
        <v>0</v>
      </c>
      <c r="J56" s="133">
        <f>_xll.DBRW($G$3,$H$15,$H$17,$H$13,$H$16,$H$14,J$2,$H$12,$A56)</f>
        <v>0</v>
      </c>
      <c r="K56" s="133">
        <f>_xll.DBRW($G$3,$H$15,$H$17,$H$13,$H$16,$H$14,K$2,$H$12,$A56)</f>
        <v>0</v>
      </c>
      <c r="L56" s="133">
        <f>_xll.DBRW($G$3,$H$15,$H$17,$H$13,$H$16,$H$14,L$2,$H$12,$A56)</f>
        <v>0</v>
      </c>
      <c r="M56" s="133">
        <f>_xll.DBRW($G$3,$H$15,$H$17,$H$13,$H$16,$H$14,M$2,$H$12,$A56)</f>
        <v>0</v>
      </c>
      <c r="N56" s="133">
        <f>_xll.DBRW($G$3,$H$15,$H$17,$H$13,$H$16,$H$14,N$2,$H$12,$A56)</f>
        <v>0</v>
      </c>
      <c r="O56" s="133">
        <f>_xll.DBRW($G$3,$H$15,$H$17,$H$13,$H$16,$H$14,O$2,$H$12,$A56)</f>
        <v>0</v>
      </c>
      <c r="P56" s="133">
        <f>_xll.DBRW($G$3,$H$15,$H$17,$H$13,$H$16,$H$14,P$2,$H$12,$A56)</f>
        <v>0</v>
      </c>
      <c r="Q56" s="138"/>
      <c r="R56" s="138"/>
      <c r="S56" s="133">
        <f>_xll.DBRW($G$3,$U$15,$H$17,$U$13,$U$16,$U$14,S$2,$U$12,$A56)</f>
        <v>0</v>
      </c>
      <c r="T56" s="133">
        <f>_xll.DBRW($G$3,$U$15,$H$17,$U$13,$U$16,$U$14,T$2,$U$12,$A56)</f>
        <v>0</v>
      </c>
      <c r="U56" s="133">
        <f>_xll.DBRW($G$3,$U$15,$H$17,$U$13,$U$16,$U$14,U$2,$U$12,$A56)</f>
        <v>0</v>
      </c>
      <c r="V56" s="133">
        <f>_xll.DBRW($G$3,$U$15,$H$17,$U$13,$U$16,$U$14,V$2,$U$12,$A56)</f>
        <v>0</v>
      </c>
      <c r="W56" s="133">
        <f>_xll.DBRW($G$3,$U$15,$H$17,$U$13,$U$16,$U$14,W$2,$U$12,$A56)</f>
        <v>0</v>
      </c>
      <c r="X56" s="133">
        <f>_xll.DBRW($G$3,$U$15,$H$17,$U$13,$U$16,$U$14,X$2,$U$12,$A56)</f>
        <v>0</v>
      </c>
      <c r="Y56" s="133">
        <f>_xll.DBRW($G$3,$U$15,$H$17,$U$13,$U$16,$U$14,Y$2,$U$12,$A56)</f>
        <v>0</v>
      </c>
      <c r="Z56" s="133">
        <f>_xll.DBRW($G$3,$U$15,$H$17,$U$13,$U$16,$U$14,Z$2,$U$12,$A56)</f>
        <v>0</v>
      </c>
      <c r="AA56" s="138"/>
      <c r="AB56" s="133" t="str">
        <f t="shared" si="14"/>
        <v/>
      </c>
      <c r="AC56" s="133" t="str">
        <f t="shared" si="14"/>
        <v/>
      </c>
      <c r="AD56" s="133" t="str">
        <f t="shared" si="14"/>
        <v/>
      </c>
      <c r="AE56" s="133" t="str">
        <f t="shared" si="14"/>
        <v/>
      </c>
      <c r="AF56" s="133" t="str">
        <f t="shared" si="14"/>
        <v/>
      </c>
      <c r="AG56" s="133" t="str">
        <f t="shared" si="14"/>
        <v/>
      </c>
      <c r="AH56" s="133" t="str">
        <f t="shared" si="14"/>
        <v/>
      </c>
      <c r="AI56" s="133" t="str">
        <f t="shared" si="14"/>
        <v/>
      </c>
      <c r="AJ56" s="44"/>
      <c r="AK56" s="49"/>
      <c r="AL56" s="51" t="s">
        <v>115</v>
      </c>
      <c r="AM56" s="49"/>
      <c r="AN56" s="49"/>
      <c r="AO56" s="49"/>
      <c r="AP56" s="49"/>
      <c r="AQ56" s="49"/>
      <c r="AR56" s="49"/>
      <c r="AS56" s="27"/>
      <c r="AT56" s="26"/>
      <c r="AU56" s="54"/>
    </row>
    <row r="57" spans="1:47" ht="21.75" hidden="1" customHeight="1" outlineLevel="1" thickBot="1">
      <c r="A57" s="52" t="s">
        <v>148</v>
      </c>
      <c r="B57" s="42"/>
      <c r="C57" s="42"/>
      <c r="D57" s="42">
        <v>36</v>
      </c>
      <c r="G57" s="201" t="str">
        <f>_xll.DBRA(Server&amp;$A$21,$A57,$H$18)</f>
        <v>Operating cash flow from discontinued activities</v>
      </c>
      <c r="H57" s="202"/>
      <c r="I57" s="133">
        <f>_xll.DBRW($G$3,$H$15,$H$17,$H$13,$H$16,$H$14,I$2,$H$12,$A57)</f>
        <v>0</v>
      </c>
      <c r="J57" s="133">
        <f>_xll.DBRW($G$3,$H$15,$H$17,$H$13,$H$16,$H$14,J$2,$H$12,$A57)</f>
        <v>0</v>
      </c>
      <c r="K57" s="133">
        <f>_xll.DBRW($G$3,$H$15,$H$17,$H$13,$H$16,$H$14,K$2,$H$12,$A57)</f>
        <v>0</v>
      </c>
      <c r="L57" s="133">
        <f>_xll.DBRW($G$3,$H$15,$H$17,$H$13,$H$16,$H$14,L$2,$H$12,$A57)</f>
        <v>0</v>
      </c>
      <c r="M57" s="133">
        <f>_xll.DBRW($G$3,$H$15,$H$17,$H$13,$H$16,$H$14,M$2,$H$12,$A57)</f>
        <v>0</v>
      </c>
      <c r="N57" s="133">
        <f>_xll.DBRW($G$3,$H$15,$H$17,$H$13,$H$16,$H$14,N$2,$H$12,$A57)</f>
        <v>0</v>
      </c>
      <c r="O57" s="133">
        <f>_xll.DBRW($G$3,$H$15,$H$17,$H$13,$H$16,$H$14,O$2,$H$12,$A57)</f>
        <v>0</v>
      </c>
      <c r="P57" s="133">
        <f>_xll.DBRW($G$3,$H$15,$H$17,$H$13,$H$16,$H$14,P$2,$H$12,$A57)</f>
        <v>0</v>
      </c>
      <c r="Q57" s="138"/>
      <c r="R57" s="138"/>
      <c r="S57" s="133">
        <f>_xll.DBRW($G$3,$U$15,$H$17,$U$13,$U$16,$U$14,S$2,$U$12,$A57)</f>
        <v>0</v>
      </c>
      <c r="T57" s="133">
        <f>_xll.DBRW($G$3,$U$15,$H$17,$U$13,$U$16,$U$14,T$2,$U$12,$A57)</f>
        <v>0</v>
      </c>
      <c r="U57" s="133">
        <f>_xll.DBRW($G$3,$U$15,$H$17,$U$13,$U$16,$U$14,U$2,$U$12,$A57)</f>
        <v>0</v>
      </c>
      <c r="V57" s="133">
        <f>_xll.DBRW($G$3,$U$15,$H$17,$U$13,$U$16,$U$14,V$2,$U$12,$A57)</f>
        <v>0</v>
      </c>
      <c r="W57" s="133">
        <f>_xll.DBRW($G$3,$U$15,$H$17,$U$13,$U$16,$U$14,W$2,$U$12,$A57)</f>
        <v>0</v>
      </c>
      <c r="X57" s="133">
        <f>_xll.DBRW($G$3,$U$15,$H$17,$U$13,$U$16,$U$14,X$2,$U$12,$A57)</f>
        <v>0</v>
      </c>
      <c r="Y57" s="133">
        <f>_xll.DBRW($G$3,$U$15,$H$17,$U$13,$U$16,$U$14,Y$2,$U$12,$A57)</f>
        <v>0</v>
      </c>
      <c r="Z57" s="133">
        <f>_xll.DBRW($G$3,$U$15,$H$17,$U$13,$U$16,$U$14,Z$2,$U$12,$A57)</f>
        <v>0</v>
      </c>
      <c r="AA57" s="138"/>
      <c r="AB57" s="133" t="str">
        <f t="shared" si="14"/>
        <v/>
      </c>
      <c r="AC57" s="133" t="str">
        <f t="shared" si="14"/>
        <v/>
      </c>
      <c r="AD57" s="133" t="str">
        <f t="shared" si="14"/>
        <v/>
      </c>
      <c r="AE57" s="133" t="str">
        <f t="shared" si="14"/>
        <v/>
      </c>
      <c r="AF57" s="133" t="str">
        <f t="shared" si="14"/>
        <v/>
      </c>
      <c r="AG57" s="133" t="str">
        <f t="shared" si="14"/>
        <v/>
      </c>
      <c r="AH57" s="133" t="str">
        <f t="shared" si="14"/>
        <v/>
      </c>
      <c r="AI57" s="133" t="str">
        <f t="shared" si="14"/>
        <v/>
      </c>
      <c r="AJ57" s="44"/>
      <c r="AK57" s="49"/>
      <c r="AL57" s="51" t="s">
        <v>68</v>
      </c>
      <c r="AM57" s="49"/>
      <c r="AN57" s="49"/>
      <c r="AO57" s="49"/>
      <c r="AP57" s="49"/>
      <c r="AQ57" s="49"/>
      <c r="AR57" s="49"/>
      <c r="AS57" s="27"/>
      <c r="AT57" s="26"/>
      <c r="AU57" s="54"/>
    </row>
    <row r="58" spans="1:47" ht="21.75" customHeight="1" collapsed="1" thickBot="1">
      <c r="A58" s="52" t="s">
        <v>11</v>
      </c>
      <c r="B58" s="67"/>
      <c r="C58" s="42"/>
      <c r="D58" s="42">
        <v>37</v>
      </c>
      <c r="G58" s="203" t="str">
        <f>_xll.DBRA(Server&amp;$A$21,$A58,$H$18)</f>
        <v>CASH FLOW FROM OPERATION ACTIVITIES before WC &amp; Tax</v>
      </c>
      <c r="H58" s="203"/>
      <c r="I58" s="141">
        <f>_xll.DBRW($G$3,$H$15,$H$17,$H$13,$H$16,$H$14,I$2,$H$12,$A58)</f>
        <v>0</v>
      </c>
      <c r="J58" s="141">
        <f>_xll.DBRW($G$3,$H$15,$H$17,$H$13,$H$16,$H$14,J$2,$H$12,$A58)</f>
        <v>0</v>
      </c>
      <c r="K58" s="141">
        <f>_xll.DBRW($G$3,$H$15,$H$17,$H$13,$H$16,$H$14,K$2,$H$12,$A58)</f>
        <v>0</v>
      </c>
      <c r="L58" s="141">
        <f>_xll.DBRW($G$3,$H$15,$H$17,$H$13,$H$16,$H$14,L$2,$H$12,$A58)</f>
        <v>0</v>
      </c>
      <c r="M58" s="141">
        <f>_xll.DBRW($G$3,$H$15,$H$17,$H$13,$H$16,$H$14,M$2,$H$12,$A58)</f>
        <v>0</v>
      </c>
      <c r="N58" s="141">
        <f>_xll.DBRW($G$3,$H$15,$H$17,$H$13,$H$16,$H$14,N$2,$H$12,$A58)</f>
        <v>0</v>
      </c>
      <c r="O58" s="141">
        <f>_xll.DBRW($G$3,$H$15,$H$17,$H$13,$H$16,$H$14,O$2,$H$12,$A58)</f>
        <v>0</v>
      </c>
      <c r="P58" s="141">
        <f>_xll.DBRW($G$3,$H$15,$H$17,$H$13,$H$16,$H$14,P$2,$H$12,$A58)</f>
        <v>0</v>
      </c>
      <c r="Q58" s="138">
        <f>SUM(I58:P58)-SUM(I55:P57)</f>
        <v>0</v>
      </c>
      <c r="R58" s="138"/>
      <c r="S58" s="141">
        <f>_xll.DBRW($G$3,$U$15,$H$17,$U$13,$U$16,$U$14,S$2,$U$12,$A58)</f>
        <v>0</v>
      </c>
      <c r="T58" s="141">
        <f>_xll.DBRW($G$3,$U$15,$H$17,$U$13,$U$16,$U$14,T$2,$U$12,$A58)</f>
        <v>0</v>
      </c>
      <c r="U58" s="141">
        <f>_xll.DBRW($G$3,$U$15,$H$17,$U$13,$U$16,$U$14,U$2,$U$12,$A58)</f>
        <v>0</v>
      </c>
      <c r="V58" s="141">
        <f>_xll.DBRW($G$3,$U$15,$H$17,$U$13,$U$16,$U$14,V$2,$U$12,$A58)</f>
        <v>0</v>
      </c>
      <c r="W58" s="141">
        <f>_xll.DBRW($G$3,$U$15,$H$17,$U$13,$U$16,$U$14,W$2,$U$12,$A58)</f>
        <v>0</v>
      </c>
      <c r="X58" s="141">
        <f>_xll.DBRW($G$3,$U$15,$H$17,$U$13,$U$16,$U$14,X$2,$U$12,$A58)</f>
        <v>0</v>
      </c>
      <c r="Y58" s="141">
        <f>_xll.DBRW($G$3,$U$15,$H$17,$U$13,$U$16,$U$14,Y$2,$U$12,$A58)</f>
        <v>0</v>
      </c>
      <c r="Z58" s="141">
        <f>_xll.DBRW($G$3,$U$15,$H$17,$U$13,$U$16,$U$14,Z$2,$U$12,$A58)</f>
        <v>0</v>
      </c>
      <c r="AA58" s="138">
        <f>SUM(S58:Z58)-SUM(S55:Z57)</f>
        <v>0</v>
      </c>
      <c r="AB58" s="141" t="str">
        <f t="shared" si="14"/>
        <v/>
      </c>
      <c r="AC58" s="141" t="str">
        <f t="shared" si="14"/>
        <v/>
      </c>
      <c r="AD58" s="141" t="str">
        <f t="shared" si="14"/>
        <v/>
      </c>
      <c r="AE58" s="141" t="str">
        <f t="shared" si="14"/>
        <v/>
      </c>
      <c r="AF58" s="141" t="str">
        <f t="shared" si="14"/>
        <v/>
      </c>
      <c r="AG58" s="141" t="str">
        <f t="shared" si="14"/>
        <v/>
      </c>
      <c r="AH58" s="141" t="str">
        <f t="shared" si="14"/>
        <v/>
      </c>
      <c r="AI58" s="141" t="str">
        <f t="shared" si="14"/>
        <v/>
      </c>
      <c r="AJ58" s="44"/>
      <c r="AK58" s="49"/>
      <c r="AL58" s="51" t="s">
        <v>61</v>
      </c>
      <c r="AM58" s="49"/>
      <c r="AN58" s="49"/>
      <c r="AO58" s="49"/>
      <c r="AP58" s="49"/>
      <c r="AQ58" s="49"/>
      <c r="AR58" s="49"/>
      <c r="AS58" s="27"/>
      <c r="AT58" s="26"/>
      <c r="AU58" s="54"/>
    </row>
    <row r="59" spans="1:47" ht="21.75" customHeight="1">
      <c r="A59" s="52" t="s">
        <v>12</v>
      </c>
      <c r="B59" s="42"/>
      <c r="C59" s="42"/>
      <c r="D59" s="42">
        <v>38</v>
      </c>
      <c r="G59" s="201" t="str">
        <f>_xll.DBRA(Server&amp;$A$21,$A59,$H$18)</f>
        <v>Income tax paid &amp; tax working capital</v>
      </c>
      <c r="H59" s="202"/>
      <c r="I59" s="133">
        <f>_xll.DBRW($G$3,$H$15,$H$17,$H$13,$H$16,$H$14,I$2,$H$12,$A59)</f>
        <v>0</v>
      </c>
      <c r="J59" s="134">
        <f>_xll.DBRW($G$3,$H$15,$H$17,$H$13,$H$16,$H$14,J$2,$H$12,$A59)</f>
        <v>0</v>
      </c>
      <c r="K59" s="134">
        <f>_xll.DBRW($G$3,$H$15,$H$17,$H$13,$H$16,$H$14,K$2,$H$12,$A59)</f>
        <v>0</v>
      </c>
      <c r="L59" s="134">
        <f>_xll.DBRW($G$3,$H$15,$H$17,$H$13,$H$16,$H$14,L$2,$H$12,$A59)</f>
        <v>0</v>
      </c>
      <c r="M59" s="134">
        <f>_xll.DBRW($G$3,$H$15,$H$17,$H$13,$H$16,$H$14,M$2,$H$12,$A59)</f>
        <v>0</v>
      </c>
      <c r="N59" s="134">
        <f>_xll.DBRW($G$3,$H$15,$H$17,$H$13,$H$16,$H$14,N$2,$H$12,$A59)</f>
        <v>0</v>
      </c>
      <c r="O59" s="134">
        <f>_xll.DBRW($G$3,$H$15,$H$17,$H$13,$H$16,$H$14,O$2,$H$12,$A59)</f>
        <v>0</v>
      </c>
      <c r="P59" s="135">
        <f>_xll.DBRW($G$3,$H$15,$H$17,$H$13,$H$16,$H$14,P$2,$H$12,$A59)</f>
        <v>0</v>
      </c>
      <c r="Q59" s="138"/>
      <c r="R59" s="138"/>
      <c r="S59" s="133">
        <f>_xll.DBRW($G$3,$U$15,$H$17,$U$13,$U$16,$U$14,S$2,$U$12,$A59)</f>
        <v>0</v>
      </c>
      <c r="T59" s="134">
        <f>_xll.DBRW($G$3,$U$15,$H$17,$U$13,$U$16,$U$14,T$2,$U$12,$A59)</f>
        <v>0</v>
      </c>
      <c r="U59" s="134">
        <f>_xll.DBRW($G$3,$U$15,$H$17,$U$13,$U$16,$U$14,U$2,$U$12,$A59)</f>
        <v>0</v>
      </c>
      <c r="V59" s="134">
        <f>_xll.DBRW($G$3,$U$15,$H$17,$U$13,$U$16,$U$14,V$2,$U$12,$A59)</f>
        <v>0</v>
      </c>
      <c r="W59" s="134">
        <f>_xll.DBRW($G$3,$U$15,$H$17,$U$13,$U$16,$U$14,W$2,$U$12,$A59)</f>
        <v>0</v>
      </c>
      <c r="X59" s="134">
        <f>_xll.DBRW($G$3,$U$15,$H$17,$U$13,$U$16,$U$14,X$2,$U$12,$A59)</f>
        <v>0</v>
      </c>
      <c r="Y59" s="134">
        <f>_xll.DBRW($G$3,$U$15,$H$17,$U$13,$U$16,$U$14,Y$2,$U$12,$A59)</f>
        <v>0</v>
      </c>
      <c r="Z59" s="135">
        <f>_xll.DBRW($G$3,$U$15,$H$17,$U$13,$U$16,$U$14,Z$2,$U$12,$A59)</f>
        <v>0</v>
      </c>
      <c r="AA59" s="138"/>
      <c r="AB59" s="133" t="str">
        <f t="shared" si="14"/>
        <v/>
      </c>
      <c r="AC59" s="134" t="str">
        <f t="shared" si="14"/>
        <v/>
      </c>
      <c r="AD59" s="134" t="str">
        <f t="shared" si="14"/>
        <v/>
      </c>
      <c r="AE59" s="134" t="str">
        <f t="shared" si="14"/>
        <v/>
      </c>
      <c r="AF59" s="134" t="str">
        <f t="shared" si="14"/>
        <v/>
      </c>
      <c r="AG59" s="134" t="str">
        <f t="shared" si="14"/>
        <v/>
      </c>
      <c r="AH59" s="134" t="str">
        <f t="shared" si="14"/>
        <v/>
      </c>
      <c r="AI59" s="135" t="str">
        <f t="shared" si="14"/>
        <v/>
      </c>
      <c r="AJ59" s="44"/>
      <c r="AK59" s="49"/>
      <c r="AL59" s="51" t="s">
        <v>118</v>
      </c>
      <c r="AM59" s="49"/>
      <c r="AN59" s="49"/>
      <c r="AO59" s="49"/>
      <c r="AP59" s="49"/>
      <c r="AQ59" s="49"/>
      <c r="AR59" s="49"/>
      <c r="AS59" s="27"/>
      <c r="AT59" s="26"/>
      <c r="AU59" s="54"/>
    </row>
    <row r="60" spans="1:47" ht="21.75" customHeight="1" thickBot="1">
      <c r="A60" s="52" t="s">
        <v>13</v>
      </c>
      <c r="B60" s="42"/>
      <c r="C60" s="42"/>
      <c r="D60" s="42">
        <v>39</v>
      </c>
      <c r="G60" s="201" t="str">
        <f>_xll.DBRA(Server&amp;$A$21,$A60,$H$18)</f>
        <v>Change in operating working capital</v>
      </c>
      <c r="H60" s="202"/>
      <c r="I60" s="133">
        <f>_xll.DBRW($G$3,$H$15,$H$17,$H$13,$H$16,$H$14,I$2,$H$12,$A60)</f>
        <v>0</v>
      </c>
      <c r="J60" s="134">
        <f>_xll.DBRW($G$3,$H$15,$H$17,$H$13,$H$16,$H$14,J$2,$H$12,$A60)</f>
        <v>0</v>
      </c>
      <c r="K60" s="134">
        <f>_xll.DBRW($G$3,$H$15,$H$17,$H$13,$H$16,$H$14,K$2,$H$12,$A60)</f>
        <v>0</v>
      </c>
      <c r="L60" s="134">
        <f>_xll.DBRW($G$3,$H$15,$H$17,$H$13,$H$16,$H$14,L$2,$H$12,$A60)</f>
        <v>0</v>
      </c>
      <c r="M60" s="134">
        <f>_xll.DBRW($G$3,$H$15,$H$17,$H$13,$H$16,$H$14,M$2,$H$12,$A60)</f>
        <v>0</v>
      </c>
      <c r="N60" s="134">
        <f>_xll.DBRW($G$3,$H$15,$H$17,$H$13,$H$16,$H$14,N$2,$H$12,$A60)</f>
        <v>0</v>
      </c>
      <c r="O60" s="134">
        <f>_xll.DBRW($G$3,$H$15,$H$17,$H$13,$H$16,$H$14,O$2,$H$12,$A60)</f>
        <v>0</v>
      </c>
      <c r="P60" s="135">
        <f>_xll.DBRW($G$3,$H$15,$H$17,$H$13,$H$16,$H$14,P$2,$H$12,$A60)</f>
        <v>0</v>
      </c>
      <c r="Q60" s="138"/>
      <c r="R60" s="138"/>
      <c r="S60" s="133">
        <f>_xll.DBRW($G$3,$U$15,$H$17,$U$13,$U$16,$U$14,S$2,$U$12,$A60)</f>
        <v>0</v>
      </c>
      <c r="T60" s="134">
        <f>_xll.DBRW($G$3,$U$15,$H$17,$U$13,$U$16,$U$14,T$2,$U$12,$A60)</f>
        <v>0</v>
      </c>
      <c r="U60" s="134">
        <f>_xll.DBRW($G$3,$U$15,$H$17,$U$13,$U$16,$U$14,U$2,$U$12,$A60)</f>
        <v>0</v>
      </c>
      <c r="V60" s="134">
        <f>_xll.DBRW($G$3,$U$15,$H$17,$U$13,$U$16,$U$14,V$2,$U$12,$A60)</f>
        <v>0</v>
      </c>
      <c r="W60" s="134">
        <f>_xll.DBRW($G$3,$U$15,$H$17,$U$13,$U$16,$U$14,W$2,$U$12,$A60)</f>
        <v>0</v>
      </c>
      <c r="X60" s="134">
        <f>_xll.DBRW($G$3,$U$15,$H$17,$U$13,$U$16,$U$14,X$2,$U$12,$A60)</f>
        <v>0</v>
      </c>
      <c r="Y60" s="134">
        <f>_xll.DBRW($G$3,$U$15,$H$17,$U$13,$U$16,$U$14,Y$2,$U$12,$A60)</f>
        <v>0</v>
      </c>
      <c r="Z60" s="135">
        <f>_xll.DBRW($G$3,$U$15,$H$17,$U$13,$U$16,$U$14,Z$2,$U$12,$A60)</f>
        <v>0</v>
      </c>
      <c r="AA60" s="138"/>
      <c r="AB60" s="133" t="str">
        <f t="shared" ref="AB60:AI69" si="17">IF(OR(AND(IFERROR(HLOOKUP(AB$21,$S$22:$Z$189,$D60,FALSE)=0,"VRAI"),IFERROR(HLOOKUP(AB$21,$I$22:$P$189,$D60,FALSE)=0,"VRAI")),AND(IFERROR(HLOOKUP(AB$21,$S$22:$Z$189,$D60,FALSE)="","VRAI"),IFERROR(HLOOKUP(AB$21,$I$22:$P$188,$D60,FALSE)="","VRAI"))),"",IFERROR(HLOOKUP(AB$21,$I$22:$P$189,$D60,FALSE)-HLOOKUP(AB$21,$S$22:$Z$189,$D60,FALSE),""))</f>
        <v/>
      </c>
      <c r="AC60" s="134" t="str">
        <f t="shared" si="17"/>
        <v/>
      </c>
      <c r="AD60" s="134" t="str">
        <f t="shared" si="17"/>
        <v/>
      </c>
      <c r="AE60" s="134" t="str">
        <f t="shared" si="17"/>
        <v/>
      </c>
      <c r="AF60" s="134" t="str">
        <f t="shared" si="17"/>
        <v/>
      </c>
      <c r="AG60" s="134" t="str">
        <f t="shared" si="17"/>
        <v/>
      </c>
      <c r="AH60" s="134" t="str">
        <f t="shared" si="17"/>
        <v/>
      </c>
      <c r="AI60" s="135" t="str">
        <f t="shared" si="17"/>
        <v/>
      </c>
      <c r="AJ60" s="44"/>
      <c r="AK60" s="49"/>
      <c r="AL60" s="51" t="s">
        <v>44</v>
      </c>
      <c r="AM60" s="49"/>
      <c r="AN60" s="49"/>
      <c r="AO60" s="49"/>
      <c r="AP60" s="49"/>
      <c r="AQ60" s="49"/>
      <c r="AR60" s="49"/>
      <c r="AS60" s="27"/>
      <c r="AT60" s="26"/>
      <c r="AU60" s="54"/>
    </row>
    <row r="61" spans="1:47" ht="21.75" customHeight="1" thickBot="1">
      <c r="A61" s="52" t="s">
        <v>14</v>
      </c>
      <c r="B61" s="67"/>
      <c r="C61" s="42"/>
      <c r="D61" s="42">
        <v>40</v>
      </c>
      <c r="G61" s="203" t="str">
        <f>_xll.DBRA(Server&amp;$A$21,$A61,$H$18)</f>
        <v>NET CASH FLOW FROM OPERATIONS</v>
      </c>
      <c r="H61" s="203"/>
      <c r="I61" s="141">
        <f>_xll.DBRW($G$3,$H$15,$H$17,$H$13,$H$16,$H$14,I$2,$H$12,$A61)</f>
        <v>0</v>
      </c>
      <c r="J61" s="141">
        <f>_xll.DBRW($G$3,$H$15,$H$17,$H$13,$H$16,$H$14,J$2,$H$12,$A61)</f>
        <v>0</v>
      </c>
      <c r="K61" s="141">
        <f>_xll.DBRW($G$3,$H$15,$H$17,$H$13,$H$16,$H$14,K$2,$H$12,$A61)</f>
        <v>0</v>
      </c>
      <c r="L61" s="141">
        <f>_xll.DBRW($G$3,$H$15,$H$17,$H$13,$H$16,$H$14,L$2,$H$12,$A61)</f>
        <v>0</v>
      </c>
      <c r="M61" s="141">
        <f>_xll.DBRW($G$3,$H$15,$H$17,$H$13,$H$16,$H$14,M$2,$H$12,$A61)</f>
        <v>0</v>
      </c>
      <c r="N61" s="141">
        <f>_xll.DBRW($G$3,$H$15,$H$17,$H$13,$H$16,$H$14,N$2,$H$12,$A61)</f>
        <v>0</v>
      </c>
      <c r="O61" s="141">
        <f>_xll.DBRW($G$3,$H$15,$H$17,$H$13,$H$16,$H$14,O$2,$H$12,$A61)</f>
        <v>0</v>
      </c>
      <c r="P61" s="141">
        <f>_xll.DBRW($G$3,$H$15,$H$17,$H$13,$H$16,$H$14,P$2,$H$12,$A61)</f>
        <v>0</v>
      </c>
      <c r="Q61" s="138">
        <f>SUM(I61:P61)-SUM(I58:P60)</f>
        <v>0</v>
      </c>
      <c r="R61" s="138"/>
      <c r="S61" s="141">
        <f>_xll.DBRW($G$3,$U$15,$H$17,$U$13,$U$16,$U$14,S$2,$U$12,$A61)</f>
        <v>0</v>
      </c>
      <c r="T61" s="141">
        <f>_xll.DBRW($G$3,$U$15,$H$17,$U$13,$U$16,$U$14,T$2,$U$12,$A61)</f>
        <v>0</v>
      </c>
      <c r="U61" s="141">
        <f>_xll.DBRW($G$3,$U$15,$H$17,$U$13,$U$16,$U$14,U$2,$U$12,$A61)</f>
        <v>0</v>
      </c>
      <c r="V61" s="141">
        <f>_xll.DBRW($G$3,$U$15,$H$17,$U$13,$U$16,$U$14,V$2,$U$12,$A61)</f>
        <v>0</v>
      </c>
      <c r="W61" s="141">
        <f>_xll.DBRW($G$3,$U$15,$H$17,$U$13,$U$16,$U$14,W$2,$U$12,$A61)</f>
        <v>0</v>
      </c>
      <c r="X61" s="141">
        <f>_xll.DBRW($G$3,$U$15,$H$17,$U$13,$U$16,$U$14,X$2,$U$12,$A61)</f>
        <v>0</v>
      </c>
      <c r="Y61" s="141">
        <f>_xll.DBRW($G$3,$U$15,$H$17,$U$13,$U$16,$U$14,Y$2,$U$12,$A61)</f>
        <v>0</v>
      </c>
      <c r="Z61" s="141">
        <f>_xll.DBRW($G$3,$U$15,$H$17,$U$13,$U$16,$U$14,Z$2,$U$12,$A61)</f>
        <v>0</v>
      </c>
      <c r="AA61" s="138">
        <f>SUM(S61:Z61)-SUM(S58:Z60)</f>
        <v>0</v>
      </c>
      <c r="AB61" s="141" t="str">
        <f t="shared" si="17"/>
        <v/>
      </c>
      <c r="AC61" s="141" t="str">
        <f t="shared" si="17"/>
        <v/>
      </c>
      <c r="AD61" s="141" t="str">
        <f t="shared" si="17"/>
        <v/>
      </c>
      <c r="AE61" s="141" t="str">
        <f t="shared" si="17"/>
        <v/>
      </c>
      <c r="AF61" s="141" t="str">
        <f t="shared" si="17"/>
        <v/>
      </c>
      <c r="AG61" s="141" t="str">
        <f t="shared" si="17"/>
        <v/>
      </c>
      <c r="AH61" s="141" t="str">
        <f t="shared" si="17"/>
        <v/>
      </c>
      <c r="AI61" s="141" t="str">
        <f t="shared" si="17"/>
        <v/>
      </c>
      <c r="AJ61" s="44"/>
      <c r="AK61" s="49"/>
      <c r="AL61" s="51" t="s">
        <v>119</v>
      </c>
      <c r="AM61" s="49"/>
      <c r="AN61" s="49"/>
      <c r="AO61" s="49"/>
      <c r="AP61" s="49"/>
      <c r="AQ61" s="49"/>
      <c r="AR61" s="49"/>
      <c r="AS61" s="27"/>
      <c r="AT61" s="26"/>
      <c r="AU61" s="54"/>
    </row>
    <row r="62" spans="1:47" ht="21.75" customHeight="1">
      <c r="A62" s="52" t="s">
        <v>127</v>
      </c>
      <c r="B62" s="42" t="s">
        <v>146</v>
      </c>
      <c r="C62" s="42" t="s">
        <v>147</v>
      </c>
      <c r="D62" s="42">
        <v>41</v>
      </c>
      <c r="G62" s="201" t="str">
        <f>_xll.DBRA(Server&amp;$A$21,$A62,$H$18)</f>
        <v>CAPEX - All financing mode (excl. IFRIC 12)</v>
      </c>
      <c r="H62" s="202"/>
      <c r="I62" s="133">
        <f>_xll.DBRW($G$3,$H$15,$H$17,$H$13,$H$16,$H$14,I$2,$H$12,$B62)+_xll.DBRW($G$3,$H$15,$H$17,$H$13,$H$16,$H$14,I$2,$H$12,$C62)+_xll.DBRW($G$3,$H$15,$H$17,$H$13,$H$16,$H$14,I$2,$H$12,$A62)</f>
        <v>0</v>
      </c>
      <c r="J62" s="133">
        <f>_xll.DBRW($G$3,$H$15,$H$17,$H$13,$H$16,$H$14,J$2,$H$12,$B62)+_xll.DBRW($G$3,$H$15,$H$17,$H$13,$H$16,$H$14,J$2,$H$12,$C62)+_xll.DBRW($G$3,$H$15,$H$17,$H$13,$H$16,$H$14,J$2,$H$12,$A62)</f>
        <v>0</v>
      </c>
      <c r="K62" s="133">
        <f>_xll.DBRW($G$3,$H$15,$H$17,$H$13,$H$16,$H$14,K$2,$H$12,$B62)+_xll.DBRW($G$3,$H$15,$H$17,$H$13,$H$16,$H$14,K$2,$H$12,$C62)+_xll.DBRW($G$3,$H$15,$H$17,$H$13,$H$16,$H$14,K$2,$H$12,$A62)</f>
        <v>0</v>
      </c>
      <c r="L62" s="133">
        <f>_xll.DBRW($G$3,$H$15,$H$17,$H$13,$H$16,$H$14,L$2,$H$12,$B62)+_xll.DBRW($G$3,$H$15,$H$17,$H$13,$H$16,$H$14,L$2,$H$12,$C62)+_xll.DBRW($G$3,$H$15,$H$17,$H$13,$H$16,$H$14,L$2,$H$12,$A62)</f>
        <v>0</v>
      </c>
      <c r="M62" s="133">
        <f>_xll.DBRW($G$3,$H$15,$H$17,$H$13,$H$16,$H$14,M$2,$H$12,$B62)+_xll.DBRW($G$3,$H$15,$H$17,$H$13,$H$16,$H$14,M$2,$H$12,$C62)+_xll.DBRW($G$3,$H$15,$H$17,$H$13,$H$16,$H$14,M$2,$H$12,$A62)</f>
        <v>0</v>
      </c>
      <c r="N62" s="133">
        <f>_xll.DBRW($G$3,$H$15,$H$17,$H$13,$H$16,$H$14,N$2,$H$12,$B62)+_xll.DBRW($G$3,$H$15,$H$17,$H$13,$H$16,$H$14,N$2,$H$12,$C62)+_xll.DBRW($G$3,$H$15,$H$17,$H$13,$H$16,$H$14,N$2,$H$12,$A62)</f>
        <v>0</v>
      </c>
      <c r="O62" s="133">
        <f>_xll.DBRW($G$3,$H$15,$H$17,$H$13,$H$16,$H$14,O$2,$H$12,$B62)+_xll.DBRW($G$3,$H$15,$H$17,$H$13,$H$16,$H$14,O$2,$H$12,$C62)+_xll.DBRW($G$3,$H$15,$H$17,$H$13,$H$16,$H$14,O$2,$H$12,$A62)</f>
        <v>0</v>
      </c>
      <c r="P62" s="133">
        <f>_xll.DBRW($G$3,$H$15,$H$17,$H$13,$H$16,$H$14,P$2,$H$12,$B62)+_xll.DBRW($G$3,$H$15,$H$17,$H$13,$H$16,$H$14,P$2,$H$12,$C62)+_xll.DBRW($G$3,$H$15,$H$17,$H$13,$H$16,$H$14,P$2,$H$12,$A62)</f>
        <v>0</v>
      </c>
      <c r="Q62" s="138"/>
      <c r="R62" s="138"/>
      <c r="S62" s="133">
        <f>_xll.DBRW($G$3,$U$15,$H$17,$U$13,$U$16,$U$14,S$2,$U$12,$B62)+_xll.DBRW($G$3,$U$15,$H$17,$U$13,$U$16,$U$14,S$2,$U$12,$C62)+_xll.DBRW($G$3,$U$15,$H$17,$U$13,$U$16,$U$14,S$2,$U$12,$A62)</f>
        <v>0</v>
      </c>
      <c r="T62" s="133">
        <f>_xll.DBRW($G$3,$U$15,$H$17,$U$13,$U$16,$U$14,T$2,$U$12,$B62)+_xll.DBRW($G$3,$U$15,$H$17,$U$13,$U$16,$U$14,T$2,$U$12,$C62)+_xll.DBRW($G$3,$U$15,$H$17,$U$13,$U$16,$U$14,T$2,$U$12,$A62)</f>
        <v>0</v>
      </c>
      <c r="U62" s="133">
        <f>_xll.DBRW($G$3,$U$15,$H$17,$U$13,$U$16,$U$14,U$2,$U$12,$B62)+_xll.DBRW($G$3,$U$15,$H$17,$U$13,$U$16,$U$14,U$2,$U$12,$C62)+_xll.DBRW($G$3,$U$15,$H$17,$U$13,$U$16,$U$14,U$2,$U$12,$A62)</f>
        <v>0</v>
      </c>
      <c r="V62" s="133">
        <f>_xll.DBRW($G$3,$U$15,$H$17,$U$13,$U$16,$U$14,V$2,$U$12,$B62)+_xll.DBRW($G$3,$U$15,$H$17,$U$13,$U$16,$U$14,V$2,$U$12,$C62)+_xll.DBRW($G$3,$U$15,$H$17,$U$13,$U$16,$U$14,V$2,$U$12,$A62)</f>
        <v>0</v>
      </c>
      <c r="W62" s="133">
        <f>_xll.DBRW($G$3,$U$15,$H$17,$U$13,$U$16,$U$14,W$2,$U$12,$B62)+_xll.DBRW($G$3,$U$15,$H$17,$U$13,$U$16,$U$14,W$2,$U$12,$C62)+_xll.DBRW($G$3,$U$15,$H$17,$U$13,$U$16,$U$14,W$2,$U$12,$A62)</f>
        <v>0</v>
      </c>
      <c r="X62" s="133">
        <f>_xll.DBRW($G$3,$U$15,$H$17,$U$13,$U$16,$U$14,X$2,$U$12,$B62)+_xll.DBRW($G$3,$U$15,$H$17,$U$13,$U$16,$U$14,X$2,$U$12,$C62)+_xll.DBRW($G$3,$U$15,$H$17,$U$13,$U$16,$U$14,X$2,$U$12,$A62)</f>
        <v>0</v>
      </c>
      <c r="Y62" s="133">
        <f>_xll.DBRW($G$3,$U$15,$H$17,$U$13,$U$16,$U$14,Y$2,$U$12,$B62)+_xll.DBRW($G$3,$U$15,$H$17,$U$13,$U$16,$U$14,Y$2,$U$12,$C62)+_xll.DBRW($G$3,$U$15,$H$17,$U$13,$U$16,$U$14,Y$2,$U$12,$A62)</f>
        <v>0</v>
      </c>
      <c r="Z62" s="133">
        <f>_xll.DBRW($G$3,$U$15,$H$17,$U$13,$U$16,$U$14,Z$2,$U$12,$B62)+_xll.DBRW($G$3,$U$15,$H$17,$U$13,$U$16,$U$14,Z$2,$U$12,$C62)+_xll.DBRW($G$3,$U$15,$H$17,$U$13,$U$16,$U$14,Z$2,$U$12,$A62)</f>
        <v>0</v>
      </c>
      <c r="AA62" s="138"/>
      <c r="AB62" s="133" t="str">
        <f t="shared" si="17"/>
        <v/>
      </c>
      <c r="AC62" s="133" t="str">
        <f t="shared" si="17"/>
        <v/>
      </c>
      <c r="AD62" s="133" t="str">
        <f t="shared" si="17"/>
        <v/>
      </c>
      <c r="AE62" s="133" t="str">
        <f t="shared" si="17"/>
        <v/>
      </c>
      <c r="AF62" s="133" t="str">
        <f t="shared" si="17"/>
        <v/>
      </c>
      <c r="AG62" s="133" t="str">
        <f t="shared" si="17"/>
        <v/>
      </c>
      <c r="AH62" s="133" t="str">
        <f t="shared" si="17"/>
        <v/>
      </c>
      <c r="AI62" s="133" t="str">
        <f t="shared" si="17"/>
        <v/>
      </c>
      <c r="AJ62" s="44"/>
      <c r="AK62" s="49"/>
      <c r="AL62" s="51"/>
      <c r="AM62" s="49"/>
      <c r="AN62" s="49"/>
      <c r="AO62" s="49"/>
      <c r="AP62" s="49"/>
      <c r="AQ62" s="49"/>
      <c r="AR62" s="49"/>
      <c r="AS62" s="27"/>
      <c r="AT62" s="26"/>
      <c r="AU62" s="54"/>
    </row>
    <row r="63" spans="1:47" ht="21.75" customHeight="1">
      <c r="A63" s="52" t="s">
        <v>15</v>
      </c>
      <c r="B63" s="42"/>
      <c r="C63" s="42"/>
      <c r="D63" s="42">
        <v>42</v>
      </c>
      <c r="G63" s="201" t="str">
        <f>_xll.DBRA(Server&amp;$A$21,$A63,$H$18)</f>
        <v>New Operating financial assets - IFRIC 12 impacting NFD</v>
      </c>
      <c r="H63" s="202"/>
      <c r="I63" s="133">
        <f>_xll.DBRW($G$3,$H$15,$H$17,$H$13,$H$16,$H$14,I$2,$H$12,$A63)</f>
        <v>0</v>
      </c>
      <c r="J63" s="134">
        <f>_xll.DBRW($G$3,$H$15,$H$17,$H$13,$H$16,$H$14,J$2,$H$12,$A63)</f>
        <v>0</v>
      </c>
      <c r="K63" s="134">
        <f>_xll.DBRW($G$3,$H$15,$H$17,$H$13,$H$16,$H$14,K$2,$H$12,$A63)</f>
        <v>0</v>
      </c>
      <c r="L63" s="134">
        <f>_xll.DBRW($G$3,$H$15,$H$17,$H$13,$H$16,$H$14,L$2,$H$12,$A63)</f>
        <v>0</v>
      </c>
      <c r="M63" s="134">
        <f>_xll.DBRW($G$3,$H$15,$H$17,$H$13,$H$16,$H$14,M$2,$H$12,$A63)</f>
        <v>0</v>
      </c>
      <c r="N63" s="134">
        <f>_xll.DBRW($G$3,$H$15,$H$17,$H$13,$H$16,$H$14,N$2,$H$12,$A63)</f>
        <v>0</v>
      </c>
      <c r="O63" s="134">
        <f>_xll.DBRW($G$3,$H$15,$H$17,$H$13,$H$16,$H$14,O$2,$H$12,$A63)</f>
        <v>0</v>
      </c>
      <c r="P63" s="135">
        <f>_xll.DBRW($G$3,$H$15,$H$17,$H$13,$H$16,$H$14,P$2,$H$12,$A63)</f>
        <v>0</v>
      </c>
      <c r="Q63" s="138"/>
      <c r="R63" s="138"/>
      <c r="S63" s="133">
        <f>_xll.DBRW($G$3,$U$15,$H$17,$U$13,$U$16,$U$14,S$2,$U$12,$A63)</f>
        <v>0</v>
      </c>
      <c r="T63" s="134">
        <f>_xll.DBRW($G$3,$U$15,$H$17,$U$13,$U$16,$U$14,T$2,$U$12,$A63)</f>
        <v>0</v>
      </c>
      <c r="U63" s="134">
        <f>_xll.DBRW($G$3,$U$15,$H$17,$U$13,$U$16,$U$14,U$2,$U$12,$A63)</f>
        <v>0</v>
      </c>
      <c r="V63" s="134">
        <f>_xll.DBRW($G$3,$U$15,$H$17,$U$13,$U$16,$U$14,V$2,$U$12,$A63)</f>
        <v>0</v>
      </c>
      <c r="W63" s="134">
        <f>_xll.DBRW($G$3,$U$15,$H$17,$U$13,$U$16,$U$14,W$2,$U$12,$A63)</f>
        <v>0</v>
      </c>
      <c r="X63" s="134">
        <f>_xll.DBRW($G$3,$U$15,$H$17,$U$13,$U$16,$U$14,X$2,$U$12,$A63)</f>
        <v>0</v>
      </c>
      <c r="Y63" s="134">
        <f>_xll.DBRW($G$3,$U$15,$H$17,$U$13,$U$16,$U$14,Y$2,$U$12,$A63)</f>
        <v>0</v>
      </c>
      <c r="Z63" s="135">
        <f>_xll.DBRW($G$3,$U$15,$H$17,$U$13,$U$16,$U$14,Z$2,$U$12,$A63)</f>
        <v>0</v>
      </c>
      <c r="AA63" s="138"/>
      <c r="AB63" s="133" t="str">
        <f t="shared" si="17"/>
        <v/>
      </c>
      <c r="AC63" s="134" t="str">
        <f t="shared" si="17"/>
        <v/>
      </c>
      <c r="AD63" s="134" t="str">
        <f t="shared" si="17"/>
        <v/>
      </c>
      <c r="AE63" s="134" t="str">
        <f t="shared" si="17"/>
        <v/>
      </c>
      <c r="AF63" s="134" t="str">
        <f t="shared" si="17"/>
        <v/>
      </c>
      <c r="AG63" s="134" t="str">
        <f t="shared" si="17"/>
        <v/>
      </c>
      <c r="AH63" s="134" t="str">
        <f t="shared" si="17"/>
        <v/>
      </c>
      <c r="AI63" s="135" t="str">
        <f t="shared" si="17"/>
        <v/>
      </c>
      <c r="AJ63" s="44"/>
      <c r="AK63" s="49"/>
      <c r="AL63" s="51"/>
      <c r="AM63" s="49"/>
      <c r="AN63" s="49"/>
      <c r="AO63" s="49"/>
      <c r="AP63" s="49"/>
      <c r="AQ63" s="49"/>
      <c r="AR63" s="49"/>
      <c r="AS63" s="27"/>
      <c r="AT63" s="26"/>
      <c r="AU63" s="54"/>
    </row>
    <row r="64" spans="1:47" ht="21.75" customHeight="1">
      <c r="A64" s="52" t="s">
        <v>16</v>
      </c>
      <c r="B64" s="42" t="s">
        <v>149</v>
      </c>
      <c r="C64" s="42"/>
      <c r="D64" s="42">
        <v>43</v>
      </c>
      <c r="G64" s="201" t="str">
        <f>_xll.DBRA(Server&amp;$A$21,$A64,$H$18)</f>
        <v>Financial investments (incl. Net debt of acquired entities)</v>
      </c>
      <c r="H64" s="202"/>
      <c r="I64" s="133">
        <f>_xll.DBRW($G$3,$H$15,$H$17,$H$13,$H$16,$H$14,I$2,$H$12,$B64)+_xll.DBRW($G$3,$H$15,$H$17,$H$13,$H$16,$H$14,I$2,$H$12,$A64)</f>
        <v>0</v>
      </c>
      <c r="J64" s="133">
        <f>_xll.DBRW($G$3,$H$15,$H$17,$H$13,$H$16,$H$14,J$2,$H$12,$B64)+_xll.DBRW($G$3,$H$15,$H$17,$H$13,$H$16,$H$14,J$2,$H$12,$A64)</f>
        <v>0</v>
      </c>
      <c r="K64" s="133">
        <f>_xll.DBRW($G$3,$H$15,$H$17,$H$13,$H$16,$H$14,K$2,$H$12,$B64)+_xll.DBRW($G$3,$H$15,$H$17,$H$13,$H$16,$H$14,K$2,$H$12,$A64)</f>
        <v>0</v>
      </c>
      <c r="L64" s="133">
        <f>_xll.DBRW($G$3,$H$15,$H$17,$H$13,$H$16,$H$14,L$2,$H$12,$B64)+_xll.DBRW($G$3,$H$15,$H$17,$H$13,$H$16,$H$14,L$2,$H$12,$A64)</f>
        <v>0</v>
      </c>
      <c r="M64" s="133">
        <f>_xll.DBRW($G$3,$H$15,$H$17,$H$13,$H$16,$H$14,M$2,$H$12,$B64)+_xll.DBRW($G$3,$H$15,$H$17,$H$13,$H$16,$H$14,M$2,$H$12,$A64)</f>
        <v>0</v>
      </c>
      <c r="N64" s="133">
        <f>_xll.DBRW($G$3,$H$15,$H$17,$H$13,$H$16,$H$14,N$2,$H$12,$B64)+_xll.DBRW($G$3,$H$15,$H$17,$H$13,$H$16,$H$14,N$2,$H$12,$A64)</f>
        <v>0</v>
      </c>
      <c r="O64" s="133">
        <f>_xll.DBRW($G$3,$H$15,$H$17,$H$13,$H$16,$H$14,O$2,$H$12,$B64)+_xll.DBRW($G$3,$H$15,$H$17,$H$13,$H$16,$H$14,O$2,$H$12,$A64)</f>
        <v>0</v>
      </c>
      <c r="P64" s="133">
        <f>_xll.DBRW($G$3,$H$15,$H$17,$H$13,$H$16,$H$14,P$2,$H$12,$B64)+_xll.DBRW($G$3,$H$15,$H$17,$H$13,$H$16,$H$14,P$2,$H$12,$A64)</f>
        <v>0</v>
      </c>
      <c r="Q64" s="138"/>
      <c r="R64" s="138"/>
      <c r="S64" s="133">
        <f>_xll.DBRW($G$3,$U$15,$H$17,$U$13,$U$16,$U$14,S$2,$U$12,$B64)+_xll.DBRW($G$3,$U$15,$H$17,$U$13,$U$16,$U$14,S$2,$U$12,$A64)</f>
        <v>0</v>
      </c>
      <c r="T64" s="133">
        <f>_xll.DBRW($G$3,$U$15,$H$17,$U$13,$U$16,$U$14,T$2,$U$12,$B64)+_xll.DBRW($G$3,$U$15,$H$17,$U$13,$U$16,$U$14,T$2,$U$12,$A64)</f>
        <v>0</v>
      </c>
      <c r="U64" s="133">
        <f>_xll.DBRW($G$3,$U$15,$H$17,$U$13,$U$16,$U$14,U$2,$U$12,$B64)+_xll.DBRW($G$3,$U$15,$H$17,$U$13,$U$16,$U$14,U$2,$U$12,$A64)</f>
        <v>0</v>
      </c>
      <c r="V64" s="133">
        <f>_xll.DBRW($G$3,$U$15,$H$17,$U$13,$U$16,$U$14,V$2,$U$12,$B64)+_xll.DBRW($G$3,$U$15,$H$17,$U$13,$U$16,$U$14,V$2,$U$12,$A64)</f>
        <v>0</v>
      </c>
      <c r="W64" s="133">
        <f>_xll.DBRW($G$3,$U$15,$H$17,$U$13,$U$16,$U$14,W$2,$U$12,$B64)+_xll.DBRW($G$3,$U$15,$H$17,$U$13,$U$16,$U$14,W$2,$U$12,$A64)</f>
        <v>0</v>
      </c>
      <c r="X64" s="133">
        <f>_xll.DBRW($G$3,$U$15,$H$17,$U$13,$U$16,$U$14,X$2,$U$12,$B64)+_xll.DBRW($G$3,$U$15,$H$17,$U$13,$U$16,$U$14,X$2,$U$12,$A64)</f>
        <v>0</v>
      </c>
      <c r="Y64" s="133">
        <f>_xll.DBRW($G$3,$U$15,$H$17,$U$13,$U$16,$U$14,Y$2,$U$12,$B64)+_xll.DBRW($G$3,$U$15,$H$17,$U$13,$U$16,$U$14,Y$2,$U$12,$A64)</f>
        <v>0</v>
      </c>
      <c r="Z64" s="133">
        <f>_xll.DBRW($G$3,$U$15,$H$17,$U$13,$U$16,$U$14,Z$2,$U$12,$B64)+_xll.DBRW($G$3,$U$15,$H$17,$U$13,$U$16,$U$14,Z$2,$U$12,$A64)</f>
        <v>0</v>
      </c>
      <c r="AA64" s="138"/>
      <c r="AB64" s="133" t="str">
        <f t="shared" si="17"/>
        <v/>
      </c>
      <c r="AC64" s="133" t="str">
        <f t="shared" si="17"/>
        <v/>
      </c>
      <c r="AD64" s="133" t="str">
        <f t="shared" si="17"/>
        <v/>
      </c>
      <c r="AE64" s="133" t="str">
        <f t="shared" si="17"/>
        <v/>
      </c>
      <c r="AF64" s="133" t="str">
        <f t="shared" si="17"/>
        <v/>
      </c>
      <c r="AG64" s="133" t="str">
        <f t="shared" si="17"/>
        <v/>
      </c>
      <c r="AH64" s="133" t="str">
        <f t="shared" si="17"/>
        <v/>
      </c>
      <c r="AI64" s="133" t="str">
        <f t="shared" si="17"/>
        <v/>
      </c>
      <c r="AJ64" s="44"/>
      <c r="AK64" s="49"/>
      <c r="AL64" s="51" t="s">
        <v>125</v>
      </c>
      <c r="AM64" s="49"/>
      <c r="AN64" s="49"/>
      <c r="AO64" s="49"/>
      <c r="AP64" s="49"/>
      <c r="AQ64" s="49"/>
      <c r="AR64" s="49"/>
      <c r="AS64" s="27"/>
      <c r="AT64" s="26"/>
      <c r="AU64" s="54"/>
    </row>
    <row r="65" spans="1:47" ht="21.75" customHeight="1">
      <c r="A65" s="52" t="s">
        <v>17</v>
      </c>
      <c r="B65" s="42"/>
      <c r="C65" s="42"/>
      <c r="D65" s="42">
        <v>44</v>
      </c>
      <c r="G65" s="201" t="str">
        <f>_xll.DBRA(Server&amp;$A$21,$A65,$H$18)</f>
        <v>Industrial disposal</v>
      </c>
      <c r="H65" s="202"/>
      <c r="I65" s="133">
        <f>_xll.DBRW($G$3,$H$15,$H$17,$H$13,$H$16,$H$14,I$2,$H$12,$A65)</f>
        <v>0</v>
      </c>
      <c r="J65" s="134">
        <f>_xll.DBRW($G$3,$H$15,$H$17,$H$13,$H$16,$H$14,J$2,$H$12,$A65)</f>
        <v>0</v>
      </c>
      <c r="K65" s="134">
        <f>_xll.DBRW($G$3,$H$15,$H$17,$H$13,$H$16,$H$14,K$2,$H$12,$A65)</f>
        <v>0</v>
      </c>
      <c r="L65" s="134">
        <f>_xll.DBRW($G$3,$H$15,$H$17,$H$13,$H$16,$H$14,L$2,$H$12,$A65)</f>
        <v>0</v>
      </c>
      <c r="M65" s="134">
        <f>_xll.DBRW($G$3,$H$15,$H$17,$H$13,$H$16,$H$14,M$2,$H$12,$A65)</f>
        <v>0</v>
      </c>
      <c r="N65" s="134">
        <f>_xll.DBRW($G$3,$H$15,$H$17,$H$13,$H$16,$H$14,N$2,$H$12,$A65)</f>
        <v>0</v>
      </c>
      <c r="O65" s="134">
        <f>_xll.DBRW($G$3,$H$15,$H$17,$H$13,$H$16,$H$14,O$2,$H$12,$A65)</f>
        <v>0</v>
      </c>
      <c r="P65" s="135">
        <f>_xll.DBRW($G$3,$H$15,$H$17,$H$13,$H$16,$H$14,P$2,$H$12,$A65)</f>
        <v>0</v>
      </c>
      <c r="Q65" s="138"/>
      <c r="R65" s="138"/>
      <c r="S65" s="133">
        <f>_xll.DBRW($G$3,$U$15,$H$17,$U$13,$U$16,$U$14,S$2,$U$12,$A65)</f>
        <v>0</v>
      </c>
      <c r="T65" s="134">
        <f>_xll.DBRW($G$3,$U$15,$H$17,$U$13,$U$16,$U$14,T$2,$U$12,$A65)</f>
        <v>0</v>
      </c>
      <c r="U65" s="134">
        <f>_xll.DBRW($G$3,$U$15,$H$17,$U$13,$U$16,$U$14,U$2,$U$12,$A65)</f>
        <v>0</v>
      </c>
      <c r="V65" s="134">
        <f>_xll.DBRW($G$3,$U$15,$H$17,$U$13,$U$16,$U$14,V$2,$U$12,$A65)</f>
        <v>0</v>
      </c>
      <c r="W65" s="134">
        <f>_xll.DBRW($G$3,$U$15,$H$17,$U$13,$U$16,$U$14,W$2,$U$12,$A65)</f>
        <v>0</v>
      </c>
      <c r="X65" s="134">
        <f>_xll.DBRW($G$3,$U$15,$H$17,$U$13,$U$16,$U$14,X$2,$U$12,$A65)</f>
        <v>0</v>
      </c>
      <c r="Y65" s="134">
        <f>_xll.DBRW($G$3,$U$15,$H$17,$U$13,$U$16,$U$14,Y$2,$U$12,$A65)</f>
        <v>0</v>
      </c>
      <c r="Z65" s="135">
        <f>_xll.DBRW($G$3,$U$15,$H$17,$U$13,$U$16,$U$14,Z$2,$U$12,$A65)</f>
        <v>0</v>
      </c>
      <c r="AA65" s="138"/>
      <c r="AB65" s="133" t="str">
        <f t="shared" si="17"/>
        <v/>
      </c>
      <c r="AC65" s="134" t="str">
        <f t="shared" si="17"/>
        <v/>
      </c>
      <c r="AD65" s="134" t="str">
        <f t="shared" si="17"/>
        <v/>
      </c>
      <c r="AE65" s="134" t="str">
        <f t="shared" si="17"/>
        <v/>
      </c>
      <c r="AF65" s="134" t="str">
        <f t="shared" si="17"/>
        <v/>
      </c>
      <c r="AG65" s="134" t="str">
        <f t="shared" si="17"/>
        <v/>
      </c>
      <c r="AH65" s="134" t="str">
        <f t="shared" si="17"/>
        <v/>
      </c>
      <c r="AI65" s="135" t="str">
        <f t="shared" si="17"/>
        <v/>
      </c>
      <c r="AJ65" s="44"/>
      <c r="AK65" s="49"/>
      <c r="AL65" s="49"/>
      <c r="AM65" s="49"/>
      <c r="AN65" s="49"/>
      <c r="AO65" s="49"/>
      <c r="AP65" s="49"/>
      <c r="AQ65" s="49"/>
      <c r="AR65" s="49"/>
      <c r="AS65" s="27"/>
      <c r="AT65" s="26"/>
      <c r="AU65" s="54"/>
    </row>
    <row r="66" spans="1:47" ht="21.75" customHeight="1">
      <c r="A66" s="52" t="s">
        <v>18</v>
      </c>
      <c r="B66" s="42"/>
      <c r="C66" s="42"/>
      <c r="D66" s="42">
        <v>45</v>
      </c>
      <c r="G66" s="201" t="str">
        <f>_xll.DBRA(Server&amp;$A$21,$A66,$H$18)</f>
        <v>Repayments on operating financial assets  - IFRIC 12 impacting NFD</v>
      </c>
      <c r="H66" s="202"/>
      <c r="I66" s="133">
        <f>_xll.DBRW($G$3,$H$15,$H$17,$H$13,$H$16,$H$14,I$2,$H$12,$A66)</f>
        <v>0</v>
      </c>
      <c r="J66" s="133">
        <f>_xll.DBRW($G$3,$H$15,$H$17,$H$13,$H$16,$H$14,J$2,$H$12,$A66)</f>
        <v>0</v>
      </c>
      <c r="K66" s="133">
        <f>_xll.DBRW($G$3,$H$15,$H$17,$H$13,$H$16,$H$14,K$2,$H$12,$A66)</f>
        <v>0</v>
      </c>
      <c r="L66" s="133">
        <f>_xll.DBRW($G$3,$H$15,$H$17,$H$13,$H$16,$H$14,L$2,$H$12,$A66)</f>
        <v>0</v>
      </c>
      <c r="M66" s="133">
        <f>_xll.DBRW($G$3,$H$15,$H$17,$H$13,$H$16,$H$14,M$2,$H$12,$A66)</f>
        <v>0</v>
      </c>
      <c r="N66" s="133">
        <f>_xll.DBRW($G$3,$H$15,$H$17,$H$13,$H$16,$H$14,N$2,$H$12,$A66)</f>
        <v>0</v>
      </c>
      <c r="O66" s="133">
        <f>_xll.DBRW($G$3,$H$15,$H$17,$H$13,$H$16,$H$14,O$2,$H$12,$A66)</f>
        <v>0</v>
      </c>
      <c r="P66" s="133">
        <f>_xll.DBRW($G$3,$H$15,$H$17,$H$13,$H$16,$H$14,P$2,$H$12,$A66)</f>
        <v>0</v>
      </c>
      <c r="Q66" s="138"/>
      <c r="R66" s="138"/>
      <c r="S66" s="133">
        <f>_xll.DBRW($G$3,$U$15,$H$17,$U$13,$U$16,$U$14,S$2,$U$12,$A66)</f>
        <v>0</v>
      </c>
      <c r="T66" s="133">
        <f>_xll.DBRW($G$3,$U$15,$H$17,$U$13,$U$16,$U$14,T$2,$U$12,$A66)</f>
        <v>0</v>
      </c>
      <c r="U66" s="133">
        <f>_xll.DBRW($G$3,$U$15,$H$17,$U$13,$U$16,$U$14,U$2,$U$12,$A66)</f>
        <v>0</v>
      </c>
      <c r="V66" s="133">
        <f>_xll.DBRW($G$3,$U$15,$H$17,$U$13,$U$16,$U$14,V$2,$U$12,$A66)</f>
        <v>0</v>
      </c>
      <c r="W66" s="133">
        <f>_xll.DBRW($G$3,$U$15,$H$17,$U$13,$U$16,$U$14,W$2,$U$12,$A66)</f>
        <v>0</v>
      </c>
      <c r="X66" s="133">
        <f>_xll.DBRW($G$3,$U$15,$H$17,$U$13,$U$16,$U$14,X$2,$U$12,$A66)</f>
        <v>0</v>
      </c>
      <c r="Y66" s="133">
        <f>_xll.DBRW($G$3,$U$15,$H$17,$U$13,$U$16,$U$14,Y$2,$U$12,$A66)</f>
        <v>0</v>
      </c>
      <c r="Z66" s="133">
        <f>_xll.DBRW($G$3,$U$15,$H$17,$U$13,$U$16,$U$14,Z$2,$U$12,$A66)</f>
        <v>0</v>
      </c>
      <c r="AA66" s="138"/>
      <c r="AB66" s="133" t="str">
        <f t="shared" si="17"/>
        <v/>
      </c>
      <c r="AC66" s="133" t="str">
        <f t="shared" si="17"/>
        <v/>
      </c>
      <c r="AD66" s="133" t="str">
        <f t="shared" si="17"/>
        <v/>
      </c>
      <c r="AE66" s="133" t="str">
        <f t="shared" si="17"/>
        <v/>
      </c>
      <c r="AF66" s="133" t="str">
        <f t="shared" si="17"/>
        <v/>
      </c>
      <c r="AG66" s="133" t="str">
        <f t="shared" si="17"/>
        <v/>
      </c>
      <c r="AH66" s="133" t="str">
        <f t="shared" si="17"/>
        <v/>
      </c>
      <c r="AI66" s="133" t="str">
        <f t="shared" si="17"/>
        <v/>
      </c>
      <c r="AJ66" s="44"/>
      <c r="AK66" s="49"/>
      <c r="AL66" s="49"/>
      <c r="AM66" s="49"/>
      <c r="AN66" s="49"/>
      <c r="AO66" s="49"/>
      <c r="AP66" s="49"/>
      <c r="AQ66" s="49"/>
      <c r="AR66" s="49"/>
      <c r="AS66" s="27"/>
      <c r="AT66" s="26"/>
      <c r="AU66" s="54"/>
    </row>
    <row r="67" spans="1:47" ht="21.75" customHeight="1">
      <c r="A67" s="52" t="s">
        <v>19</v>
      </c>
      <c r="B67" s="42" t="s">
        <v>150</v>
      </c>
      <c r="C67" s="42"/>
      <c r="D67" s="42">
        <v>46</v>
      </c>
      <c r="G67" s="201" t="str">
        <f>_xll.DBRA(Server&amp;$A$21,$A67,$H$18)</f>
        <v>Financial disposals (Incl. Net debt of sold entities)</v>
      </c>
      <c r="H67" s="202"/>
      <c r="I67" s="133">
        <f>_xll.DBRW($G$3,$H$15,$H$17,$H$13,$H$16,$H$14,I$2,$H$12,$B67)+_xll.DBRW($G$3,$H$15,$H$17,$H$13,$H$16,$H$14,I$2,$H$12,$A67)</f>
        <v>0</v>
      </c>
      <c r="J67" s="133">
        <f>_xll.DBRW($G$3,$H$15,$H$17,$H$13,$H$16,$H$14,J$2,$H$12,$B67)+_xll.DBRW($G$3,$H$15,$H$17,$H$13,$H$16,$H$14,J$2,$H$12,$A67)</f>
        <v>0</v>
      </c>
      <c r="K67" s="133">
        <f>_xll.DBRW($G$3,$H$15,$H$17,$H$13,$H$16,$H$14,K$2,$H$12,$B67)+_xll.DBRW($G$3,$H$15,$H$17,$H$13,$H$16,$H$14,K$2,$H$12,$A67)</f>
        <v>0</v>
      </c>
      <c r="L67" s="133">
        <f>_xll.DBRW($G$3,$H$15,$H$17,$H$13,$H$16,$H$14,L$2,$H$12,$B67)+_xll.DBRW($G$3,$H$15,$H$17,$H$13,$H$16,$H$14,L$2,$H$12,$A67)</f>
        <v>0</v>
      </c>
      <c r="M67" s="133">
        <f>_xll.DBRW($G$3,$H$15,$H$17,$H$13,$H$16,$H$14,M$2,$H$12,$B67)+_xll.DBRW($G$3,$H$15,$H$17,$H$13,$H$16,$H$14,M$2,$H$12,$A67)</f>
        <v>0</v>
      </c>
      <c r="N67" s="133">
        <f>_xll.DBRW($G$3,$H$15,$H$17,$H$13,$H$16,$H$14,N$2,$H$12,$B67)+_xll.DBRW($G$3,$H$15,$H$17,$H$13,$H$16,$H$14,N$2,$H$12,$A67)</f>
        <v>0</v>
      </c>
      <c r="O67" s="133">
        <f>_xll.DBRW($G$3,$H$15,$H$17,$H$13,$H$16,$H$14,O$2,$H$12,$B67)+_xll.DBRW($G$3,$H$15,$H$17,$H$13,$H$16,$H$14,O$2,$H$12,$A67)</f>
        <v>0</v>
      </c>
      <c r="P67" s="133">
        <f>_xll.DBRW($G$3,$H$15,$H$17,$H$13,$H$16,$H$14,P$2,$H$12,$B67)+_xll.DBRW($G$3,$H$15,$H$17,$H$13,$H$16,$H$14,P$2,$H$12,$A67)</f>
        <v>0</v>
      </c>
      <c r="Q67" s="138"/>
      <c r="R67" s="138"/>
      <c r="S67" s="133">
        <f>_xll.DBRW($G$3,$U$15,$H$17,$U$13,$U$16,$U$14,S$2,$U$12,$B67)+_xll.DBRW($G$3,$U$15,$H$17,$U$13,$U$16,$U$14,S$2,$U$12,$A67)</f>
        <v>0</v>
      </c>
      <c r="T67" s="133">
        <f>_xll.DBRW($G$3,$U$15,$H$17,$U$13,$U$16,$U$14,T$2,$U$12,$B67)+_xll.DBRW($G$3,$U$15,$H$17,$U$13,$U$16,$U$14,T$2,$U$12,$A67)</f>
        <v>0</v>
      </c>
      <c r="U67" s="133">
        <f>_xll.DBRW($G$3,$U$15,$H$17,$U$13,$U$16,$U$14,U$2,$U$12,$B67)+_xll.DBRW($G$3,$U$15,$H$17,$U$13,$U$16,$U$14,U$2,$U$12,$A67)</f>
        <v>0</v>
      </c>
      <c r="V67" s="133">
        <f>_xll.DBRW($G$3,$U$15,$H$17,$U$13,$U$16,$U$14,V$2,$U$12,$B67)+_xll.DBRW($G$3,$U$15,$H$17,$U$13,$U$16,$U$14,V$2,$U$12,$A67)</f>
        <v>0</v>
      </c>
      <c r="W67" s="133">
        <f>_xll.DBRW($G$3,$U$15,$H$17,$U$13,$U$16,$U$14,W$2,$U$12,$B67)+_xll.DBRW($G$3,$U$15,$H$17,$U$13,$U$16,$U$14,W$2,$U$12,$A67)</f>
        <v>0</v>
      </c>
      <c r="X67" s="133">
        <f>_xll.DBRW($G$3,$U$15,$H$17,$U$13,$U$16,$U$14,X$2,$U$12,$B67)+_xll.DBRW($G$3,$U$15,$H$17,$U$13,$U$16,$U$14,X$2,$U$12,$A67)</f>
        <v>0</v>
      </c>
      <c r="Y67" s="133">
        <f>_xll.DBRW($G$3,$U$15,$H$17,$U$13,$U$16,$U$14,Y$2,$U$12,$B67)+_xll.DBRW($G$3,$U$15,$H$17,$U$13,$U$16,$U$14,Y$2,$U$12,$A67)</f>
        <v>0</v>
      </c>
      <c r="Z67" s="133">
        <f>_xll.DBRW($G$3,$U$15,$H$17,$U$13,$U$16,$U$14,Z$2,$U$12,$B67)+_xll.DBRW($G$3,$U$15,$H$17,$U$13,$U$16,$U$14,Z$2,$U$12,$A67)</f>
        <v>0</v>
      </c>
      <c r="AA67" s="138"/>
      <c r="AB67" s="133" t="str">
        <f t="shared" si="17"/>
        <v/>
      </c>
      <c r="AC67" s="133" t="str">
        <f t="shared" si="17"/>
        <v/>
      </c>
      <c r="AD67" s="133" t="str">
        <f t="shared" si="17"/>
        <v/>
      </c>
      <c r="AE67" s="133" t="str">
        <f t="shared" si="17"/>
        <v/>
      </c>
      <c r="AF67" s="133" t="str">
        <f t="shared" si="17"/>
        <v/>
      </c>
      <c r="AG67" s="133" t="str">
        <f t="shared" si="17"/>
        <v/>
      </c>
      <c r="AH67" s="133" t="str">
        <f t="shared" si="17"/>
        <v/>
      </c>
      <c r="AI67" s="133" t="str">
        <f t="shared" si="17"/>
        <v/>
      </c>
      <c r="AJ67" s="44"/>
      <c r="AK67" s="49"/>
      <c r="AL67" s="49"/>
      <c r="AM67" s="49"/>
      <c r="AN67" s="49"/>
      <c r="AO67" s="49"/>
      <c r="AP67" s="49"/>
      <c r="AQ67" s="49"/>
      <c r="AR67" s="49"/>
      <c r="AS67" s="27"/>
      <c r="AT67" s="26"/>
      <c r="AU67" s="54"/>
    </row>
    <row r="68" spans="1:47" ht="21.75" customHeight="1">
      <c r="A68" s="52" t="s">
        <v>20</v>
      </c>
      <c r="B68" s="42"/>
      <c r="C68" s="42"/>
      <c r="D68" s="42">
        <v>47</v>
      </c>
      <c r="G68" s="201" t="str">
        <f>_xll.DBRA(Server&amp;$A$21,$A68,$H$18)</f>
        <v>Change in other financial assets</v>
      </c>
      <c r="H68" s="202"/>
      <c r="I68" s="133">
        <f>_xll.DBRW($G$3,$H$15,$H$17,$H$13,$H$16,$H$14,I$2,$H$12,$A68)</f>
        <v>0</v>
      </c>
      <c r="J68" s="134">
        <f>_xll.DBRW($G$3,$H$15,$H$17,$H$13,$H$16,$H$14,J$2,$H$12,$A68)</f>
        <v>0</v>
      </c>
      <c r="K68" s="134">
        <f>_xll.DBRW($G$3,$H$15,$H$17,$H$13,$H$16,$H$14,K$2,$H$12,$A68)</f>
        <v>0</v>
      </c>
      <c r="L68" s="134">
        <f>_xll.DBRW($G$3,$H$15,$H$17,$H$13,$H$16,$H$14,L$2,$H$12,$A68)</f>
        <v>0</v>
      </c>
      <c r="M68" s="134">
        <f>_xll.DBRW($G$3,$H$15,$H$17,$H$13,$H$16,$H$14,M$2,$H$12,$A68)</f>
        <v>0</v>
      </c>
      <c r="N68" s="134">
        <f>_xll.DBRW($G$3,$H$15,$H$17,$H$13,$H$16,$H$14,N$2,$H$12,$A68)</f>
        <v>0</v>
      </c>
      <c r="O68" s="134">
        <f>_xll.DBRW($G$3,$H$15,$H$17,$H$13,$H$16,$H$14,O$2,$H$12,$A68)</f>
        <v>0</v>
      </c>
      <c r="P68" s="135">
        <f>_xll.DBRW($G$3,$H$15,$H$17,$H$13,$H$16,$H$14,P$2,$H$12,$A68)</f>
        <v>0</v>
      </c>
      <c r="Q68" s="138"/>
      <c r="R68" s="138"/>
      <c r="S68" s="133">
        <f>_xll.DBRW($G$3,$U$15,$H$17,$U$13,$U$16,$U$14,S$2,$U$12,$A68)</f>
        <v>0</v>
      </c>
      <c r="T68" s="134">
        <f>_xll.DBRW($G$3,$U$15,$H$17,$U$13,$U$16,$U$14,T$2,$U$12,$A68)</f>
        <v>0</v>
      </c>
      <c r="U68" s="134">
        <f>_xll.DBRW($G$3,$U$15,$H$17,$U$13,$U$16,$U$14,U$2,$U$12,$A68)</f>
        <v>0</v>
      </c>
      <c r="V68" s="134">
        <f>_xll.DBRW($G$3,$U$15,$H$17,$U$13,$U$16,$U$14,V$2,$U$12,$A68)</f>
        <v>0</v>
      </c>
      <c r="W68" s="134">
        <f>_xll.DBRW($G$3,$U$15,$H$17,$U$13,$U$16,$U$14,W$2,$U$12,$A68)</f>
        <v>0</v>
      </c>
      <c r="X68" s="134">
        <f>_xll.DBRW($G$3,$U$15,$H$17,$U$13,$U$16,$U$14,X$2,$U$12,$A68)</f>
        <v>0</v>
      </c>
      <c r="Y68" s="134">
        <f>_xll.DBRW($G$3,$U$15,$H$17,$U$13,$U$16,$U$14,Y$2,$U$12,$A68)</f>
        <v>0</v>
      </c>
      <c r="Z68" s="135">
        <f>_xll.DBRW($G$3,$U$15,$H$17,$U$13,$U$16,$U$14,Z$2,$U$12,$A68)</f>
        <v>0</v>
      </c>
      <c r="AA68" s="138"/>
      <c r="AB68" s="133" t="str">
        <f t="shared" si="17"/>
        <v/>
      </c>
      <c r="AC68" s="134" t="str">
        <f t="shared" si="17"/>
        <v/>
      </c>
      <c r="AD68" s="134" t="str">
        <f t="shared" si="17"/>
        <v/>
      </c>
      <c r="AE68" s="134" t="str">
        <f t="shared" si="17"/>
        <v/>
      </c>
      <c r="AF68" s="134" t="str">
        <f t="shared" si="17"/>
        <v/>
      </c>
      <c r="AG68" s="134" t="str">
        <f t="shared" si="17"/>
        <v/>
      </c>
      <c r="AH68" s="134" t="str">
        <f t="shared" si="17"/>
        <v/>
      </c>
      <c r="AI68" s="135" t="str">
        <f t="shared" si="17"/>
        <v/>
      </c>
      <c r="AJ68" s="44"/>
      <c r="AK68" s="49"/>
      <c r="AL68" s="49"/>
      <c r="AM68" s="49"/>
      <c r="AN68" s="49"/>
      <c r="AO68" s="49"/>
      <c r="AP68" s="49"/>
      <c r="AQ68" s="49"/>
      <c r="AR68" s="49"/>
      <c r="AS68" s="27"/>
      <c r="AT68" s="26"/>
      <c r="AU68" s="54"/>
    </row>
    <row r="69" spans="1:47" ht="21.75" customHeight="1">
      <c r="A69" s="52" t="s">
        <v>21</v>
      </c>
      <c r="B69" s="42"/>
      <c r="C69" s="42"/>
      <c r="D69" s="42">
        <v>48</v>
      </c>
      <c r="G69" s="201" t="str">
        <f>_xll.DBRA(Server&amp;$A$21,$A69,$H$18)</f>
        <v>Dividends from investments in associates</v>
      </c>
      <c r="H69" s="202"/>
      <c r="I69" s="133">
        <f>_xll.DBRW($G$3,$H$15,$H$17,$H$13,$H$16,$H$14,I$2,$H$12,$A69)</f>
        <v>0</v>
      </c>
      <c r="J69" s="134">
        <f>_xll.DBRW($G$3,$H$15,$H$17,$H$13,$H$16,$H$14,J$2,$H$12,$A69)</f>
        <v>0</v>
      </c>
      <c r="K69" s="134">
        <f>_xll.DBRW($G$3,$H$15,$H$17,$H$13,$H$16,$H$14,K$2,$H$12,$A69)</f>
        <v>0</v>
      </c>
      <c r="L69" s="134">
        <f>_xll.DBRW($G$3,$H$15,$H$17,$H$13,$H$16,$H$14,L$2,$H$12,$A69)</f>
        <v>0</v>
      </c>
      <c r="M69" s="134">
        <f>_xll.DBRW($G$3,$H$15,$H$17,$H$13,$H$16,$H$14,M$2,$H$12,$A69)</f>
        <v>0</v>
      </c>
      <c r="N69" s="134">
        <f>_xll.DBRW($G$3,$H$15,$H$17,$H$13,$H$16,$H$14,N$2,$H$12,$A69)</f>
        <v>0</v>
      </c>
      <c r="O69" s="134">
        <f>_xll.DBRW($G$3,$H$15,$H$17,$H$13,$H$16,$H$14,O$2,$H$12,$A69)</f>
        <v>0</v>
      </c>
      <c r="P69" s="135">
        <f>_xll.DBRW($G$3,$H$15,$H$17,$H$13,$H$16,$H$14,P$2,$H$12,$A69)</f>
        <v>0</v>
      </c>
      <c r="Q69" s="138"/>
      <c r="R69" s="138"/>
      <c r="S69" s="133">
        <f>_xll.DBRW($G$3,$U$15,$H$17,$U$13,$U$16,$U$14,S$2,$U$12,$A69)</f>
        <v>0</v>
      </c>
      <c r="T69" s="134">
        <f>_xll.DBRW($G$3,$U$15,$H$17,$U$13,$U$16,$U$14,T$2,$U$12,$A69)</f>
        <v>0</v>
      </c>
      <c r="U69" s="134">
        <f>_xll.DBRW($G$3,$U$15,$H$17,$U$13,$U$16,$U$14,U$2,$U$12,$A69)</f>
        <v>0</v>
      </c>
      <c r="V69" s="134">
        <f>_xll.DBRW($G$3,$U$15,$H$17,$U$13,$U$16,$U$14,V$2,$U$12,$A69)</f>
        <v>0</v>
      </c>
      <c r="W69" s="134">
        <f>_xll.DBRW($G$3,$U$15,$H$17,$U$13,$U$16,$U$14,W$2,$U$12,$A69)</f>
        <v>0</v>
      </c>
      <c r="X69" s="134">
        <f>_xll.DBRW($G$3,$U$15,$H$17,$U$13,$U$16,$U$14,X$2,$U$12,$A69)</f>
        <v>0</v>
      </c>
      <c r="Y69" s="134">
        <f>_xll.DBRW($G$3,$U$15,$H$17,$U$13,$U$16,$U$14,Y$2,$U$12,$A69)</f>
        <v>0</v>
      </c>
      <c r="Z69" s="135">
        <f>_xll.DBRW($G$3,$U$15,$H$17,$U$13,$U$16,$U$14,Z$2,$U$12,$A69)</f>
        <v>0</v>
      </c>
      <c r="AA69" s="138"/>
      <c r="AB69" s="133" t="str">
        <f t="shared" si="17"/>
        <v/>
      </c>
      <c r="AC69" s="134" t="str">
        <f t="shared" si="17"/>
        <v/>
      </c>
      <c r="AD69" s="134" t="str">
        <f t="shared" si="17"/>
        <v/>
      </c>
      <c r="AE69" s="134" t="str">
        <f t="shared" si="17"/>
        <v/>
      </c>
      <c r="AF69" s="134" t="str">
        <f t="shared" si="17"/>
        <v/>
      </c>
      <c r="AG69" s="134" t="str">
        <f t="shared" si="17"/>
        <v/>
      </c>
      <c r="AH69" s="134" t="str">
        <f t="shared" si="17"/>
        <v/>
      </c>
      <c r="AI69" s="135" t="str">
        <f t="shared" si="17"/>
        <v/>
      </c>
      <c r="AJ69" s="44"/>
      <c r="AK69" s="49"/>
      <c r="AL69" s="49"/>
      <c r="AM69" s="49"/>
      <c r="AN69" s="49"/>
      <c r="AO69" s="49"/>
      <c r="AP69" s="49"/>
      <c r="AQ69" s="49"/>
      <c r="AR69" s="49"/>
      <c r="AS69" s="27"/>
      <c r="AT69" s="26"/>
      <c r="AU69" s="54"/>
    </row>
    <row r="70" spans="1:47" ht="21.75" customHeight="1">
      <c r="A70" s="52" t="s">
        <v>22</v>
      </c>
      <c r="B70" s="42"/>
      <c r="C70" s="42"/>
      <c r="D70" s="42">
        <v>49</v>
      </c>
      <c r="G70" s="201" t="str">
        <f>_xll.DBRA(Server&amp;$A$21,$A70,$H$18)</f>
        <v>Final and interim dividends</v>
      </c>
      <c r="H70" s="202"/>
      <c r="I70" s="133">
        <f>_xll.DBRW($G$3,$H$15,$H$17,$H$13,$H$16,$H$14,I$2,$H$12,$A70)</f>
        <v>0</v>
      </c>
      <c r="J70" s="134">
        <f>_xll.DBRW($G$3,$H$15,$H$17,$H$13,$H$16,$H$14,J$2,$H$12,$A70)</f>
        <v>0</v>
      </c>
      <c r="K70" s="134">
        <f>_xll.DBRW($G$3,$H$15,$H$17,$H$13,$H$16,$H$14,K$2,$H$12,$A70)</f>
        <v>0</v>
      </c>
      <c r="L70" s="134">
        <f>_xll.DBRW($G$3,$H$15,$H$17,$H$13,$H$16,$H$14,L$2,$H$12,$A70)</f>
        <v>0</v>
      </c>
      <c r="M70" s="134">
        <f>_xll.DBRW($G$3,$H$15,$H$17,$H$13,$H$16,$H$14,M$2,$H$12,$A70)</f>
        <v>0</v>
      </c>
      <c r="N70" s="134">
        <f>_xll.DBRW($G$3,$H$15,$H$17,$H$13,$H$16,$H$14,N$2,$H$12,$A70)</f>
        <v>0</v>
      </c>
      <c r="O70" s="134">
        <f>_xll.DBRW($G$3,$H$15,$H$17,$H$13,$H$16,$H$14,O$2,$H$12,$A70)</f>
        <v>0</v>
      </c>
      <c r="P70" s="135">
        <f>_xll.DBRW($G$3,$H$15,$H$17,$H$13,$H$16,$H$14,P$2,$H$12,$A70)</f>
        <v>0</v>
      </c>
      <c r="Q70" s="138"/>
      <c r="R70" s="138"/>
      <c r="S70" s="133">
        <f>_xll.DBRW($G$3,$U$15,$H$17,$U$13,$U$16,$U$14,S$2,$U$12,$A70)</f>
        <v>0</v>
      </c>
      <c r="T70" s="134">
        <f>_xll.DBRW($G$3,$U$15,$H$17,$U$13,$U$16,$U$14,T$2,$U$12,$A70)</f>
        <v>0</v>
      </c>
      <c r="U70" s="134">
        <f>_xll.DBRW($G$3,$U$15,$H$17,$U$13,$U$16,$U$14,U$2,$U$12,$A70)</f>
        <v>0</v>
      </c>
      <c r="V70" s="134">
        <f>_xll.DBRW($G$3,$U$15,$H$17,$U$13,$U$16,$U$14,V$2,$U$12,$A70)</f>
        <v>0</v>
      </c>
      <c r="W70" s="134">
        <f>_xll.DBRW($G$3,$U$15,$H$17,$U$13,$U$16,$U$14,W$2,$U$12,$A70)</f>
        <v>0</v>
      </c>
      <c r="X70" s="134">
        <f>_xll.DBRW($G$3,$U$15,$H$17,$U$13,$U$16,$U$14,X$2,$U$12,$A70)</f>
        <v>0</v>
      </c>
      <c r="Y70" s="134">
        <f>_xll.DBRW($G$3,$U$15,$H$17,$U$13,$U$16,$U$14,Y$2,$U$12,$A70)</f>
        <v>0</v>
      </c>
      <c r="Z70" s="135">
        <f>_xll.DBRW($G$3,$U$15,$H$17,$U$13,$U$16,$U$14,Z$2,$U$12,$A70)</f>
        <v>0</v>
      </c>
      <c r="AA70" s="138"/>
      <c r="AB70" s="133" t="str">
        <f t="shared" ref="AB70:AI79" si="18">IF(OR(AND(IFERROR(HLOOKUP(AB$21,$S$22:$Z$189,$D70,FALSE)=0,"VRAI"),IFERROR(HLOOKUP(AB$21,$I$22:$P$189,$D70,FALSE)=0,"VRAI")),AND(IFERROR(HLOOKUP(AB$21,$S$22:$Z$189,$D70,FALSE)="","VRAI"),IFERROR(HLOOKUP(AB$21,$I$22:$P$188,$D70,FALSE)="","VRAI"))),"",IFERROR(HLOOKUP(AB$21,$I$22:$P$189,$D70,FALSE)-HLOOKUP(AB$21,$S$22:$Z$189,$D70,FALSE),""))</f>
        <v/>
      </c>
      <c r="AC70" s="134" t="str">
        <f t="shared" si="18"/>
        <v/>
      </c>
      <c r="AD70" s="134" t="str">
        <f t="shared" si="18"/>
        <v/>
      </c>
      <c r="AE70" s="134" t="str">
        <f t="shared" si="18"/>
        <v/>
      </c>
      <c r="AF70" s="134" t="str">
        <f t="shared" si="18"/>
        <v/>
      </c>
      <c r="AG70" s="134" t="str">
        <f t="shared" si="18"/>
        <v/>
      </c>
      <c r="AH70" s="134" t="str">
        <f t="shared" si="18"/>
        <v/>
      </c>
      <c r="AI70" s="135" t="str">
        <f t="shared" si="18"/>
        <v/>
      </c>
      <c r="AJ70" s="44"/>
      <c r="AK70" s="49"/>
      <c r="AL70" s="49"/>
      <c r="AM70" s="49"/>
      <c r="AN70" s="49"/>
      <c r="AO70" s="49"/>
      <c r="AP70" s="49"/>
      <c r="AQ70" s="49"/>
      <c r="AR70" s="49"/>
      <c r="AS70" s="27"/>
      <c r="AT70" s="26"/>
      <c r="AU70" s="54"/>
    </row>
    <row r="71" spans="1:47" ht="21.75" customHeight="1" thickBot="1">
      <c r="A71" s="52" t="s">
        <v>23</v>
      </c>
      <c r="B71" s="42"/>
      <c r="C71" s="42"/>
      <c r="D71" s="42">
        <v>50</v>
      </c>
      <c r="G71" s="201" t="str">
        <f>_xll.DBRA(Server&amp;$A$21,$A71,$H$18)</f>
        <v>Internal Transfers</v>
      </c>
      <c r="H71" s="202"/>
      <c r="I71" s="133">
        <f>_xll.DBRW($G$3,$H$15,$H$17,$H$13,$H$16,$H$14,I$2,$H$12,$A71)</f>
        <v>0</v>
      </c>
      <c r="J71" s="134">
        <f>_xll.DBRW($G$3,$H$15,$H$17,$H$13,$H$16,$H$14,J$2,$H$12,$A71)</f>
        <v>0</v>
      </c>
      <c r="K71" s="134">
        <f>_xll.DBRW($G$3,$H$15,$H$17,$H$13,$H$16,$H$14,K$2,$H$12,$A71)</f>
        <v>0</v>
      </c>
      <c r="L71" s="134">
        <f>_xll.DBRW($G$3,$H$15,$H$17,$H$13,$H$16,$H$14,L$2,$H$12,$A71)</f>
        <v>0</v>
      </c>
      <c r="M71" s="134">
        <f>_xll.DBRW($G$3,$H$15,$H$17,$H$13,$H$16,$H$14,M$2,$H$12,$A71)</f>
        <v>0</v>
      </c>
      <c r="N71" s="134">
        <f>_xll.DBRW($G$3,$H$15,$H$17,$H$13,$H$16,$H$14,N$2,$H$12,$A71)</f>
        <v>0</v>
      </c>
      <c r="O71" s="134">
        <f>_xll.DBRW($G$3,$H$15,$H$17,$H$13,$H$16,$H$14,O$2,$H$12,$A71)</f>
        <v>0</v>
      </c>
      <c r="P71" s="135">
        <f>_xll.DBRW($G$3,$H$15,$H$17,$H$13,$H$16,$H$14,P$2,$H$12,$A71)</f>
        <v>0</v>
      </c>
      <c r="Q71" s="138"/>
      <c r="R71" s="138"/>
      <c r="S71" s="133">
        <f>_xll.DBRW($G$3,$U$15,$H$17,$U$13,$U$16,$U$14,S$2,$U$12,$A71)</f>
        <v>0</v>
      </c>
      <c r="T71" s="134">
        <f>_xll.DBRW($G$3,$U$15,$H$17,$U$13,$U$16,$U$14,T$2,$U$12,$A71)</f>
        <v>0</v>
      </c>
      <c r="U71" s="134">
        <f>_xll.DBRW($G$3,$U$15,$H$17,$U$13,$U$16,$U$14,U$2,$U$12,$A71)</f>
        <v>0</v>
      </c>
      <c r="V71" s="134">
        <f>_xll.DBRW($G$3,$U$15,$H$17,$U$13,$U$16,$U$14,V$2,$U$12,$A71)</f>
        <v>0</v>
      </c>
      <c r="W71" s="134">
        <f>_xll.DBRW($G$3,$U$15,$H$17,$U$13,$U$16,$U$14,W$2,$U$12,$A71)</f>
        <v>0</v>
      </c>
      <c r="X71" s="134">
        <f>_xll.DBRW($G$3,$U$15,$H$17,$U$13,$U$16,$U$14,X$2,$U$12,$A71)</f>
        <v>0</v>
      </c>
      <c r="Y71" s="134">
        <f>_xll.DBRW($G$3,$U$15,$H$17,$U$13,$U$16,$U$14,Y$2,$U$12,$A71)</f>
        <v>0</v>
      </c>
      <c r="Z71" s="135">
        <f>_xll.DBRW($G$3,$U$15,$H$17,$U$13,$U$16,$U$14,Z$2,$U$12,$A71)</f>
        <v>0</v>
      </c>
      <c r="AA71" s="138"/>
      <c r="AB71" s="133" t="str">
        <f t="shared" si="18"/>
        <v/>
      </c>
      <c r="AC71" s="134" t="str">
        <f t="shared" si="18"/>
        <v/>
      </c>
      <c r="AD71" s="134" t="str">
        <f t="shared" si="18"/>
        <v/>
      </c>
      <c r="AE71" s="134" t="str">
        <f t="shared" si="18"/>
        <v/>
      </c>
      <c r="AF71" s="134" t="str">
        <f t="shared" si="18"/>
        <v/>
      </c>
      <c r="AG71" s="134" t="str">
        <f t="shared" si="18"/>
        <v/>
      </c>
      <c r="AH71" s="134" t="str">
        <f t="shared" si="18"/>
        <v/>
      </c>
      <c r="AI71" s="135" t="str">
        <f t="shared" si="18"/>
        <v/>
      </c>
      <c r="AJ71" s="44"/>
      <c r="AK71" s="49"/>
      <c r="AL71" s="49"/>
      <c r="AM71" s="49"/>
      <c r="AN71" s="49"/>
      <c r="AO71" s="49"/>
      <c r="AP71" s="49"/>
      <c r="AQ71" s="49"/>
      <c r="AR71" s="49"/>
      <c r="AS71" s="27"/>
      <c r="AT71" s="26"/>
      <c r="AU71" s="54"/>
    </row>
    <row r="72" spans="1:47" ht="21.75" hidden="1" customHeight="1" outlineLevel="1">
      <c r="A72" s="74" t="s">
        <v>130</v>
      </c>
      <c r="B72" s="42"/>
      <c r="C72" s="42"/>
      <c r="D72" s="42">
        <v>51</v>
      </c>
      <c r="G72" s="201" t="str">
        <f>_xll.DBRA(Server&amp;$A$21,$A72,$H$18)</f>
        <v>Tech_Lease Liability decrease_Var2</v>
      </c>
      <c r="H72" s="202"/>
      <c r="I72" s="133">
        <f>_xll.DBRW($G$3,$H$15,$H$17,$H$13,$H$16,$H$14,I$2,$H$12,$A72)</f>
        <v>0</v>
      </c>
      <c r="J72" s="134">
        <f>_xll.DBRW($G$3,$H$15,$H$17,$H$13,$H$16,$H$14,J$2,$H$12,$A72)</f>
        <v>0</v>
      </c>
      <c r="K72" s="134">
        <f>_xll.DBRW($G$3,$H$15,$H$17,$H$13,$H$16,$H$14,K$2,$H$12,$A72)</f>
        <v>0</v>
      </c>
      <c r="L72" s="134">
        <f>_xll.DBRW($G$3,$H$15,$H$17,$H$13,$H$16,$H$14,L$2,$H$12,$A72)</f>
        <v>0</v>
      </c>
      <c r="M72" s="134">
        <f>_xll.DBRW($G$3,$H$15,$H$17,$H$13,$H$16,$H$14,M$2,$H$12,$A72)</f>
        <v>0</v>
      </c>
      <c r="N72" s="134">
        <f>_xll.DBRW($G$3,$H$15,$H$17,$H$13,$H$16,$H$14,N$2,$H$12,$A72)</f>
        <v>0</v>
      </c>
      <c r="O72" s="134">
        <f>_xll.DBRW($G$3,$H$15,$H$17,$H$13,$H$16,$H$14,O$2,$H$12,$A72)</f>
        <v>0</v>
      </c>
      <c r="P72" s="135">
        <f>_xll.DBRW($G$3,$H$15,$H$17,$H$13,$H$16,$H$14,P$2,$H$12,$A72)</f>
        <v>0</v>
      </c>
      <c r="Q72" s="138"/>
      <c r="R72" s="138"/>
      <c r="S72" s="133">
        <f>_xll.DBRW($G$3,$U$15,$H$17,$U$13,$U$16,$U$14,S$2,$U$12,$A72)</f>
        <v>0</v>
      </c>
      <c r="T72" s="134">
        <f>_xll.DBRW($G$3,$U$15,$H$17,$U$13,$U$16,$U$14,T$2,$U$12,$A72)</f>
        <v>0</v>
      </c>
      <c r="U72" s="134">
        <f>_xll.DBRW($G$3,$U$15,$H$17,$U$13,$U$16,$U$14,U$2,$U$12,$A72)</f>
        <v>0</v>
      </c>
      <c r="V72" s="134">
        <f>_xll.DBRW($G$3,$U$15,$H$17,$U$13,$U$16,$U$14,V$2,$U$12,$A72)</f>
        <v>0</v>
      </c>
      <c r="W72" s="134">
        <f>_xll.DBRW($G$3,$U$15,$H$17,$U$13,$U$16,$U$14,W$2,$U$12,$A72)</f>
        <v>0</v>
      </c>
      <c r="X72" s="134">
        <f>_xll.DBRW($G$3,$U$15,$H$17,$U$13,$U$16,$U$14,X$2,$U$12,$A72)</f>
        <v>0</v>
      </c>
      <c r="Y72" s="134">
        <f>_xll.DBRW($G$3,$U$15,$H$17,$U$13,$U$16,$U$14,Y$2,$U$12,$A72)</f>
        <v>0</v>
      </c>
      <c r="Z72" s="135">
        <f>_xll.DBRW($G$3,$U$15,$H$17,$U$13,$U$16,$U$14,Z$2,$U$12,$A72)</f>
        <v>0</v>
      </c>
      <c r="AA72" s="138"/>
      <c r="AB72" s="133" t="str">
        <f t="shared" si="18"/>
        <v/>
      </c>
      <c r="AC72" s="134" t="str">
        <f t="shared" si="18"/>
        <v/>
      </c>
      <c r="AD72" s="134" t="str">
        <f t="shared" si="18"/>
        <v/>
      </c>
      <c r="AE72" s="134" t="str">
        <f t="shared" si="18"/>
        <v/>
      </c>
      <c r="AF72" s="134" t="str">
        <f t="shared" si="18"/>
        <v/>
      </c>
      <c r="AG72" s="134" t="str">
        <f t="shared" si="18"/>
        <v/>
      </c>
      <c r="AH72" s="134" t="str">
        <f t="shared" si="18"/>
        <v/>
      </c>
      <c r="AI72" s="135" t="str">
        <f t="shared" si="18"/>
        <v/>
      </c>
      <c r="AJ72" s="44"/>
      <c r="AK72" s="49"/>
      <c r="AL72" s="49"/>
      <c r="AM72" s="49"/>
      <c r="AN72" s="49"/>
      <c r="AO72" s="49"/>
      <c r="AP72" s="49"/>
      <c r="AQ72" s="49"/>
      <c r="AR72" s="49"/>
      <c r="AS72" s="27"/>
      <c r="AT72" s="26"/>
      <c r="AU72" s="54"/>
    </row>
    <row r="73" spans="1:47" ht="21.75" hidden="1" customHeight="1" outlineLevel="1" thickBot="1">
      <c r="A73" s="74" t="s">
        <v>131</v>
      </c>
      <c r="B73" s="42"/>
      <c r="C73" s="42"/>
      <c r="D73" s="42">
        <v>52</v>
      </c>
      <c r="G73" s="201" t="str">
        <f>_xll.DBRA(Server&amp;$A$21,$A73,$H$18)</f>
        <v>Tech_Lease Liability decrease_Var1</v>
      </c>
      <c r="H73" s="202"/>
      <c r="I73" s="133">
        <f>_xll.DBRW($G$3,$H$15,$H$17,$H$13,$H$16,$H$14,I$2,$H$12,$A73)</f>
        <v>0</v>
      </c>
      <c r="J73" s="134">
        <f>_xll.DBRW($G$3,$H$15,$H$17,$H$13,$H$16,$H$14,J$2,$H$12,$A73)</f>
        <v>0</v>
      </c>
      <c r="K73" s="134">
        <f>_xll.DBRW($G$3,$H$15,$H$17,$H$13,$H$16,$H$14,K$2,$H$12,$A73)</f>
        <v>0</v>
      </c>
      <c r="L73" s="134">
        <f>_xll.DBRW($G$3,$H$15,$H$17,$H$13,$H$16,$H$14,L$2,$H$12,$A73)</f>
        <v>0</v>
      </c>
      <c r="M73" s="134">
        <f>_xll.DBRW($G$3,$H$15,$H$17,$H$13,$H$16,$H$14,M$2,$H$12,$A73)</f>
        <v>0</v>
      </c>
      <c r="N73" s="134">
        <f>_xll.DBRW($G$3,$H$15,$H$17,$H$13,$H$16,$H$14,N$2,$H$12,$A73)</f>
        <v>0</v>
      </c>
      <c r="O73" s="134">
        <f>_xll.DBRW($G$3,$H$15,$H$17,$H$13,$H$16,$H$14,O$2,$H$12,$A73)</f>
        <v>0</v>
      </c>
      <c r="P73" s="135">
        <f>_xll.DBRW($G$3,$H$15,$H$17,$H$13,$H$16,$H$14,P$2,$H$12,$A73)</f>
        <v>0</v>
      </c>
      <c r="Q73" s="138"/>
      <c r="R73" s="138"/>
      <c r="S73" s="133">
        <f>_xll.DBRW($G$3,$U$15,$H$17,$U$13,$U$16,$U$14,S$2,$U$12,$A73)</f>
        <v>0</v>
      </c>
      <c r="T73" s="134">
        <f>_xll.DBRW($G$3,$U$15,$H$17,$U$13,$U$16,$U$14,T$2,$U$12,$A73)</f>
        <v>0</v>
      </c>
      <c r="U73" s="134">
        <f>_xll.DBRW($G$3,$U$15,$H$17,$U$13,$U$16,$U$14,U$2,$U$12,$A73)</f>
        <v>0</v>
      </c>
      <c r="V73" s="134">
        <f>_xll.DBRW($G$3,$U$15,$H$17,$U$13,$U$16,$U$14,V$2,$U$12,$A73)</f>
        <v>0</v>
      </c>
      <c r="W73" s="134">
        <f>_xll.DBRW($G$3,$U$15,$H$17,$U$13,$U$16,$U$14,W$2,$U$12,$A73)</f>
        <v>0</v>
      </c>
      <c r="X73" s="134">
        <f>_xll.DBRW($G$3,$U$15,$H$17,$U$13,$U$16,$U$14,X$2,$U$12,$A73)</f>
        <v>0</v>
      </c>
      <c r="Y73" s="134">
        <f>_xll.DBRW($G$3,$U$15,$H$17,$U$13,$U$16,$U$14,Y$2,$U$12,$A73)</f>
        <v>0</v>
      </c>
      <c r="Z73" s="135">
        <f>_xll.DBRW($G$3,$U$15,$H$17,$U$13,$U$16,$U$14,Z$2,$U$12,$A73)</f>
        <v>0</v>
      </c>
      <c r="AA73" s="138"/>
      <c r="AB73" s="133" t="str">
        <f t="shared" si="18"/>
        <v/>
      </c>
      <c r="AC73" s="134" t="str">
        <f t="shared" si="18"/>
        <v/>
      </c>
      <c r="AD73" s="134" t="str">
        <f t="shared" si="18"/>
        <v/>
      </c>
      <c r="AE73" s="134" t="str">
        <f t="shared" si="18"/>
        <v/>
      </c>
      <c r="AF73" s="134" t="str">
        <f t="shared" si="18"/>
        <v/>
      </c>
      <c r="AG73" s="134" t="str">
        <f t="shared" si="18"/>
        <v/>
      </c>
      <c r="AH73" s="134" t="str">
        <f t="shared" si="18"/>
        <v/>
      </c>
      <c r="AI73" s="135" t="str">
        <f t="shared" si="18"/>
        <v/>
      </c>
      <c r="AJ73" s="44"/>
      <c r="AK73" s="49"/>
      <c r="AL73" s="49"/>
      <c r="AM73" s="49"/>
      <c r="AN73" s="49"/>
      <c r="AO73" s="49"/>
      <c r="AP73" s="49"/>
      <c r="AQ73" s="49"/>
      <c r="AR73" s="49"/>
      <c r="AS73" s="27"/>
      <c r="AT73" s="26"/>
      <c r="AU73" s="54"/>
    </row>
    <row r="74" spans="1:47" ht="21.75" customHeight="1" collapsed="1" thickBot="1">
      <c r="A74" s="52" t="s">
        <v>24</v>
      </c>
      <c r="B74" s="67"/>
      <c r="C74" s="42"/>
      <c r="D74" s="42">
        <v>53</v>
      </c>
      <c r="G74" s="203" t="str">
        <f>_xll.DBRA(Server&amp;$A$21,$A74,$H$18)</f>
        <v>CASH FLOW FROM INVESTING ACTIVITIES</v>
      </c>
      <c r="H74" s="203"/>
      <c r="I74" s="141">
        <f>_xll.DBRW($G$3,$H$15,$H$17,$H$13,$H$16,$H$14,I$2,$H$12,$A74)</f>
        <v>0</v>
      </c>
      <c r="J74" s="141">
        <f>_xll.DBRW($G$3,$H$15,$H$17,$H$13,$H$16,$H$14,J$2,$H$12,$A74)</f>
        <v>0</v>
      </c>
      <c r="K74" s="141">
        <f>_xll.DBRW($G$3,$H$15,$H$17,$H$13,$H$16,$H$14,K$2,$H$12,$A74)</f>
        <v>0</v>
      </c>
      <c r="L74" s="141">
        <f>_xll.DBRW($G$3,$H$15,$H$17,$H$13,$H$16,$H$14,L$2,$H$12,$A74)</f>
        <v>0</v>
      </c>
      <c r="M74" s="141">
        <f>_xll.DBRW($G$3,$H$15,$H$17,$H$13,$H$16,$H$14,M$2,$H$12,$A74)</f>
        <v>0</v>
      </c>
      <c r="N74" s="141">
        <f>_xll.DBRW($G$3,$H$15,$H$17,$H$13,$H$16,$H$14,N$2,$H$12,$A74)</f>
        <v>0</v>
      </c>
      <c r="O74" s="141">
        <f>_xll.DBRW($G$3,$H$15,$H$17,$H$13,$H$16,$H$14,O$2,$H$12,$A74)</f>
        <v>0</v>
      </c>
      <c r="P74" s="141">
        <f>_xll.DBRW($G$3,$H$15,$H$17,$H$13,$H$16,$H$14,P$2,$H$12,$A74)</f>
        <v>0</v>
      </c>
      <c r="Q74" s="138">
        <f>SUM(I74:P74)-SUM(I62:P73)</f>
        <v>0</v>
      </c>
      <c r="R74" s="138"/>
      <c r="S74" s="141">
        <f>_xll.DBRW($G$3,$U$15,$H$17,$U$13,$U$16,$U$14,S$2,$U$12,$A74)</f>
        <v>0</v>
      </c>
      <c r="T74" s="141">
        <f>_xll.DBRW($G$3,$U$15,$H$17,$U$13,$U$16,$U$14,T$2,$U$12,$A74)</f>
        <v>0</v>
      </c>
      <c r="U74" s="141">
        <f>_xll.DBRW($G$3,$U$15,$H$17,$U$13,$U$16,$U$14,U$2,$U$12,$A74)</f>
        <v>0</v>
      </c>
      <c r="V74" s="141">
        <f>_xll.DBRW($G$3,$U$15,$H$17,$U$13,$U$16,$U$14,V$2,$U$12,$A74)</f>
        <v>0</v>
      </c>
      <c r="W74" s="141">
        <f>_xll.DBRW($G$3,$U$15,$H$17,$U$13,$U$16,$U$14,W$2,$U$12,$A74)</f>
        <v>0</v>
      </c>
      <c r="X74" s="141">
        <f>_xll.DBRW($G$3,$U$15,$H$17,$U$13,$U$16,$U$14,X$2,$U$12,$A74)</f>
        <v>0</v>
      </c>
      <c r="Y74" s="141">
        <f>_xll.DBRW($G$3,$U$15,$H$17,$U$13,$U$16,$U$14,Y$2,$U$12,$A74)</f>
        <v>0</v>
      </c>
      <c r="Z74" s="141">
        <f>_xll.DBRW($G$3,$U$15,$H$17,$U$13,$U$16,$U$14,Z$2,$U$12,$A74)</f>
        <v>0</v>
      </c>
      <c r="AA74" s="138">
        <f>SUM(S74:Z74)-SUM(S62:Z73)</f>
        <v>0</v>
      </c>
      <c r="AB74" s="141" t="str">
        <f t="shared" si="18"/>
        <v/>
      </c>
      <c r="AC74" s="141" t="str">
        <f t="shared" si="18"/>
        <v/>
      </c>
      <c r="AD74" s="141" t="str">
        <f t="shared" si="18"/>
        <v/>
      </c>
      <c r="AE74" s="141" t="str">
        <f t="shared" si="18"/>
        <v/>
      </c>
      <c r="AF74" s="141" t="str">
        <f t="shared" si="18"/>
        <v/>
      </c>
      <c r="AG74" s="141" t="str">
        <f t="shared" si="18"/>
        <v/>
      </c>
      <c r="AH74" s="141" t="str">
        <f t="shared" si="18"/>
        <v/>
      </c>
      <c r="AI74" s="141" t="str">
        <f t="shared" si="18"/>
        <v/>
      </c>
      <c r="AJ74" s="44"/>
      <c r="AK74" s="49"/>
      <c r="AL74" s="49"/>
      <c r="AM74" s="49"/>
      <c r="AN74" s="49"/>
      <c r="AO74" s="49"/>
      <c r="AP74" s="49" t="s">
        <v>81</v>
      </c>
      <c r="AQ74" s="49" t="s">
        <v>68</v>
      </c>
      <c r="AR74" s="49"/>
      <c r="AS74" s="27"/>
      <c r="AT74" s="26"/>
      <c r="AU74" s="54"/>
    </row>
    <row r="75" spans="1:47" ht="21.75" customHeight="1" thickBot="1">
      <c r="A75" s="52" t="s">
        <v>25</v>
      </c>
      <c r="B75" s="67"/>
      <c r="C75" s="42"/>
      <c r="D75" s="42">
        <v>54</v>
      </c>
      <c r="G75" s="203" t="str">
        <f>_xll.DBRA(Server&amp;$A$21,$A75,$H$18)</f>
        <v>OPERATING FREE CASH FLOW</v>
      </c>
      <c r="H75" s="203"/>
      <c r="I75" s="141">
        <f>_xll.DBRW($G$3,$H$15,$H$17,$H$13,$H$16,$H$14,I$2,$H$12,$A75)</f>
        <v>0</v>
      </c>
      <c r="J75" s="141">
        <f>_xll.DBRW($G$3,$H$15,$H$17,$H$13,$H$16,$H$14,J$2,$H$12,$A75)</f>
        <v>0</v>
      </c>
      <c r="K75" s="141">
        <f>_xll.DBRW($G$3,$H$15,$H$17,$H$13,$H$16,$H$14,K$2,$H$12,$A75)</f>
        <v>0</v>
      </c>
      <c r="L75" s="141">
        <f>_xll.DBRW($G$3,$H$15,$H$17,$H$13,$H$16,$H$14,L$2,$H$12,$A75)</f>
        <v>0</v>
      </c>
      <c r="M75" s="141">
        <f>_xll.DBRW($G$3,$H$15,$H$17,$H$13,$H$16,$H$14,M$2,$H$12,$A75)</f>
        <v>0</v>
      </c>
      <c r="N75" s="141">
        <f>_xll.DBRW($G$3,$H$15,$H$17,$H$13,$H$16,$H$14,N$2,$H$12,$A75)</f>
        <v>0</v>
      </c>
      <c r="O75" s="141">
        <f>_xll.DBRW($G$3,$H$15,$H$17,$H$13,$H$16,$H$14,O$2,$H$12,$A75)</f>
        <v>0</v>
      </c>
      <c r="P75" s="141">
        <f>_xll.DBRW($G$3,$H$15,$H$17,$H$13,$H$16,$H$14,P$2,$H$12,$A75)</f>
        <v>0</v>
      </c>
      <c r="Q75" s="138">
        <f>SUM(I75:P75)-SUM(I74:P74)-SUM(I61:P61)</f>
        <v>0</v>
      </c>
      <c r="R75" s="138"/>
      <c r="S75" s="141">
        <f>_xll.DBRW($G$3,$U$15,$H$17,$U$13,$U$16,$U$14,S$2,$U$12,$A75)</f>
        <v>0</v>
      </c>
      <c r="T75" s="141">
        <f>_xll.DBRW($G$3,$U$15,$H$17,$U$13,$U$16,$U$14,T$2,$U$12,$A75)</f>
        <v>0</v>
      </c>
      <c r="U75" s="141">
        <f>_xll.DBRW($G$3,$U$15,$H$17,$U$13,$U$16,$U$14,U$2,$U$12,$A75)</f>
        <v>0</v>
      </c>
      <c r="V75" s="141">
        <f>_xll.DBRW($G$3,$U$15,$H$17,$U$13,$U$16,$U$14,V$2,$U$12,$A75)</f>
        <v>0</v>
      </c>
      <c r="W75" s="141">
        <f>_xll.DBRW($G$3,$U$15,$H$17,$U$13,$U$16,$U$14,W$2,$U$12,$A75)</f>
        <v>0</v>
      </c>
      <c r="X75" s="141">
        <f>_xll.DBRW($G$3,$U$15,$H$17,$U$13,$U$16,$U$14,X$2,$U$12,$A75)</f>
        <v>0</v>
      </c>
      <c r="Y75" s="141">
        <f>_xll.DBRW($G$3,$U$15,$H$17,$U$13,$U$16,$U$14,Y$2,$U$12,$A75)</f>
        <v>0</v>
      </c>
      <c r="Z75" s="141">
        <f>_xll.DBRW($G$3,$U$15,$H$17,$U$13,$U$16,$U$14,Z$2,$U$12,$A75)</f>
        <v>0</v>
      </c>
      <c r="AA75" s="138">
        <f>SUM(S75:Z75)-SUM(S74:Z74)-SUM(S61:Z61)</f>
        <v>0</v>
      </c>
      <c r="AB75" s="141" t="str">
        <f t="shared" si="18"/>
        <v/>
      </c>
      <c r="AC75" s="141" t="str">
        <f t="shared" si="18"/>
        <v/>
      </c>
      <c r="AD75" s="141" t="str">
        <f t="shared" si="18"/>
        <v/>
      </c>
      <c r="AE75" s="141" t="str">
        <f t="shared" si="18"/>
        <v/>
      </c>
      <c r="AF75" s="141" t="str">
        <f t="shared" si="18"/>
        <v/>
      </c>
      <c r="AG75" s="141" t="str">
        <f t="shared" si="18"/>
        <v/>
      </c>
      <c r="AH75" s="141" t="str">
        <f t="shared" si="18"/>
        <v/>
      </c>
      <c r="AI75" s="141" t="str">
        <f t="shared" si="18"/>
        <v/>
      </c>
      <c r="AJ75" s="44"/>
      <c r="AK75" s="49"/>
      <c r="AL75" s="49"/>
      <c r="AM75" s="49"/>
      <c r="AN75" s="49"/>
      <c r="AO75" s="49"/>
      <c r="AP75" s="49" t="s">
        <v>61</v>
      </c>
      <c r="AQ75" s="49" t="s">
        <v>69</v>
      </c>
      <c r="AR75" s="49"/>
      <c r="AS75" s="27"/>
      <c r="AT75" s="26"/>
      <c r="AU75" s="54"/>
    </row>
    <row r="76" spans="1:47" ht="21.75" customHeight="1">
      <c r="A76" s="52" t="s">
        <v>154</v>
      </c>
      <c r="B76" s="42" t="s">
        <v>153</v>
      </c>
      <c r="C76" s="42"/>
      <c r="D76" s="42">
        <v>55</v>
      </c>
      <c r="F76" s="23"/>
      <c r="G76" s="208" t="str">
        <f>G38</f>
        <v>Cost of net financial debt (total)</v>
      </c>
      <c r="H76" s="209"/>
      <c r="I76" s="147">
        <f>_xll.DBRW($G$3,$H$15,$H$17,$H$13,$H$16,$H$14,I$2,$H$12,$B76)+_xll.DBRW($G$3,$H$15,$H$17,$H$13,$H$16,$H$14,I$2,$H$12,$A76)</f>
        <v>0</v>
      </c>
      <c r="J76" s="147">
        <f>_xll.DBRW($G$3,$H$15,$H$17,$H$13,$H$16,$H$14,J$2,$H$12,$B76)+_xll.DBRW($G$3,$H$15,$H$17,$H$13,$H$16,$H$14,J$2,$H$12,$A76)</f>
        <v>0</v>
      </c>
      <c r="K76" s="147">
        <f>_xll.DBRW($G$3,$H$15,$H$17,$H$13,$H$16,$H$14,K$2,$H$12,$B76)+_xll.DBRW($G$3,$H$15,$H$17,$H$13,$H$16,$H$14,K$2,$H$12,$A76)</f>
        <v>0</v>
      </c>
      <c r="L76" s="147">
        <f>_xll.DBRW($G$3,$H$15,$H$17,$H$13,$H$16,$H$14,L$2,$H$12,$B76)+_xll.DBRW($G$3,$H$15,$H$17,$H$13,$H$16,$H$14,L$2,$H$12,$A76)</f>
        <v>0</v>
      </c>
      <c r="M76" s="147">
        <f>_xll.DBRW($G$3,$H$15,$H$17,$H$13,$H$16,$H$14,M$2,$H$12,$B76)+_xll.DBRW($G$3,$H$15,$H$17,$H$13,$H$16,$H$14,M$2,$H$12,$A76)</f>
        <v>0</v>
      </c>
      <c r="N76" s="147">
        <f>_xll.DBRW($G$3,$H$15,$H$17,$H$13,$H$16,$H$14,N$2,$H$12,$B76)+_xll.DBRW($G$3,$H$15,$H$17,$H$13,$H$16,$H$14,N$2,$H$12,$A76)</f>
        <v>0</v>
      </c>
      <c r="O76" s="147">
        <f>_xll.DBRW($G$3,$H$15,$H$17,$H$13,$H$16,$H$14,O$2,$H$12,$B76)+_xll.DBRW($G$3,$H$15,$H$17,$H$13,$H$16,$H$14,O$2,$H$12,$A76)</f>
        <v>0</v>
      </c>
      <c r="P76" s="147">
        <f>_xll.DBRW($G$3,$H$15,$H$17,$H$13,$H$16,$H$14,P$2,$H$12,$B76)+_xll.DBRW($G$3,$H$15,$H$17,$H$13,$H$16,$H$14,P$2,$H$12,$A76)</f>
        <v>0</v>
      </c>
      <c r="Q76" s="138"/>
      <c r="R76" s="138"/>
      <c r="S76" s="147">
        <f>_xll.DBRW($G$3,$U$15,$H$17,$U$13,$U$16,$U$14,S$2,$U$12,$B76)+_xll.DBRW($G$3,$U$15,$H$17,$U$13,$U$16,$U$14,S$2,$U$12,$A76)</f>
        <v>0</v>
      </c>
      <c r="T76" s="147">
        <f>_xll.DBRW($G$3,$U$15,$H$17,$U$13,$U$16,$U$14,T$2,$U$12,$B76)+_xll.DBRW($G$3,$U$15,$H$17,$U$13,$U$16,$U$14,T$2,$U$12,$A76)</f>
        <v>0</v>
      </c>
      <c r="U76" s="147">
        <f>_xll.DBRW($G$3,$U$15,$H$17,$U$13,$U$16,$U$14,U$2,$U$12,$B76)+_xll.DBRW($G$3,$U$15,$H$17,$U$13,$U$16,$U$14,U$2,$U$12,$A76)</f>
        <v>0</v>
      </c>
      <c r="V76" s="147">
        <f>_xll.DBRW($G$3,$U$15,$H$17,$U$13,$U$16,$U$14,V$2,$U$12,$B76)+_xll.DBRW($G$3,$U$15,$H$17,$U$13,$U$16,$U$14,V$2,$U$12,$A76)</f>
        <v>0</v>
      </c>
      <c r="W76" s="147">
        <f>_xll.DBRW($G$3,$U$15,$H$17,$U$13,$U$16,$U$14,W$2,$U$12,$B76)+_xll.DBRW($G$3,$U$15,$H$17,$U$13,$U$16,$U$14,W$2,$U$12,$A76)</f>
        <v>0</v>
      </c>
      <c r="X76" s="147">
        <f>_xll.DBRW($G$3,$U$15,$H$17,$U$13,$U$16,$U$14,X$2,$U$12,$B76)+_xll.DBRW($G$3,$U$15,$H$17,$U$13,$U$16,$U$14,X$2,$U$12,$A76)</f>
        <v>0</v>
      </c>
      <c r="Y76" s="147">
        <f>_xll.DBRW($G$3,$U$15,$H$17,$U$13,$U$16,$U$14,Y$2,$U$12,$B76)+_xll.DBRW($G$3,$U$15,$H$17,$U$13,$U$16,$U$14,Y$2,$U$12,$A76)</f>
        <v>0</v>
      </c>
      <c r="Z76" s="147">
        <f>_xll.DBRW($G$3,$U$15,$H$17,$U$13,$U$16,$U$14,Z$2,$U$12,$B76)+_xll.DBRW($G$3,$U$15,$H$17,$U$13,$U$16,$U$14,Z$2,$U$12,$A76)</f>
        <v>0</v>
      </c>
      <c r="AA76" s="138"/>
      <c r="AB76" s="147" t="str">
        <f t="shared" si="18"/>
        <v/>
      </c>
      <c r="AC76" s="147" t="str">
        <f t="shared" si="18"/>
        <v/>
      </c>
      <c r="AD76" s="147" t="str">
        <f t="shared" si="18"/>
        <v/>
      </c>
      <c r="AE76" s="147" t="str">
        <f t="shared" si="18"/>
        <v/>
      </c>
      <c r="AF76" s="147" t="str">
        <f t="shared" si="18"/>
        <v/>
      </c>
      <c r="AG76" s="147" t="str">
        <f t="shared" si="18"/>
        <v/>
      </c>
      <c r="AH76" s="147" t="str">
        <f t="shared" si="18"/>
        <v/>
      </c>
      <c r="AI76" s="147" t="str">
        <f t="shared" si="18"/>
        <v/>
      </c>
      <c r="AJ76" s="44"/>
      <c r="AK76" s="49"/>
      <c r="AL76" s="49"/>
      <c r="AM76" s="49"/>
      <c r="AN76" s="49"/>
      <c r="AO76" s="49"/>
      <c r="AP76" s="49"/>
      <c r="AQ76" s="49"/>
      <c r="AR76" s="49"/>
      <c r="AS76" s="27"/>
      <c r="AT76" s="26"/>
      <c r="AU76" s="54"/>
    </row>
    <row r="77" spans="1:47" ht="21.75" customHeight="1">
      <c r="A77" s="52" t="s">
        <v>28</v>
      </c>
      <c r="B77" s="42"/>
      <c r="C77" s="42"/>
      <c r="D77" s="42">
        <v>56</v>
      </c>
      <c r="F77" s="23"/>
      <c r="G77" s="208" t="str">
        <f>_xll.DBRA(Server&amp;$A$21,$A77,$H$18)</f>
        <v>Dividend paid to parent</v>
      </c>
      <c r="H77" s="209"/>
      <c r="I77" s="147">
        <f>_xll.DBRW($G$3,$H$15,$H$17,$H$13,$H$16,$H$14,I$2,$H$12,$A77)</f>
        <v>0</v>
      </c>
      <c r="J77" s="148">
        <f>_xll.DBRW($G$3,$H$15,$H$17,$H$13,$H$16,$H$14,J$2,$H$12,$A77)</f>
        <v>0</v>
      </c>
      <c r="K77" s="148">
        <f>_xll.DBRW($G$3,$H$15,$H$17,$H$13,$H$16,$H$14,K$2,$H$12,$A77)</f>
        <v>0</v>
      </c>
      <c r="L77" s="148">
        <f>_xll.DBRW($G$3,$H$15,$H$17,$H$13,$H$16,$H$14,L$2,$H$12,$A77)</f>
        <v>0</v>
      </c>
      <c r="M77" s="148">
        <f>_xll.DBRW($G$3,$H$15,$H$17,$H$13,$H$16,$H$14,M$2,$H$12,$A77)</f>
        <v>0</v>
      </c>
      <c r="N77" s="148">
        <f>_xll.DBRW($G$3,$H$15,$H$17,$H$13,$H$16,$H$14,N$2,$H$12,$A77)</f>
        <v>0</v>
      </c>
      <c r="O77" s="148">
        <f>_xll.DBRW($G$3,$H$15,$H$17,$H$13,$H$16,$H$14,O$2,$H$12,$A77)</f>
        <v>0</v>
      </c>
      <c r="P77" s="149">
        <f>_xll.DBRW($G$3,$H$15,$H$17,$H$13,$H$16,$H$14,P$2,$H$12,$A77)</f>
        <v>0</v>
      </c>
      <c r="Q77" s="138"/>
      <c r="R77" s="138"/>
      <c r="S77" s="147">
        <f>_xll.DBRW($G$3,$U$15,$H$17,$U$13,$U$16,$U$14,S$2,$U$12,$A77)</f>
        <v>0</v>
      </c>
      <c r="T77" s="148">
        <f>_xll.DBRW($G$3,$U$15,$H$17,$U$13,$U$16,$U$14,T$2,$U$12,$A77)</f>
        <v>0</v>
      </c>
      <c r="U77" s="148">
        <f>_xll.DBRW($G$3,$U$15,$H$17,$U$13,$U$16,$U$14,U$2,$U$12,$A77)</f>
        <v>0</v>
      </c>
      <c r="V77" s="148">
        <f>_xll.DBRW($G$3,$U$15,$H$17,$U$13,$U$16,$U$14,V$2,$U$12,$A77)</f>
        <v>0</v>
      </c>
      <c r="W77" s="148">
        <f>_xll.DBRW($G$3,$U$15,$H$17,$U$13,$U$16,$U$14,W$2,$U$12,$A77)</f>
        <v>0</v>
      </c>
      <c r="X77" s="148">
        <f>_xll.DBRW($G$3,$U$15,$H$17,$U$13,$U$16,$U$14,X$2,$U$12,$A77)</f>
        <v>0</v>
      </c>
      <c r="Y77" s="148">
        <f>_xll.DBRW($G$3,$U$15,$H$17,$U$13,$U$16,$U$14,Y$2,$U$12,$A77)</f>
        <v>0</v>
      </c>
      <c r="Z77" s="149">
        <f>_xll.DBRW($G$3,$U$15,$H$17,$U$13,$U$16,$U$14,Z$2,$U$12,$A77)</f>
        <v>0</v>
      </c>
      <c r="AA77" s="138"/>
      <c r="AB77" s="147" t="str">
        <f t="shared" si="18"/>
        <v/>
      </c>
      <c r="AC77" s="148" t="str">
        <f t="shared" si="18"/>
        <v/>
      </c>
      <c r="AD77" s="148" t="str">
        <f t="shared" si="18"/>
        <v/>
      </c>
      <c r="AE77" s="148" t="str">
        <f t="shared" si="18"/>
        <v/>
      </c>
      <c r="AF77" s="148" t="str">
        <f t="shared" si="18"/>
        <v/>
      </c>
      <c r="AG77" s="148" t="str">
        <f t="shared" si="18"/>
        <v/>
      </c>
      <c r="AH77" s="148" t="str">
        <f t="shared" si="18"/>
        <v/>
      </c>
      <c r="AI77" s="149" t="str">
        <f t="shared" si="18"/>
        <v/>
      </c>
      <c r="AJ77" s="44"/>
      <c r="AK77" s="49"/>
      <c r="AL77" s="49"/>
      <c r="AM77" s="49"/>
      <c r="AN77" s="49"/>
      <c r="AO77" s="49"/>
      <c r="AP77" s="49"/>
      <c r="AQ77" s="49"/>
      <c r="AR77" s="49"/>
      <c r="AS77" s="27"/>
      <c r="AT77" s="26"/>
      <c r="AU77" s="54"/>
    </row>
    <row r="78" spans="1:47" ht="21.75" customHeight="1">
      <c r="A78" s="52" t="s">
        <v>29</v>
      </c>
      <c r="B78" s="42"/>
      <c r="C78" s="42"/>
      <c r="D78" s="42">
        <v>57</v>
      </c>
      <c r="G78" s="208" t="str">
        <f>_xll.DBRA(Server&amp;$A$21,$A78,$H$18)</f>
        <v>Dividend paid to minority interests</v>
      </c>
      <c r="H78" s="209"/>
      <c r="I78" s="147">
        <f>_xll.DBRW($G$3,$H$15,$H$17,$H$13,$H$16,$H$14,I$2,$H$12,$A78)</f>
        <v>0</v>
      </c>
      <c r="J78" s="148">
        <f>_xll.DBRW($G$3,$H$15,$H$17,$H$13,$H$16,$H$14,J$2,$H$12,$A78)</f>
        <v>0</v>
      </c>
      <c r="K78" s="148">
        <f>_xll.DBRW($G$3,$H$15,$H$17,$H$13,$H$16,$H$14,K$2,$H$12,$A78)</f>
        <v>0</v>
      </c>
      <c r="L78" s="148">
        <f>_xll.DBRW($G$3,$H$15,$H$17,$H$13,$H$16,$H$14,L$2,$H$12,$A78)</f>
        <v>0</v>
      </c>
      <c r="M78" s="148">
        <f>_xll.DBRW($G$3,$H$15,$H$17,$H$13,$H$16,$H$14,M$2,$H$12,$A78)</f>
        <v>0</v>
      </c>
      <c r="N78" s="148">
        <f>_xll.DBRW($G$3,$H$15,$H$17,$H$13,$H$16,$H$14,N$2,$H$12,$A78)</f>
        <v>0</v>
      </c>
      <c r="O78" s="148">
        <f>_xll.DBRW($G$3,$H$15,$H$17,$H$13,$H$16,$H$14,O$2,$H$12,$A78)</f>
        <v>0</v>
      </c>
      <c r="P78" s="149">
        <f>_xll.DBRW($G$3,$H$15,$H$17,$H$13,$H$16,$H$14,P$2,$H$12,$A78)</f>
        <v>0</v>
      </c>
      <c r="Q78" s="138"/>
      <c r="R78" s="138"/>
      <c r="S78" s="147">
        <f>_xll.DBRW($G$3,$U$15,$H$17,$U$13,$U$16,$U$14,S$2,$U$12,$A78)</f>
        <v>0</v>
      </c>
      <c r="T78" s="148">
        <f>_xll.DBRW($G$3,$U$15,$H$17,$U$13,$U$16,$U$14,T$2,$U$12,$A78)</f>
        <v>0</v>
      </c>
      <c r="U78" s="148">
        <f>_xll.DBRW($G$3,$U$15,$H$17,$U$13,$U$16,$U$14,U$2,$U$12,$A78)</f>
        <v>0</v>
      </c>
      <c r="V78" s="148">
        <f>_xll.DBRW($G$3,$U$15,$H$17,$U$13,$U$16,$U$14,V$2,$U$12,$A78)</f>
        <v>0</v>
      </c>
      <c r="W78" s="148">
        <f>_xll.DBRW($G$3,$U$15,$H$17,$U$13,$U$16,$U$14,W$2,$U$12,$A78)</f>
        <v>0</v>
      </c>
      <c r="X78" s="148">
        <f>_xll.DBRW($G$3,$U$15,$H$17,$U$13,$U$16,$U$14,X$2,$U$12,$A78)</f>
        <v>0</v>
      </c>
      <c r="Y78" s="148">
        <f>_xll.DBRW($G$3,$U$15,$H$17,$U$13,$U$16,$U$14,Y$2,$U$12,$A78)</f>
        <v>0</v>
      </c>
      <c r="Z78" s="149">
        <f>_xll.DBRW($G$3,$U$15,$H$17,$U$13,$U$16,$U$14,Z$2,$U$12,$A78)</f>
        <v>0</v>
      </c>
      <c r="AA78" s="138"/>
      <c r="AB78" s="147" t="str">
        <f t="shared" si="18"/>
        <v/>
      </c>
      <c r="AC78" s="148" t="str">
        <f t="shared" si="18"/>
        <v/>
      </c>
      <c r="AD78" s="148" t="str">
        <f t="shared" si="18"/>
        <v/>
      </c>
      <c r="AE78" s="148" t="str">
        <f t="shared" si="18"/>
        <v/>
      </c>
      <c r="AF78" s="148" t="str">
        <f t="shared" si="18"/>
        <v/>
      </c>
      <c r="AG78" s="148" t="str">
        <f t="shared" si="18"/>
        <v/>
      </c>
      <c r="AH78" s="148" t="str">
        <f t="shared" si="18"/>
        <v/>
      </c>
      <c r="AI78" s="149" t="str">
        <f t="shared" si="18"/>
        <v/>
      </c>
      <c r="AJ78" s="44"/>
      <c r="AK78" s="49"/>
      <c r="AL78" s="49"/>
      <c r="AM78" s="49"/>
      <c r="AN78" s="49"/>
      <c r="AO78" s="49"/>
      <c r="AP78" s="49"/>
      <c r="AQ78" s="49"/>
      <c r="AR78" s="49"/>
      <c r="AS78" s="27"/>
      <c r="AT78" s="26"/>
      <c r="AU78" s="54"/>
    </row>
    <row r="79" spans="1:47" ht="21.75" customHeight="1">
      <c r="A79" s="52" t="s">
        <v>27</v>
      </c>
      <c r="B79" s="42"/>
      <c r="C79" s="42"/>
      <c r="D79" s="42">
        <v>58</v>
      </c>
      <c r="G79" s="201" t="str">
        <f>_xll.DBRA(Server&amp;$A$21,$A79,$H$18)</f>
        <v>Group share capital increase and change</v>
      </c>
      <c r="H79" s="202"/>
      <c r="I79" s="133">
        <f>_xll.DBRW($G$3,$H$15,$H$17,$H$13,$H$16,$H$14,I$2,$H$12,$A79)</f>
        <v>0</v>
      </c>
      <c r="J79" s="134">
        <f>_xll.DBRW($G$3,$H$15,$H$17,$H$13,$H$16,$H$14,J$2,$H$12,$A79)</f>
        <v>0</v>
      </c>
      <c r="K79" s="134">
        <f>_xll.DBRW($G$3,$H$15,$H$17,$H$13,$H$16,$H$14,K$2,$H$12,$A79)</f>
        <v>0</v>
      </c>
      <c r="L79" s="134">
        <f>_xll.DBRW($G$3,$H$15,$H$17,$H$13,$H$16,$H$14,L$2,$H$12,$A79)</f>
        <v>0</v>
      </c>
      <c r="M79" s="134">
        <f>_xll.DBRW($G$3,$H$15,$H$17,$H$13,$H$16,$H$14,M$2,$H$12,$A79)</f>
        <v>0</v>
      </c>
      <c r="N79" s="134">
        <f>_xll.DBRW($G$3,$H$15,$H$17,$H$13,$H$16,$H$14,N$2,$H$12,$A79)</f>
        <v>0</v>
      </c>
      <c r="O79" s="134">
        <f>_xll.DBRW($G$3,$H$15,$H$17,$H$13,$H$16,$H$14,O$2,$H$12,$A79)</f>
        <v>0</v>
      </c>
      <c r="P79" s="135">
        <f>_xll.DBRW($G$3,$H$15,$H$17,$H$13,$H$16,$H$14,P$2,$H$12,$A79)</f>
        <v>0</v>
      </c>
      <c r="Q79" s="138"/>
      <c r="R79" s="138"/>
      <c r="S79" s="133">
        <f>_xll.DBRW($G$3,$U$15,$H$17,$U$13,$U$16,$U$14,S$2,$U$12,$A79)</f>
        <v>0</v>
      </c>
      <c r="T79" s="134">
        <f>_xll.DBRW($G$3,$U$15,$H$17,$U$13,$U$16,$U$14,T$2,$U$12,$A79)</f>
        <v>0</v>
      </c>
      <c r="U79" s="134">
        <f>_xll.DBRW($G$3,$U$15,$H$17,$U$13,$U$16,$U$14,U$2,$U$12,$A79)</f>
        <v>0</v>
      </c>
      <c r="V79" s="134">
        <f>_xll.DBRW($G$3,$U$15,$H$17,$U$13,$U$16,$U$14,V$2,$U$12,$A79)</f>
        <v>0</v>
      </c>
      <c r="W79" s="134">
        <f>_xll.DBRW($G$3,$U$15,$H$17,$U$13,$U$16,$U$14,W$2,$U$12,$A79)</f>
        <v>0</v>
      </c>
      <c r="X79" s="134">
        <f>_xll.DBRW($G$3,$U$15,$H$17,$U$13,$U$16,$U$14,X$2,$U$12,$A79)</f>
        <v>0</v>
      </c>
      <c r="Y79" s="134">
        <f>_xll.DBRW($G$3,$U$15,$H$17,$U$13,$U$16,$U$14,Y$2,$U$12,$A79)</f>
        <v>0</v>
      </c>
      <c r="Z79" s="135">
        <f>_xll.DBRW($G$3,$U$15,$H$17,$U$13,$U$16,$U$14,Z$2,$U$12,$A79)</f>
        <v>0</v>
      </c>
      <c r="AA79" s="138"/>
      <c r="AB79" s="133" t="str">
        <f t="shared" si="18"/>
        <v/>
      </c>
      <c r="AC79" s="134" t="str">
        <f t="shared" si="18"/>
        <v/>
      </c>
      <c r="AD79" s="134" t="str">
        <f t="shared" si="18"/>
        <v/>
      </c>
      <c r="AE79" s="134" t="str">
        <f t="shared" si="18"/>
        <v/>
      </c>
      <c r="AF79" s="134" t="str">
        <f t="shared" si="18"/>
        <v/>
      </c>
      <c r="AG79" s="134" t="str">
        <f t="shared" si="18"/>
        <v/>
      </c>
      <c r="AH79" s="134" t="str">
        <f t="shared" si="18"/>
        <v/>
      </c>
      <c r="AI79" s="135" t="str">
        <f t="shared" si="18"/>
        <v/>
      </c>
      <c r="AJ79" s="44"/>
      <c r="AK79" s="49"/>
      <c r="AL79" s="49"/>
      <c r="AM79" s="49"/>
      <c r="AN79" s="49"/>
      <c r="AO79" s="49"/>
      <c r="AP79" s="49"/>
      <c r="AQ79" s="49"/>
      <c r="AR79" s="49"/>
      <c r="AS79" s="27"/>
      <c r="AT79" s="26"/>
      <c r="AU79" s="54"/>
    </row>
    <row r="80" spans="1:47" ht="21.75" customHeight="1" thickBot="1">
      <c r="A80" s="52" t="s">
        <v>26</v>
      </c>
      <c r="B80" s="42"/>
      <c r="C80" s="42"/>
      <c r="D80" s="42">
        <v>59</v>
      </c>
      <c r="G80" s="201" t="str">
        <f>_xll.DBRA(Server&amp;$A$21,$A80,$H$18)</f>
        <v>Share capital increase (suscribed by minority)</v>
      </c>
      <c r="H80" s="202"/>
      <c r="I80" s="133">
        <f>_xll.DBRW($G$3,$H$15,$H$17,$H$13,$H$16,$H$14,I$2,$H$12,$A80)</f>
        <v>0</v>
      </c>
      <c r="J80" s="134">
        <f>_xll.DBRW($G$3,$H$15,$H$17,$H$13,$H$16,$H$14,J$2,$H$12,$A80)</f>
        <v>0</v>
      </c>
      <c r="K80" s="134">
        <f>_xll.DBRW($G$3,$H$15,$H$17,$H$13,$H$16,$H$14,K$2,$H$12,$A80)</f>
        <v>0</v>
      </c>
      <c r="L80" s="134">
        <f>_xll.DBRW($G$3,$H$15,$H$17,$H$13,$H$16,$H$14,L$2,$H$12,$A80)</f>
        <v>0</v>
      </c>
      <c r="M80" s="134">
        <f>_xll.DBRW($G$3,$H$15,$H$17,$H$13,$H$16,$H$14,M$2,$H$12,$A80)</f>
        <v>0</v>
      </c>
      <c r="N80" s="134">
        <f>_xll.DBRW($G$3,$H$15,$H$17,$H$13,$H$16,$H$14,N$2,$H$12,$A80)</f>
        <v>0</v>
      </c>
      <c r="O80" s="134">
        <f>_xll.DBRW($G$3,$H$15,$H$17,$H$13,$H$16,$H$14,O$2,$H$12,$A80)</f>
        <v>0</v>
      </c>
      <c r="P80" s="135">
        <f>_xll.DBRW($G$3,$H$15,$H$17,$H$13,$H$16,$H$14,P$2,$H$12,$A80)</f>
        <v>0</v>
      </c>
      <c r="Q80" s="138"/>
      <c r="R80" s="138"/>
      <c r="S80" s="133">
        <f>_xll.DBRW($G$3,$U$15,$H$17,$U$13,$U$16,$U$14,S$2,$U$12,$A80)</f>
        <v>0</v>
      </c>
      <c r="T80" s="134">
        <f>_xll.DBRW($G$3,$U$15,$H$17,$U$13,$U$16,$U$14,T$2,$U$12,$A80)</f>
        <v>0</v>
      </c>
      <c r="U80" s="134">
        <f>_xll.DBRW($G$3,$U$15,$H$17,$U$13,$U$16,$U$14,U$2,$U$12,$A80)</f>
        <v>0</v>
      </c>
      <c r="V80" s="134">
        <f>_xll.DBRW($G$3,$U$15,$H$17,$U$13,$U$16,$U$14,V$2,$U$12,$A80)</f>
        <v>0</v>
      </c>
      <c r="W80" s="134">
        <f>_xll.DBRW($G$3,$U$15,$H$17,$U$13,$U$16,$U$14,W$2,$U$12,$A80)</f>
        <v>0</v>
      </c>
      <c r="X80" s="134">
        <f>_xll.DBRW($G$3,$U$15,$H$17,$U$13,$U$16,$U$14,X$2,$U$12,$A80)</f>
        <v>0</v>
      </c>
      <c r="Y80" s="134">
        <f>_xll.DBRW($G$3,$U$15,$H$17,$U$13,$U$16,$U$14,Y$2,$U$12,$A80)</f>
        <v>0</v>
      </c>
      <c r="Z80" s="135">
        <f>_xll.DBRW($G$3,$U$15,$H$17,$U$13,$U$16,$U$14,Z$2,$U$12,$A80)</f>
        <v>0</v>
      </c>
      <c r="AA80" s="138"/>
      <c r="AB80" s="133" t="str">
        <f t="shared" ref="AB80:AI85" si="19">IF(OR(AND(IFERROR(HLOOKUP(AB$21,$S$22:$Z$189,$D80,FALSE)=0,"VRAI"),IFERROR(HLOOKUP(AB$21,$I$22:$P$189,$D80,FALSE)=0,"VRAI")),AND(IFERROR(HLOOKUP(AB$21,$S$22:$Z$189,$D80,FALSE)="","VRAI"),IFERROR(HLOOKUP(AB$21,$I$22:$P$188,$D80,FALSE)="","VRAI"))),"",IFERROR(HLOOKUP(AB$21,$I$22:$P$189,$D80,FALSE)-HLOOKUP(AB$21,$S$22:$Z$189,$D80,FALSE),""))</f>
        <v/>
      </c>
      <c r="AC80" s="134" t="str">
        <f t="shared" si="19"/>
        <v/>
      </c>
      <c r="AD80" s="134" t="str">
        <f t="shared" si="19"/>
        <v/>
      </c>
      <c r="AE80" s="134" t="str">
        <f t="shared" si="19"/>
        <v/>
      </c>
      <c r="AF80" s="134" t="str">
        <f t="shared" si="19"/>
        <v/>
      </c>
      <c r="AG80" s="134" t="str">
        <f t="shared" si="19"/>
        <v/>
      </c>
      <c r="AH80" s="134" t="str">
        <f t="shared" si="19"/>
        <v/>
      </c>
      <c r="AI80" s="135" t="str">
        <f t="shared" si="19"/>
        <v/>
      </c>
      <c r="AJ80" s="44"/>
      <c r="AK80" s="49"/>
      <c r="AL80" s="49"/>
      <c r="AM80" s="49"/>
      <c r="AN80" s="49"/>
      <c r="AO80" s="49"/>
      <c r="AP80" s="49"/>
      <c r="AQ80" s="49"/>
      <c r="AR80" s="49"/>
      <c r="AS80" s="27"/>
      <c r="AT80" s="26"/>
      <c r="AU80" s="54"/>
    </row>
    <row r="81" spans="1:49" ht="21.75" hidden="1" customHeight="1" outlineLevel="1">
      <c r="A81" s="52" t="s">
        <v>151</v>
      </c>
      <c r="B81" s="42"/>
      <c r="C81" s="42"/>
      <c r="D81" s="42">
        <v>60</v>
      </c>
      <c r="G81" s="201" t="str">
        <f>_xll.DBRA(Server&amp;$A$21,$A81,$H$18)</f>
        <v>Shareholders transactions: Increase in ownership interest</v>
      </c>
      <c r="H81" s="202"/>
      <c r="I81" s="133">
        <f>_xll.DBRW($G$3,$H$15,$H$17,$H$13,$H$16,$H$14,I$2,$H$12,$A81)</f>
        <v>0</v>
      </c>
      <c r="J81" s="134">
        <f>_xll.DBRW($G$3,$H$15,$H$17,$H$13,$H$16,$H$14,J$2,$H$12,$A81)</f>
        <v>0</v>
      </c>
      <c r="K81" s="134">
        <f>_xll.DBRW($G$3,$H$15,$H$17,$H$13,$H$16,$H$14,K$2,$H$12,$A81)</f>
        <v>0</v>
      </c>
      <c r="L81" s="134">
        <f>_xll.DBRW($G$3,$H$15,$H$17,$H$13,$H$16,$H$14,L$2,$H$12,$A81)</f>
        <v>0</v>
      </c>
      <c r="M81" s="134">
        <f>_xll.DBRW($G$3,$H$15,$H$17,$H$13,$H$16,$H$14,M$2,$H$12,$A81)</f>
        <v>0</v>
      </c>
      <c r="N81" s="134">
        <f>_xll.DBRW($G$3,$H$15,$H$17,$H$13,$H$16,$H$14,N$2,$H$12,$A81)</f>
        <v>0</v>
      </c>
      <c r="O81" s="134">
        <f>_xll.DBRW($G$3,$H$15,$H$17,$H$13,$H$16,$H$14,O$2,$H$12,$A81)</f>
        <v>0</v>
      </c>
      <c r="P81" s="135">
        <f>_xll.DBRW($G$3,$H$15,$H$17,$H$13,$H$16,$H$14,P$2,$H$12,$A81)</f>
        <v>0</v>
      </c>
      <c r="Q81" s="138"/>
      <c r="R81" s="138"/>
      <c r="S81" s="133">
        <f>_xll.DBRW($G$3,$U$15,$H$17,$U$13,$U$16,$U$14,S$2,$U$12,$A81)</f>
        <v>0</v>
      </c>
      <c r="T81" s="134">
        <f>_xll.DBRW($G$3,$U$15,$H$17,$U$13,$U$16,$U$14,T$2,$U$12,$A81)</f>
        <v>0</v>
      </c>
      <c r="U81" s="134">
        <f>_xll.DBRW($G$3,$U$15,$H$17,$U$13,$U$16,$U$14,U$2,$U$12,$A81)</f>
        <v>0</v>
      </c>
      <c r="V81" s="134">
        <f>_xll.DBRW($G$3,$U$15,$H$17,$U$13,$U$16,$U$14,V$2,$U$12,$A81)</f>
        <v>0</v>
      </c>
      <c r="W81" s="134">
        <f>_xll.DBRW($G$3,$U$15,$H$17,$U$13,$U$16,$U$14,W$2,$U$12,$A81)</f>
        <v>0</v>
      </c>
      <c r="X81" s="134">
        <f>_xll.DBRW($G$3,$U$15,$H$17,$U$13,$U$16,$U$14,X$2,$U$12,$A81)</f>
        <v>0</v>
      </c>
      <c r="Y81" s="134">
        <f>_xll.DBRW($G$3,$U$15,$H$17,$U$13,$U$16,$U$14,Y$2,$U$12,$A81)</f>
        <v>0</v>
      </c>
      <c r="Z81" s="135">
        <f>_xll.DBRW($G$3,$U$15,$H$17,$U$13,$U$16,$U$14,Z$2,$U$12,$A81)</f>
        <v>0</v>
      </c>
      <c r="AA81" s="138"/>
      <c r="AB81" s="133" t="str">
        <f t="shared" si="19"/>
        <v/>
      </c>
      <c r="AC81" s="134" t="str">
        <f t="shared" si="19"/>
        <v/>
      </c>
      <c r="AD81" s="134" t="str">
        <f t="shared" si="19"/>
        <v/>
      </c>
      <c r="AE81" s="134" t="str">
        <f t="shared" si="19"/>
        <v/>
      </c>
      <c r="AF81" s="134" t="str">
        <f t="shared" si="19"/>
        <v/>
      </c>
      <c r="AG81" s="134" t="str">
        <f t="shared" si="19"/>
        <v/>
      </c>
      <c r="AH81" s="134" t="str">
        <f t="shared" si="19"/>
        <v/>
      </c>
      <c r="AI81" s="135" t="str">
        <f t="shared" si="19"/>
        <v/>
      </c>
      <c r="AJ81" s="44"/>
      <c r="AK81" s="49"/>
      <c r="AL81" s="49"/>
      <c r="AM81" s="49"/>
      <c r="AN81" s="49"/>
      <c r="AO81" s="49"/>
      <c r="AP81" s="49" t="s">
        <v>81</v>
      </c>
      <c r="AQ81" s="49" t="s">
        <v>68</v>
      </c>
      <c r="AR81" s="49"/>
      <c r="AS81" s="27"/>
      <c r="AT81" s="26"/>
      <c r="AU81" s="54"/>
    </row>
    <row r="82" spans="1:49" ht="21.75" hidden="1" customHeight="1" outlineLevel="1" thickBot="1">
      <c r="A82" s="52" t="s">
        <v>152</v>
      </c>
      <c r="B82" s="42"/>
      <c r="C82" s="42"/>
      <c r="D82" s="42">
        <v>61</v>
      </c>
      <c r="G82" s="201" t="str">
        <f>_xll.DBRA(Server&amp;$A$21,$A82,$H$18)</f>
        <v>Shareholders transactions: Decrease in ownership interest</v>
      </c>
      <c r="H82" s="202"/>
      <c r="I82" s="133">
        <f>_xll.DBRW($G$3,$H$15,$H$17,$H$13,$H$16,$H$14,I$2,$H$12,$A82)</f>
        <v>0</v>
      </c>
      <c r="J82" s="134">
        <f>_xll.DBRW($G$3,$H$15,$H$17,$H$13,$H$16,$H$14,J$2,$H$12,$A82)</f>
        <v>0</v>
      </c>
      <c r="K82" s="134">
        <f>_xll.DBRW($G$3,$H$15,$H$17,$H$13,$H$16,$H$14,K$2,$H$12,$A82)</f>
        <v>0</v>
      </c>
      <c r="L82" s="134">
        <f>_xll.DBRW($G$3,$H$15,$H$17,$H$13,$H$16,$H$14,L$2,$H$12,$A82)</f>
        <v>0</v>
      </c>
      <c r="M82" s="134">
        <f>_xll.DBRW($G$3,$H$15,$H$17,$H$13,$H$16,$H$14,M$2,$H$12,$A82)</f>
        <v>0</v>
      </c>
      <c r="N82" s="134">
        <f>_xll.DBRW($G$3,$H$15,$H$17,$H$13,$H$16,$H$14,N$2,$H$12,$A82)</f>
        <v>0</v>
      </c>
      <c r="O82" s="134">
        <f>_xll.DBRW($G$3,$H$15,$H$17,$H$13,$H$16,$H$14,O$2,$H$12,$A82)</f>
        <v>0</v>
      </c>
      <c r="P82" s="135">
        <f>_xll.DBRW($G$3,$H$15,$H$17,$H$13,$H$16,$H$14,P$2,$H$12,$A82)</f>
        <v>0</v>
      </c>
      <c r="Q82" s="138"/>
      <c r="R82" s="138"/>
      <c r="S82" s="133">
        <f>_xll.DBRW($G$3,$U$15,$H$17,$U$13,$U$16,$U$14,S$2,$U$12,$A82)</f>
        <v>0</v>
      </c>
      <c r="T82" s="134">
        <f>_xll.DBRW($G$3,$U$15,$H$17,$U$13,$U$16,$U$14,T$2,$U$12,$A82)</f>
        <v>0</v>
      </c>
      <c r="U82" s="134">
        <f>_xll.DBRW($G$3,$U$15,$H$17,$U$13,$U$16,$U$14,U$2,$U$12,$A82)</f>
        <v>0</v>
      </c>
      <c r="V82" s="134">
        <f>_xll.DBRW($G$3,$U$15,$H$17,$U$13,$U$16,$U$14,V$2,$U$12,$A82)</f>
        <v>0</v>
      </c>
      <c r="W82" s="134">
        <f>_xll.DBRW($G$3,$U$15,$H$17,$U$13,$U$16,$U$14,W$2,$U$12,$A82)</f>
        <v>0</v>
      </c>
      <c r="X82" s="134">
        <f>_xll.DBRW($G$3,$U$15,$H$17,$U$13,$U$16,$U$14,X$2,$U$12,$A82)</f>
        <v>0</v>
      </c>
      <c r="Y82" s="134">
        <f>_xll.DBRW($G$3,$U$15,$H$17,$U$13,$U$16,$U$14,Y$2,$U$12,$A82)</f>
        <v>0</v>
      </c>
      <c r="Z82" s="135">
        <f>_xll.DBRW($G$3,$U$15,$H$17,$U$13,$U$16,$U$14,Z$2,$U$12,$A82)</f>
        <v>0</v>
      </c>
      <c r="AA82" s="138"/>
      <c r="AB82" s="133" t="str">
        <f t="shared" si="19"/>
        <v/>
      </c>
      <c r="AC82" s="134" t="str">
        <f t="shared" si="19"/>
        <v/>
      </c>
      <c r="AD82" s="134" t="str">
        <f t="shared" si="19"/>
        <v/>
      </c>
      <c r="AE82" s="134" t="str">
        <f t="shared" si="19"/>
        <v/>
      </c>
      <c r="AF82" s="134" t="str">
        <f t="shared" si="19"/>
        <v/>
      </c>
      <c r="AG82" s="134" t="str">
        <f t="shared" si="19"/>
        <v/>
      </c>
      <c r="AH82" s="134" t="str">
        <f t="shared" si="19"/>
        <v/>
      </c>
      <c r="AI82" s="135" t="str">
        <f t="shared" si="19"/>
        <v/>
      </c>
      <c r="AJ82" s="44"/>
      <c r="AK82" s="49"/>
      <c r="AL82" s="49"/>
      <c r="AM82" s="49"/>
      <c r="AN82" s="49"/>
      <c r="AO82" s="49"/>
      <c r="AP82" s="49" t="s">
        <v>61</v>
      </c>
      <c r="AQ82" s="49" t="s">
        <v>69</v>
      </c>
      <c r="AR82" s="49"/>
      <c r="AS82" s="27"/>
      <c r="AT82" s="26"/>
      <c r="AU82" s="54"/>
    </row>
    <row r="83" spans="1:49" ht="21.75" customHeight="1" collapsed="1" thickBot="1">
      <c r="A83" s="52" t="s">
        <v>30</v>
      </c>
      <c r="B83" s="67"/>
      <c r="C83" s="42"/>
      <c r="D83" s="42">
        <v>62</v>
      </c>
      <c r="G83" s="203" t="str">
        <f>_xll.DBRA(Server&amp;$A$21,$A83,$H$18)</f>
        <v>NET CASH FLOW FROM FINANCING ACTIVITIES</v>
      </c>
      <c r="H83" s="203"/>
      <c r="I83" s="141">
        <f>_xll.DBRW($G$3,$H$15,$H$17,$H$13,$H$16,$H$14,I$2,$H$12,$A83)</f>
        <v>0</v>
      </c>
      <c r="J83" s="141">
        <f>_xll.DBRW($G$3,$H$15,$H$17,$H$13,$H$16,$H$14,J$2,$H$12,$A83)</f>
        <v>0</v>
      </c>
      <c r="K83" s="141">
        <f>_xll.DBRW($G$3,$H$15,$H$17,$H$13,$H$16,$H$14,K$2,$H$12,$A83)</f>
        <v>0</v>
      </c>
      <c r="L83" s="141">
        <f>_xll.DBRW($G$3,$H$15,$H$17,$H$13,$H$16,$H$14,L$2,$H$12,$A83)</f>
        <v>0</v>
      </c>
      <c r="M83" s="141">
        <f>_xll.DBRW($G$3,$H$15,$H$17,$H$13,$H$16,$H$14,M$2,$H$12,$A83)</f>
        <v>0</v>
      </c>
      <c r="N83" s="141">
        <f>_xll.DBRW($G$3,$H$15,$H$17,$H$13,$H$16,$H$14,N$2,$H$12,$A83)</f>
        <v>0</v>
      </c>
      <c r="O83" s="141">
        <f>_xll.DBRW($G$3,$H$15,$H$17,$H$13,$H$16,$H$14,O$2,$H$12,$A83)</f>
        <v>0</v>
      </c>
      <c r="P83" s="141">
        <f>_xll.DBRW($G$3,$H$15,$H$17,$H$13,$H$16,$H$14,P$2,$H$12,$A83)</f>
        <v>0</v>
      </c>
      <c r="Q83" s="138">
        <f>SUM(I83:P83)-SUM(I76:P82)</f>
        <v>0</v>
      </c>
      <c r="R83" s="138"/>
      <c r="S83" s="141">
        <f>_xll.DBRW($G$3,$U$15,$H$17,$U$13,$U$16,$U$14,S$2,$U$12,$A83)</f>
        <v>0</v>
      </c>
      <c r="T83" s="141">
        <f>_xll.DBRW($G$3,$U$15,$H$17,$U$13,$U$16,$U$14,T$2,$U$12,$A83)</f>
        <v>0</v>
      </c>
      <c r="U83" s="141">
        <f>_xll.DBRW($G$3,$U$15,$H$17,$U$13,$U$16,$U$14,U$2,$U$12,$A83)</f>
        <v>0</v>
      </c>
      <c r="V83" s="141">
        <f>_xll.DBRW($G$3,$U$15,$H$17,$U$13,$U$16,$U$14,V$2,$U$12,$A83)</f>
        <v>0</v>
      </c>
      <c r="W83" s="141">
        <f>_xll.DBRW($G$3,$U$15,$H$17,$U$13,$U$16,$U$14,W$2,$U$12,$A83)</f>
        <v>0</v>
      </c>
      <c r="X83" s="141">
        <f>_xll.DBRW($G$3,$U$15,$H$17,$U$13,$U$16,$U$14,X$2,$U$12,$A83)</f>
        <v>0</v>
      </c>
      <c r="Y83" s="141">
        <f>_xll.DBRW($G$3,$U$15,$H$17,$U$13,$U$16,$U$14,Y$2,$U$12,$A83)</f>
        <v>0</v>
      </c>
      <c r="Z83" s="141">
        <f>_xll.DBRW($G$3,$U$15,$H$17,$U$13,$U$16,$U$14,Z$2,$U$12,$A83)</f>
        <v>0</v>
      </c>
      <c r="AA83" s="138">
        <f>SUM(S83:Z83)-SUM(S76:Z82)</f>
        <v>0</v>
      </c>
      <c r="AB83" s="141" t="str">
        <f t="shared" si="19"/>
        <v/>
      </c>
      <c r="AC83" s="141" t="str">
        <f t="shared" si="19"/>
        <v/>
      </c>
      <c r="AD83" s="141" t="str">
        <f t="shared" si="19"/>
        <v/>
      </c>
      <c r="AE83" s="141" t="str">
        <f t="shared" si="19"/>
        <v/>
      </c>
      <c r="AF83" s="141" t="str">
        <f t="shared" si="19"/>
        <v/>
      </c>
      <c r="AG83" s="141" t="str">
        <f t="shared" si="19"/>
        <v/>
      </c>
      <c r="AH83" s="141" t="str">
        <f t="shared" si="19"/>
        <v/>
      </c>
      <c r="AI83" s="141" t="str">
        <f t="shared" si="19"/>
        <v/>
      </c>
      <c r="AJ83" s="44"/>
      <c r="AK83" s="49"/>
      <c r="AL83" s="49"/>
      <c r="AM83" s="49"/>
      <c r="AN83" s="49"/>
      <c r="AO83" s="49"/>
      <c r="AP83" s="49" t="s">
        <v>61</v>
      </c>
      <c r="AQ83" s="49" t="s">
        <v>69</v>
      </c>
      <c r="AR83" s="49"/>
      <c r="AS83" s="27"/>
      <c r="AT83" s="26"/>
      <c r="AU83" s="54"/>
    </row>
    <row r="84" spans="1:49" ht="21.75" customHeight="1" thickBot="1">
      <c r="A84" s="52" t="s">
        <v>51</v>
      </c>
      <c r="B84" s="67"/>
      <c r="C84" s="42"/>
      <c r="D84" s="42">
        <v>63</v>
      </c>
      <c r="G84" s="215" t="str">
        <f>_xll.DBRA(Server&amp;$A$21,$A84,$H$18)</f>
        <v>OTHER FLOWS (exchange rate, revaluation…)</v>
      </c>
      <c r="H84" s="216"/>
      <c r="I84" s="150">
        <f>_xll.DBRW($G$3,$H$15,$H$17,$H$13,$H$16,$H$14,I$2,$H$12,$A84)</f>
        <v>0</v>
      </c>
      <c r="J84" s="151">
        <f>_xll.DBRW($G$3,$H$15,$H$17,$H$13,$H$16,$H$14,J$2,$H$12,$A84)</f>
        <v>0</v>
      </c>
      <c r="K84" s="151">
        <f>_xll.DBRW($G$3,$H$15,$H$17,$H$13,$H$16,$H$14,K$2,$H$12,$A84)</f>
        <v>0</v>
      </c>
      <c r="L84" s="151">
        <f>_xll.DBRW($G$3,$H$15,$H$17,$H$13,$H$16,$H$14,L$2,$H$12,$A84)</f>
        <v>0</v>
      </c>
      <c r="M84" s="151">
        <f>_xll.DBRW($G$3,$H$15,$H$17,$H$13,$H$16,$H$14,M$2,$H$12,$A84)</f>
        <v>0</v>
      </c>
      <c r="N84" s="151">
        <f>_xll.DBRW($G$3,$H$15,$H$17,$H$13,$H$16,$H$14,N$2,$H$12,$A84)</f>
        <v>0</v>
      </c>
      <c r="O84" s="151">
        <f>_xll.DBRW($G$3,$H$15,$H$17,$H$13,$H$16,$H$14,O$2,$H$12,$A84)</f>
        <v>0</v>
      </c>
      <c r="P84" s="152">
        <f>_xll.DBRW($G$3,$H$15,$H$17,$H$13,$H$16,$H$14,P$2,$H$12,$A84)</f>
        <v>0</v>
      </c>
      <c r="Q84" s="138"/>
      <c r="R84" s="138"/>
      <c r="S84" s="150">
        <f>_xll.DBRW($G$3,$U$15,$H$17,$U$13,$U$16,$U$14,S$2,$U$12,$A84)</f>
        <v>0</v>
      </c>
      <c r="T84" s="151">
        <f>_xll.DBRW($G$3,$U$15,$H$17,$U$13,$U$16,$U$14,T$2,$U$12,$A84)</f>
        <v>0</v>
      </c>
      <c r="U84" s="151">
        <f>_xll.DBRW($G$3,$U$15,$H$17,$U$13,$U$16,$U$14,U$2,$U$12,$A84)</f>
        <v>0</v>
      </c>
      <c r="V84" s="151">
        <f>_xll.DBRW($G$3,$U$15,$H$17,$U$13,$U$16,$U$14,V$2,$U$12,$A84)</f>
        <v>0</v>
      </c>
      <c r="W84" s="151">
        <f>_xll.DBRW($G$3,$U$15,$H$17,$U$13,$U$16,$U$14,W$2,$U$12,$A84)</f>
        <v>0</v>
      </c>
      <c r="X84" s="151">
        <f>_xll.DBRW($G$3,$U$15,$H$17,$U$13,$U$16,$U$14,X$2,$U$12,$A84)</f>
        <v>0</v>
      </c>
      <c r="Y84" s="151">
        <f>_xll.DBRW($G$3,$U$15,$H$17,$U$13,$U$16,$U$14,Y$2,$U$12,$A84)</f>
        <v>0</v>
      </c>
      <c r="Z84" s="152">
        <f>_xll.DBRW($G$3,$U$15,$H$17,$U$13,$U$16,$U$14,Z$2,$U$12,$A84)</f>
        <v>0</v>
      </c>
      <c r="AA84" s="138"/>
      <c r="AB84" s="150" t="str">
        <f t="shared" si="19"/>
        <v/>
      </c>
      <c r="AC84" s="151" t="str">
        <f t="shared" si="19"/>
        <v/>
      </c>
      <c r="AD84" s="151" t="str">
        <f t="shared" si="19"/>
        <v/>
      </c>
      <c r="AE84" s="151" t="str">
        <f t="shared" si="19"/>
        <v/>
      </c>
      <c r="AF84" s="151" t="str">
        <f t="shared" si="19"/>
        <v/>
      </c>
      <c r="AG84" s="151" t="str">
        <f t="shared" si="19"/>
        <v/>
      </c>
      <c r="AH84" s="151" t="str">
        <f t="shared" si="19"/>
        <v/>
      </c>
      <c r="AI84" s="152" t="str">
        <f t="shared" si="19"/>
        <v/>
      </c>
      <c r="AJ84" s="44"/>
      <c r="AK84" s="49"/>
      <c r="AL84" s="55" t="s">
        <v>54</v>
      </c>
      <c r="AM84" s="49"/>
      <c r="AN84" s="49"/>
      <c r="AO84" s="49"/>
      <c r="AP84" s="56" t="s">
        <v>54</v>
      </c>
      <c r="AQ84" s="57" t="s">
        <v>60</v>
      </c>
      <c r="AR84" s="49"/>
      <c r="AS84" s="27"/>
      <c r="AT84" s="26"/>
      <c r="AU84" s="54"/>
    </row>
    <row r="85" spans="1:49" ht="21.75" customHeight="1" thickBot="1">
      <c r="A85" s="52" t="s">
        <v>31</v>
      </c>
      <c r="B85" s="67"/>
      <c r="C85" s="42"/>
      <c r="D85" s="42">
        <v>64</v>
      </c>
      <c r="G85" s="203" t="str">
        <f>_xll.DBRA(Server&amp;$A$21,$A85,$H$18)</f>
        <v>CHANGE IN NET FINANCIAL DEBT</v>
      </c>
      <c r="H85" s="203"/>
      <c r="I85" s="141">
        <f>_xll.DBRW($G$3,$H$15,$H$17,$H$13,$H$16,$H$14,I$2,$H$12,$A85)</f>
        <v>0</v>
      </c>
      <c r="J85" s="141">
        <f>_xll.DBRW($G$3,$H$15,$H$17,$H$13,$H$16,$H$14,J$2,$H$12,$A85)</f>
        <v>0</v>
      </c>
      <c r="K85" s="141">
        <f>_xll.DBRW($G$3,$H$15,$H$17,$H$13,$H$16,$H$14,K$2,$H$12,$A85)</f>
        <v>0</v>
      </c>
      <c r="L85" s="141">
        <f>_xll.DBRW($G$3,$H$15,$H$17,$H$13,$H$16,$H$14,L$2,$H$12,$A85)</f>
        <v>0</v>
      </c>
      <c r="M85" s="141">
        <f>_xll.DBRW($G$3,$H$15,$H$17,$H$13,$H$16,$H$14,M$2,$H$12,$A85)</f>
        <v>0</v>
      </c>
      <c r="N85" s="141">
        <f>_xll.DBRW($G$3,$H$15,$H$17,$H$13,$H$16,$H$14,N$2,$H$12,$A85)</f>
        <v>0</v>
      </c>
      <c r="O85" s="141">
        <f>_xll.DBRW($G$3,$H$15,$H$17,$H$13,$H$16,$H$14,O$2,$H$12,$A85)</f>
        <v>0</v>
      </c>
      <c r="P85" s="141">
        <f>_xll.DBRW($G$3,$H$15,$H$17,$H$13,$H$16,$H$14,P$2,$H$12,$A85)</f>
        <v>0</v>
      </c>
      <c r="Q85" s="138">
        <f>SUM(I85:P85)-SUM(I83:P84)-SUM(I75:P75)</f>
        <v>0</v>
      </c>
      <c r="R85" s="138"/>
      <c r="S85" s="141">
        <f>_xll.DBRW($G$3,$U$15,$H$17,$U$13,$U$16,$U$14,S$2,$U$12,$A85)</f>
        <v>0</v>
      </c>
      <c r="T85" s="141">
        <f>_xll.DBRW($G$3,$U$15,$H$17,$U$13,$U$16,$U$14,T$2,$U$12,$A85)</f>
        <v>0</v>
      </c>
      <c r="U85" s="141">
        <f>_xll.DBRW($G$3,$U$15,$H$17,$U$13,$U$16,$U$14,U$2,$U$12,$A85)</f>
        <v>0</v>
      </c>
      <c r="V85" s="141">
        <f>_xll.DBRW($G$3,$U$15,$H$17,$U$13,$U$16,$U$14,V$2,$U$12,$A85)</f>
        <v>0</v>
      </c>
      <c r="W85" s="141">
        <f>_xll.DBRW($G$3,$U$15,$H$17,$U$13,$U$16,$U$14,W$2,$U$12,$A85)</f>
        <v>0</v>
      </c>
      <c r="X85" s="141">
        <f>_xll.DBRW($G$3,$U$15,$H$17,$U$13,$U$16,$U$14,X$2,$U$12,$A85)</f>
        <v>0</v>
      </c>
      <c r="Y85" s="141">
        <f>_xll.DBRW($G$3,$U$15,$H$17,$U$13,$U$16,$U$14,Y$2,$U$12,$A85)</f>
        <v>0</v>
      </c>
      <c r="Z85" s="141">
        <f>_xll.DBRW($G$3,$U$15,$H$17,$U$13,$U$16,$U$14,Z$2,$U$12,$A85)</f>
        <v>0</v>
      </c>
      <c r="AA85" s="138">
        <f>SUM(S85:Z85)-SUM(S83:Z84)-SUM(S75:Z75)</f>
        <v>0</v>
      </c>
      <c r="AB85" s="141" t="str">
        <f t="shared" si="19"/>
        <v/>
      </c>
      <c r="AC85" s="141" t="str">
        <f t="shared" si="19"/>
        <v/>
      </c>
      <c r="AD85" s="141" t="str">
        <f t="shared" si="19"/>
        <v/>
      </c>
      <c r="AE85" s="141" t="str">
        <f t="shared" si="19"/>
        <v/>
      </c>
      <c r="AF85" s="141" t="str">
        <f t="shared" si="19"/>
        <v/>
      </c>
      <c r="AG85" s="141" t="str">
        <f t="shared" si="19"/>
        <v/>
      </c>
      <c r="AH85" s="141" t="str">
        <f t="shared" si="19"/>
        <v/>
      </c>
      <c r="AI85" s="141" t="str">
        <f t="shared" si="19"/>
        <v/>
      </c>
      <c r="AJ85" s="44"/>
      <c r="AK85" s="49"/>
      <c r="AL85" s="58" t="s">
        <v>55</v>
      </c>
      <c r="AM85" s="59" t="s">
        <v>111</v>
      </c>
      <c r="AN85" s="59" t="s">
        <v>112</v>
      </c>
      <c r="AO85" s="49"/>
      <c r="AP85" s="60" t="s">
        <v>55</v>
      </c>
      <c r="AQ85" s="61" t="s">
        <v>62</v>
      </c>
      <c r="AR85" s="49"/>
      <c r="AS85" s="27"/>
      <c r="AT85" s="26"/>
      <c r="AU85" s="54"/>
    </row>
    <row r="86" spans="1:49" ht="24.75" customHeight="1" thickBot="1">
      <c r="A86" s="42"/>
      <c r="B86" s="42"/>
      <c r="C86" s="42"/>
      <c r="D86" s="42">
        <v>65</v>
      </c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38"/>
      <c r="R86" s="138"/>
      <c r="S86" s="126"/>
      <c r="T86" s="126"/>
      <c r="U86" s="126"/>
      <c r="V86" s="126"/>
      <c r="W86" s="126"/>
      <c r="X86" s="126"/>
      <c r="Y86" s="126"/>
      <c r="Z86" s="126"/>
      <c r="AA86" s="138"/>
      <c r="AB86" s="126"/>
      <c r="AC86" s="126"/>
      <c r="AD86" s="126"/>
      <c r="AE86" s="126"/>
      <c r="AF86" s="126"/>
      <c r="AG86" s="126"/>
      <c r="AH86" s="126"/>
      <c r="AI86" s="126"/>
      <c r="AJ86" s="44"/>
      <c r="AK86" s="62"/>
      <c r="AL86" s="63" t="s">
        <v>113</v>
      </c>
      <c r="AM86" s="64" t="str">
        <f>_xll.DBRA(Server&amp;"LTP_Components",$AL92,$H$18)</f>
        <v>Total - Long Term Plan</v>
      </c>
      <c r="AN86" s="64" t="str">
        <f>_xll.DBR(Server&amp;"z_Client_Properties","LTP_Corp_Security",_xll.TM1USER(xServer))</f>
        <v>1</v>
      </c>
      <c r="AO86" s="49"/>
      <c r="AP86" s="65" t="s">
        <v>56</v>
      </c>
      <c r="AQ86" s="65" t="s">
        <v>63</v>
      </c>
      <c r="AR86" s="49"/>
      <c r="AS86" s="27"/>
      <c r="AT86" s="26"/>
      <c r="AU86" s="54"/>
    </row>
    <row r="87" spans="1:49" s="126" customFormat="1" ht="27.75" customHeight="1" thickBot="1">
      <c r="A87" s="121"/>
      <c r="B87" s="121"/>
      <c r="C87" s="121"/>
      <c r="D87" s="121">
        <v>66</v>
      </c>
      <c r="E87" s="122"/>
      <c r="F87" s="123"/>
      <c r="G87" s="205" t="str">
        <f>_xll.DBRA(Server&amp;$AL$25,$AL$52,$H$18)</f>
        <v>III - BALANCE SHEET</v>
      </c>
      <c r="H87" s="205"/>
      <c r="I87" s="128" t="str">
        <f>I$21</f>
        <v xml:space="preserve"> 2020</v>
      </c>
      <c r="J87" s="128" t="str">
        <f t="shared" ref="J87:P87" si="20">J$21</f>
        <v xml:space="preserve"> 2021</v>
      </c>
      <c r="K87" s="128" t="str">
        <f t="shared" si="20"/>
        <v xml:space="preserve"> 2022</v>
      </c>
      <c r="L87" s="128" t="str">
        <f t="shared" si="20"/>
        <v xml:space="preserve"> 2023</v>
      </c>
      <c r="M87" s="128" t="str">
        <f t="shared" si="20"/>
        <v xml:space="preserve"> 2024</v>
      </c>
      <c r="N87" s="128" t="str">
        <f t="shared" si="20"/>
        <v xml:space="preserve"> 2025</v>
      </c>
      <c r="O87" s="128" t="str">
        <f t="shared" si="20"/>
        <v xml:space="preserve"> 2026</v>
      </c>
      <c r="P87" s="128" t="str">
        <f t="shared" si="20"/>
        <v xml:space="preserve"> 2027</v>
      </c>
      <c r="Q87" s="138"/>
      <c r="R87" s="138"/>
      <c r="S87" s="128" t="str">
        <f>S$21</f>
        <v xml:space="preserve"> 2018</v>
      </c>
      <c r="T87" s="128" t="str">
        <f t="shared" ref="T87:Z87" si="21">T$21</f>
        <v xml:space="preserve"> 2019</v>
      </c>
      <c r="U87" s="128" t="str">
        <f t="shared" si="21"/>
        <v xml:space="preserve"> 2020</v>
      </c>
      <c r="V87" s="128" t="str">
        <f t="shared" si="21"/>
        <v xml:space="preserve"> 2021</v>
      </c>
      <c r="W87" s="128" t="str">
        <f t="shared" si="21"/>
        <v xml:space="preserve"> 2022</v>
      </c>
      <c r="X87" s="128" t="str">
        <f t="shared" si="21"/>
        <v xml:space="preserve"> 2023</v>
      </c>
      <c r="Y87" s="128" t="str">
        <f t="shared" si="21"/>
        <v xml:space="preserve"> 2024</v>
      </c>
      <c r="Z87" s="128" t="str">
        <f t="shared" si="21"/>
        <v xml:space="preserve"> 2025</v>
      </c>
      <c r="AA87" s="138"/>
      <c r="AB87" s="128" t="str">
        <f>I87</f>
        <v xml:space="preserve"> 2020</v>
      </c>
      <c r="AC87" s="128" t="str">
        <f t="shared" ref="AC87:AI87" si="22">J87</f>
        <v xml:space="preserve"> 2021</v>
      </c>
      <c r="AD87" s="128" t="str">
        <f t="shared" si="22"/>
        <v xml:space="preserve"> 2022</v>
      </c>
      <c r="AE87" s="128" t="str">
        <f t="shared" si="22"/>
        <v xml:space="preserve"> 2023</v>
      </c>
      <c r="AF87" s="128" t="str">
        <f t="shared" si="22"/>
        <v xml:space="preserve"> 2024</v>
      </c>
      <c r="AG87" s="128" t="str">
        <f t="shared" si="22"/>
        <v xml:space="preserve"> 2025</v>
      </c>
      <c r="AH87" s="128" t="str">
        <f t="shared" si="22"/>
        <v xml:space="preserve"> 2026</v>
      </c>
      <c r="AI87" s="128" t="str">
        <f t="shared" si="22"/>
        <v xml:space="preserve"> 2027</v>
      </c>
      <c r="AK87" s="173"/>
      <c r="AL87" s="174" t="s">
        <v>113</v>
      </c>
      <c r="AM87" s="175" t="str">
        <f>_xll.DBRA(Server&amp;"LTP_Components",$AL93,$H$18)</f>
        <v>Long Term Plan - Country</v>
      </c>
      <c r="AN87" s="175" t="str">
        <f>_xll.DBR(Server&amp;"z_Client_Properties","LTP_Corp_Security",_xll.TM1USER(xServer))</f>
        <v>1</v>
      </c>
      <c r="AO87" s="168"/>
      <c r="AP87" s="176" t="s">
        <v>56</v>
      </c>
      <c r="AQ87" s="176" t="s">
        <v>63</v>
      </c>
      <c r="AR87" s="168"/>
      <c r="AS87" s="171"/>
      <c r="AT87" s="125"/>
      <c r="AU87" s="172"/>
      <c r="AW87" s="127"/>
    </row>
    <row r="88" spans="1:49" ht="3.75" customHeight="1" thickBot="1">
      <c r="B88" s="42"/>
      <c r="C88" s="42"/>
      <c r="D88" s="42">
        <v>67</v>
      </c>
      <c r="G88" s="130"/>
      <c r="H88" s="131"/>
      <c r="I88" s="132"/>
      <c r="J88" s="132"/>
      <c r="K88" s="132"/>
      <c r="L88" s="132"/>
      <c r="M88" s="132"/>
      <c r="N88" s="132"/>
      <c r="O88" s="132"/>
      <c r="P88" s="132"/>
      <c r="Q88" s="138"/>
      <c r="R88" s="138"/>
      <c r="S88" s="132"/>
      <c r="T88" s="132"/>
      <c r="U88" s="132"/>
      <c r="V88" s="132"/>
      <c r="W88" s="132"/>
      <c r="X88" s="132"/>
      <c r="Y88" s="132"/>
      <c r="Z88" s="132"/>
      <c r="AA88" s="138"/>
      <c r="AB88" s="132"/>
      <c r="AC88" s="132"/>
      <c r="AD88" s="132"/>
      <c r="AE88" s="132"/>
      <c r="AF88" s="132"/>
      <c r="AG88" s="132"/>
      <c r="AH88" s="132"/>
      <c r="AI88" s="132"/>
      <c r="AJ88" s="44"/>
      <c r="AK88" s="62"/>
      <c r="AL88" s="63" t="s">
        <v>113</v>
      </c>
      <c r="AM88" s="64" t="e">
        <f>_xll.DBRA(Server&amp;"LTP_Components",$AL94,$H$18)</f>
        <v>#VALUE!</v>
      </c>
      <c r="AN88" s="64" t="str">
        <f>_xll.DBR(Server&amp;"z_Client_Properties","LTP_Corp_Security",_xll.TM1USER(xServer))</f>
        <v>1</v>
      </c>
      <c r="AO88" s="49"/>
      <c r="AP88" s="65" t="s">
        <v>56</v>
      </c>
      <c r="AQ88" s="65" t="s">
        <v>63</v>
      </c>
      <c r="AR88" s="49"/>
      <c r="AS88" s="27"/>
      <c r="AT88" s="26"/>
      <c r="AU88" s="54"/>
    </row>
    <row r="89" spans="1:49" ht="21.75" customHeight="1">
      <c r="A89" s="52" t="s">
        <v>132</v>
      </c>
      <c r="B89" s="42"/>
      <c r="C89" s="42"/>
      <c r="D89" s="42">
        <v>68</v>
      </c>
      <c r="G89" s="201" t="str">
        <f>_xll.DBRA(Server&amp;$A$21,$A89,$H$18)</f>
        <v>Goodwill &amp; Tangible &amp; intangible assets &amp; ROU + net WC on investments</v>
      </c>
      <c r="H89" s="202"/>
      <c r="I89" s="133">
        <f>_xll.DBRW($G$3,$H$15,$H$17,$H$13,$H$16,$H$14,I$2,$H$12,$A89)</f>
        <v>0</v>
      </c>
      <c r="J89" s="134">
        <f>_xll.DBRW($G$3,$H$15,$H$17,$H$13,$H$16,$H$14,J$2,$H$12,$A89)</f>
        <v>0</v>
      </c>
      <c r="K89" s="134">
        <f>_xll.DBRW($G$3,$H$15,$H$17,$H$13,$H$16,$H$14,K$2,$H$12,$A89)</f>
        <v>0</v>
      </c>
      <c r="L89" s="134">
        <f>_xll.DBRW($G$3,$H$15,$H$17,$H$13,$H$16,$H$14,L$2,$H$12,$A89)</f>
        <v>0</v>
      </c>
      <c r="M89" s="134">
        <f>_xll.DBRW($G$3,$H$15,$H$17,$H$13,$H$16,$H$14,M$2,$H$12,$A89)</f>
        <v>0</v>
      </c>
      <c r="N89" s="134">
        <f>_xll.DBRW($G$3,$H$15,$H$17,$H$13,$H$16,$H$14,N$2,$H$12,$A89)</f>
        <v>0</v>
      </c>
      <c r="O89" s="134">
        <f>_xll.DBRW($G$3,$H$15,$H$17,$H$13,$H$16,$H$14,O$2,$H$12,$A89)</f>
        <v>0</v>
      </c>
      <c r="P89" s="135">
        <f>_xll.DBRW($G$3,$H$15,$H$17,$H$13,$H$16,$H$14,P$2,$H$12,$A89)</f>
        <v>0</v>
      </c>
      <c r="Q89" s="138"/>
      <c r="R89" s="138"/>
      <c r="S89" s="133">
        <f>_xll.DBRW($G$3,$U$15,$H$17,$U$13,$U$16,$U$14,S$2,$U$12,$A89)</f>
        <v>0</v>
      </c>
      <c r="T89" s="134">
        <f>_xll.DBRW($G$3,$U$15,$H$17,$U$13,$U$16,$U$14,T$2,$U$12,$A89)</f>
        <v>0</v>
      </c>
      <c r="U89" s="134">
        <f>_xll.DBRW($G$3,$U$15,$H$17,$U$13,$U$16,$U$14,U$2,$U$12,$A89)</f>
        <v>0</v>
      </c>
      <c r="V89" s="134">
        <f>_xll.DBRW($G$3,$U$15,$H$17,$U$13,$U$16,$U$14,V$2,$U$12,$A89)</f>
        <v>0</v>
      </c>
      <c r="W89" s="134">
        <f>_xll.DBRW($G$3,$U$15,$H$17,$U$13,$U$16,$U$14,W$2,$U$12,$A89)</f>
        <v>0</v>
      </c>
      <c r="X89" s="134">
        <f>_xll.DBRW($G$3,$U$15,$H$17,$U$13,$U$16,$U$14,X$2,$U$12,$A89)</f>
        <v>0</v>
      </c>
      <c r="Y89" s="134">
        <f>_xll.DBRW($G$3,$U$15,$H$17,$U$13,$U$16,$U$14,Y$2,$U$12,$A89)</f>
        <v>0</v>
      </c>
      <c r="Z89" s="135">
        <f>_xll.DBRW($G$3,$U$15,$H$17,$U$13,$U$16,$U$14,Z$2,$U$12,$A89)</f>
        <v>0</v>
      </c>
      <c r="AA89" s="138"/>
      <c r="AB89" s="147" t="str">
        <f t="shared" ref="AB89:AI98" si="23">IF(OR(AND(IFERROR(HLOOKUP(AB$21,$S$22:$Z$189,$D89,FALSE)=0,"VRAI"),IFERROR(HLOOKUP(AB$21,$I$22:$P$189,$D89,FALSE)=0,"VRAI")),AND(IFERROR(HLOOKUP(AB$21,$S$22:$Z$189,$D89,FALSE)="","VRAI"),IFERROR(HLOOKUP(AB$21,$I$22:$P$188,$D89,FALSE)="","VRAI"))),"",IFERROR(HLOOKUP(AB$21,$I$22:$P$189,$D89,FALSE)-HLOOKUP(AB$21,$S$22:$Z$189,$D89,FALSE),""))</f>
        <v/>
      </c>
      <c r="AC89" s="148" t="str">
        <f t="shared" si="23"/>
        <v/>
      </c>
      <c r="AD89" s="148" t="str">
        <f t="shared" si="23"/>
        <v/>
      </c>
      <c r="AE89" s="148" t="str">
        <f t="shared" si="23"/>
        <v/>
      </c>
      <c r="AF89" s="148" t="str">
        <f t="shared" si="23"/>
        <v/>
      </c>
      <c r="AG89" s="148" t="str">
        <f t="shared" si="23"/>
        <v/>
      </c>
      <c r="AH89" s="148" t="str">
        <f t="shared" si="23"/>
        <v/>
      </c>
      <c r="AI89" s="149" t="str">
        <f t="shared" si="23"/>
        <v/>
      </c>
      <c r="AJ89" s="44"/>
      <c r="AK89" s="62"/>
      <c r="AL89" s="63" t="s">
        <v>53</v>
      </c>
      <c r="AM89" s="66" t="str">
        <f>_xll.DBRA(Server&amp;"LTP_Components",$AL93,$H$18)</f>
        <v>Long Term Plan - Country</v>
      </c>
      <c r="AN89" s="64" t="str">
        <f>IF($AN$28 = "1",$AM$28,$AM$29)</f>
        <v>Total - Long Term Plan</v>
      </c>
      <c r="AO89" s="49"/>
      <c r="AP89" s="65" t="s">
        <v>57</v>
      </c>
      <c r="AQ89" s="65" t="s">
        <v>64</v>
      </c>
      <c r="AR89" s="49"/>
      <c r="AS89" s="27"/>
      <c r="AT89" s="26"/>
      <c r="AU89" s="54"/>
    </row>
    <row r="90" spans="1:49" ht="21.75" customHeight="1">
      <c r="A90" s="52" t="s">
        <v>32</v>
      </c>
      <c r="B90" s="42"/>
      <c r="C90" s="42"/>
      <c r="D90" s="42">
        <v>69</v>
      </c>
      <c r="G90" s="201" t="str">
        <f>_xll.DBRA(Server&amp;$A$21,$A90,$H$18)</f>
        <v>Investments in associates</v>
      </c>
      <c r="H90" s="202"/>
      <c r="I90" s="133">
        <f>_xll.DBRW($G$3,$H$15,$H$17,$H$13,$H$16,$H$14,I$2,$H$12,$A90)</f>
        <v>0</v>
      </c>
      <c r="J90" s="134">
        <f>_xll.DBRW($G$3,$H$15,$H$17,$H$13,$H$16,$H$14,J$2,$H$12,$A90)</f>
        <v>0</v>
      </c>
      <c r="K90" s="134">
        <f>_xll.DBRW($G$3,$H$15,$H$17,$H$13,$H$16,$H$14,K$2,$H$12,$A90)</f>
        <v>0</v>
      </c>
      <c r="L90" s="134">
        <f>_xll.DBRW($G$3,$H$15,$H$17,$H$13,$H$16,$H$14,L$2,$H$12,$A90)</f>
        <v>0</v>
      </c>
      <c r="M90" s="134">
        <f>_xll.DBRW($G$3,$H$15,$H$17,$H$13,$H$16,$H$14,M$2,$H$12,$A90)</f>
        <v>0</v>
      </c>
      <c r="N90" s="134">
        <f>_xll.DBRW($G$3,$H$15,$H$17,$H$13,$H$16,$H$14,N$2,$H$12,$A90)</f>
        <v>0</v>
      </c>
      <c r="O90" s="134">
        <f>_xll.DBRW($G$3,$H$15,$H$17,$H$13,$H$16,$H$14,O$2,$H$12,$A90)</f>
        <v>0</v>
      </c>
      <c r="P90" s="135">
        <f>_xll.DBRW($G$3,$H$15,$H$17,$H$13,$H$16,$H$14,P$2,$H$12,$A90)</f>
        <v>0</v>
      </c>
      <c r="Q90" s="138"/>
      <c r="R90" s="138"/>
      <c r="S90" s="133">
        <f>_xll.DBRW($G$3,$U$15,$H$17,$U$13,$U$16,$U$14,S$2,$U$12,$A90)</f>
        <v>0</v>
      </c>
      <c r="T90" s="134">
        <f>_xll.DBRW($G$3,$U$15,$H$17,$U$13,$U$16,$U$14,T$2,$U$12,$A90)</f>
        <v>0</v>
      </c>
      <c r="U90" s="134">
        <f>_xll.DBRW($G$3,$U$15,$H$17,$U$13,$U$16,$U$14,U$2,$U$12,$A90)</f>
        <v>0</v>
      </c>
      <c r="V90" s="134">
        <f>_xll.DBRW($G$3,$U$15,$H$17,$U$13,$U$16,$U$14,V$2,$U$12,$A90)</f>
        <v>0</v>
      </c>
      <c r="W90" s="134">
        <f>_xll.DBRW($G$3,$U$15,$H$17,$U$13,$U$16,$U$14,W$2,$U$12,$A90)</f>
        <v>0</v>
      </c>
      <c r="X90" s="134">
        <f>_xll.DBRW($G$3,$U$15,$H$17,$U$13,$U$16,$U$14,X$2,$U$12,$A90)</f>
        <v>0</v>
      </c>
      <c r="Y90" s="134">
        <f>_xll.DBRW($G$3,$U$15,$H$17,$U$13,$U$16,$U$14,Y$2,$U$12,$A90)</f>
        <v>0</v>
      </c>
      <c r="Z90" s="135">
        <f>_xll.DBRW($G$3,$U$15,$H$17,$U$13,$U$16,$U$14,Z$2,$U$12,$A90)</f>
        <v>0</v>
      </c>
      <c r="AA90" s="138"/>
      <c r="AB90" s="133" t="str">
        <f t="shared" si="23"/>
        <v/>
      </c>
      <c r="AC90" s="134" t="str">
        <f t="shared" si="23"/>
        <v/>
      </c>
      <c r="AD90" s="134" t="str">
        <f t="shared" si="23"/>
        <v/>
      </c>
      <c r="AE90" s="134" t="str">
        <f t="shared" si="23"/>
        <v/>
      </c>
      <c r="AF90" s="134" t="str">
        <f t="shared" si="23"/>
        <v/>
      </c>
      <c r="AG90" s="134" t="str">
        <f t="shared" si="23"/>
        <v/>
      </c>
      <c r="AH90" s="134" t="str">
        <f t="shared" si="23"/>
        <v/>
      </c>
      <c r="AI90" s="135" t="str">
        <f t="shared" si="23"/>
        <v/>
      </c>
      <c r="AJ90" s="44"/>
      <c r="AK90" s="49"/>
      <c r="AL90" s="51" t="s">
        <v>45</v>
      </c>
      <c r="AM90" s="49"/>
      <c r="AN90" s="49"/>
      <c r="AO90" s="49"/>
      <c r="AP90" s="65" t="s">
        <v>77</v>
      </c>
      <c r="AQ90" s="65" t="s">
        <v>67</v>
      </c>
      <c r="AR90" s="49"/>
      <c r="AS90" s="27"/>
      <c r="AT90" s="26"/>
      <c r="AU90" s="54"/>
    </row>
    <row r="91" spans="1:49" ht="21.75" customHeight="1">
      <c r="A91" s="52" t="s">
        <v>33</v>
      </c>
      <c r="B91" s="42"/>
      <c r="C91" s="42"/>
      <c r="D91" s="42">
        <v>70</v>
      </c>
      <c r="G91" s="201" t="str">
        <f>_xll.DBRA(Server&amp;$A$21,$A91,$H$18)</f>
        <v>Net WC on income tax (payable &amp; differed)</v>
      </c>
      <c r="H91" s="202"/>
      <c r="I91" s="133">
        <f>_xll.DBRW($G$3,$H$15,$H$17,$H$13,$H$16,$H$14,I$2,$H$12,$A91)</f>
        <v>0</v>
      </c>
      <c r="J91" s="134">
        <f>_xll.DBRW($G$3,$H$15,$H$17,$H$13,$H$16,$H$14,J$2,$H$12,$A91)</f>
        <v>0</v>
      </c>
      <c r="K91" s="134">
        <f>_xll.DBRW($G$3,$H$15,$H$17,$H$13,$H$16,$H$14,K$2,$H$12,$A91)</f>
        <v>0</v>
      </c>
      <c r="L91" s="134">
        <f>_xll.DBRW($G$3,$H$15,$H$17,$H$13,$H$16,$H$14,L$2,$H$12,$A91)</f>
        <v>0</v>
      </c>
      <c r="M91" s="134">
        <f>_xll.DBRW($G$3,$H$15,$H$17,$H$13,$H$16,$H$14,M$2,$H$12,$A91)</f>
        <v>0</v>
      </c>
      <c r="N91" s="134">
        <f>_xll.DBRW($G$3,$H$15,$H$17,$H$13,$H$16,$H$14,N$2,$H$12,$A91)</f>
        <v>0</v>
      </c>
      <c r="O91" s="134">
        <f>_xll.DBRW($G$3,$H$15,$H$17,$H$13,$H$16,$H$14,O$2,$H$12,$A91)</f>
        <v>0</v>
      </c>
      <c r="P91" s="135">
        <f>_xll.DBRW($G$3,$H$15,$H$17,$H$13,$H$16,$H$14,P$2,$H$12,$A91)</f>
        <v>0</v>
      </c>
      <c r="Q91" s="138"/>
      <c r="R91" s="138"/>
      <c r="S91" s="133">
        <f>_xll.DBRW($G$3,$U$15,$H$17,$U$13,$U$16,$U$14,S$2,$U$12,$A91)</f>
        <v>0</v>
      </c>
      <c r="T91" s="134">
        <f>_xll.DBRW($G$3,$U$15,$H$17,$U$13,$U$16,$U$14,T$2,$U$12,$A91)</f>
        <v>0</v>
      </c>
      <c r="U91" s="134">
        <f>_xll.DBRW($G$3,$U$15,$H$17,$U$13,$U$16,$U$14,U$2,$U$12,$A91)</f>
        <v>0</v>
      </c>
      <c r="V91" s="134">
        <f>_xll.DBRW($G$3,$U$15,$H$17,$U$13,$U$16,$U$14,V$2,$U$12,$A91)</f>
        <v>0</v>
      </c>
      <c r="W91" s="134">
        <f>_xll.DBRW($G$3,$U$15,$H$17,$U$13,$U$16,$U$14,W$2,$U$12,$A91)</f>
        <v>0</v>
      </c>
      <c r="X91" s="134">
        <f>_xll.DBRW($G$3,$U$15,$H$17,$U$13,$U$16,$U$14,X$2,$U$12,$A91)</f>
        <v>0</v>
      </c>
      <c r="Y91" s="134">
        <f>_xll.DBRW($G$3,$U$15,$H$17,$U$13,$U$16,$U$14,Y$2,$U$12,$A91)</f>
        <v>0</v>
      </c>
      <c r="Z91" s="135">
        <f>_xll.DBRW($G$3,$U$15,$H$17,$U$13,$U$16,$U$14,Z$2,$U$12,$A91)</f>
        <v>0</v>
      </c>
      <c r="AA91" s="138"/>
      <c r="AB91" s="133" t="str">
        <f t="shared" si="23"/>
        <v/>
      </c>
      <c r="AC91" s="134" t="str">
        <f t="shared" si="23"/>
        <v/>
      </c>
      <c r="AD91" s="134" t="str">
        <f t="shared" si="23"/>
        <v/>
      </c>
      <c r="AE91" s="134" t="str">
        <f t="shared" si="23"/>
        <v/>
      </c>
      <c r="AF91" s="134" t="str">
        <f t="shared" si="23"/>
        <v/>
      </c>
      <c r="AG91" s="134" t="str">
        <f t="shared" si="23"/>
        <v/>
      </c>
      <c r="AH91" s="134" t="str">
        <f t="shared" si="23"/>
        <v/>
      </c>
      <c r="AI91" s="135" t="str">
        <f t="shared" si="23"/>
        <v/>
      </c>
      <c r="AK91" s="49"/>
      <c r="AL91" s="51" t="s">
        <v>85</v>
      </c>
      <c r="AM91" s="49"/>
      <c r="AN91" s="49"/>
      <c r="AO91" s="49"/>
      <c r="AP91" s="70"/>
      <c r="AQ91" s="70"/>
      <c r="AR91" s="49"/>
      <c r="AS91" s="27"/>
      <c r="AT91" s="26"/>
      <c r="AU91" s="54"/>
    </row>
    <row r="92" spans="1:49" ht="21.75" customHeight="1">
      <c r="A92" s="52" t="s">
        <v>34</v>
      </c>
      <c r="B92" s="42"/>
      <c r="C92" s="42"/>
      <c r="D92" s="42">
        <v>71</v>
      </c>
      <c r="G92" s="201" t="str">
        <f>_xll.DBRA(Server&amp;$A$21,$A92,$H$18)</f>
        <v>Net operating WC</v>
      </c>
      <c r="H92" s="202"/>
      <c r="I92" s="133">
        <f>_xll.DBRW($G$3,$H$15,$H$17,$H$13,$H$16,$H$14,I$2,$H$12,$A92)</f>
        <v>0</v>
      </c>
      <c r="J92" s="134">
        <f>_xll.DBRW($G$3,$H$15,$H$17,$H$13,$H$16,$H$14,J$2,$H$12,$A92)</f>
        <v>0</v>
      </c>
      <c r="K92" s="134">
        <f>_xll.DBRW($G$3,$H$15,$H$17,$H$13,$H$16,$H$14,K$2,$H$12,$A92)</f>
        <v>0</v>
      </c>
      <c r="L92" s="134">
        <f>_xll.DBRW($G$3,$H$15,$H$17,$H$13,$H$16,$H$14,L$2,$H$12,$A92)</f>
        <v>0</v>
      </c>
      <c r="M92" s="134">
        <f>_xll.DBRW($G$3,$H$15,$H$17,$H$13,$H$16,$H$14,M$2,$H$12,$A92)</f>
        <v>0</v>
      </c>
      <c r="N92" s="134">
        <f>_xll.DBRW($G$3,$H$15,$H$17,$H$13,$H$16,$H$14,N$2,$H$12,$A92)</f>
        <v>0</v>
      </c>
      <c r="O92" s="134">
        <f>_xll.DBRW($G$3,$H$15,$H$17,$H$13,$H$16,$H$14,O$2,$H$12,$A92)</f>
        <v>0</v>
      </c>
      <c r="P92" s="135">
        <f>_xll.DBRW($G$3,$H$15,$H$17,$H$13,$H$16,$H$14,P$2,$H$12,$A92)</f>
        <v>0</v>
      </c>
      <c r="Q92" s="138"/>
      <c r="R92" s="138"/>
      <c r="S92" s="133">
        <f>_xll.DBRW($G$3,$U$15,$H$17,$U$13,$U$16,$U$14,S$2,$U$12,$A92)</f>
        <v>0</v>
      </c>
      <c r="T92" s="134">
        <f>_xll.DBRW($G$3,$U$15,$H$17,$U$13,$U$16,$U$14,T$2,$U$12,$A92)</f>
        <v>0</v>
      </c>
      <c r="U92" s="134">
        <f>_xll.DBRW($G$3,$U$15,$H$17,$U$13,$U$16,$U$14,U$2,$U$12,$A92)</f>
        <v>0</v>
      </c>
      <c r="V92" s="134">
        <f>_xll.DBRW($G$3,$U$15,$H$17,$U$13,$U$16,$U$14,V$2,$U$12,$A92)</f>
        <v>0</v>
      </c>
      <c r="W92" s="134">
        <f>_xll.DBRW($G$3,$U$15,$H$17,$U$13,$U$16,$U$14,W$2,$U$12,$A92)</f>
        <v>0</v>
      </c>
      <c r="X92" s="134">
        <f>_xll.DBRW($G$3,$U$15,$H$17,$U$13,$U$16,$U$14,X$2,$U$12,$A92)</f>
        <v>0</v>
      </c>
      <c r="Y92" s="134">
        <f>_xll.DBRW($G$3,$U$15,$H$17,$U$13,$U$16,$U$14,Y$2,$U$12,$A92)</f>
        <v>0</v>
      </c>
      <c r="Z92" s="135">
        <f>_xll.DBRW($G$3,$U$15,$H$17,$U$13,$U$16,$U$14,Z$2,$U$12,$A92)</f>
        <v>0</v>
      </c>
      <c r="AA92" s="138"/>
      <c r="AB92" s="133" t="str">
        <f t="shared" si="23"/>
        <v/>
      </c>
      <c r="AC92" s="134" t="str">
        <f t="shared" si="23"/>
        <v/>
      </c>
      <c r="AD92" s="134" t="str">
        <f t="shared" si="23"/>
        <v/>
      </c>
      <c r="AE92" s="134" t="str">
        <f t="shared" si="23"/>
        <v/>
      </c>
      <c r="AF92" s="134" t="str">
        <f t="shared" si="23"/>
        <v/>
      </c>
      <c r="AG92" s="134" t="str">
        <f t="shared" si="23"/>
        <v/>
      </c>
      <c r="AH92" s="134" t="str">
        <f t="shared" si="23"/>
        <v/>
      </c>
      <c r="AI92" s="135" t="str">
        <f t="shared" si="23"/>
        <v/>
      </c>
      <c r="AJ92" s="44"/>
      <c r="AK92" s="49"/>
      <c r="AL92" s="51" t="s">
        <v>120</v>
      </c>
      <c r="AM92" s="49"/>
      <c r="AN92" s="49"/>
      <c r="AO92" s="49"/>
      <c r="AP92" s="65" t="s">
        <v>46</v>
      </c>
      <c r="AQ92" s="70" t="s">
        <v>80</v>
      </c>
      <c r="AR92" s="49"/>
      <c r="AS92" s="27"/>
      <c r="AT92" s="26"/>
      <c r="AU92" s="54"/>
    </row>
    <row r="93" spans="1:49" ht="21.75" customHeight="1" thickBot="1">
      <c r="A93" s="52" t="s">
        <v>35</v>
      </c>
      <c r="B93" s="42"/>
      <c r="C93" s="42"/>
      <c r="D93" s="42">
        <v>72</v>
      </c>
      <c r="G93" s="201" t="str">
        <f>_xll.DBRA(Server&amp;$A$21,$A93,$H$18)</f>
        <v>Reserves and allowances</v>
      </c>
      <c r="H93" s="202"/>
      <c r="I93" s="133">
        <f>_xll.DBRW($G$3,$H$15,$H$17,$H$13,$H$16,$H$14,I$2,$H$12,$A93)</f>
        <v>0</v>
      </c>
      <c r="J93" s="134">
        <f>_xll.DBRW($G$3,$H$15,$H$17,$H$13,$H$16,$H$14,J$2,$H$12,$A93)</f>
        <v>0</v>
      </c>
      <c r="K93" s="134">
        <f>_xll.DBRW($G$3,$H$15,$H$17,$H$13,$H$16,$H$14,K$2,$H$12,$A93)</f>
        <v>0</v>
      </c>
      <c r="L93" s="134">
        <f>_xll.DBRW($G$3,$H$15,$H$17,$H$13,$H$16,$H$14,L$2,$H$12,$A93)</f>
        <v>0</v>
      </c>
      <c r="M93" s="134">
        <f>_xll.DBRW($G$3,$H$15,$H$17,$H$13,$H$16,$H$14,M$2,$H$12,$A93)</f>
        <v>0</v>
      </c>
      <c r="N93" s="134">
        <f>_xll.DBRW($G$3,$H$15,$H$17,$H$13,$H$16,$H$14,N$2,$H$12,$A93)</f>
        <v>0</v>
      </c>
      <c r="O93" s="134">
        <f>_xll.DBRW($G$3,$H$15,$H$17,$H$13,$H$16,$H$14,O$2,$H$12,$A93)</f>
        <v>0</v>
      </c>
      <c r="P93" s="135">
        <f>_xll.DBRW($G$3,$H$15,$H$17,$H$13,$H$16,$H$14,P$2,$H$12,$A93)</f>
        <v>0</v>
      </c>
      <c r="Q93" s="138"/>
      <c r="R93" s="138"/>
      <c r="S93" s="133">
        <f>_xll.DBRW($G$3,$U$15,$H$17,$U$13,$U$16,$U$14,S$2,$U$12,$A93)</f>
        <v>0</v>
      </c>
      <c r="T93" s="134">
        <f>_xll.DBRW($G$3,$U$15,$H$17,$U$13,$U$16,$U$14,T$2,$U$12,$A93)</f>
        <v>0</v>
      </c>
      <c r="U93" s="134">
        <f>_xll.DBRW($G$3,$U$15,$H$17,$U$13,$U$16,$U$14,U$2,$U$12,$A93)</f>
        <v>0</v>
      </c>
      <c r="V93" s="134">
        <f>_xll.DBRW($G$3,$U$15,$H$17,$U$13,$U$16,$U$14,V$2,$U$12,$A93)</f>
        <v>0</v>
      </c>
      <c r="W93" s="134">
        <f>_xll.DBRW($G$3,$U$15,$H$17,$U$13,$U$16,$U$14,W$2,$U$12,$A93)</f>
        <v>0</v>
      </c>
      <c r="X93" s="134">
        <f>_xll.DBRW($G$3,$U$15,$H$17,$U$13,$U$16,$U$14,X$2,$U$12,$A93)</f>
        <v>0</v>
      </c>
      <c r="Y93" s="134">
        <f>_xll.DBRW($G$3,$U$15,$H$17,$U$13,$U$16,$U$14,Y$2,$U$12,$A93)</f>
        <v>0</v>
      </c>
      <c r="Z93" s="135">
        <f>_xll.DBRW($G$3,$U$15,$H$17,$U$13,$U$16,$U$14,Z$2,$U$12,$A93)</f>
        <v>0</v>
      </c>
      <c r="AA93" s="138"/>
      <c r="AB93" s="133" t="str">
        <f t="shared" si="23"/>
        <v/>
      </c>
      <c r="AC93" s="134" t="str">
        <f t="shared" si="23"/>
        <v/>
      </c>
      <c r="AD93" s="134" t="str">
        <f t="shared" si="23"/>
        <v/>
      </c>
      <c r="AE93" s="134" t="str">
        <f t="shared" si="23"/>
        <v/>
      </c>
      <c r="AF93" s="134" t="str">
        <f t="shared" si="23"/>
        <v/>
      </c>
      <c r="AG93" s="134" t="str">
        <f t="shared" si="23"/>
        <v/>
      </c>
      <c r="AH93" s="134" t="str">
        <f t="shared" si="23"/>
        <v/>
      </c>
      <c r="AI93" s="135" t="str">
        <f t="shared" si="23"/>
        <v/>
      </c>
      <c r="AJ93" s="44"/>
      <c r="AK93" s="49"/>
      <c r="AL93" s="51" t="s">
        <v>121</v>
      </c>
      <c r="AM93" s="49"/>
      <c r="AN93" s="49"/>
      <c r="AO93" s="49"/>
      <c r="AP93" s="49" t="s">
        <v>44</v>
      </c>
      <c r="AQ93" s="49"/>
      <c r="AR93" s="49"/>
      <c r="AS93" s="27"/>
      <c r="AT93" s="26"/>
      <c r="AU93" s="54"/>
    </row>
    <row r="94" spans="1:49" ht="20.25" customHeight="1" thickBot="1">
      <c r="A94" s="52" t="s">
        <v>139</v>
      </c>
      <c r="B94" s="67"/>
      <c r="C94" s="42"/>
      <c r="D94" s="42">
        <v>73</v>
      </c>
      <c r="G94" s="203" t="str">
        <f>_xll.DBRA(Server&amp;$A$21,$A94,$H$18)</f>
        <v>CAPITAL EMPLOYED</v>
      </c>
      <c r="H94" s="203"/>
      <c r="I94" s="141">
        <f>_xll.DBRW($G$3,$H$15,$H$17,$H$13,$H$16,$H$14,I$2,$H$12,$A94)</f>
        <v>0</v>
      </c>
      <c r="J94" s="141">
        <f>_xll.DBRW($G$3,$H$15,$H$17,$H$13,$H$16,$H$14,J$2,$H$12,$A94)</f>
        <v>0</v>
      </c>
      <c r="K94" s="141">
        <f>_xll.DBRW($G$3,$H$15,$H$17,$H$13,$H$16,$H$14,K$2,$H$12,$A94)</f>
        <v>0</v>
      </c>
      <c r="L94" s="141">
        <f>_xll.DBRW($G$3,$H$15,$H$17,$H$13,$H$16,$H$14,L$2,$H$12,$A94)</f>
        <v>0</v>
      </c>
      <c r="M94" s="141">
        <f>_xll.DBRW($G$3,$H$15,$H$17,$H$13,$H$16,$H$14,M$2,$H$12,$A94)</f>
        <v>0</v>
      </c>
      <c r="N94" s="141">
        <f>_xll.DBRW($G$3,$H$15,$H$17,$H$13,$H$16,$H$14,N$2,$H$12,$A94)</f>
        <v>0</v>
      </c>
      <c r="O94" s="141">
        <f>_xll.DBRW($G$3,$H$15,$H$17,$H$13,$H$16,$H$14,O$2,$H$12,$A94)</f>
        <v>0</v>
      </c>
      <c r="P94" s="141">
        <f>_xll.DBRW($G$3,$H$15,$H$17,$H$13,$H$16,$H$14,P$2,$H$12,$A94)</f>
        <v>0</v>
      </c>
      <c r="Q94" s="138">
        <f>SUM(I94:P94)-SUM(I89:P93)</f>
        <v>0</v>
      </c>
      <c r="R94" s="138"/>
      <c r="S94" s="141">
        <f>_xll.DBRW($G$3,$U$15,$H$17,$U$13,$U$16,$U$14,S$2,$U$12,$A94)</f>
        <v>0</v>
      </c>
      <c r="T94" s="141">
        <f>_xll.DBRW($G$3,$U$15,$H$17,$U$13,$U$16,$U$14,T$2,$U$12,$A94)</f>
        <v>0</v>
      </c>
      <c r="U94" s="141">
        <f>_xll.DBRW($G$3,$U$15,$H$17,$U$13,$U$16,$U$14,U$2,$U$12,$A94)</f>
        <v>0</v>
      </c>
      <c r="V94" s="141">
        <f>_xll.DBRW($G$3,$U$15,$H$17,$U$13,$U$16,$U$14,V$2,$U$12,$A94)</f>
        <v>0</v>
      </c>
      <c r="W94" s="141">
        <f>_xll.DBRW($G$3,$U$15,$H$17,$U$13,$U$16,$U$14,W$2,$U$12,$A94)</f>
        <v>0</v>
      </c>
      <c r="X94" s="141">
        <f>_xll.DBRW($G$3,$U$15,$H$17,$U$13,$U$16,$U$14,X$2,$U$12,$A94)</f>
        <v>0</v>
      </c>
      <c r="Y94" s="141">
        <f>_xll.DBRW($G$3,$U$15,$H$17,$U$13,$U$16,$U$14,Y$2,$U$12,$A94)</f>
        <v>0</v>
      </c>
      <c r="Z94" s="141">
        <f>_xll.DBRW($G$3,$U$15,$H$17,$U$13,$U$16,$U$14,Z$2,$U$12,$A94)</f>
        <v>0</v>
      </c>
      <c r="AA94" s="138">
        <f>SUM(S94:Z94)-SUM(S89:Z93)</f>
        <v>0</v>
      </c>
      <c r="AB94" s="141" t="str">
        <f t="shared" si="23"/>
        <v/>
      </c>
      <c r="AC94" s="141" t="str">
        <f t="shared" si="23"/>
        <v/>
      </c>
      <c r="AD94" s="141" t="str">
        <f t="shared" si="23"/>
        <v/>
      </c>
      <c r="AE94" s="141" t="str">
        <f t="shared" si="23"/>
        <v/>
      </c>
      <c r="AF94" s="141" t="str">
        <f t="shared" si="23"/>
        <v/>
      </c>
      <c r="AG94" s="141" t="str">
        <f t="shared" si="23"/>
        <v/>
      </c>
      <c r="AH94" s="141" t="str">
        <f t="shared" si="23"/>
        <v/>
      </c>
      <c r="AI94" s="141" t="str">
        <f t="shared" si="23"/>
        <v/>
      </c>
      <c r="AJ94" s="44"/>
      <c r="AK94" s="49"/>
      <c r="AL94" s="51"/>
      <c r="AM94" s="49"/>
      <c r="AN94" s="49"/>
      <c r="AO94" s="49"/>
      <c r="AP94" s="49"/>
      <c r="AQ94" s="49"/>
      <c r="AR94" s="49"/>
      <c r="AS94" s="27"/>
      <c r="AT94" s="26"/>
      <c r="AU94" s="54"/>
      <c r="AV94" s="46"/>
      <c r="AW94" s="44"/>
    </row>
    <row r="95" spans="1:49" ht="19.5" customHeight="1" thickBot="1">
      <c r="A95" s="52" t="s">
        <v>36</v>
      </c>
      <c r="B95" s="67"/>
      <c r="C95" s="42"/>
      <c r="D95" s="42">
        <v>74</v>
      </c>
      <c r="G95" s="201" t="str">
        <f>_xll.DBRA(Server&amp;$A$21,$A95,$H$18)</f>
        <v>Operating financial asset (Net)</v>
      </c>
      <c r="H95" s="202"/>
      <c r="I95" s="133">
        <f>_xll.DBRW($G$3,$H$15,$H$17,$H$13,$H$16,$H$14,I$2,$H$12,$A95)</f>
        <v>0</v>
      </c>
      <c r="J95" s="134">
        <f>_xll.DBRW($G$3,$H$15,$H$17,$H$13,$H$16,$H$14,J$2,$H$12,$A95)</f>
        <v>0</v>
      </c>
      <c r="K95" s="134">
        <f>_xll.DBRW($G$3,$H$15,$H$17,$H$13,$H$16,$H$14,K$2,$H$12,$A95)</f>
        <v>0</v>
      </c>
      <c r="L95" s="134">
        <f>_xll.DBRW($G$3,$H$15,$H$17,$H$13,$H$16,$H$14,L$2,$H$12,$A95)</f>
        <v>0</v>
      </c>
      <c r="M95" s="134">
        <f>_xll.DBRW($G$3,$H$15,$H$17,$H$13,$H$16,$H$14,M$2,$H$12,$A95)</f>
        <v>0</v>
      </c>
      <c r="N95" s="134">
        <f>_xll.DBRW($G$3,$H$15,$H$17,$H$13,$H$16,$H$14,N$2,$H$12,$A95)</f>
        <v>0</v>
      </c>
      <c r="O95" s="134">
        <f>_xll.DBRW($G$3,$H$15,$H$17,$H$13,$H$16,$H$14,O$2,$H$12,$A95)</f>
        <v>0</v>
      </c>
      <c r="P95" s="135">
        <f>_xll.DBRW($G$3,$H$15,$H$17,$H$13,$H$16,$H$14,P$2,$H$12,$A95)</f>
        <v>0</v>
      </c>
      <c r="Q95" s="138"/>
      <c r="R95" s="138"/>
      <c r="S95" s="133">
        <f>_xll.DBRW($G$3,$U$15,$H$17,$U$13,$U$16,$U$14,S$2,$U$12,$A95)</f>
        <v>0</v>
      </c>
      <c r="T95" s="134">
        <f>_xll.DBRW($G$3,$U$15,$H$17,$U$13,$U$16,$U$14,T$2,$U$12,$A95)</f>
        <v>0</v>
      </c>
      <c r="U95" s="134">
        <f>_xll.DBRW($G$3,$U$15,$H$17,$U$13,$U$16,$U$14,U$2,$U$12,$A95)</f>
        <v>0</v>
      </c>
      <c r="V95" s="134">
        <f>_xll.DBRW($G$3,$U$15,$H$17,$U$13,$U$16,$U$14,V$2,$U$12,$A95)</f>
        <v>0</v>
      </c>
      <c r="W95" s="134">
        <f>_xll.DBRW($G$3,$U$15,$H$17,$U$13,$U$16,$U$14,W$2,$U$12,$A95)</f>
        <v>0</v>
      </c>
      <c r="X95" s="134">
        <f>_xll.DBRW($G$3,$U$15,$H$17,$U$13,$U$16,$U$14,X$2,$U$12,$A95)</f>
        <v>0</v>
      </c>
      <c r="Y95" s="134">
        <f>_xll.DBRW($G$3,$U$15,$H$17,$U$13,$U$16,$U$14,Y$2,$U$12,$A95)</f>
        <v>0</v>
      </c>
      <c r="Z95" s="135">
        <f>_xll.DBRW($G$3,$U$15,$H$17,$U$13,$U$16,$U$14,Z$2,$U$12,$A95)</f>
        <v>0</v>
      </c>
      <c r="AA95" s="138"/>
      <c r="AB95" s="133" t="str">
        <f t="shared" si="23"/>
        <v/>
      </c>
      <c r="AC95" s="134" t="str">
        <f t="shared" si="23"/>
        <v/>
      </c>
      <c r="AD95" s="134" t="str">
        <f t="shared" si="23"/>
        <v/>
      </c>
      <c r="AE95" s="134" t="str">
        <f t="shared" si="23"/>
        <v/>
      </c>
      <c r="AF95" s="134" t="str">
        <f t="shared" si="23"/>
        <v/>
      </c>
      <c r="AG95" s="134" t="str">
        <f t="shared" si="23"/>
        <v/>
      </c>
      <c r="AH95" s="134" t="str">
        <f t="shared" si="23"/>
        <v/>
      </c>
      <c r="AI95" s="135" t="str">
        <f t="shared" si="23"/>
        <v/>
      </c>
      <c r="AJ95" s="44"/>
      <c r="AK95" s="49"/>
      <c r="AL95" s="51" t="s">
        <v>82</v>
      </c>
      <c r="AM95" s="49"/>
      <c r="AN95" s="49"/>
      <c r="AO95" s="49"/>
      <c r="AP95" s="70"/>
      <c r="AQ95" s="70"/>
      <c r="AR95" s="49"/>
      <c r="AS95" s="27"/>
      <c r="AT95" s="26"/>
      <c r="AU95" s="54"/>
      <c r="AV95" s="46"/>
      <c r="AW95" s="44"/>
    </row>
    <row r="96" spans="1:49" ht="21.75" customHeight="1" thickBot="1">
      <c r="A96" s="52" t="s">
        <v>128</v>
      </c>
      <c r="B96" s="67"/>
      <c r="C96" s="42"/>
      <c r="D96" s="42">
        <v>75</v>
      </c>
      <c r="G96" s="203" t="str">
        <f>_xll.DBRA(Server&amp;$A$21,$A96,$H$18)</f>
        <v>CAPITAL EMPLOYED incl IFRIC12</v>
      </c>
      <c r="H96" s="203"/>
      <c r="I96" s="141">
        <f>_xll.DBRW($G$3,$H$15,$H$17,$H$13,$H$16,$H$14,I$2,$H$12,$A96)</f>
        <v>0</v>
      </c>
      <c r="J96" s="141">
        <f>_xll.DBRW($G$3,$H$15,$H$17,$H$13,$H$16,$H$14,J$2,$H$12,$A96)</f>
        <v>0</v>
      </c>
      <c r="K96" s="141">
        <f>_xll.DBRW($G$3,$H$15,$H$17,$H$13,$H$16,$H$14,K$2,$H$12,$A96)</f>
        <v>0</v>
      </c>
      <c r="L96" s="141">
        <f>_xll.DBRW($G$3,$H$15,$H$17,$H$13,$H$16,$H$14,L$2,$H$12,$A96)</f>
        <v>0</v>
      </c>
      <c r="M96" s="141">
        <f>_xll.DBRW($G$3,$H$15,$H$17,$H$13,$H$16,$H$14,M$2,$H$12,$A96)</f>
        <v>0</v>
      </c>
      <c r="N96" s="141">
        <f>_xll.DBRW($G$3,$H$15,$H$17,$H$13,$H$16,$H$14,N$2,$H$12,$A96)</f>
        <v>0</v>
      </c>
      <c r="O96" s="141">
        <f>_xll.DBRW($G$3,$H$15,$H$17,$H$13,$H$16,$H$14,O$2,$H$12,$A96)</f>
        <v>0</v>
      </c>
      <c r="P96" s="141">
        <f>_xll.DBRW($G$3,$H$15,$H$17,$H$13,$H$16,$H$14,P$2,$H$12,$A96)</f>
        <v>0</v>
      </c>
      <c r="Q96" s="153">
        <f>SUM(I96:P96)-SUM(I94:P95)</f>
        <v>0</v>
      </c>
      <c r="R96" s="153"/>
      <c r="S96" s="141">
        <f>_xll.DBRW($G$3,$U$15,$H$17,$U$13,$U$16,$U$14,S$2,$U$12,$A96)</f>
        <v>0</v>
      </c>
      <c r="T96" s="141">
        <f>_xll.DBRW($G$3,$U$15,$H$17,$U$13,$U$16,$U$14,T$2,$U$12,$A96)</f>
        <v>0</v>
      </c>
      <c r="U96" s="141">
        <f>_xll.DBRW($G$3,$U$15,$H$17,$U$13,$U$16,$U$14,U$2,$U$12,$A96)</f>
        <v>0</v>
      </c>
      <c r="V96" s="141">
        <f>_xll.DBRW($G$3,$U$15,$H$17,$U$13,$U$16,$U$14,V$2,$U$12,$A96)</f>
        <v>0</v>
      </c>
      <c r="W96" s="141">
        <f>_xll.DBRW($G$3,$U$15,$H$17,$U$13,$U$16,$U$14,W$2,$U$12,$A96)</f>
        <v>0</v>
      </c>
      <c r="X96" s="141">
        <f>_xll.DBRW($G$3,$U$15,$H$17,$U$13,$U$16,$U$14,X$2,$U$12,$A96)</f>
        <v>0</v>
      </c>
      <c r="Y96" s="141">
        <f>_xll.DBRW($G$3,$U$15,$H$17,$U$13,$U$16,$U$14,Y$2,$U$12,$A96)</f>
        <v>0</v>
      </c>
      <c r="Z96" s="141">
        <f>_xll.DBRW($G$3,$U$15,$H$17,$U$13,$U$16,$U$14,Z$2,$U$12,$A96)</f>
        <v>0</v>
      </c>
      <c r="AA96" s="153">
        <f>SUM(S96:Z96)-SUM(S94:Z95)</f>
        <v>0</v>
      </c>
      <c r="AB96" s="141" t="str">
        <f t="shared" si="23"/>
        <v/>
      </c>
      <c r="AC96" s="141" t="str">
        <f t="shared" si="23"/>
        <v/>
      </c>
      <c r="AD96" s="141" t="str">
        <f t="shared" si="23"/>
        <v/>
      </c>
      <c r="AE96" s="141" t="str">
        <f t="shared" si="23"/>
        <v/>
      </c>
      <c r="AF96" s="141" t="str">
        <f t="shared" si="23"/>
        <v/>
      </c>
      <c r="AG96" s="141" t="str">
        <f t="shared" si="23"/>
        <v/>
      </c>
      <c r="AH96" s="141" t="str">
        <f t="shared" si="23"/>
        <v/>
      </c>
      <c r="AI96" s="141" t="str">
        <f t="shared" si="23"/>
        <v/>
      </c>
      <c r="AJ96" s="44"/>
      <c r="AK96" s="49"/>
      <c r="AL96" s="51"/>
      <c r="AM96" s="49"/>
      <c r="AN96" s="49"/>
      <c r="AO96" s="49"/>
      <c r="AP96" s="70" t="s">
        <v>82</v>
      </c>
      <c r="AQ96" s="49"/>
      <c r="AR96" s="49"/>
      <c r="AS96" s="27"/>
      <c r="AT96" s="26"/>
      <c r="AU96" s="54"/>
    </row>
    <row r="97" spans="1:16379" ht="21.75" customHeight="1" thickBot="1">
      <c r="A97" s="52" t="s">
        <v>129</v>
      </c>
      <c r="B97" s="42"/>
      <c r="C97" s="42"/>
      <c r="D97" s="42">
        <v>76</v>
      </c>
      <c r="G97" s="203" t="str">
        <f>_xll.DBRA(Server&amp;$A$21,$A97,$H$18)</f>
        <v>NET FINANCIAL DEBT (NFD)</v>
      </c>
      <c r="H97" s="203"/>
      <c r="I97" s="141">
        <f>_xll.DBRW($G$3,$H$15,$H$17,$H$13,$H$16,$H$14,I$2,$H$12,$A97)</f>
        <v>0</v>
      </c>
      <c r="J97" s="141">
        <f>_xll.DBRW($G$3,$H$15,$H$17,$H$13,$H$16,$H$14,J$2,$H$12,$A97)</f>
        <v>0</v>
      </c>
      <c r="K97" s="141">
        <f>_xll.DBRW($G$3,$H$15,$H$17,$H$13,$H$16,$H$14,K$2,$H$12,$A97)</f>
        <v>0</v>
      </c>
      <c r="L97" s="141">
        <f>_xll.DBRW($G$3,$H$15,$H$17,$H$13,$H$16,$H$14,L$2,$H$12,$A97)</f>
        <v>0</v>
      </c>
      <c r="M97" s="141">
        <f>_xll.DBRW($G$3,$H$15,$H$17,$H$13,$H$16,$H$14,M$2,$H$12,$A97)</f>
        <v>0</v>
      </c>
      <c r="N97" s="141">
        <f>_xll.DBRW($G$3,$H$15,$H$17,$H$13,$H$16,$H$14,N$2,$H$12,$A97)</f>
        <v>0</v>
      </c>
      <c r="O97" s="141">
        <f>_xll.DBRW($G$3,$H$15,$H$17,$H$13,$H$16,$H$14,O$2,$H$12,$A97)</f>
        <v>0</v>
      </c>
      <c r="P97" s="141">
        <f>_xll.DBRW($G$3,$H$15,$H$17,$H$13,$H$16,$H$14,P$2,$H$12,$A97)</f>
        <v>0</v>
      </c>
      <c r="Q97" s="138"/>
      <c r="R97" s="138"/>
      <c r="S97" s="141">
        <f>_xll.DBRW($G$3,$U$15,$H$17,$U$13,$U$16,$U$14,S$2,$U$12,$A97)</f>
        <v>0</v>
      </c>
      <c r="T97" s="141">
        <f>_xll.DBRW($G$3,$U$15,$H$17,$U$13,$U$16,$U$14,T$2,$U$12,$A97)</f>
        <v>0</v>
      </c>
      <c r="U97" s="141">
        <f>_xll.DBRW($G$3,$U$15,$H$17,$U$13,$U$16,$U$14,U$2,$U$12,$A97)</f>
        <v>0</v>
      </c>
      <c r="V97" s="141">
        <f>_xll.DBRW($G$3,$U$15,$H$17,$U$13,$U$16,$U$14,V$2,$U$12,$A97)</f>
        <v>0</v>
      </c>
      <c r="W97" s="141">
        <f>_xll.DBRW($G$3,$U$15,$H$17,$U$13,$U$16,$U$14,W$2,$U$12,$A97)</f>
        <v>0</v>
      </c>
      <c r="X97" s="141">
        <f>_xll.DBRW($G$3,$U$15,$H$17,$U$13,$U$16,$U$14,X$2,$U$12,$A97)</f>
        <v>0</v>
      </c>
      <c r="Y97" s="141">
        <f>_xll.DBRW($G$3,$U$15,$H$17,$U$13,$U$16,$U$14,Y$2,$U$12,$A97)</f>
        <v>0</v>
      </c>
      <c r="Z97" s="141">
        <f>_xll.DBRW($G$3,$U$15,$H$17,$U$13,$U$16,$U$14,Z$2,$U$12,$A97)</f>
        <v>0</v>
      </c>
      <c r="AA97" s="138"/>
      <c r="AB97" s="141" t="str">
        <f t="shared" si="23"/>
        <v/>
      </c>
      <c r="AC97" s="141" t="str">
        <f t="shared" si="23"/>
        <v/>
      </c>
      <c r="AD97" s="141" t="str">
        <f t="shared" si="23"/>
        <v/>
      </c>
      <c r="AE97" s="141" t="str">
        <f t="shared" si="23"/>
        <v/>
      </c>
      <c r="AF97" s="141" t="str">
        <f t="shared" si="23"/>
        <v/>
      </c>
      <c r="AG97" s="141" t="str">
        <f t="shared" si="23"/>
        <v/>
      </c>
      <c r="AH97" s="141" t="str">
        <f t="shared" si="23"/>
        <v/>
      </c>
      <c r="AI97" s="141" t="str">
        <f t="shared" si="23"/>
        <v/>
      </c>
      <c r="AJ97" s="44"/>
      <c r="AK97" s="49"/>
      <c r="AL97" s="51" t="s">
        <v>62</v>
      </c>
      <c r="AM97" s="44"/>
      <c r="AN97" s="49"/>
      <c r="AO97" s="49"/>
      <c r="AP97" s="49"/>
      <c r="AQ97" s="49"/>
      <c r="AR97" s="49"/>
      <c r="AS97" s="27"/>
      <c r="AT97" s="26"/>
      <c r="AU97" s="54"/>
    </row>
    <row r="98" spans="1:16379" ht="21.75" customHeight="1" thickBot="1">
      <c r="A98" s="52" t="s">
        <v>37</v>
      </c>
      <c r="B98" s="42"/>
      <c r="C98" s="42"/>
      <c r="D98" s="42">
        <v>77</v>
      </c>
      <c r="G98" s="201" t="str">
        <f>_xll.DBRA(Server&amp;$A$21,$A98,$H$18)</f>
        <v>Other financial assets</v>
      </c>
      <c r="H98" s="202"/>
      <c r="I98" s="133">
        <f>_xll.DBRW($G$3,$H$15,$H$17,$H$13,$H$16,$H$14,I$2,$H$12,$A98)</f>
        <v>0</v>
      </c>
      <c r="J98" s="134">
        <f>_xll.DBRW($G$3,$H$15,$H$17,$H$13,$H$16,$H$14,J$2,$H$12,$A98)</f>
        <v>0</v>
      </c>
      <c r="K98" s="134">
        <f>_xll.DBRW($G$3,$H$15,$H$17,$H$13,$H$16,$H$14,K$2,$H$12,$A98)</f>
        <v>0</v>
      </c>
      <c r="L98" s="134">
        <f>_xll.DBRW($G$3,$H$15,$H$17,$H$13,$H$16,$H$14,L$2,$H$12,$A98)</f>
        <v>0</v>
      </c>
      <c r="M98" s="134">
        <f>_xll.DBRW($G$3,$H$15,$H$17,$H$13,$H$16,$H$14,M$2,$H$12,$A98)</f>
        <v>0</v>
      </c>
      <c r="N98" s="134">
        <f>_xll.DBRW($G$3,$H$15,$H$17,$H$13,$H$16,$H$14,N$2,$H$12,$A98)</f>
        <v>0</v>
      </c>
      <c r="O98" s="134">
        <f>_xll.DBRW($G$3,$H$15,$H$17,$H$13,$H$16,$H$14,O$2,$H$12,$A98)</f>
        <v>0</v>
      </c>
      <c r="P98" s="135">
        <f>_xll.DBRW($G$3,$H$15,$H$17,$H$13,$H$16,$H$14,P$2,$H$12,$A98)</f>
        <v>0</v>
      </c>
      <c r="Q98" s="138"/>
      <c r="R98" s="138"/>
      <c r="S98" s="133">
        <f>_xll.DBRW($G$3,$U$15,$H$17,$U$13,$U$16,$U$14,S$2,$U$12,$A98)</f>
        <v>0</v>
      </c>
      <c r="T98" s="134">
        <f>_xll.DBRW($G$3,$U$15,$H$17,$U$13,$U$16,$U$14,T$2,$U$12,$A98)</f>
        <v>0</v>
      </c>
      <c r="U98" s="134">
        <f>_xll.DBRW($G$3,$U$15,$H$17,$U$13,$U$16,$U$14,U$2,$U$12,$A98)</f>
        <v>0</v>
      </c>
      <c r="V98" s="134">
        <f>_xll.DBRW($G$3,$U$15,$H$17,$U$13,$U$16,$U$14,V$2,$U$12,$A98)</f>
        <v>0</v>
      </c>
      <c r="W98" s="134">
        <f>_xll.DBRW($G$3,$U$15,$H$17,$U$13,$U$16,$U$14,W$2,$U$12,$A98)</f>
        <v>0</v>
      </c>
      <c r="X98" s="134">
        <f>_xll.DBRW($G$3,$U$15,$H$17,$U$13,$U$16,$U$14,X$2,$U$12,$A98)</f>
        <v>0</v>
      </c>
      <c r="Y98" s="134">
        <f>_xll.DBRW($G$3,$U$15,$H$17,$U$13,$U$16,$U$14,Y$2,$U$12,$A98)</f>
        <v>0</v>
      </c>
      <c r="Z98" s="135">
        <f>_xll.DBRW($G$3,$U$15,$H$17,$U$13,$U$16,$U$14,Z$2,$U$12,$A98)</f>
        <v>0</v>
      </c>
      <c r="AA98" s="138"/>
      <c r="AB98" s="133" t="str">
        <f t="shared" si="23"/>
        <v/>
      </c>
      <c r="AC98" s="134" t="str">
        <f t="shared" si="23"/>
        <v/>
      </c>
      <c r="AD98" s="134" t="str">
        <f t="shared" si="23"/>
        <v/>
      </c>
      <c r="AE98" s="134" t="str">
        <f t="shared" si="23"/>
        <v/>
      </c>
      <c r="AF98" s="134" t="str">
        <f t="shared" si="23"/>
        <v/>
      </c>
      <c r="AG98" s="134" t="str">
        <f t="shared" si="23"/>
        <v/>
      </c>
      <c r="AH98" s="134" t="str">
        <f t="shared" si="23"/>
        <v/>
      </c>
      <c r="AI98" s="135" t="str">
        <f t="shared" si="23"/>
        <v/>
      </c>
      <c r="AJ98" s="44"/>
      <c r="AK98" s="49"/>
      <c r="AL98" s="51" t="s">
        <v>62</v>
      </c>
      <c r="AM98" s="44"/>
      <c r="AN98" s="49"/>
      <c r="AO98" s="49"/>
      <c r="AP98" s="49"/>
      <c r="AQ98" s="49"/>
      <c r="AR98" s="49"/>
      <c r="AS98" s="27"/>
      <c r="AT98" s="26"/>
      <c r="AU98" s="54"/>
    </row>
    <row r="99" spans="1:16379" ht="21.75" customHeight="1" thickBot="1">
      <c r="A99" s="52" t="s">
        <v>38</v>
      </c>
      <c r="B99" s="67"/>
      <c r="C99" s="42"/>
      <c r="D99" s="42">
        <v>78</v>
      </c>
      <c r="G99" s="203" t="str">
        <f>_xll.DBRA(Server&amp;$A$21,$A99,$H$18)</f>
        <v>NET ECONOMICAL DEBT</v>
      </c>
      <c r="H99" s="203"/>
      <c r="I99" s="141">
        <f>_xll.DBRW($G$3,$H$15,$H$17,$H$13,$H$16,$H$14,I$2,$H$12,$A99)</f>
        <v>0</v>
      </c>
      <c r="J99" s="141">
        <f>_xll.DBRW($G$3,$H$15,$H$17,$H$13,$H$16,$H$14,J$2,$H$12,$A99)</f>
        <v>0</v>
      </c>
      <c r="K99" s="141">
        <f>_xll.DBRW($G$3,$H$15,$H$17,$H$13,$H$16,$H$14,K$2,$H$12,$A99)</f>
        <v>0</v>
      </c>
      <c r="L99" s="141">
        <f>_xll.DBRW($G$3,$H$15,$H$17,$H$13,$H$16,$H$14,L$2,$H$12,$A99)</f>
        <v>0</v>
      </c>
      <c r="M99" s="141">
        <f>_xll.DBRW($G$3,$H$15,$H$17,$H$13,$H$16,$H$14,M$2,$H$12,$A99)</f>
        <v>0</v>
      </c>
      <c r="N99" s="141">
        <f>_xll.DBRW($G$3,$H$15,$H$17,$H$13,$H$16,$H$14,N$2,$H$12,$A99)</f>
        <v>0</v>
      </c>
      <c r="O99" s="141">
        <f>_xll.DBRW($G$3,$H$15,$H$17,$H$13,$H$16,$H$14,O$2,$H$12,$A99)</f>
        <v>0</v>
      </c>
      <c r="P99" s="141">
        <f>_xll.DBRW($G$3,$H$15,$H$17,$H$13,$H$16,$H$14,P$2,$H$12,$A99)</f>
        <v>0</v>
      </c>
      <c r="Q99" s="138">
        <f>SUM(I99:P99)-SUM(I97:P98)</f>
        <v>0</v>
      </c>
      <c r="R99" s="138"/>
      <c r="S99" s="141">
        <f>_xll.DBRW($G$3,$U$15,$H$17,$U$13,$U$16,$U$14,S$2,$U$12,$A99)</f>
        <v>0</v>
      </c>
      <c r="T99" s="141">
        <f>_xll.DBRW($G$3,$U$15,$H$17,$U$13,$U$16,$U$14,T$2,$U$12,$A99)</f>
        <v>0</v>
      </c>
      <c r="U99" s="141">
        <f>_xll.DBRW($G$3,$U$15,$H$17,$U$13,$U$16,$U$14,U$2,$U$12,$A99)</f>
        <v>0</v>
      </c>
      <c r="V99" s="141">
        <f>_xll.DBRW($G$3,$U$15,$H$17,$U$13,$U$16,$U$14,V$2,$U$12,$A99)</f>
        <v>0</v>
      </c>
      <c r="W99" s="141">
        <f>_xll.DBRW($G$3,$U$15,$H$17,$U$13,$U$16,$U$14,W$2,$U$12,$A99)</f>
        <v>0</v>
      </c>
      <c r="X99" s="141">
        <f>_xll.DBRW($G$3,$U$15,$H$17,$U$13,$U$16,$U$14,X$2,$U$12,$A99)</f>
        <v>0</v>
      </c>
      <c r="Y99" s="141">
        <f>_xll.DBRW($G$3,$U$15,$H$17,$U$13,$U$16,$U$14,Y$2,$U$12,$A99)</f>
        <v>0</v>
      </c>
      <c r="Z99" s="141">
        <f>_xll.DBRW($G$3,$U$15,$H$17,$U$13,$U$16,$U$14,Z$2,$U$12,$A99)</f>
        <v>0</v>
      </c>
      <c r="AA99" s="138">
        <f>SUM(S99:Z99)-SUM(S97:Z98)</f>
        <v>0</v>
      </c>
      <c r="AB99" s="141" t="str">
        <f t="shared" ref="AB99:AI104" si="24">IF(OR(AND(IFERROR(HLOOKUP(AB$21,$S$22:$Z$189,$D99,FALSE)=0,"VRAI"),IFERROR(HLOOKUP(AB$21,$I$22:$P$189,$D99,FALSE)=0,"VRAI")),AND(IFERROR(HLOOKUP(AB$21,$S$22:$Z$189,$D99,FALSE)="","VRAI"),IFERROR(HLOOKUP(AB$21,$I$22:$P$188,$D99,FALSE)="","VRAI"))),"",IFERROR(HLOOKUP(AB$21,$I$22:$P$189,$D99,FALSE)-HLOOKUP(AB$21,$S$22:$Z$189,$D99,FALSE),""))</f>
        <v/>
      </c>
      <c r="AC99" s="141" t="str">
        <f t="shared" si="24"/>
        <v/>
      </c>
      <c r="AD99" s="141" t="str">
        <f t="shared" si="24"/>
        <v/>
      </c>
      <c r="AE99" s="141" t="str">
        <f t="shared" si="24"/>
        <v/>
      </c>
      <c r="AF99" s="141" t="str">
        <f t="shared" si="24"/>
        <v/>
      </c>
      <c r="AG99" s="141" t="str">
        <f t="shared" si="24"/>
        <v/>
      </c>
      <c r="AH99" s="141" t="str">
        <f t="shared" si="24"/>
        <v/>
      </c>
      <c r="AI99" s="141" t="str">
        <f t="shared" si="24"/>
        <v/>
      </c>
      <c r="AJ99" s="44"/>
      <c r="AK99" s="49"/>
      <c r="AL99" s="51" t="s">
        <v>62</v>
      </c>
      <c r="AM99" s="44"/>
      <c r="AN99" s="49"/>
      <c r="AO99" s="49"/>
      <c r="AP99" s="49"/>
      <c r="AQ99" s="49"/>
      <c r="AR99" s="49"/>
      <c r="AS99" s="27"/>
      <c r="AT99" s="26"/>
      <c r="AU99" s="54"/>
    </row>
    <row r="100" spans="1:16379" ht="21.75" customHeight="1">
      <c r="A100" s="52" t="s">
        <v>39</v>
      </c>
      <c r="B100" s="42"/>
      <c r="C100" s="42"/>
      <c r="D100" s="42">
        <v>79</v>
      </c>
      <c r="G100" s="201" t="str">
        <f>_xll.DBRA(Server&amp;$A$21,$A100,$H$18)</f>
        <v>Net assets of discontinued activities</v>
      </c>
      <c r="H100" s="202"/>
      <c r="I100" s="133">
        <f>_xll.DBRW($G$3,$H$15,$H$17,$H$13,$H$16,$H$14,I$2,$H$12,$A100)</f>
        <v>0</v>
      </c>
      <c r="J100" s="134">
        <f>_xll.DBRW($G$3,$H$15,$H$17,$H$13,$H$16,$H$14,J$2,$H$12,$A100)</f>
        <v>0</v>
      </c>
      <c r="K100" s="134">
        <f>_xll.DBRW($G$3,$H$15,$H$17,$H$13,$H$16,$H$14,K$2,$H$12,$A100)</f>
        <v>0</v>
      </c>
      <c r="L100" s="134">
        <f>_xll.DBRW($G$3,$H$15,$H$17,$H$13,$H$16,$H$14,L$2,$H$12,$A100)</f>
        <v>0</v>
      </c>
      <c r="M100" s="134">
        <f>_xll.DBRW($G$3,$H$15,$H$17,$H$13,$H$16,$H$14,M$2,$H$12,$A100)</f>
        <v>0</v>
      </c>
      <c r="N100" s="134">
        <f>_xll.DBRW($G$3,$H$15,$H$17,$H$13,$H$16,$H$14,N$2,$H$12,$A100)</f>
        <v>0</v>
      </c>
      <c r="O100" s="134">
        <f>_xll.DBRW($G$3,$H$15,$H$17,$H$13,$H$16,$H$14,O$2,$H$12,$A100)</f>
        <v>0</v>
      </c>
      <c r="P100" s="135">
        <f>_xll.DBRW($G$3,$H$15,$H$17,$H$13,$H$16,$H$14,P$2,$H$12,$A100)</f>
        <v>0</v>
      </c>
      <c r="Q100" s="138"/>
      <c r="R100" s="138"/>
      <c r="S100" s="133">
        <f>_xll.DBRW($G$3,$U$15,$H$17,$U$13,$U$16,$U$14,S$2,$U$12,$A100)</f>
        <v>0</v>
      </c>
      <c r="T100" s="134">
        <f>_xll.DBRW($G$3,$U$15,$H$17,$U$13,$U$16,$U$14,T$2,$U$12,$A100)</f>
        <v>0</v>
      </c>
      <c r="U100" s="134">
        <f>_xll.DBRW($G$3,$U$15,$H$17,$U$13,$U$16,$U$14,U$2,$U$12,$A100)</f>
        <v>0</v>
      </c>
      <c r="V100" s="134">
        <f>_xll.DBRW($G$3,$U$15,$H$17,$U$13,$U$16,$U$14,V$2,$U$12,$A100)</f>
        <v>0</v>
      </c>
      <c r="W100" s="134">
        <f>_xll.DBRW($G$3,$U$15,$H$17,$U$13,$U$16,$U$14,W$2,$U$12,$A100)</f>
        <v>0</v>
      </c>
      <c r="X100" s="134">
        <f>_xll.DBRW($G$3,$U$15,$H$17,$U$13,$U$16,$U$14,X$2,$U$12,$A100)</f>
        <v>0</v>
      </c>
      <c r="Y100" s="134">
        <f>_xll.DBRW($G$3,$U$15,$H$17,$U$13,$U$16,$U$14,Y$2,$U$12,$A100)</f>
        <v>0</v>
      </c>
      <c r="Z100" s="135">
        <f>_xll.DBRW($G$3,$U$15,$H$17,$U$13,$U$16,$U$14,Z$2,$U$12,$A100)</f>
        <v>0</v>
      </c>
      <c r="AA100" s="138"/>
      <c r="AB100" s="133" t="str">
        <f t="shared" si="24"/>
        <v/>
      </c>
      <c r="AC100" s="134" t="str">
        <f t="shared" si="24"/>
        <v/>
      </c>
      <c r="AD100" s="134" t="str">
        <f t="shared" si="24"/>
        <v/>
      </c>
      <c r="AE100" s="134" t="str">
        <f t="shared" si="24"/>
        <v/>
      </c>
      <c r="AF100" s="134" t="str">
        <f t="shared" si="24"/>
        <v/>
      </c>
      <c r="AG100" s="134" t="str">
        <f t="shared" si="24"/>
        <v/>
      </c>
      <c r="AH100" s="134" t="str">
        <f t="shared" si="24"/>
        <v/>
      </c>
      <c r="AI100" s="135" t="str">
        <f t="shared" si="24"/>
        <v/>
      </c>
      <c r="AJ100" s="44"/>
      <c r="AK100" s="49"/>
      <c r="AL100" s="51" t="s">
        <v>62</v>
      </c>
      <c r="AM100" s="44"/>
      <c r="AN100" s="49"/>
      <c r="AO100" s="49"/>
      <c r="AP100" s="49"/>
      <c r="AQ100" s="49"/>
      <c r="AR100" s="49"/>
      <c r="AS100" s="27"/>
      <c r="AT100" s="26"/>
      <c r="AU100" s="54"/>
    </row>
    <row r="101" spans="1:16379" ht="21.75" customHeight="1">
      <c r="A101" s="52" t="s">
        <v>40</v>
      </c>
      <c r="B101" s="42"/>
      <c r="C101" s="42"/>
      <c r="D101" s="42">
        <v>80</v>
      </c>
      <c r="G101" s="201" t="str">
        <f>_xll.DBRA(Server&amp;$A$21,$A101,$H$18)</f>
        <v>Investments in subsidiaries</v>
      </c>
      <c r="H101" s="202"/>
      <c r="I101" s="133">
        <f>_xll.DBRW($G$3,$H$15,$H$17,$H$13,$H$16,$H$14,I$2,$H$12,$A101)</f>
        <v>0</v>
      </c>
      <c r="J101" s="134">
        <f>_xll.DBRW($G$3,$H$15,$H$17,$H$13,$H$16,$H$14,J$2,$H$12,$A101)</f>
        <v>0</v>
      </c>
      <c r="K101" s="134">
        <f>_xll.DBRW($G$3,$H$15,$H$17,$H$13,$H$16,$H$14,K$2,$H$12,$A101)</f>
        <v>0</v>
      </c>
      <c r="L101" s="134">
        <f>_xll.DBRW($G$3,$H$15,$H$17,$H$13,$H$16,$H$14,L$2,$H$12,$A101)</f>
        <v>0</v>
      </c>
      <c r="M101" s="134">
        <f>_xll.DBRW($G$3,$H$15,$H$17,$H$13,$H$16,$H$14,M$2,$H$12,$A101)</f>
        <v>0</v>
      </c>
      <c r="N101" s="134">
        <f>_xll.DBRW($G$3,$H$15,$H$17,$H$13,$H$16,$H$14,N$2,$H$12,$A101)</f>
        <v>0</v>
      </c>
      <c r="O101" s="134">
        <f>_xll.DBRW($G$3,$H$15,$H$17,$H$13,$H$16,$H$14,O$2,$H$12,$A101)</f>
        <v>0</v>
      </c>
      <c r="P101" s="135">
        <f>_xll.DBRW($G$3,$H$15,$H$17,$H$13,$H$16,$H$14,P$2,$H$12,$A101)</f>
        <v>0</v>
      </c>
      <c r="Q101" s="138"/>
      <c r="R101" s="138"/>
      <c r="S101" s="133">
        <f>_xll.DBRW($G$3,$U$15,$H$17,$U$13,$U$16,$U$14,S$2,$U$12,$A101)</f>
        <v>0</v>
      </c>
      <c r="T101" s="134">
        <f>_xll.DBRW($G$3,$U$15,$H$17,$U$13,$U$16,$U$14,T$2,$U$12,$A101)</f>
        <v>0</v>
      </c>
      <c r="U101" s="134">
        <f>_xll.DBRW($G$3,$U$15,$H$17,$U$13,$U$16,$U$14,U$2,$U$12,$A101)</f>
        <v>0</v>
      </c>
      <c r="V101" s="134">
        <f>_xll.DBRW($G$3,$U$15,$H$17,$U$13,$U$16,$U$14,V$2,$U$12,$A101)</f>
        <v>0</v>
      </c>
      <c r="W101" s="134">
        <f>_xll.DBRW($G$3,$U$15,$H$17,$U$13,$U$16,$U$14,W$2,$U$12,$A101)</f>
        <v>0</v>
      </c>
      <c r="X101" s="134">
        <f>_xll.DBRW($G$3,$U$15,$H$17,$U$13,$U$16,$U$14,X$2,$U$12,$A101)</f>
        <v>0</v>
      </c>
      <c r="Y101" s="134">
        <f>_xll.DBRW($G$3,$U$15,$H$17,$U$13,$U$16,$U$14,Y$2,$U$12,$A101)</f>
        <v>0</v>
      </c>
      <c r="Z101" s="135">
        <f>_xll.DBRW($G$3,$U$15,$H$17,$U$13,$U$16,$U$14,Z$2,$U$12,$A101)</f>
        <v>0</v>
      </c>
      <c r="AA101" s="138"/>
      <c r="AB101" s="133" t="str">
        <f t="shared" si="24"/>
        <v/>
      </c>
      <c r="AC101" s="134" t="str">
        <f t="shared" si="24"/>
        <v/>
      </c>
      <c r="AD101" s="134" t="str">
        <f t="shared" si="24"/>
        <v/>
      </c>
      <c r="AE101" s="134" t="str">
        <f t="shared" si="24"/>
        <v/>
      </c>
      <c r="AF101" s="134" t="str">
        <f t="shared" si="24"/>
        <v/>
      </c>
      <c r="AG101" s="134" t="str">
        <f t="shared" si="24"/>
        <v/>
      </c>
      <c r="AH101" s="134" t="str">
        <f t="shared" si="24"/>
        <v/>
      </c>
      <c r="AI101" s="135" t="str">
        <f t="shared" si="24"/>
        <v/>
      </c>
      <c r="AJ101" s="44"/>
      <c r="AK101" s="49"/>
      <c r="AL101" s="51" t="s">
        <v>62</v>
      </c>
      <c r="AM101" s="44"/>
      <c r="AN101" s="49"/>
      <c r="AO101" s="49"/>
      <c r="AP101" s="49"/>
      <c r="AQ101" s="49"/>
      <c r="AR101" s="49"/>
      <c r="AS101" s="27"/>
      <c r="AT101" s="26"/>
      <c r="AU101" s="54"/>
    </row>
    <row r="102" spans="1:16379" ht="21.75" hidden="1" customHeight="1" outlineLevel="1">
      <c r="A102" s="52" t="s">
        <v>41</v>
      </c>
      <c r="B102" s="42"/>
      <c r="C102" s="42"/>
      <c r="D102" s="42">
        <v>81</v>
      </c>
      <c r="G102" s="201" t="str">
        <f>_xll.DBRA(Server&amp;$A$21,$A102,$H$18)</f>
        <v>Link a/c Investments</v>
      </c>
      <c r="H102" s="202"/>
      <c r="I102" s="133">
        <f>_xll.DBRW($G$3,$H$15,$H$17,$H$13,$H$16,$H$14,I$2,$H$12,$A102)</f>
        <v>0</v>
      </c>
      <c r="J102" s="134">
        <f>_xll.DBRW($G$3,$H$15,$H$17,$H$13,$H$16,$H$14,J$2,$H$12,$A102)</f>
        <v>0</v>
      </c>
      <c r="K102" s="134">
        <f>_xll.DBRW($G$3,$H$15,$H$17,$H$13,$H$16,$H$14,K$2,$H$12,$A102)</f>
        <v>0</v>
      </c>
      <c r="L102" s="134">
        <f>_xll.DBRW($G$3,$H$15,$H$17,$H$13,$H$16,$H$14,L$2,$H$12,$A102)</f>
        <v>0</v>
      </c>
      <c r="M102" s="134">
        <f>_xll.DBRW($G$3,$H$15,$H$17,$H$13,$H$16,$H$14,M$2,$H$12,$A102)</f>
        <v>0</v>
      </c>
      <c r="N102" s="134">
        <f>_xll.DBRW($G$3,$H$15,$H$17,$H$13,$H$16,$H$14,N$2,$H$12,$A102)</f>
        <v>0</v>
      </c>
      <c r="O102" s="134">
        <f>_xll.DBRW($G$3,$H$15,$H$17,$H$13,$H$16,$H$14,O$2,$H$12,$A102)</f>
        <v>0</v>
      </c>
      <c r="P102" s="135">
        <f>_xll.DBRW($G$3,$H$15,$H$17,$H$13,$H$16,$H$14,P$2,$H$12,$A102)</f>
        <v>0</v>
      </c>
      <c r="Q102" s="138"/>
      <c r="R102" s="138"/>
      <c r="S102" s="133">
        <f>_xll.DBRW($G$3,$U$15,$H$17,$U$13,$U$16,$U$14,S$2,$U$12,$A102)</f>
        <v>0</v>
      </c>
      <c r="T102" s="134">
        <f>_xll.DBRW($G$3,$U$15,$H$17,$U$13,$U$16,$U$14,T$2,$U$12,$A102)</f>
        <v>0</v>
      </c>
      <c r="U102" s="134">
        <f>_xll.DBRW($G$3,$U$15,$H$17,$U$13,$U$16,$U$14,U$2,$U$12,$A102)</f>
        <v>0</v>
      </c>
      <c r="V102" s="134">
        <f>_xll.DBRW($G$3,$U$15,$H$17,$U$13,$U$16,$U$14,V$2,$U$12,$A102)</f>
        <v>0</v>
      </c>
      <c r="W102" s="134">
        <f>_xll.DBRW($G$3,$U$15,$H$17,$U$13,$U$16,$U$14,W$2,$U$12,$A102)</f>
        <v>0</v>
      </c>
      <c r="X102" s="134">
        <f>_xll.DBRW($G$3,$U$15,$H$17,$U$13,$U$16,$U$14,X$2,$U$12,$A102)</f>
        <v>0</v>
      </c>
      <c r="Y102" s="134">
        <f>_xll.DBRW($G$3,$U$15,$H$17,$U$13,$U$16,$U$14,Y$2,$U$12,$A102)</f>
        <v>0</v>
      </c>
      <c r="Z102" s="135">
        <f>_xll.DBRW($G$3,$U$15,$H$17,$U$13,$U$16,$U$14,Z$2,$U$12,$A102)</f>
        <v>0</v>
      </c>
      <c r="AA102" s="138"/>
      <c r="AB102" s="133" t="str">
        <f t="shared" si="24"/>
        <v/>
      </c>
      <c r="AC102" s="134" t="str">
        <f t="shared" si="24"/>
        <v/>
      </c>
      <c r="AD102" s="134" t="str">
        <f t="shared" si="24"/>
        <v/>
      </c>
      <c r="AE102" s="134" t="str">
        <f t="shared" si="24"/>
        <v/>
      </c>
      <c r="AF102" s="134" t="str">
        <f t="shared" si="24"/>
        <v/>
      </c>
      <c r="AG102" s="134" t="str">
        <f t="shared" si="24"/>
        <v/>
      </c>
      <c r="AH102" s="134" t="str">
        <f t="shared" si="24"/>
        <v/>
      </c>
      <c r="AI102" s="135" t="str">
        <f t="shared" si="24"/>
        <v/>
      </c>
      <c r="AJ102" s="44"/>
      <c r="AK102" s="49"/>
      <c r="AL102" s="49"/>
      <c r="AM102" s="49"/>
      <c r="AN102" s="49"/>
      <c r="AO102" s="49"/>
      <c r="AP102" s="49"/>
      <c r="AQ102" s="49"/>
      <c r="AR102" s="49"/>
      <c r="AS102" s="27"/>
      <c r="AT102" s="26"/>
      <c r="AU102" s="54"/>
    </row>
    <row r="103" spans="1:16379" ht="21.75" customHeight="1" collapsed="1">
      <c r="A103" s="52" t="s">
        <v>42</v>
      </c>
      <c r="B103" s="42"/>
      <c r="C103" s="42"/>
      <c r="D103" s="42">
        <v>82</v>
      </c>
      <c r="G103" s="201" t="str">
        <f>_xll.DBRA(Server&amp;$A$21,$A103,$H$18)</f>
        <v>Group shareholder's equity</v>
      </c>
      <c r="H103" s="202"/>
      <c r="I103" s="133">
        <f>_xll.DBRW($G$3,$H$15,$H$17,$H$13,$H$16,$H$14,I$2,$H$12,$A103)</f>
        <v>0</v>
      </c>
      <c r="J103" s="134">
        <f>_xll.DBRW($G$3,$H$15,$H$17,$H$13,$H$16,$H$14,J$2,$H$12,$A103)</f>
        <v>0</v>
      </c>
      <c r="K103" s="134">
        <f>_xll.DBRW($G$3,$H$15,$H$17,$H$13,$H$16,$H$14,K$2,$H$12,$A103)</f>
        <v>0</v>
      </c>
      <c r="L103" s="134">
        <f>_xll.DBRW($G$3,$H$15,$H$17,$H$13,$H$16,$H$14,L$2,$H$12,$A103)</f>
        <v>0</v>
      </c>
      <c r="M103" s="134">
        <f>_xll.DBRW($G$3,$H$15,$H$17,$H$13,$H$16,$H$14,M$2,$H$12,$A103)</f>
        <v>0</v>
      </c>
      <c r="N103" s="134">
        <f>_xll.DBRW($G$3,$H$15,$H$17,$H$13,$H$16,$H$14,N$2,$H$12,$A103)</f>
        <v>0</v>
      </c>
      <c r="O103" s="134">
        <f>_xll.DBRW($G$3,$H$15,$H$17,$H$13,$H$16,$H$14,O$2,$H$12,$A103)</f>
        <v>0</v>
      </c>
      <c r="P103" s="135">
        <f>_xll.DBRW($G$3,$H$15,$H$17,$H$13,$H$16,$H$14,P$2,$H$12,$A103)</f>
        <v>0</v>
      </c>
      <c r="Q103" s="138"/>
      <c r="R103" s="138"/>
      <c r="S103" s="133">
        <f>_xll.DBRW($G$3,$U$15,$H$17,$U$13,$U$16,$U$14,S$2,$U$12,$A103)</f>
        <v>0</v>
      </c>
      <c r="T103" s="134">
        <f>_xll.DBRW($G$3,$U$15,$H$17,$U$13,$U$16,$U$14,T$2,$U$12,$A103)</f>
        <v>0</v>
      </c>
      <c r="U103" s="134">
        <f>_xll.DBRW($G$3,$U$15,$H$17,$U$13,$U$16,$U$14,U$2,$U$12,$A103)</f>
        <v>0</v>
      </c>
      <c r="V103" s="134">
        <f>_xll.DBRW($G$3,$U$15,$H$17,$U$13,$U$16,$U$14,V$2,$U$12,$A103)</f>
        <v>0</v>
      </c>
      <c r="W103" s="134">
        <f>_xll.DBRW($G$3,$U$15,$H$17,$U$13,$U$16,$U$14,W$2,$U$12,$A103)</f>
        <v>0</v>
      </c>
      <c r="X103" s="134">
        <f>_xll.DBRW($G$3,$U$15,$H$17,$U$13,$U$16,$U$14,X$2,$U$12,$A103)</f>
        <v>0</v>
      </c>
      <c r="Y103" s="134">
        <f>_xll.DBRW($G$3,$U$15,$H$17,$U$13,$U$16,$U$14,Y$2,$U$12,$A103)</f>
        <v>0</v>
      </c>
      <c r="Z103" s="135">
        <f>_xll.DBRW($G$3,$U$15,$H$17,$U$13,$U$16,$U$14,Z$2,$U$12,$A103)</f>
        <v>0</v>
      </c>
      <c r="AA103" s="138"/>
      <c r="AB103" s="133" t="str">
        <f t="shared" si="24"/>
        <v/>
      </c>
      <c r="AC103" s="134" t="str">
        <f t="shared" si="24"/>
        <v/>
      </c>
      <c r="AD103" s="134" t="str">
        <f t="shared" si="24"/>
        <v/>
      </c>
      <c r="AE103" s="134" t="str">
        <f t="shared" si="24"/>
        <v/>
      </c>
      <c r="AF103" s="134" t="str">
        <f t="shared" si="24"/>
        <v/>
      </c>
      <c r="AG103" s="134" t="str">
        <f t="shared" si="24"/>
        <v/>
      </c>
      <c r="AH103" s="134" t="str">
        <f t="shared" si="24"/>
        <v/>
      </c>
      <c r="AI103" s="135" t="str">
        <f t="shared" si="24"/>
        <v/>
      </c>
      <c r="AJ103" s="44"/>
      <c r="AK103" s="49"/>
      <c r="AL103" s="49"/>
      <c r="AM103" s="49"/>
      <c r="AN103" s="49"/>
      <c r="AO103" s="49"/>
      <c r="AP103" s="49"/>
      <c r="AQ103" s="49"/>
      <c r="AR103" s="49"/>
      <c r="AS103" s="27"/>
      <c r="AT103" s="26"/>
      <c r="AU103" s="54"/>
    </row>
    <row r="104" spans="1:16379" ht="21.75" customHeight="1" thickBot="1">
      <c r="A104" s="52" t="s">
        <v>43</v>
      </c>
      <c r="B104" s="42"/>
      <c r="C104" s="42"/>
      <c r="D104" s="42">
        <v>83</v>
      </c>
      <c r="G104" s="201" t="str">
        <f>_xll.DBRA(Server&amp;$A$21,$A104,$H$18)</f>
        <v>Shareholder's equity attributable to non controlling Interest</v>
      </c>
      <c r="H104" s="202"/>
      <c r="I104" s="133">
        <f>_xll.DBRW($G$3,$H$15,$H$17,$H$13,$H$16,$H$14,I$2,$H$12,$A104)</f>
        <v>0</v>
      </c>
      <c r="J104" s="134">
        <f>_xll.DBRW($G$3,$H$15,$H$17,$H$13,$H$16,$H$14,J$2,$H$12,$A104)</f>
        <v>0</v>
      </c>
      <c r="K104" s="134">
        <f>_xll.DBRW($G$3,$H$15,$H$17,$H$13,$H$16,$H$14,K$2,$H$12,$A104)</f>
        <v>0</v>
      </c>
      <c r="L104" s="134">
        <f>_xll.DBRW($G$3,$H$15,$H$17,$H$13,$H$16,$H$14,L$2,$H$12,$A104)</f>
        <v>0</v>
      </c>
      <c r="M104" s="134">
        <f>_xll.DBRW($G$3,$H$15,$H$17,$H$13,$H$16,$H$14,M$2,$H$12,$A104)</f>
        <v>0</v>
      </c>
      <c r="N104" s="134">
        <f>_xll.DBRW($G$3,$H$15,$H$17,$H$13,$H$16,$H$14,N$2,$H$12,$A104)</f>
        <v>0</v>
      </c>
      <c r="O104" s="134">
        <f>_xll.DBRW($G$3,$H$15,$H$17,$H$13,$H$16,$H$14,O$2,$H$12,$A104)</f>
        <v>0</v>
      </c>
      <c r="P104" s="135">
        <f>_xll.DBRW($G$3,$H$15,$H$17,$H$13,$H$16,$H$14,P$2,$H$12,$A104)</f>
        <v>0</v>
      </c>
      <c r="Q104" s="138"/>
      <c r="R104" s="138"/>
      <c r="S104" s="133">
        <f>_xll.DBRW($G$3,$U$15,$H$17,$U$13,$U$16,$U$14,S$2,$U$12,$A104)</f>
        <v>0</v>
      </c>
      <c r="T104" s="134">
        <f>_xll.DBRW($G$3,$U$15,$H$17,$U$13,$U$16,$U$14,T$2,$U$12,$A104)</f>
        <v>0</v>
      </c>
      <c r="U104" s="134">
        <f>_xll.DBRW($G$3,$U$15,$H$17,$U$13,$U$16,$U$14,U$2,$U$12,$A104)</f>
        <v>0</v>
      </c>
      <c r="V104" s="134">
        <f>_xll.DBRW($G$3,$U$15,$H$17,$U$13,$U$16,$U$14,V$2,$U$12,$A104)</f>
        <v>0</v>
      </c>
      <c r="W104" s="134">
        <f>_xll.DBRW($G$3,$U$15,$H$17,$U$13,$U$16,$U$14,W$2,$U$12,$A104)</f>
        <v>0</v>
      </c>
      <c r="X104" s="134">
        <f>_xll.DBRW($G$3,$U$15,$H$17,$U$13,$U$16,$U$14,X$2,$U$12,$A104)</f>
        <v>0</v>
      </c>
      <c r="Y104" s="134">
        <f>_xll.DBRW($G$3,$U$15,$H$17,$U$13,$U$16,$U$14,Y$2,$U$12,$A104)</f>
        <v>0</v>
      </c>
      <c r="Z104" s="135">
        <f>_xll.DBRW($G$3,$U$15,$H$17,$U$13,$U$16,$U$14,Z$2,$U$12,$A104)</f>
        <v>0</v>
      </c>
      <c r="AA104" s="138"/>
      <c r="AB104" s="133" t="str">
        <f t="shared" si="24"/>
        <v/>
      </c>
      <c r="AC104" s="134" t="str">
        <f t="shared" si="24"/>
        <v/>
      </c>
      <c r="AD104" s="134" t="str">
        <f t="shared" si="24"/>
        <v/>
      </c>
      <c r="AE104" s="134" t="str">
        <f t="shared" si="24"/>
        <v/>
      </c>
      <c r="AF104" s="134" t="str">
        <f t="shared" si="24"/>
        <v/>
      </c>
      <c r="AG104" s="134" t="str">
        <f t="shared" si="24"/>
        <v/>
      </c>
      <c r="AH104" s="134" t="str">
        <f t="shared" si="24"/>
        <v/>
      </c>
      <c r="AI104" s="135" t="str">
        <f t="shared" si="24"/>
        <v/>
      </c>
      <c r="AJ104" s="44"/>
      <c r="AK104" s="49"/>
      <c r="AL104" s="49"/>
      <c r="AM104" s="49"/>
      <c r="AN104" s="49"/>
      <c r="AO104" s="49"/>
      <c r="AP104" s="49"/>
      <c r="AQ104" s="49"/>
      <c r="AR104" s="49"/>
      <c r="AS104" s="27"/>
      <c r="AT104" s="26"/>
      <c r="AU104" s="54"/>
    </row>
    <row r="105" spans="1:16379" s="26" customFormat="1" ht="21.75" customHeight="1" thickBot="1">
      <c r="A105" s="52" t="s">
        <v>52</v>
      </c>
      <c r="B105" s="67"/>
      <c r="C105" s="42"/>
      <c r="D105" s="42">
        <v>84</v>
      </c>
      <c r="E105" s="22"/>
      <c r="F105" s="47"/>
      <c r="G105" s="203" t="str">
        <f>_xll.DBRA(Server&amp;$A$21,$A105,$H$18)</f>
        <v>TOTAL EQUITY AND INVESTMENTS</v>
      </c>
      <c r="H105" s="203"/>
      <c r="I105" s="141">
        <f>_xll.DBRW($G$3,$H$15,$H$17,$H$13,$H$16,$H$14,I$2,$H$12,$A105)</f>
        <v>0</v>
      </c>
      <c r="J105" s="141">
        <f>_xll.DBRW($G$3,$H$15,$H$17,$H$13,$H$16,$H$14,J$2,$H$12,$A105)</f>
        <v>0</v>
      </c>
      <c r="K105" s="141">
        <f>_xll.DBRW($G$3,$H$15,$H$17,$H$13,$H$16,$H$14,K$2,$H$12,$A105)</f>
        <v>0</v>
      </c>
      <c r="L105" s="141">
        <f>_xll.DBRW($G$3,$H$15,$H$17,$H$13,$H$16,$H$14,L$2,$H$12,$A105)</f>
        <v>0</v>
      </c>
      <c r="M105" s="141">
        <f>_xll.DBRW($G$3,$H$15,$H$17,$H$13,$H$16,$H$14,M$2,$H$12,$A105)</f>
        <v>0</v>
      </c>
      <c r="N105" s="141">
        <f>_xll.DBRW($G$3,$H$15,$H$17,$H$13,$H$16,$H$14,N$2,$H$12,$A105)</f>
        <v>0</v>
      </c>
      <c r="O105" s="141">
        <f>_xll.DBRW($G$3,$H$15,$H$17,$H$13,$H$16,$H$14,O$2,$H$12,$A105)</f>
        <v>0</v>
      </c>
      <c r="P105" s="141">
        <f>_xll.DBRW($G$3,$H$15,$H$17,$H$13,$H$16,$H$14,P$2,$H$12,$A105)</f>
        <v>0</v>
      </c>
      <c r="Q105" s="138">
        <f>SUM(I105:P105)-SUM(I100:P104)</f>
        <v>0</v>
      </c>
      <c r="R105" s="138"/>
      <c r="S105" s="141">
        <f>_xll.DBRW($G$3,$U$15,$H$17,$U$13,$U$16,$U$14,S$2,$U$12,$A105)</f>
        <v>0</v>
      </c>
      <c r="T105" s="141">
        <f>_xll.DBRW($G$3,$U$15,$H$17,$U$13,$U$16,$U$14,T$2,$U$12,$A105)</f>
        <v>0</v>
      </c>
      <c r="U105" s="141">
        <f>_xll.DBRW($G$3,$U$15,$H$17,$U$13,$U$16,$U$14,U$2,$U$12,$A105)</f>
        <v>0</v>
      </c>
      <c r="V105" s="141">
        <f>_xll.DBRW($G$3,$U$15,$H$17,$U$13,$U$16,$U$14,V$2,$U$12,$A105)</f>
        <v>0</v>
      </c>
      <c r="W105" s="141">
        <f>_xll.DBRW($G$3,$U$15,$H$17,$U$13,$U$16,$U$14,W$2,$U$12,$A105)</f>
        <v>0</v>
      </c>
      <c r="X105" s="141">
        <f>_xll.DBRW($G$3,$U$15,$H$17,$U$13,$U$16,$U$14,X$2,$U$12,$A105)</f>
        <v>0</v>
      </c>
      <c r="Y105" s="141">
        <f>_xll.DBRW($G$3,$U$15,$H$17,$U$13,$U$16,$U$14,Y$2,$U$12,$A105)</f>
        <v>0</v>
      </c>
      <c r="Z105" s="141">
        <f>_xll.DBRW($G$3,$U$15,$H$17,$U$13,$U$16,$U$14,Z$2,$U$12,$A105)</f>
        <v>0</v>
      </c>
      <c r="AA105" s="138">
        <f>SUM(S105:Z105)-SUM(S100:Z104)</f>
        <v>0</v>
      </c>
      <c r="AB105" s="141" t="str">
        <f t="shared" ref="AB105:AI105" si="25">IF(OR(AND(IFERROR(HLOOKUP(AB$21,$S$22:$Z$189,$D105,FALSE)=0,"VRAI"),IFERROR(HLOOKUP(AB$21,$I$22:$P$189,$D105,FALSE)=0,"VRAI")),AND(IFERROR(HLOOKUP(AB$21,$S$22:$Z$189,$D105,FALSE)="","VRAI"),IFERROR(HLOOKUP(AB$21,$I$22:$P$188,$D105,FALSE)="","VRAI"))),"",IFERROR(HLOOKUP(AB$21,$I$22:$P$189,$D105,FALSE)-HLOOKUP(AB$21,$S$22:$Z$189,$D105,FALSE),""))</f>
        <v/>
      </c>
      <c r="AC105" s="141" t="str">
        <f t="shared" si="25"/>
        <v/>
      </c>
      <c r="AD105" s="141" t="str">
        <f t="shared" si="25"/>
        <v/>
      </c>
      <c r="AE105" s="141" t="str">
        <f t="shared" si="25"/>
        <v/>
      </c>
      <c r="AF105" s="141" t="str">
        <f t="shared" si="25"/>
        <v/>
      </c>
      <c r="AG105" s="141" t="str">
        <f t="shared" si="25"/>
        <v/>
      </c>
      <c r="AH105" s="141" t="str">
        <f t="shared" si="25"/>
        <v/>
      </c>
      <c r="AI105" s="141" t="str">
        <f t="shared" si="25"/>
        <v/>
      </c>
      <c r="AJ105" s="44"/>
      <c r="AK105" s="49"/>
      <c r="AL105" s="49"/>
      <c r="AM105" s="49"/>
      <c r="AN105" s="49"/>
      <c r="AO105" s="49"/>
      <c r="AP105" s="49"/>
      <c r="AQ105" s="49"/>
      <c r="AR105" s="49"/>
      <c r="AS105" s="27"/>
      <c r="AU105" s="54"/>
      <c r="AV105" s="44"/>
      <c r="AW105" s="46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4"/>
      <c r="DJ105" s="44"/>
      <c r="DK105" s="44"/>
      <c r="DL105" s="44"/>
      <c r="DM105" s="44"/>
      <c r="DN105" s="44"/>
      <c r="DO105" s="44"/>
      <c r="DP105" s="44"/>
      <c r="DQ105" s="44"/>
      <c r="DR105" s="44"/>
      <c r="DS105" s="44"/>
      <c r="DT105" s="44"/>
      <c r="DU105" s="44"/>
      <c r="DV105" s="44"/>
      <c r="DW105" s="44"/>
      <c r="DX105" s="44"/>
      <c r="DY105" s="44"/>
      <c r="DZ105" s="44"/>
      <c r="EA105" s="44"/>
      <c r="EB105" s="44"/>
      <c r="EC105" s="44"/>
      <c r="ED105" s="44"/>
      <c r="EE105" s="44"/>
      <c r="EF105" s="44"/>
      <c r="EG105" s="44"/>
      <c r="EH105" s="44"/>
      <c r="EI105" s="44"/>
      <c r="EJ105" s="44"/>
      <c r="EK105" s="44"/>
      <c r="EL105" s="44"/>
      <c r="EM105" s="44"/>
      <c r="EN105" s="44"/>
      <c r="EO105" s="44"/>
      <c r="EP105" s="44"/>
      <c r="EQ105" s="44"/>
      <c r="ER105" s="44"/>
      <c r="ES105" s="44"/>
      <c r="ET105" s="44"/>
      <c r="EU105" s="44"/>
      <c r="EV105" s="44"/>
      <c r="EW105" s="44"/>
      <c r="EX105" s="44"/>
      <c r="EY105" s="44"/>
      <c r="EZ105" s="44"/>
      <c r="FA105" s="44"/>
      <c r="FB105" s="44"/>
      <c r="FC105" s="44"/>
      <c r="FD105" s="44"/>
      <c r="FE105" s="44"/>
      <c r="FF105" s="44"/>
      <c r="FG105" s="44"/>
      <c r="FH105" s="44"/>
      <c r="FI105" s="44"/>
      <c r="FJ105" s="44"/>
      <c r="FK105" s="44"/>
      <c r="FL105" s="44"/>
      <c r="FM105" s="44"/>
      <c r="FN105" s="44"/>
      <c r="FO105" s="44"/>
      <c r="FP105" s="44"/>
      <c r="FQ105" s="44"/>
      <c r="FR105" s="44"/>
      <c r="FS105" s="44"/>
      <c r="FT105" s="44"/>
      <c r="FU105" s="44"/>
      <c r="FV105" s="44"/>
      <c r="FW105" s="44"/>
      <c r="FX105" s="44"/>
      <c r="FY105" s="44"/>
      <c r="FZ105" s="44"/>
      <c r="GA105" s="44"/>
      <c r="GB105" s="44"/>
      <c r="GC105" s="44"/>
      <c r="GD105" s="44"/>
      <c r="GE105" s="44"/>
      <c r="GF105" s="44"/>
      <c r="GG105" s="44"/>
      <c r="GH105" s="44"/>
      <c r="GI105" s="44"/>
      <c r="GJ105" s="44"/>
      <c r="GK105" s="44"/>
      <c r="GL105" s="44"/>
      <c r="GM105" s="44"/>
      <c r="GN105" s="44"/>
      <c r="GO105" s="44"/>
      <c r="GP105" s="44"/>
      <c r="GQ105" s="44"/>
      <c r="GR105" s="44"/>
      <c r="GS105" s="44"/>
      <c r="GT105" s="44"/>
      <c r="GU105" s="44"/>
      <c r="GV105" s="44"/>
      <c r="GW105" s="44"/>
      <c r="GX105" s="44"/>
      <c r="GY105" s="44"/>
      <c r="GZ105" s="44"/>
      <c r="HA105" s="44"/>
      <c r="HB105" s="44"/>
      <c r="HC105" s="44"/>
      <c r="HD105" s="44"/>
      <c r="HE105" s="44"/>
      <c r="HF105" s="44"/>
      <c r="HG105" s="44"/>
      <c r="HH105" s="44"/>
      <c r="HI105" s="44"/>
      <c r="HJ105" s="44"/>
      <c r="HK105" s="44"/>
      <c r="HL105" s="44"/>
      <c r="HM105" s="44"/>
      <c r="HN105" s="44"/>
      <c r="HO105" s="44"/>
      <c r="HP105" s="44"/>
      <c r="HQ105" s="44"/>
      <c r="HR105" s="44"/>
      <c r="HS105" s="44"/>
      <c r="HT105" s="44"/>
      <c r="HU105" s="44"/>
      <c r="HV105" s="44"/>
      <c r="HW105" s="44"/>
      <c r="HX105" s="44"/>
      <c r="HY105" s="44"/>
      <c r="HZ105" s="44"/>
      <c r="IA105" s="44"/>
      <c r="IB105" s="44"/>
      <c r="IC105" s="44"/>
      <c r="ID105" s="44"/>
      <c r="IE105" s="44"/>
      <c r="IF105" s="44"/>
      <c r="IG105" s="44"/>
      <c r="IH105" s="44"/>
      <c r="II105" s="44"/>
      <c r="IJ105" s="44"/>
      <c r="IK105" s="44"/>
      <c r="IL105" s="44"/>
      <c r="IM105" s="44"/>
      <c r="IN105" s="44"/>
      <c r="IO105" s="44"/>
      <c r="IP105" s="44"/>
      <c r="IQ105" s="44"/>
      <c r="IR105" s="44"/>
      <c r="IS105" s="44"/>
      <c r="IT105" s="44"/>
      <c r="IU105" s="44"/>
      <c r="IV105" s="44"/>
      <c r="IW105" s="44"/>
      <c r="IX105" s="44"/>
      <c r="IY105" s="44"/>
      <c r="IZ105" s="44"/>
      <c r="JA105" s="44"/>
      <c r="JB105" s="44"/>
      <c r="JC105" s="44"/>
      <c r="JD105" s="44"/>
      <c r="JE105" s="44"/>
      <c r="JF105" s="44"/>
      <c r="JG105" s="44"/>
      <c r="JH105" s="44"/>
      <c r="JI105" s="44"/>
      <c r="JJ105" s="44"/>
      <c r="JK105" s="44"/>
      <c r="JL105" s="44"/>
      <c r="JM105" s="44"/>
      <c r="JN105" s="44"/>
      <c r="JO105" s="44"/>
      <c r="JP105" s="44"/>
      <c r="JQ105" s="44"/>
      <c r="JR105" s="44"/>
      <c r="JS105" s="44"/>
      <c r="JT105" s="44"/>
      <c r="JU105" s="44"/>
      <c r="JV105" s="44"/>
      <c r="JW105" s="44"/>
      <c r="JX105" s="44"/>
      <c r="JY105" s="44"/>
      <c r="JZ105" s="44"/>
      <c r="KA105" s="44"/>
      <c r="KB105" s="44"/>
      <c r="KC105" s="44"/>
      <c r="KD105" s="44"/>
      <c r="KE105" s="44"/>
      <c r="KF105" s="44"/>
      <c r="KG105" s="44"/>
      <c r="KH105" s="44"/>
      <c r="KI105" s="44"/>
      <c r="KJ105" s="44"/>
      <c r="KK105" s="44"/>
      <c r="KL105" s="44"/>
      <c r="KM105" s="44"/>
      <c r="KN105" s="44"/>
      <c r="KO105" s="44"/>
      <c r="KP105" s="44"/>
      <c r="KQ105" s="44"/>
      <c r="KR105" s="44"/>
      <c r="KS105" s="44"/>
      <c r="KT105" s="44"/>
      <c r="KU105" s="44"/>
      <c r="KV105" s="44"/>
      <c r="KW105" s="44"/>
      <c r="KX105" s="44"/>
      <c r="KY105" s="44"/>
      <c r="KZ105" s="44"/>
      <c r="LA105" s="44"/>
      <c r="LB105" s="44"/>
      <c r="LC105" s="44"/>
      <c r="LD105" s="44"/>
      <c r="LE105" s="44"/>
      <c r="LF105" s="44"/>
      <c r="LG105" s="44"/>
      <c r="LH105" s="44"/>
      <c r="LI105" s="44"/>
      <c r="LJ105" s="44"/>
      <c r="LK105" s="44"/>
      <c r="LL105" s="44"/>
      <c r="LM105" s="44"/>
      <c r="LN105" s="44"/>
      <c r="LO105" s="44"/>
      <c r="LP105" s="44"/>
      <c r="LQ105" s="44"/>
      <c r="LR105" s="44"/>
      <c r="LS105" s="44"/>
      <c r="LT105" s="44"/>
      <c r="LU105" s="44"/>
      <c r="LV105" s="44"/>
      <c r="LW105" s="44"/>
      <c r="LX105" s="44"/>
      <c r="LY105" s="44"/>
      <c r="LZ105" s="44"/>
      <c r="MA105" s="44"/>
      <c r="MB105" s="44"/>
      <c r="MC105" s="44"/>
      <c r="MD105" s="44"/>
      <c r="ME105" s="44"/>
      <c r="MF105" s="44"/>
      <c r="MG105" s="44"/>
      <c r="MH105" s="44"/>
      <c r="MI105" s="44"/>
      <c r="MJ105" s="44"/>
      <c r="MK105" s="44"/>
      <c r="ML105" s="44"/>
      <c r="MM105" s="44"/>
      <c r="MN105" s="44"/>
      <c r="MO105" s="44"/>
      <c r="MP105" s="44"/>
      <c r="MQ105" s="44"/>
      <c r="MR105" s="44"/>
      <c r="MS105" s="44"/>
      <c r="MT105" s="44"/>
      <c r="MU105" s="44"/>
      <c r="MV105" s="44"/>
      <c r="MW105" s="44"/>
      <c r="MX105" s="44"/>
      <c r="MY105" s="44"/>
      <c r="MZ105" s="44"/>
      <c r="NA105" s="44"/>
      <c r="NB105" s="44"/>
      <c r="NC105" s="44"/>
      <c r="ND105" s="44"/>
      <c r="NE105" s="44"/>
      <c r="NF105" s="44"/>
      <c r="NG105" s="44"/>
      <c r="NH105" s="44"/>
      <c r="NI105" s="44"/>
      <c r="NJ105" s="44"/>
      <c r="NK105" s="44"/>
      <c r="NL105" s="44"/>
      <c r="NM105" s="44"/>
      <c r="NN105" s="44"/>
      <c r="NO105" s="44"/>
      <c r="NP105" s="44"/>
      <c r="NQ105" s="44"/>
      <c r="NR105" s="44"/>
      <c r="NS105" s="44"/>
      <c r="NT105" s="44"/>
      <c r="NU105" s="44"/>
      <c r="NV105" s="44"/>
      <c r="NW105" s="44"/>
      <c r="NX105" s="44"/>
      <c r="NY105" s="44"/>
      <c r="NZ105" s="44"/>
      <c r="OA105" s="44"/>
      <c r="OB105" s="44"/>
      <c r="OC105" s="44"/>
      <c r="OD105" s="44"/>
      <c r="OE105" s="44"/>
      <c r="OF105" s="44"/>
      <c r="OG105" s="44"/>
      <c r="OH105" s="44"/>
      <c r="OI105" s="44"/>
      <c r="OJ105" s="44"/>
      <c r="OK105" s="44"/>
      <c r="OL105" s="44"/>
      <c r="OM105" s="44"/>
      <c r="ON105" s="44"/>
      <c r="OO105" s="44"/>
      <c r="OP105" s="44"/>
      <c r="OQ105" s="44"/>
      <c r="OR105" s="44"/>
      <c r="OS105" s="44"/>
      <c r="OT105" s="44"/>
      <c r="OU105" s="44"/>
      <c r="OV105" s="44"/>
      <c r="OW105" s="44"/>
      <c r="OX105" s="44"/>
      <c r="OY105" s="44"/>
      <c r="OZ105" s="44"/>
      <c r="PA105" s="44"/>
      <c r="PB105" s="44"/>
      <c r="PC105" s="44"/>
      <c r="PD105" s="44"/>
      <c r="PE105" s="44"/>
      <c r="PF105" s="44"/>
      <c r="PG105" s="44"/>
      <c r="PH105" s="44"/>
      <c r="PI105" s="44"/>
      <c r="PJ105" s="44"/>
      <c r="PK105" s="44"/>
      <c r="PL105" s="44"/>
      <c r="PM105" s="44"/>
      <c r="PN105" s="44"/>
      <c r="PO105" s="44"/>
      <c r="PP105" s="44"/>
      <c r="PQ105" s="44"/>
      <c r="PR105" s="44"/>
      <c r="PS105" s="44"/>
      <c r="PT105" s="44"/>
      <c r="PU105" s="44"/>
      <c r="PV105" s="44"/>
      <c r="PW105" s="44"/>
      <c r="PX105" s="44"/>
      <c r="PY105" s="44"/>
      <c r="PZ105" s="44"/>
      <c r="QA105" s="44"/>
      <c r="QB105" s="44"/>
      <c r="QC105" s="44"/>
      <c r="QD105" s="44"/>
      <c r="QE105" s="44"/>
      <c r="QF105" s="44"/>
      <c r="QG105" s="44"/>
      <c r="QH105" s="44"/>
      <c r="QI105" s="44"/>
      <c r="QJ105" s="44"/>
      <c r="QK105" s="44"/>
      <c r="QL105" s="44"/>
      <c r="QM105" s="44"/>
      <c r="QN105" s="44"/>
      <c r="QO105" s="44"/>
      <c r="QP105" s="44"/>
      <c r="QQ105" s="44"/>
      <c r="QR105" s="44"/>
      <c r="QS105" s="44"/>
      <c r="QT105" s="44"/>
      <c r="QU105" s="44"/>
      <c r="QV105" s="44"/>
      <c r="QW105" s="44"/>
      <c r="QX105" s="44"/>
      <c r="QY105" s="44"/>
      <c r="QZ105" s="44"/>
      <c r="RA105" s="44"/>
      <c r="RB105" s="44"/>
      <c r="RC105" s="44"/>
      <c r="RD105" s="44"/>
      <c r="RE105" s="44"/>
      <c r="RF105" s="44"/>
      <c r="RG105" s="44"/>
      <c r="RH105" s="44"/>
      <c r="RI105" s="44"/>
      <c r="RJ105" s="44"/>
      <c r="RK105" s="44"/>
      <c r="RL105" s="44"/>
      <c r="RM105" s="44"/>
      <c r="RN105" s="44"/>
      <c r="RO105" s="44"/>
      <c r="RP105" s="44"/>
      <c r="RQ105" s="44"/>
      <c r="RR105" s="44"/>
      <c r="RS105" s="44"/>
      <c r="RT105" s="44"/>
      <c r="RU105" s="44"/>
      <c r="RV105" s="44"/>
      <c r="RW105" s="44"/>
      <c r="RX105" s="44"/>
      <c r="RY105" s="44"/>
      <c r="RZ105" s="44"/>
      <c r="SA105" s="44"/>
      <c r="SB105" s="44"/>
      <c r="SC105" s="44"/>
      <c r="SD105" s="44"/>
      <c r="SE105" s="44"/>
      <c r="SF105" s="44"/>
      <c r="SG105" s="44"/>
      <c r="SH105" s="44"/>
      <c r="SI105" s="44"/>
      <c r="SJ105" s="44"/>
      <c r="SK105" s="44"/>
      <c r="SL105" s="44"/>
      <c r="SM105" s="44"/>
      <c r="SN105" s="44"/>
      <c r="SO105" s="44"/>
      <c r="SP105" s="44"/>
      <c r="SQ105" s="44"/>
      <c r="SR105" s="44"/>
      <c r="SS105" s="44"/>
      <c r="ST105" s="44"/>
      <c r="SU105" s="44"/>
      <c r="SV105" s="44"/>
      <c r="SW105" s="44"/>
      <c r="SX105" s="44"/>
      <c r="SY105" s="44"/>
      <c r="SZ105" s="44"/>
      <c r="TA105" s="44"/>
      <c r="TB105" s="44"/>
      <c r="TC105" s="44"/>
      <c r="TD105" s="44"/>
      <c r="TE105" s="44"/>
      <c r="TF105" s="44"/>
      <c r="TG105" s="44"/>
      <c r="TH105" s="44"/>
      <c r="TI105" s="44"/>
      <c r="TJ105" s="44"/>
      <c r="TK105" s="44"/>
      <c r="TL105" s="44"/>
      <c r="TM105" s="44"/>
      <c r="TN105" s="44"/>
      <c r="TO105" s="44"/>
      <c r="TP105" s="44"/>
      <c r="TQ105" s="44"/>
      <c r="TR105" s="44"/>
      <c r="TS105" s="44"/>
      <c r="TT105" s="44"/>
      <c r="TU105" s="44"/>
      <c r="TV105" s="44"/>
      <c r="TW105" s="44"/>
      <c r="TX105" s="44"/>
      <c r="TY105" s="44"/>
      <c r="TZ105" s="44"/>
      <c r="UA105" s="44"/>
      <c r="UB105" s="44"/>
      <c r="UC105" s="44"/>
      <c r="UD105" s="44"/>
      <c r="UE105" s="44"/>
      <c r="UF105" s="44"/>
      <c r="UG105" s="44"/>
      <c r="UH105" s="44"/>
      <c r="UI105" s="44"/>
      <c r="UJ105" s="44"/>
      <c r="UK105" s="44"/>
      <c r="UL105" s="44"/>
      <c r="UM105" s="44"/>
      <c r="UN105" s="44"/>
      <c r="UO105" s="44"/>
      <c r="UP105" s="44"/>
      <c r="UQ105" s="44"/>
      <c r="UR105" s="44"/>
      <c r="US105" s="44"/>
      <c r="UT105" s="44"/>
      <c r="UU105" s="44"/>
      <c r="UV105" s="44"/>
      <c r="UW105" s="44"/>
      <c r="UX105" s="44"/>
      <c r="UY105" s="44"/>
      <c r="UZ105" s="44"/>
      <c r="VA105" s="44"/>
      <c r="VB105" s="44"/>
      <c r="VC105" s="44"/>
      <c r="VD105" s="44"/>
      <c r="VE105" s="44"/>
      <c r="VF105" s="44"/>
      <c r="VG105" s="44"/>
      <c r="VH105" s="44"/>
      <c r="VI105" s="44"/>
      <c r="VJ105" s="44"/>
      <c r="VK105" s="44"/>
      <c r="VL105" s="44"/>
      <c r="VM105" s="44"/>
      <c r="VN105" s="44"/>
      <c r="VO105" s="44"/>
      <c r="VP105" s="44"/>
      <c r="VQ105" s="44"/>
      <c r="VR105" s="44"/>
      <c r="VS105" s="44"/>
      <c r="VT105" s="44"/>
      <c r="VU105" s="44"/>
      <c r="VV105" s="44"/>
      <c r="VW105" s="44"/>
      <c r="VX105" s="44"/>
      <c r="VY105" s="44"/>
      <c r="VZ105" s="44"/>
      <c r="WA105" s="44"/>
      <c r="WB105" s="44"/>
      <c r="WC105" s="44"/>
      <c r="WD105" s="44"/>
      <c r="WE105" s="44"/>
      <c r="WF105" s="44"/>
      <c r="WG105" s="44"/>
      <c r="WH105" s="44"/>
      <c r="WI105" s="44"/>
      <c r="WJ105" s="44"/>
      <c r="WK105" s="44"/>
      <c r="WL105" s="44"/>
      <c r="WM105" s="44"/>
      <c r="WN105" s="44"/>
      <c r="WO105" s="44"/>
      <c r="WP105" s="44"/>
      <c r="WQ105" s="44"/>
      <c r="WR105" s="44"/>
      <c r="WS105" s="44"/>
      <c r="WT105" s="44"/>
      <c r="WU105" s="44"/>
      <c r="WV105" s="44"/>
      <c r="WW105" s="44"/>
      <c r="WX105" s="44"/>
      <c r="WY105" s="44"/>
      <c r="WZ105" s="44"/>
      <c r="XA105" s="44"/>
      <c r="XB105" s="44"/>
      <c r="XC105" s="44"/>
      <c r="XD105" s="44"/>
      <c r="XE105" s="44"/>
      <c r="XF105" s="44"/>
      <c r="XG105" s="44"/>
      <c r="XH105" s="44"/>
      <c r="XI105" s="44"/>
      <c r="XJ105" s="44"/>
      <c r="XK105" s="44"/>
      <c r="XL105" s="44"/>
      <c r="XM105" s="44"/>
      <c r="XN105" s="44"/>
      <c r="XO105" s="44"/>
      <c r="XP105" s="44"/>
      <c r="XQ105" s="44"/>
      <c r="XR105" s="44"/>
      <c r="XS105" s="44"/>
      <c r="XT105" s="44"/>
      <c r="XU105" s="44"/>
      <c r="XV105" s="44"/>
      <c r="XW105" s="44"/>
      <c r="XX105" s="44"/>
      <c r="XY105" s="44"/>
      <c r="XZ105" s="44"/>
      <c r="YA105" s="44"/>
      <c r="YB105" s="44"/>
      <c r="YC105" s="44"/>
      <c r="YD105" s="44"/>
      <c r="YE105" s="44"/>
      <c r="YF105" s="44"/>
      <c r="YG105" s="44"/>
      <c r="YH105" s="44"/>
      <c r="YI105" s="44"/>
      <c r="YJ105" s="44"/>
      <c r="YK105" s="44"/>
      <c r="YL105" s="44"/>
      <c r="YM105" s="44"/>
      <c r="YN105" s="44"/>
      <c r="YO105" s="44"/>
      <c r="YP105" s="44"/>
      <c r="YQ105" s="44"/>
      <c r="YR105" s="44"/>
      <c r="YS105" s="44"/>
      <c r="YT105" s="44"/>
      <c r="YU105" s="44"/>
      <c r="YV105" s="44"/>
      <c r="YW105" s="44"/>
      <c r="YX105" s="44"/>
      <c r="YY105" s="44"/>
      <c r="YZ105" s="44"/>
      <c r="ZA105" s="44"/>
      <c r="ZB105" s="44"/>
      <c r="ZC105" s="44"/>
      <c r="ZD105" s="44"/>
      <c r="ZE105" s="44"/>
      <c r="ZF105" s="44"/>
      <c r="ZG105" s="44"/>
      <c r="ZH105" s="44"/>
      <c r="ZI105" s="44"/>
      <c r="ZJ105" s="44"/>
      <c r="ZK105" s="44"/>
      <c r="ZL105" s="44"/>
      <c r="ZM105" s="44"/>
      <c r="ZN105" s="44"/>
      <c r="ZO105" s="44"/>
      <c r="ZP105" s="44"/>
      <c r="ZQ105" s="44"/>
      <c r="ZR105" s="44"/>
      <c r="ZS105" s="44"/>
      <c r="ZT105" s="44"/>
      <c r="ZU105" s="44"/>
      <c r="ZV105" s="44"/>
      <c r="ZW105" s="44"/>
      <c r="ZX105" s="44"/>
      <c r="ZY105" s="44"/>
      <c r="ZZ105" s="44"/>
      <c r="AAA105" s="44"/>
      <c r="AAB105" s="44"/>
      <c r="AAC105" s="44"/>
      <c r="AAD105" s="44"/>
      <c r="AAE105" s="44"/>
      <c r="AAF105" s="44"/>
      <c r="AAG105" s="44"/>
      <c r="AAH105" s="44"/>
      <c r="AAI105" s="44"/>
      <c r="AAJ105" s="44"/>
      <c r="AAK105" s="44"/>
      <c r="AAL105" s="44"/>
      <c r="AAM105" s="44"/>
      <c r="AAN105" s="44"/>
      <c r="AAO105" s="44"/>
      <c r="AAP105" s="44"/>
      <c r="AAQ105" s="44"/>
      <c r="AAR105" s="44"/>
      <c r="AAS105" s="44"/>
      <c r="AAT105" s="44"/>
      <c r="AAU105" s="44"/>
      <c r="AAV105" s="44"/>
      <c r="AAW105" s="44"/>
      <c r="AAX105" s="44"/>
      <c r="AAY105" s="44"/>
      <c r="AAZ105" s="44"/>
      <c r="ABA105" s="44"/>
      <c r="ABB105" s="44"/>
      <c r="ABC105" s="44"/>
      <c r="ABD105" s="44"/>
      <c r="ABE105" s="44"/>
      <c r="ABF105" s="44"/>
      <c r="ABG105" s="44"/>
      <c r="ABH105" s="44"/>
      <c r="ABI105" s="44"/>
      <c r="ABJ105" s="44"/>
      <c r="ABK105" s="44"/>
      <c r="ABL105" s="44"/>
      <c r="ABM105" s="44"/>
      <c r="ABN105" s="44"/>
      <c r="ABO105" s="44"/>
      <c r="ABP105" s="44"/>
      <c r="ABQ105" s="44"/>
      <c r="ABR105" s="44"/>
      <c r="ABS105" s="44"/>
      <c r="ABT105" s="44"/>
      <c r="ABU105" s="44"/>
      <c r="ABV105" s="44"/>
      <c r="ABW105" s="44"/>
      <c r="ABX105" s="44"/>
      <c r="ABY105" s="44"/>
      <c r="ABZ105" s="44"/>
      <c r="ACA105" s="44"/>
      <c r="ACB105" s="44"/>
      <c r="ACC105" s="44"/>
      <c r="ACD105" s="44"/>
      <c r="ACE105" s="44"/>
      <c r="ACF105" s="44"/>
      <c r="ACG105" s="44"/>
      <c r="ACH105" s="44"/>
      <c r="ACI105" s="44"/>
      <c r="ACJ105" s="44"/>
      <c r="ACK105" s="44"/>
      <c r="ACL105" s="44"/>
      <c r="ACM105" s="44"/>
      <c r="ACN105" s="44"/>
      <c r="ACO105" s="44"/>
      <c r="ACP105" s="44"/>
      <c r="ACQ105" s="44"/>
      <c r="ACR105" s="44"/>
      <c r="ACS105" s="44"/>
      <c r="ACT105" s="44"/>
      <c r="ACU105" s="44"/>
      <c r="ACV105" s="44"/>
      <c r="ACW105" s="44"/>
      <c r="ACX105" s="44"/>
      <c r="ACY105" s="44"/>
      <c r="ACZ105" s="44"/>
      <c r="ADA105" s="44"/>
      <c r="ADB105" s="44"/>
      <c r="ADC105" s="44"/>
      <c r="ADD105" s="44"/>
      <c r="ADE105" s="44"/>
      <c r="ADF105" s="44"/>
      <c r="ADG105" s="44"/>
      <c r="ADH105" s="44"/>
      <c r="ADI105" s="44"/>
      <c r="ADJ105" s="44"/>
      <c r="ADK105" s="44"/>
      <c r="ADL105" s="44"/>
      <c r="ADM105" s="44"/>
      <c r="ADN105" s="44"/>
      <c r="ADO105" s="44"/>
      <c r="ADP105" s="44"/>
      <c r="ADQ105" s="44"/>
      <c r="ADR105" s="44"/>
      <c r="ADS105" s="44"/>
      <c r="ADT105" s="44"/>
      <c r="ADU105" s="44"/>
      <c r="ADV105" s="44"/>
      <c r="ADW105" s="44"/>
      <c r="ADX105" s="44"/>
      <c r="ADY105" s="44"/>
      <c r="ADZ105" s="44"/>
      <c r="AEA105" s="44"/>
      <c r="AEB105" s="44"/>
      <c r="AEC105" s="44"/>
      <c r="AED105" s="44"/>
      <c r="AEE105" s="44"/>
      <c r="AEF105" s="44"/>
      <c r="AEG105" s="44"/>
      <c r="AEH105" s="44"/>
      <c r="AEI105" s="44"/>
      <c r="AEJ105" s="44"/>
      <c r="AEK105" s="44"/>
      <c r="AEL105" s="44"/>
      <c r="AEM105" s="44"/>
      <c r="AEN105" s="44"/>
      <c r="AEO105" s="44"/>
      <c r="AEP105" s="44"/>
      <c r="AEQ105" s="44"/>
      <c r="AER105" s="44"/>
      <c r="AES105" s="44"/>
      <c r="AET105" s="44"/>
      <c r="AEU105" s="44"/>
      <c r="AEV105" s="44"/>
      <c r="AEW105" s="44"/>
      <c r="AEX105" s="44"/>
      <c r="AEY105" s="44"/>
      <c r="AEZ105" s="44"/>
      <c r="AFA105" s="44"/>
      <c r="AFB105" s="44"/>
      <c r="AFC105" s="44"/>
      <c r="AFD105" s="44"/>
      <c r="AFE105" s="44"/>
      <c r="AFF105" s="44"/>
      <c r="AFG105" s="44"/>
      <c r="AFH105" s="44"/>
      <c r="AFI105" s="44"/>
      <c r="AFJ105" s="44"/>
      <c r="AFK105" s="44"/>
      <c r="AFL105" s="44"/>
      <c r="AFM105" s="44"/>
      <c r="AFN105" s="44"/>
      <c r="AFO105" s="44"/>
      <c r="AFP105" s="44"/>
      <c r="AFQ105" s="44"/>
      <c r="AFR105" s="44"/>
      <c r="AFS105" s="44"/>
      <c r="AFT105" s="44"/>
      <c r="AFU105" s="44"/>
      <c r="AFV105" s="44"/>
      <c r="AFW105" s="44"/>
      <c r="AFX105" s="44"/>
      <c r="AFY105" s="44"/>
      <c r="AFZ105" s="44"/>
      <c r="AGA105" s="44"/>
      <c r="AGB105" s="44"/>
      <c r="AGC105" s="44"/>
      <c r="AGD105" s="44"/>
      <c r="AGE105" s="44"/>
      <c r="AGF105" s="44"/>
      <c r="AGG105" s="44"/>
      <c r="AGH105" s="44"/>
      <c r="AGI105" s="44"/>
      <c r="AGJ105" s="44"/>
      <c r="AGK105" s="44"/>
      <c r="AGL105" s="44"/>
      <c r="AGM105" s="44"/>
      <c r="AGN105" s="44"/>
      <c r="AGO105" s="44"/>
      <c r="AGP105" s="44"/>
      <c r="AGQ105" s="44"/>
      <c r="AGR105" s="44"/>
      <c r="AGS105" s="44"/>
      <c r="AGT105" s="44"/>
      <c r="AGU105" s="44"/>
      <c r="AGV105" s="44"/>
      <c r="AGW105" s="44"/>
      <c r="AGX105" s="44"/>
      <c r="AGY105" s="44"/>
      <c r="AGZ105" s="44"/>
      <c r="AHA105" s="44"/>
      <c r="AHB105" s="44"/>
      <c r="AHC105" s="44"/>
      <c r="AHD105" s="44"/>
      <c r="AHE105" s="44"/>
      <c r="AHF105" s="44"/>
      <c r="AHG105" s="44"/>
      <c r="AHH105" s="44"/>
      <c r="AHI105" s="44"/>
      <c r="AHJ105" s="44"/>
      <c r="AHK105" s="44"/>
      <c r="AHL105" s="44"/>
      <c r="AHM105" s="44"/>
      <c r="AHN105" s="44"/>
      <c r="AHO105" s="44"/>
      <c r="AHP105" s="44"/>
      <c r="AHQ105" s="44"/>
      <c r="AHR105" s="44"/>
      <c r="AHS105" s="44"/>
      <c r="AHT105" s="44"/>
      <c r="AHU105" s="44"/>
      <c r="AHV105" s="44"/>
      <c r="AHW105" s="44"/>
      <c r="AHX105" s="44"/>
      <c r="AHY105" s="44"/>
      <c r="AHZ105" s="44"/>
      <c r="AIA105" s="44"/>
      <c r="AIB105" s="44"/>
      <c r="AIC105" s="44"/>
      <c r="AID105" s="44"/>
      <c r="AIE105" s="44"/>
      <c r="AIF105" s="44"/>
      <c r="AIG105" s="44"/>
      <c r="AIH105" s="44"/>
      <c r="AII105" s="44"/>
      <c r="AIJ105" s="44"/>
      <c r="AIK105" s="44"/>
      <c r="AIL105" s="44"/>
      <c r="AIM105" s="44"/>
      <c r="AIN105" s="44"/>
      <c r="AIO105" s="44"/>
      <c r="AIP105" s="44"/>
      <c r="AIQ105" s="44"/>
      <c r="AIR105" s="44"/>
      <c r="AIS105" s="44"/>
      <c r="AIT105" s="44"/>
      <c r="AIU105" s="44"/>
      <c r="AIV105" s="44"/>
      <c r="AIW105" s="44"/>
      <c r="AIX105" s="44"/>
      <c r="AIY105" s="44"/>
      <c r="AIZ105" s="44"/>
      <c r="AJA105" s="44"/>
      <c r="AJB105" s="44"/>
      <c r="AJC105" s="44"/>
      <c r="AJD105" s="44"/>
      <c r="AJE105" s="44"/>
      <c r="AJF105" s="44"/>
      <c r="AJG105" s="44"/>
      <c r="AJH105" s="44"/>
      <c r="AJI105" s="44"/>
      <c r="AJJ105" s="44"/>
      <c r="AJK105" s="44"/>
      <c r="AJL105" s="44"/>
      <c r="AJM105" s="44"/>
      <c r="AJN105" s="44"/>
      <c r="AJO105" s="44"/>
      <c r="AJP105" s="44"/>
      <c r="AJQ105" s="44"/>
      <c r="AJR105" s="44"/>
      <c r="AJS105" s="44"/>
      <c r="AJT105" s="44"/>
      <c r="AJU105" s="44"/>
      <c r="AJV105" s="44"/>
      <c r="AJW105" s="44"/>
      <c r="AJX105" s="44"/>
      <c r="AJY105" s="44"/>
      <c r="AJZ105" s="44"/>
      <c r="AKA105" s="44"/>
      <c r="AKB105" s="44"/>
      <c r="AKC105" s="44"/>
      <c r="AKD105" s="44"/>
      <c r="AKE105" s="44"/>
      <c r="AKF105" s="44"/>
      <c r="AKG105" s="44"/>
      <c r="AKH105" s="44"/>
      <c r="AKI105" s="44"/>
      <c r="AKJ105" s="44"/>
      <c r="AKK105" s="44"/>
      <c r="AKL105" s="44"/>
      <c r="AKM105" s="44"/>
      <c r="AKN105" s="44"/>
      <c r="AKO105" s="44"/>
      <c r="AKP105" s="44"/>
      <c r="AKQ105" s="44"/>
      <c r="AKR105" s="44"/>
      <c r="AKS105" s="44"/>
      <c r="AKT105" s="44"/>
      <c r="AKU105" s="44"/>
      <c r="AKV105" s="44"/>
      <c r="AKW105" s="44"/>
      <c r="AKX105" s="44"/>
      <c r="AKY105" s="44"/>
      <c r="AKZ105" s="44"/>
      <c r="ALA105" s="44"/>
      <c r="ALB105" s="44"/>
      <c r="ALC105" s="44"/>
      <c r="ALD105" s="44"/>
      <c r="ALE105" s="44"/>
      <c r="ALF105" s="44"/>
      <c r="ALG105" s="44"/>
      <c r="ALH105" s="44"/>
      <c r="ALI105" s="44"/>
      <c r="ALJ105" s="44"/>
      <c r="ALK105" s="44"/>
      <c r="ALL105" s="44"/>
      <c r="ALM105" s="44"/>
      <c r="ALN105" s="44"/>
      <c r="ALO105" s="44"/>
      <c r="ALP105" s="44"/>
      <c r="ALQ105" s="44"/>
      <c r="ALR105" s="44"/>
      <c r="ALS105" s="44"/>
      <c r="ALT105" s="44"/>
      <c r="ALU105" s="44"/>
      <c r="ALV105" s="44"/>
      <c r="ALW105" s="44"/>
      <c r="ALX105" s="44"/>
      <c r="ALY105" s="44"/>
      <c r="ALZ105" s="44"/>
      <c r="AMA105" s="44"/>
      <c r="AMB105" s="44"/>
      <c r="AMC105" s="44"/>
      <c r="AMD105" s="44"/>
      <c r="AME105" s="44"/>
      <c r="AMF105" s="44"/>
      <c r="AMG105" s="44"/>
      <c r="AMH105" s="44"/>
      <c r="AMI105" s="44"/>
      <c r="AMJ105" s="44"/>
      <c r="AMK105" s="44"/>
      <c r="AML105" s="44"/>
      <c r="AMM105" s="44"/>
      <c r="AMN105" s="44"/>
      <c r="AMO105" s="44"/>
      <c r="AMP105" s="44"/>
      <c r="AMQ105" s="44"/>
      <c r="AMR105" s="44"/>
      <c r="AMS105" s="44"/>
      <c r="AMT105" s="44"/>
      <c r="AMU105" s="44"/>
      <c r="AMV105" s="44"/>
      <c r="AMW105" s="44"/>
      <c r="AMX105" s="44"/>
      <c r="AMY105" s="44"/>
      <c r="AMZ105" s="44"/>
      <c r="ANA105" s="44"/>
      <c r="ANB105" s="44"/>
      <c r="ANC105" s="44"/>
      <c r="AND105" s="44"/>
      <c r="ANE105" s="44"/>
      <c r="ANF105" s="44"/>
      <c r="ANG105" s="44"/>
      <c r="ANH105" s="44"/>
      <c r="ANI105" s="44"/>
      <c r="ANJ105" s="44"/>
      <c r="ANK105" s="44"/>
      <c r="ANL105" s="44"/>
      <c r="ANM105" s="44"/>
      <c r="ANN105" s="44"/>
      <c r="ANO105" s="44"/>
      <c r="ANP105" s="44"/>
      <c r="ANQ105" s="44"/>
      <c r="ANR105" s="44"/>
      <c r="ANS105" s="44"/>
      <c r="ANT105" s="44"/>
      <c r="ANU105" s="44"/>
      <c r="ANV105" s="44"/>
      <c r="ANW105" s="44"/>
      <c r="ANX105" s="44"/>
      <c r="ANY105" s="44"/>
      <c r="ANZ105" s="44"/>
      <c r="AOA105" s="44"/>
      <c r="AOB105" s="44"/>
      <c r="AOC105" s="44"/>
      <c r="AOD105" s="44"/>
      <c r="AOE105" s="44"/>
      <c r="AOF105" s="44"/>
      <c r="AOG105" s="44"/>
      <c r="AOH105" s="44"/>
      <c r="AOI105" s="44"/>
      <c r="AOJ105" s="44"/>
      <c r="AOK105" s="44"/>
      <c r="AOL105" s="44"/>
      <c r="AOM105" s="44"/>
      <c r="AON105" s="44"/>
      <c r="AOO105" s="44"/>
      <c r="AOP105" s="44"/>
      <c r="AOQ105" s="44"/>
      <c r="AOR105" s="44"/>
      <c r="AOS105" s="44"/>
      <c r="AOT105" s="44"/>
      <c r="AOU105" s="44"/>
      <c r="AOV105" s="44"/>
      <c r="AOW105" s="44"/>
      <c r="AOX105" s="44"/>
      <c r="AOY105" s="44"/>
      <c r="AOZ105" s="44"/>
      <c r="APA105" s="44"/>
      <c r="APB105" s="44"/>
      <c r="APC105" s="44"/>
      <c r="APD105" s="44"/>
      <c r="APE105" s="44"/>
      <c r="APF105" s="44"/>
      <c r="APG105" s="44"/>
      <c r="APH105" s="44"/>
      <c r="API105" s="44"/>
      <c r="APJ105" s="44"/>
      <c r="APK105" s="44"/>
      <c r="APL105" s="44"/>
      <c r="APM105" s="44"/>
      <c r="APN105" s="44"/>
      <c r="APO105" s="44"/>
      <c r="APP105" s="44"/>
      <c r="APQ105" s="44"/>
      <c r="APR105" s="44"/>
      <c r="APS105" s="44"/>
      <c r="APT105" s="44"/>
      <c r="APU105" s="44"/>
      <c r="APV105" s="44"/>
      <c r="APW105" s="44"/>
      <c r="APX105" s="44"/>
      <c r="APY105" s="44"/>
      <c r="APZ105" s="44"/>
      <c r="AQA105" s="44"/>
      <c r="AQB105" s="44"/>
      <c r="AQC105" s="44"/>
      <c r="AQD105" s="44"/>
      <c r="AQE105" s="44"/>
      <c r="AQF105" s="44"/>
      <c r="AQG105" s="44"/>
      <c r="AQH105" s="44"/>
      <c r="AQI105" s="44"/>
      <c r="AQJ105" s="44"/>
      <c r="AQK105" s="44"/>
      <c r="AQL105" s="44"/>
      <c r="AQM105" s="44"/>
      <c r="AQN105" s="44"/>
      <c r="AQO105" s="44"/>
      <c r="AQP105" s="44"/>
      <c r="AQQ105" s="44"/>
      <c r="AQR105" s="44"/>
      <c r="AQS105" s="44"/>
      <c r="AQT105" s="44"/>
      <c r="AQU105" s="44"/>
      <c r="AQV105" s="44"/>
      <c r="AQW105" s="44"/>
      <c r="AQX105" s="44"/>
      <c r="AQY105" s="44"/>
      <c r="AQZ105" s="44"/>
      <c r="ARA105" s="44"/>
      <c r="ARB105" s="44"/>
      <c r="ARC105" s="44"/>
      <c r="ARD105" s="44"/>
      <c r="ARE105" s="44"/>
      <c r="ARF105" s="44"/>
      <c r="ARG105" s="44"/>
      <c r="ARH105" s="44"/>
      <c r="ARI105" s="44"/>
      <c r="ARJ105" s="44"/>
      <c r="ARK105" s="44"/>
      <c r="ARL105" s="44"/>
      <c r="ARM105" s="44"/>
      <c r="ARN105" s="44"/>
      <c r="ARO105" s="44"/>
      <c r="ARP105" s="44"/>
      <c r="ARQ105" s="44"/>
      <c r="ARR105" s="44"/>
      <c r="ARS105" s="44"/>
      <c r="ART105" s="44"/>
      <c r="ARU105" s="44"/>
      <c r="ARV105" s="44"/>
      <c r="ARW105" s="44"/>
      <c r="ARX105" s="44"/>
      <c r="ARY105" s="44"/>
      <c r="ARZ105" s="44"/>
      <c r="ASA105" s="44"/>
      <c r="ASB105" s="44"/>
      <c r="ASC105" s="44"/>
      <c r="ASD105" s="44"/>
      <c r="ASE105" s="44"/>
      <c r="ASF105" s="44"/>
      <c r="ASG105" s="44"/>
      <c r="ASH105" s="44"/>
      <c r="ASI105" s="44"/>
      <c r="ASJ105" s="44"/>
      <c r="ASK105" s="44"/>
      <c r="ASL105" s="44"/>
      <c r="ASM105" s="44"/>
      <c r="ASN105" s="44"/>
      <c r="ASO105" s="44"/>
      <c r="ASP105" s="44"/>
      <c r="ASQ105" s="44"/>
      <c r="ASR105" s="44"/>
      <c r="ASS105" s="44"/>
      <c r="AST105" s="44"/>
      <c r="ASU105" s="44"/>
      <c r="ASV105" s="44"/>
      <c r="ASW105" s="44"/>
      <c r="ASX105" s="44"/>
      <c r="ASY105" s="44"/>
      <c r="ASZ105" s="44"/>
      <c r="ATA105" s="44"/>
      <c r="ATB105" s="44"/>
      <c r="ATC105" s="44"/>
      <c r="ATD105" s="44"/>
      <c r="ATE105" s="44"/>
      <c r="ATF105" s="44"/>
      <c r="ATG105" s="44"/>
      <c r="ATH105" s="44"/>
      <c r="ATI105" s="44"/>
      <c r="ATJ105" s="44"/>
      <c r="ATK105" s="44"/>
      <c r="ATL105" s="44"/>
      <c r="ATM105" s="44"/>
      <c r="ATN105" s="44"/>
      <c r="ATO105" s="44"/>
      <c r="ATP105" s="44"/>
      <c r="ATQ105" s="44"/>
      <c r="ATR105" s="44"/>
      <c r="ATS105" s="44"/>
      <c r="ATT105" s="44"/>
      <c r="ATU105" s="44"/>
      <c r="ATV105" s="44"/>
      <c r="ATW105" s="44"/>
      <c r="ATX105" s="44"/>
      <c r="ATY105" s="44"/>
      <c r="ATZ105" s="44"/>
      <c r="AUA105" s="44"/>
      <c r="AUB105" s="44"/>
      <c r="AUC105" s="44"/>
      <c r="AUD105" s="44"/>
      <c r="AUE105" s="44"/>
      <c r="AUF105" s="44"/>
      <c r="AUG105" s="44"/>
      <c r="AUH105" s="44"/>
      <c r="AUI105" s="44"/>
      <c r="AUJ105" s="44"/>
      <c r="AUK105" s="44"/>
      <c r="AUL105" s="44"/>
      <c r="AUM105" s="44"/>
      <c r="AUN105" s="44"/>
      <c r="AUO105" s="44"/>
      <c r="AUP105" s="44"/>
      <c r="AUQ105" s="44"/>
      <c r="AUR105" s="44"/>
      <c r="AUS105" s="44"/>
      <c r="AUT105" s="44"/>
      <c r="AUU105" s="44"/>
      <c r="AUV105" s="44"/>
      <c r="AUW105" s="44"/>
      <c r="AUX105" s="44"/>
      <c r="AUY105" s="44"/>
      <c r="AUZ105" s="44"/>
      <c r="AVA105" s="44"/>
      <c r="AVB105" s="44"/>
      <c r="AVC105" s="44"/>
      <c r="AVD105" s="44"/>
      <c r="AVE105" s="44"/>
      <c r="AVF105" s="44"/>
      <c r="AVG105" s="44"/>
      <c r="AVH105" s="44"/>
      <c r="AVI105" s="44"/>
      <c r="AVJ105" s="44"/>
      <c r="AVK105" s="44"/>
      <c r="AVL105" s="44"/>
      <c r="AVM105" s="44"/>
      <c r="AVN105" s="44"/>
      <c r="AVO105" s="44"/>
      <c r="AVP105" s="44"/>
      <c r="AVQ105" s="44"/>
      <c r="AVR105" s="44"/>
      <c r="AVS105" s="44"/>
      <c r="AVT105" s="44"/>
      <c r="AVU105" s="44"/>
      <c r="AVV105" s="44"/>
      <c r="AVW105" s="44"/>
      <c r="AVX105" s="44"/>
      <c r="AVY105" s="44"/>
      <c r="AVZ105" s="44"/>
      <c r="AWA105" s="44"/>
      <c r="AWB105" s="44"/>
      <c r="AWC105" s="44"/>
      <c r="AWD105" s="44"/>
      <c r="AWE105" s="44"/>
      <c r="AWF105" s="44"/>
      <c r="AWG105" s="44"/>
      <c r="AWH105" s="44"/>
      <c r="AWI105" s="44"/>
      <c r="AWJ105" s="44"/>
      <c r="AWK105" s="44"/>
      <c r="AWL105" s="44"/>
      <c r="AWM105" s="44"/>
      <c r="AWN105" s="44"/>
      <c r="AWO105" s="44"/>
      <c r="AWP105" s="44"/>
      <c r="AWQ105" s="44"/>
      <c r="AWR105" s="44"/>
      <c r="AWS105" s="44"/>
      <c r="AWT105" s="44"/>
      <c r="AWU105" s="44"/>
      <c r="AWV105" s="44"/>
      <c r="AWW105" s="44"/>
      <c r="AWX105" s="44"/>
      <c r="AWY105" s="44"/>
      <c r="AWZ105" s="44"/>
      <c r="AXA105" s="44"/>
      <c r="AXB105" s="44"/>
      <c r="AXC105" s="44"/>
      <c r="AXD105" s="44"/>
      <c r="AXE105" s="44"/>
      <c r="AXF105" s="44"/>
      <c r="AXG105" s="44"/>
      <c r="AXH105" s="44"/>
      <c r="AXI105" s="44"/>
      <c r="AXJ105" s="44"/>
      <c r="AXK105" s="44"/>
      <c r="AXL105" s="44"/>
      <c r="AXM105" s="44"/>
      <c r="AXN105" s="44"/>
      <c r="AXO105" s="44"/>
      <c r="AXP105" s="44"/>
      <c r="AXQ105" s="44"/>
      <c r="AXR105" s="44"/>
      <c r="AXS105" s="44"/>
      <c r="AXT105" s="44"/>
      <c r="AXU105" s="44"/>
      <c r="AXV105" s="44"/>
      <c r="AXW105" s="44"/>
      <c r="AXX105" s="44"/>
      <c r="AXY105" s="44"/>
      <c r="AXZ105" s="44"/>
      <c r="AYA105" s="44"/>
      <c r="AYB105" s="44"/>
      <c r="AYC105" s="44"/>
      <c r="AYD105" s="44"/>
      <c r="AYE105" s="44"/>
      <c r="AYF105" s="44"/>
      <c r="AYG105" s="44"/>
      <c r="AYH105" s="44"/>
      <c r="AYI105" s="44"/>
      <c r="AYJ105" s="44"/>
      <c r="AYK105" s="44"/>
      <c r="AYL105" s="44"/>
      <c r="AYM105" s="44"/>
      <c r="AYN105" s="44"/>
      <c r="AYO105" s="44"/>
      <c r="AYP105" s="44"/>
      <c r="AYQ105" s="44"/>
      <c r="AYR105" s="44"/>
      <c r="AYS105" s="44"/>
      <c r="AYT105" s="44"/>
      <c r="AYU105" s="44"/>
      <c r="AYV105" s="44"/>
      <c r="AYW105" s="44"/>
      <c r="AYX105" s="44"/>
      <c r="AYY105" s="44"/>
      <c r="AYZ105" s="44"/>
      <c r="AZA105" s="44"/>
      <c r="AZB105" s="44"/>
      <c r="AZC105" s="44"/>
      <c r="AZD105" s="44"/>
      <c r="AZE105" s="44"/>
      <c r="AZF105" s="44"/>
      <c r="AZG105" s="44"/>
      <c r="AZH105" s="44"/>
      <c r="AZI105" s="44"/>
      <c r="AZJ105" s="44"/>
      <c r="AZK105" s="44"/>
      <c r="AZL105" s="44"/>
      <c r="AZM105" s="44"/>
      <c r="AZN105" s="44"/>
      <c r="AZO105" s="44"/>
      <c r="AZP105" s="44"/>
      <c r="AZQ105" s="44"/>
      <c r="AZR105" s="44"/>
      <c r="AZS105" s="44"/>
      <c r="AZT105" s="44"/>
      <c r="AZU105" s="44"/>
      <c r="AZV105" s="44"/>
      <c r="AZW105" s="44"/>
      <c r="AZX105" s="44"/>
      <c r="AZY105" s="44"/>
      <c r="AZZ105" s="44"/>
      <c r="BAA105" s="44"/>
      <c r="BAB105" s="44"/>
      <c r="BAC105" s="44"/>
      <c r="BAD105" s="44"/>
      <c r="BAE105" s="44"/>
      <c r="BAF105" s="44"/>
      <c r="BAG105" s="44"/>
      <c r="BAH105" s="44"/>
      <c r="BAI105" s="44"/>
      <c r="BAJ105" s="44"/>
      <c r="BAK105" s="44"/>
      <c r="BAL105" s="44"/>
      <c r="BAM105" s="44"/>
      <c r="BAN105" s="44"/>
      <c r="BAO105" s="44"/>
      <c r="BAP105" s="44"/>
      <c r="BAQ105" s="44"/>
      <c r="BAR105" s="44"/>
      <c r="BAS105" s="44"/>
      <c r="BAT105" s="44"/>
      <c r="BAU105" s="44"/>
      <c r="BAV105" s="44"/>
      <c r="BAW105" s="44"/>
      <c r="BAX105" s="44"/>
      <c r="BAY105" s="44"/>
      <c r="BAZ105" s="44"/>
      <c r="BBA105" s="44"/>
      <c r="BBB105" s="44"/>
      <c r="BBC105" s="44"/>
      <c r="BBD105" s="44"/>
      <c r="BBE105" s="44"/>
      <c r="BBF105" s="44"/>
      <c r="BBG105" s="44"/>
      <c r="BBH105" s="44"/>
      <c r="BBI105" s="44"/>
      <c r="BBJ105" s="44"/>
      <c r="BBK105" s="44"/>
      <c r="BBL105" s="44"/>
      <c r="BBM105" s="44"/>
      <c r="BBN105" s="44"/>
      <c r="BBO105" s="44"/>
      <c r="BBP105" s="44"/>
      <c r="BBQ105" s="44"/>
      <c r="BBR105" s="44"/>
      <c r="BBS105" s="44"/>
      <c r="BBT105" s="44"/>
      <c r="BBU105" s="44"/>
      <c r="BBV105" s="44"/>
      <c r="BBW105" s="44"/>
      <c r="BBX105" s="44"/>
      <c r="BBY105" s="44"/>
      <c r="BBZ105" s="44"/>
      <c r="BCA105" s="44"/>
      <c r="BCB105" s="44"/>
      <c r="BCC105" s="44"/>
      <c r="BCD105" s="44"/>
      <c r="BCE105" s="44"/>
      <c r="BCF105" s="44"/>
      <c r="BCG105" s="44"/>
      <c r="BCH105" s="44"/>
      <c r="BCI105" s="44"/>
      <c r="BCJ105" s="44"/>
      <c r="BCK105" s="44"/>
      <c r="BCL105" s="44"/>
      <c r="BCM105" s="44"/>
      <c r="BCN105" s="44"/>
      <c r="BCO105" s="44"/>
      <c r="BCP105" s="44"/>
      <c r="BCQ105" s="44"/>
      <c r="BCR105" s="44"/>
      <c r="BCS105" s="44"/>
      <c r="BCT105" s="44"/>
      <c r="BCU105" s="44"/>
      <c r="BCV105" s="44"/>
      <c r="BCW105" s="44"/>
      <c r="BCX105" s="44"/>
      <c r="BCY105" s="44"/>
      <c r="BCZ105" s="44"/>
      <c r="BDA105" s="44"/>
      <c r="BDB105" s="44"/>
      <c r="BDC105" s="44"/>
      <c r="BDD105" s="44"/>
      <c r="BDE105" s="44"/>
      <c r="BDF105" s="44"/>
      <c r="BDG105" s="44"/>
      <c r="BDH105" s="44"/>
      <c r="BDI105" s="44"/>
      <c r="BDJ105" s="44"/>
      <c r="BDK105" s="44"/>
      <c r="BDL105" s="44"/>
      <c r="BDM105" s="44"/>
      <c r="BDN105" s="44"/>
      <c r="BDO105" s="44"/>
      <c r="BDP105" s="44"/>
      <c r="BDQ105" s="44"/>
      <c r="BDR105" s="44"/>
      <c r="BDS105" s="44"/>
      <c r="BDT105" s="44"/>
      <c r="BDU105" s="44"/>
      <c r="BDV105" s="44"/>
      <c r="BDW105" s="44"/>
      <c r="BDX105" s="44"/>
      <c r="BDY105" s="44"/>
      <c r="BDZ105" s="44"/>
      <c r="BEA105" s="44"/>
      <c r="BEB105" s="44"/>
      <c r="BEC105" s="44"/>
      <c r="BED105" s="44"/>
      <c r="BEE105" s="44"/>
      <c r="BEF105" s="44"/>
      <c r="BEG105" s="44"/>
      <c r="BEH105" s="44"/>
      <c r="BEI105" s="44"/>
      <c r="BEJ105" s="44"/>
      <c r="BEK105" s="44"/>
      <c r="BEL105" s="44"/>
      <c r="BEM105" s="44"/>
      <c r="BEN105" s="44"/>
      <c r="BEO105" s="44"/>
      <c r="BEP105" s="44"/>
      <c r="BEQ105" s="44"/>
      <c r="BER105" s="44"/>
      <c r="BES105" s="44"/>
      <c r="BET105" s="44"/>
      <c r="BEU105" s="44"/>
      <c r="BEV105" s="44"/>
      <c r="BEW105" s="44"/>
      <c r="BEX105" s="44"/>
      <c r="BEY105" s="44"/>
      <c r="BEZ105" s="44"/>
      <c r="BFA105" s="44"/>
      <c r="BFB105" s="44"/>
      <c r="BFC105" s="44"/>
      <c r="BFD105" s="44"/>
      <c r="BFE105" s="44"/>
      <c r="BFF105" s="44"/>
      <c r="BFG105" s="44"/>
      <c r="BFH105" s="44"/>
      <c r="BFI105" s="44"/>
      <c r="BFJ105" s="44"/>
      <c r="BFK105" s="44"/>
      <c r="BFL105" s="44"/>
      <c r="BFM105" s="44"/>
      <c r="BFN105" s="44"/>
      <c r="BFO105" s="44"/>
      <c r="BFP105" s="44"/>
      <c r="BFQ105" s="44"/>
      <c r="BFR105" s="44"/>
      <c r="BFS105" s="44"/>
      <c r="BFT105" s="44"/>
      <c r="BFU105" s="44"/>
      <c r="BFV105" s="44"/>
      <c r="BFW105" s="44"/>
      <c r="BFX105" s="44"/>
      <c r="BFY105" s="44"/>
      <c r="BFZ105" s="44"/>
      <c r="BGA105" s="44"/>
      <c r="BGB105" s="44"/>
      <c r="BGC105" s="44"/>
      <c r="BGD105" s="44"/>
      <c r="BGE105" s="44"/>
      <c r="BGF105" s="44"/>
      <c r="BGG105" s="44"/>
      <c r="BGH105" s="44"/>
      <c r="BGI105" s="44"/>
      <c r="BGJ105" s="44"/>
      <c r="BGK105" s="44"/>
      <c r="BGL105" s="44"/>
      <c r="BGM105" s="44"/>
      <c r="BGN105" s="44"/>
      <c r="BGO105" s="44"/>
      <c r="BGP105" s="44"/>
      <c r="BGQ105" s="44"/>
      <c r="BGR105" s="44"/>
      <c r="BGS105" s="44"/>
      <c r="BGT105" s="44"/>
      <c r="BGU105" s="44"/>
      <c r="BGV105" s="44"/>
      <c r="BGW105" s="44"/>
      <c r="BGX105" s="44"/>
      <c r="BGY105" s="44"/>
      <c r="BGZ105" s="44"/>
      <c r="BHA105" s="44"/>
      <c r="BHB105" s="44"/>
      <c r="BHC105" s="44"/>
      <c r="BHD105" s="44"/>
      <c r="BHE105" s="44"/>
      <c r="BHF105" s="44"/>
      <c r="BHG105" s="44"/>
      <c r="BHH105" s="44"/>
      <c r="BHI105" s="44"/>
      <c r="BHJ105" s="44"/>
      <c r="BHK105" s="44"/>
      <c r="BHL105" s="44"/>
      <c r="BHM105" s="44"/>
      <c r="BHN105" s="44"/>
      <c r="BHO105" s="44"/>
      <c r="BHP105" s="44"/>
      <c r="BHQ105" s="44"/>
      <c r="BHR105" s="44"/>
      <c r="BHS105" s="44"/>
      <c r="BHT105" s="44"/>
      <c r="BHU105" s="44"/>
      <c r="BHV105" s="44"/>
      <c r="BHW105" s="44"/>
      <c r="BHX105" s="44"/>
      <c r="BHY105" s="44"/>
      <c r="BHZ105" s="44"/>
      <c r="BIA105" s="44"/>
      <c r="BIB105" s="44"/>
      <c r="BIC105" s="44"/>
      <c r="BID105" s="44"/>
      <c r="BIE105" s="44"/>
      <c r="BIF105" s="44"/>
      <c r="BIG105" s="44"/>
      <c r="BIH105" s="44"/>
      <c r="BII105" s="44"/>
      <c r="BIJ105" s="44"/>
      <c r="BIK105" s="44"/>
      <c r="BIL105" s="44"/>
      <c r="BIM105" s="44"/>
      <c r="BIN105" s="44"/>
      <c r="BIO105" s="44"/>
      <c r="BIP105" s="44"/>
      <c r="BIQ105" s="44"/>
      <c r="BIR105" s="44"/>
      <c r="BIS105" s="44"/>
      <c r="BIT105" s="44"/>
      <c r="BIU105" s="44"/>
      <c r="BIV105" s="44"/>
      <c r="BIW105" s="44"/>
      <c r="BIX105" s="44"/>
      <c r="BIY105" s="44"/>
      <c r="BIZ105" s="44"/>
      <c r="BJA105" s="44"/>
      <c r="BJB105" s="44"/>
      <c r="BJC105" s="44"/>
      <c r="BJD105" s="44"/>
      <c r="BJE105" s="44"/>
      <c r="BJF105" s="44"/>
      <c r="BJG105" s="44"/>
      <c r="BJH105" s="44"/>
      <c r="BJI105" s="44"/>
      <c r="BJJ105" s="44"/>
      <c r="BJK105" s="44"/>
      <c r="BJL105" s="44"/>
      <c r="BJM105" s="44"/>
      <c r="BJN105" s="44"/>
      <c r="BJO105" s="44"/>
      <c r="BJP105" s="44"/>
      <c r="BJQ105" s="44"/>
      <c r="BJR105" s="44"/>
      <c r="BJS105" s="44"/>
      <c r="BJT105" s="44"/>
      <c r="BJU105" s="44"/>
      <c r="BJV105" s="44"/>
      <c r="BJW105" s="44"/>
      <c r="BJX105" s="44"/>
      <c r="BJY105" s="44"/>
      <c r="BJZ105" s="44"/>
      <c r="BKA105" s="44"/>
      <c r="BKB105" s="44"/>
      <c r="BKC105" s="44"/>
      <c r="BKD105" s="44"/>
      <c r="BKE105" s="44"/>
      <c r="BKF105" s="44"/>
      <c r="BKG105" s="44"/>
      <c r="BKH105" s="44"/>
      <c r="BKI105" s="44"/>
      <c r="BKJ105" s="44"/>
      <c r="BKK105" s="44"/>
      <c r="BKL105" s="44"/>
      <c r="BKM105" s="44"/>
      <c r="BKN105" s="44"/>
      <c r="BKO105" s="44"/>
      <c r="BKP105" s="44"/>
      <c r="BKQ105" s="44"/>
      <c r="BKR105" s="44"/>
      <c r="BKS105" s="44"/>
      <c r="BKT105" s="44"/>
      <c r="BKU105" s="44"/>
      <c r="BKV105" s="44"/>
      <c r="BKW105" s="44"/>
      <c r="BKX105" s="44"/>
      <c r="BKY105" s="44"/>
      <c r="BKZ105" s="44"/>
      <c r="BLA105" s="44"/>
      <c r="BLB105" s="44"/>
      <c r="BLC105" s="44"/>
      <c r="BLD105" s="44"/>
      <c r="BLE105" s="44"/>
      <c r="BLF105" s="44"/>
      <c r="BLG105" s="44"/>
      <c r="BLH105" s="44"/>
      <c r="BLI105" s="44"/>
      <c r="BLJ105" s="44"/>
      <c r="BLK105" s="44"/>
      <c r="BLL105" s="44"/>
      <c r="BLM105" s="44"/>
      <c r="BLN105" s="44"/>
      <c r="BLO105" s="44"/>
      <c r="BLP105" s="44"/>
      <c r="BLQ105" s="44"/>
      <c r="BLR105" s="44"/>
      <c r="BLS105" s="44"/>
      <c r="BLT105" s="44"/>
      <c r="BLU105" s="44"/>
      <c r="BLV105" s="44"/>
      <c r="BLW105" s="44"/>
      <c r="BLX105" s="44"/>
      <c r="BLY105" s="44"/>
      <c r="BLZ105" s="44"/>
      <c r="BMA105" s="44"/>
      <c r="BMB105" s="44"/>
      <c r="BMC105" s="44"/>
      <c r="BMD105" s="44"/>
      <c r="BME105" s="44"/>
      <c r="BMF105" s="44"/>
      <c r="BMG105" s="44"/>
      <c r="BMH105" s="44"/>
      <c r="BMI105" s="44"/>
      <c r="BMJ105" s="44"/>
      <c r="BMK105" s="44"/>
      <c r="BML105" s="44"/>
      <c r="BMM105" s="44"/>
      <c r="BMN105" s="44"/>
      <c r="BMO105" s="44"/>
      <c r="BMP105" s="44"/>
      <c r="BMQ105" s="44"/>
      <c r="BMR105" s="44"/>
      <c r="BMS105" s="44"/>
      <c r="BMT105" s="44"/>
      <c r="BMU105" s="44"/>
      <c r="BMV105" s="44"/>
      <c r="BMW105" s="44"/>
      <c r="BMX105" s="44"/>
      <c r="BMY105" s="44"/>
      <c r="BMZ105" s="44"/>
      <c r="BNA105" s="44"/>
      <c r="BNB105" s="44"/>
      <c r="BNC105" s="44"/>
      <c r="BND105" s="44"/>
      <c r="BNE105" s="44"/>
      <c r="BNF105" s="44"/>
      <c r="BNG105" s="44"/>
      <c r="BNH105" s="44"/>
      <c r="BNI105" s="44"/>
      <c r="BNJ105" s="44"/>
      <c r="BNK105" s="44"/>
      <c r="BNL105" s="44"/>
      <c r="BNM105" s="44"/>
      <c r="BNN105" s="44"/>
      <c r="BNO105" s="44"/>
      <c r="BNP105" s="44"/>
      <c r="BNQ105" s="44"/>
      <c r="BNR105" s="44"/>
      <c r="BNS105" s="44"/>
      <c r="BNT105" s="44"/>
      <c r="BNU105" s="44"/>
      <c r="BNV105" s="44"/>
      <c r="BNW105" s="44"/>
      <c r="BNX105" s="44"/>
      <c r="BNY105" s="44"/>
      <c r="BNZ105" s="44"/>
      <c r="BOA105" s="44"/>
      <c r="BOB105" s="44"/>
      <c r="BOC105" s="44"/>
      <c r="BOD105" s="44"/>
      <c r="BOE105" s="44"/>
      <c r="BOF105" s="44"/>
      <c r="BOG105" s="44"/>
      <c r="BOH105" s="44"/>
      <c r="BOI105" s="44"/>
      <c r="BOJ105" s="44"/>
      <c r="BOK105" s="44"/>
      <c r="BOL105" s="44"/>
      <c r="BOM105" s="44"/>
      <c r="BON105" s="44"/>
      <c r="BOO105" s="44"/>
      <c r="BOP105" s="44"/>
      <c r="BOQ105" s="44"/>
      <c r="BOR105" s="44"/>
      <c r="BOS105" s="44"/>
      <c r="BOT105" s="44"/>
      <c r="BOU105" s="44"/>
      <c r="BOV105" s="44"/>
      <c r="BOW105" s="44"/>
      <c r="BOX105" s="44"/>
      <c r="BOY105" s="44"/>
      <c r="BOZ105" s="44"/>
      <c r="BPA105" s="44"/>
      <c r="BPB105" s="44"/>
      <c r="BPC105" s="44"/>
      <c r="BPD105" s="44"/>
      <c r="BPE105" s="44"/>
      <c r="BPF105" s="44"/>
      <c r="BPG105" s="44"/>
      <c r="BPH105" s="44"/>
      <c r="BPI105" s="44"/>
      <c r="BPJ105" s="44"/>
      <c r="BPK105" s="44"/>
      <c r="BPL105" s="44"/>
      <c r="BPM105" s="44"/>
      <c r="BPN105" s="44"/>
      <c r="BPO105" s="44"/>
      <c r="BPP105" s="44"/>
      <c r="BPQ105" s="44"/>
      <c r="BPR105" s="44"/>
      <c r="BPS105" s="44"/>
      <c r="BPT105" s="44"/>
      <c r="BPU105" s="44"/>
      <c r="BPV105" s="44"/>
      <c r="BPW105" s="44"/>
      <c r="BPX105" s="44"/>
      <c r="BPY105" s="44"/>
      <c r="BPZ105" s="44"/>
      <c r="BQA105" s="44"/>
      <c r="BQB105" s="44"/>
      <c r="BQC105" s="44"/>
      <c r="BQD105" s="44"/>
      <c r="BQE105" s="44"/>
      <c r="BQF105" s="44"/>
      <c r="BQG105" s="44"/>
      <c r="BQH105" s="44"/>
      <c r="BQI105" s="44"/>
      <c r="BQJ105" s="44"/>
      <c r="BQK105" s="44"/>
      <c r="BQL105" s="44"/>
      <c r="BQM105" s="44"/>
      <c r="BQN105" s="44"/>
      <c r="BQO105" s="44"/>
      <c r="BQP105" s="44"/>
      <c r="BQQ105" s="44"/>
      <c r="BQR105" s="44"/>
      <c r="BQS105" s="44"/>
      <c r="BQT105" s="44"/>
      <c r="BQU105" s="44"/>
      <c r="BQV105" s="44"/>
      <c r="BQW105" s="44"/>
      <c r="BQX105" s="44"/>
      <c r="BQY105" s="44"/>
      <c r="BQZ105" s="44"/>
      <c r="BRA105" s="44"/>
      <c r="BRB105" s="44"/>
      <c r="BRC105" s="44"/>
      <c r="BRD105" s="44"/>
      <c r="BRE105" s="44"/>
      <c r="BRF105" s="44"/>
      <c r="BRG105" s="44"/>
      <c r="BRH105" s="44"/>
      <c r="BRI105" s="44"/>
      <c r="BRJ105" s="44"/>
      <c r="BRK105" s="44"/>
      <c r="BRL105" s="44"/>
      <c r="BRM105" s="44"/>
      <c r="BRN105" s="44"/>
      <c r="BRO105" s="44"/>
      <c r="BRP105" s="44"/>
      <c r="BRQ105" s="44"/>
      <c r="BRR105" s="44"/>
      <c r="BRS105" s="44"/>
      <c r="BRT105" s="44"/>
      <c r="BRU105" s="44"/>
      <c r="BRV105" s="44"/>
      <c r="BRW105" s="44"/>
      <c r="BRX105" s="44"/>
      <c r="BRY105" s="44"/>
      <c r="BRZ105" s="44"/>
      <c r="BSA105" s="44"/>
      <c r="BSB105" s="44"/>
      <c r="BSC105" s="44"/>
      <c r="BSD105" s="44"/>
      <c r="BSE105" s="44"/>
      <c r="BSF105" s="44"/>
      <c r="BSG105" s="44"/>
      <c r="BSH105" s="44"/>
      <c r="BSI105" s="44"/>
      <c r="BSJ105" s="44"/>
      <c r="BSK105" s="44"/>
      <c r="BSL105" s="44"/>
      <c r="BSM105" s="44"/>
      <c r="BSN105" s="44"/>
      <c r="BSO105" s="44"/>
      <c r="BSP105" s="44"/>
      <c r="BSQ105" s="44"/>
      <c r="BSR105" s="44"/>
      <c r="BSS105" s="44"/>
      <c r="BST105" s="44"/>
      <c r="BSU105" s="44"/>
      <c r="BSV105" s="44"/>
      <c r="BSW105" s="44"/>
      <c r="BSX105" s="44"/>
      <c r="BSY105" s="44"/>
      <c r="BSZ105" s="44"/>
      <c r="BTA105" s="44"/>
      <c r="BTB105" s="44"/>
      <c r="BTC105" s="44"/>
      <c r="BTD105" s="44"/>
      <c r="BTE105" s="44"/>
      <c r="BTF105" s="44"/>
      <c r="BTG105" s="44"/>
      <c r="BTH105" s="44"/>
      <c r="BTI105" s="44"/>
      <c r="BTJ105" s="44"/>
      <c r="BTK105" s="44"/>
      <c r="BTL105" s="44"/>
      <c r="BTM105" s="44"/>
      <c r="BTN105" s="44"/>
      <c r="BTO105" s="44"/>
      <c r="BTP105" s="44"/>
      <c r="BTQ105" s="44"/>
      <c r="BTR105" s="44"/>
      <c r="BTS105" s="44"/>
      <c r="BTT105" s="44"/>
      <c r="BTU105" s="44"/>
      <c r="BTV105" s="44"/>
      <c r="BTW105" s="44"/>
      <c r="BTX105" s="44"/>
      <c r="BTY105" s="44"/>
      <c r="BTZ105" s="44"/>
      <c r="BUA105" s="44"/>
      <c r="BUB105" s="44"/>
      <c r="BUC105" s="44"/>
      <c r="BUD105" s="44"/>
      <c r="BUE105" s="44"/>
      <c r="BUF105" s="44"/>
      <c r="BUG105" s="44"/>
      <c r="BUH105" s="44"/>
      <c r="BUI105" s="44"/>
      <c r="BUJ105" s="44"/>
      <c r="BUK105" s="44"/>
      <c r="BUL105" s="44"/>
      <c r="BUM105" s="44"/>
      <c r="BUN105" s="44"/>
      <c r="BUO105" s="44"/>
      <c r="BUP105" s="44"/>
      <c r="BUQ105" s="44"/>
      <c r="BUR105" s="44"/>
      <c r="BUS105" s="44"/>
      <c r="BUT105" s="44"/>
      <c r="BUU105" s="44"/>
      <c r="BUV105" s="44"/>
      <c r="BUW105" s="44"/>
      <c r="BUX105" s="44"/>
      <c r="BUY105" s="44"/>
      <c r="BUZ105" s="44"/>
      <c r="BVA105" s="44"/>
      <c r="BVB105" s="44"/>
      <c r="BVC105" s="44"/>
      <c r="BVD105" s="44"/>
      <c r="BVE105" s="44"/>
      <c r="BVF105" s="44"/>
      <c r="BVG105" s="44"/>
      <c r="BVH105" s="44"/>
      <c r="BVI105" s="44"/>
      <c r="BVJ105" s="44"/>
      <c r="BVK105" s="44"/>
      <c r="BVL105" s="44"/>
      <c r="BVM105" s="44"/>
      <c r="BVN105" s="44"/>
      <c r="BVO105" s="44"/>
      <c r="BVP105" s="44"/>
      <c r="BVQ105" s="44"/>
      <c r="BVR105" s="44"/>
      <c r="BVS105" s="44"/>
      <c r="BVT105" s="44"/>
      <c r="BVU105" s="44"/>
      <c r="BVV105" s="44"/>
      <c r="BVW105" s="44"/>
      <c r="BVX105" s="44"/>
      <c r="BVY105" s="44"/>
      <c r="BVZ105" s="44"/>
      <c r="BWA105" s="44"/>
      <c r="BWB105" s="44"/>
      <c r="BWC105" s="44"/>
      <c r="BWD105" s="44"/>
      <c r="BWE105" s="44"/>
      <c r="BWF105" s="44"/>
      <c r="BWG105" s="44"/>
      <c r="BWH105" s="44"/>
      <c r="BWI105" s="44"/>
      <c r="BWJ105" s="44"/>
      <c r="BWK105" s="44"/>
      <c r="BWL105" s="44"/>
      <c r="BWM105" s="44"/>
      <c r="BWN105" s="44"/>
      <c r="BWO105" s="44"/>
      <c r="BWP105" s="44"/>
      <c r="BWQ105" s="44"/>
      <c r="BWR105" s="44"/>
      <c r="BWS105" s="44"/>
      <c r="BWT105" s="44"/>
      <c r="BWU105" s="44"/>
      <c r="BWV105" s="44"/>
      <c r="BWW105" s="44"/>
      <c r="BWX105" s="44"/>
      <c r="BWY105" s="44"/>
      <c r="BWZ105" s="44"/>
      <c r="BXA105" s="44"/>
      <c r="BXB105" s="44"/>
      <c r="BXC105" s="44"/>
      <c r="BXD105" s="44"/>
      <c r="BXE105" s="44"/>
      <c r="BXF105" s="44"/>
      <c r="BXG105" s="44"/>
      <c r="BXH105" s="44"/>
      <c r="BXI105" s="44"/>
      <c r="BXJ105" s="44"/>
      <c r="BXK105" s="44"/>
      <c r="BXL105" s="44"/>
      <c r="BXM105" s="44"/>
      <c r="BXN105" s="44"/>
      <c r="BXO105" s="44"/>
      <c r="BXP105" s="44"/>
      <c r="BXQ105" s="44"/>
      <c r="BXR105" s="44"/>
      <c r="BXS105" s="44"/>
      <c r="BXT105" s="44"/>
      <c r="BXU105" s="44"/>
      <c r="BXV105" s="44"/>
      <c r="BXW105" s="44"/>
      <c r="BXX105" s="44"/>
      <c r="BXY105" s="44"/>
      <c r="BXZ105" s="44"/>
      <c r="BYA105" s="44"/>
      <c r="BYB105" s="44"/>
      <c r="BYC105" s="44"/>
      <c r="BYD105" s="44"/>
      <c r="BYE105" s="44"/>
      <c r="BYF105" s="44"/>
      <c r="BYG105" s="44"/>
      <c r="BYH105" s="44"/>
      <c r="BYI105" s="44"/>
      <c r="BYJ105" s="44"/>
      <c r="BYK105" s="44"/>
      <c r="BYL105" s="44"/>
      <c r="BYM105" s="44"/>
      <c r="BYN105" s="44"/>
      <c r="BYO105" s="44"/>
      <c r="BYP105" s="44"/>
      <c r="BYQ105" s="44"/>
      <c r="BYR105" s="44"/>
      <c r="BYS105" s="44"/>
      <c r="BYT105" s="44"/>
      <c r="BYU105" s="44"/>
      <c r="BYV105" s="44"/>
      <c r="BYW105" s="44"/>
      <c r="BYX105" s="44"/>
      <c r="BYY105" s="44"/>
      <c r="BYZ105" s="44"/>
      <c r="BZA105" s="44"/>
      <c r="BZB105" s="44"/>
      <c r="BZC105" s="44"/>
      <c r="BZD105" s="44"/>
      <c r="BZE105" s="44"/>
      <c r="BZF105" s="44"/>
      <c r="BZG105" s="44"/>
      <c r="BZH105" s="44"/>
      <c r="BZI105" s="44"/>
      <c r="BZJ105" s="44"/>
      <c r="BZK105" s="44"/>
      <c r="BZL105" s="44"/>
      <c r="BZM105" s="44"/>
      <c r="BZN105" s="44"/>
      <c r="BZO105" s="44"/>
      <c r="BZP105" s="44"/>
      <c r="BZQ105" s="44"/>
      <c r="BZR105" s="44"/>
      <c r="BZS105" s="44"/>
      <c r="BZT105" s="44"/>
      <c r="BZU105" s="44"/>
      <c r="BZV105" s="44"/>
      <c r="BZW105" s="44"/>
      <c r="BZX105" s="44"/>
      <c r="BZY105" s="44"/>
      <c r="BZZ105" s="44"/>
      <c r="CAA105" s="44"/>
      <c r="CAB105" s="44"/>
      <c r="CAC105" s="44"/>
      <c r="CAD105" s="44"/>
      <c r="CAE105" s="44"/>
      <c r="CAF105" s="44"/>
      <c r="CAG105" s="44"/>
      <c r="CAH105" s="44"/>
      <c r="CAI105" s="44"/>
      <c r="CAJ105" s="44"/>
      <c r="CAK105" s="44"/>
      <c r="CAL105" s="44"/>
      <c r="CAM105" s="44"/>
      <c r="CAN105" s="44"/>
      <c r="CAO105" s="44"/>
      <c r="CAP105" s="44"/>
      <c r="CAQ105" s="44"/>
      <c r="CAR105" s="44"/>
      <c r="CAS105" s="44"/>
      <c r="CAT105" s="44"/>
      <c r="CAU105" s="44"/>
      <c r="CAV105" s="44"/>
      <c r="CAW105" s="44"/>
      <c r="CAX105" s="44"/>
      <c r="CAY105" s="44"/>
      <c r="CAZ105" s="44"/>
      <c r="CBA105" s="44"/>
      <c r="CBB105" s="44"/>
      <c r="CBC105" s="44"/>
      <c r="CBD105" s="44"/>
      <c r="CBE105" s="44"/>
      <c r="CBF105" s="44"/>
      <c r="CBG105" s="44"/>
      <c r="CBH105" s="44"/>
      <c r="CBI105" s="44"/>
      <c r="CBJ105" s="44"/>
      <c r="CBK105" s="44"/>
      <c r="CBL105" s="44"/>
      <c r="CBM105" s="44"/>
      <c r="CBN105" s="44"/>
      <c r="CBO105" s="44"/>
      <c r="CBP105" s="44"/>
      <c r="CBQ105" s="44"/>
      <c r="CBR105" s="44"/>
      <c r="CBS105" s="44"/>
      <c r="CBT105" s="44"/>
      <c r="CBU105" s="44"/>
      <c r="CBV105" s="44"/>
      <c r="CBW105" s="44"/>
      <c r="CBX105" s="44"/>
      <c r="CBY105" s="44"/>
      <c r="CBZ105" s="44"/>
      <c r="CCA105" s="44"/>
      <c r="CCB105" s="44"/>
      <c r="CCC105" s="44"/>
      <c r="CCD105" s="44"/>
      <c r="CCE105" s="44"/>
      <c r="CCF105" s="44"/>
      <c r="CCG105" s="44"/>
      <c r="CCH105" s="44"/>
      <c r="CCI105" s="44"/>
      <c r="CCJ105" s="44"/>
      <c r="CCK105" s="44"/>
      <c r="CCL105" s="44"/>
      <c r="CCM105" s="44"/>
      <c r="CCN105" s="44"/>
      <c r="CCO105" s="44"/>
      <c r="CCP105" s="44"/>
      <c r="CCQ105" s="44"/>
      <c r="CCR105" s="44"/>
      <c r="CCS105" s="44"/>
      <c r="CCT105" s="44"/>
      <c r="CCU105" s="44"/>
      <c r="CCV105" s="44"/>
      <c r="CCW105" s="44"/>
      <c r="CCX105" s="44"/>
      <c r="CCY105" s="44"/>
      <c r="CCZ105" s="44"/>
      <c r="CDA105" s="44"/>
      <c r="CDB105" s="44"/>
      <c r="CDC105" s="44"/>
      <c r="CDD105" s="44"/>
      <c r="CDE105" s="44"/>
      <c r="CDF105" s="44"/>
      <c r="CDG105" s="44"/>
      <c r="CDH105" s="44"/>
      <c r="CDI105" s="44"/>
      <c r="CDJ105" s="44"/>
      <c r="CDK105" s="44"/>
      <c r="CDL105" s="44"/>
      <c r="CDM105" s="44"/>
      <c r="CDN105" s="44"/>
      <c r="CDO105" s="44"/>
      <c r="CDP105" s="44"/>
      <c r="CDQ105" s="44"/>
      <c r="CDR105" s="44"/>
      <c r="CDS105" s="44"/>
      <c r="CDT105" s="44"/>
      <c r="CDU105" s="44"/>
      <c r="CDV105" s="44"/>
      <c r="CDW105" s="44"/>
      <c r="CDX105" s="44"/>
      <c r="CDY105" s="44"/>
      <c r="CDZ105" s="44"/>
      <c r="CEA105" s="44"/>
      <c r="CEB105" s="44"/>
      <c r="CEC105" s="44"/>
      <c r="CED105" s="44"/>
      <c r="CEE105" s="44"/>
      <c r="CEF105" s="44"/>
      <c r="CEG105" s="44"/>
      <c r="CEH105" s="44"/>
      <c r="CEI105" s="44"/>
      <c r="CEJ105" s="44"/>
      <c r="CEK105" s="44"/>
      <c r="CEL105" s="44"/>
      <c r="CEM105" s="44"/>
      <c r="CEN105" s="44"/>
      <c r="CEO105" s="44"/>
      <c r="CEP105" s="44"/>
      <c r="CEQ105" s="44"/>
      <c r="CER105" s="44"/>
      <c r="CES105" s="44"/>
      <c r="CET105" s="44"/>
      <c r="CEU105" s="44"/>
      <c r="CEV105" s="44"/>
      <c r="CEW105" s="44"/>
      <c r="CEX105" s="44"/>
      <c r="CEY105" s="44"/>
      <c r="CEZ105" s="44"/>
      <c r="CFA105" s="44"/>
      <c r="CFB105" s="44"/>
      <c r="CFC105" s="44"/>
      <c r="CFD105" s="44"/>
      <c r="CFE105" s="44"/>
      <c r="CFF105" s="44"/>
      <c r="CFG105" s="44"/>
      <c r="CFH105" s="44"/>
      <c r="CFI105" s="44"/>
      <c r="CFJ105" s="44"/>
      <c r="CFK105" s="44"/>
      <c r="CFL105" s="44"/>
      <c r="CFM105" s="44"/>
      <c r="CFN105" s="44"/>
      <c r="CFO105" s="44"/>
      <c r="CFP105" s="44"/>
      <c r="CFQ105" s="44"/>
      <c r="CFR105" s="44"/>
      <c r="CFS105" s="44"/>
      <c r="CFT105" s="44"/>
      <c r="CFU105" s="44"/>
      <c r="CFV105" s="44"/>
      <c r="CFW105" s="44"/>
      <c r="CFX105" s="44"/>
      <c r="CFY105" s="44"/>
      <c r="CFZ105" s="44"/>
      <c r="CGA105" s="44"/>
      <c r="CGB105" s="44"/>
      <c r="CGC105" s="44"/>
      <c r="CGD105" s="44"/>
      <c r="CGE105" s="44"/>
      <c r="CGF105" s="44"/>
      <c r="CGG105" s="44"/>
      <c r="CGH105" s="44"/>
      <c r="CGI105" s="44"/>
      <c r="CGJ105" s="44"/>
      <c r="CGK105" s="44"/>
      <c r="CGL105" s="44"/>
      <c r="CGM105" s="44"/>
      <c r="CGN105" s="44"/>
      <c r="CGO105" s="44"/>
      <c r="CGP105" s="44"/>
      <c r="CGQ105" s="44"/>
      <c r="CGR105" s="44"/>
      <c r="CGS105" s="44"/>
      <c r="CGT105" s="44"/>
      <c r="CGU105" s="44"/>
      <c r="CGV105" s="44"/>
      <c r="CGW105" s="44"/>
      <c r="CGX105" s="44"/>
      <c r="CGY105" s="44"/>
      <c r="CGZ105" s="44"/>
      <c r="CHA105" s="44"/>
      <c r="CHB105" s="44"/>
      <c r="CHC105" s="44"/>
      <c r="CHD105" s="44"/>
      <c r="CHE105" s="44"/>
      <c r="CHF105" s="44"/>
      <c r="CHG105" s="44"/>
      <c r="CHH105" s="44"/>
      <c r="CHI105" s="44"/>
      <c r="CHJ105" s="44"/>
      <c r="CHK105" s="44"/>
      <c r="CHL105" s="44"/>
      <c r="CHM105" s="44"/>
      <c r="CHN105" s="44"/>
      <c r="CHO105" s="44"/>
      <c r="CHP105" s="44"/>
      <c r="CHQ105" s="44"/>
      <c r="CHR105" s="44"/>
      <c r="CHS105" s="44"/>
      <c r="CHT105" s="44"/>
      <c r="CHU105" s="44"/>
      <c r="CHV105" s="44"/>
      <c r="CHW105" s="44"/>
      <c r="CHX105" s="44"/>
      <c r="CHY105" s="44"/>
      <c r="CHZ105" s="44"/>
      <c r="CIA105" s="44"/>
      <c r="CIB105" s="44"/>
      <c r="CIC105" s="44"/>
      <c r="CID105" s="44"/>
      <c r="CIE105" s="44"/>
      <c r="CIF105" s="44"/>
      <c r="CIG105" s="44"/>
      <c r="CIH105" s="44"/>
      <c r="CII105" s="44"/>
      <c r="CIJ105" s="44"/>
      <c r="CIK105" s="44"/>
      <c r="CIL105" s="44"/>
      <c r="CIM105" s="44"/>
      <c r="CIN105" s="44"/>
      <c r="CIO105" s="44"/>
      <c r="CIP105" s="44"/>
      <c r="CIQ105" s="44"/>
      <c r="CIR105" s="44"/>
      <c r="CIS105" s="44"/>
      <c r="CIT105" s="44"/>
      <c r="CIU105" s="44"/>
      <c r="CIV105" s="44"/>
      <c r="CIW105" s="44"/>
      <c r="CIX105" s="44"/>
      <c r="CIY105" s="44"/>
      <c r="CIZ105" s="44"/>
      <c r="CJA105" s="44"/>
      <c r="CJB105" s="44"/>
      <c r="CJC105" s="44"/>
      <c r="CJD105" s="44"/>
      <c r="CJE105" s="44"/>
      <c r="CJF105" s="44"/>
      <c r="CJG105" s="44"/>
      <c r="CJH105" s="44"/>
      <c r="CJI105" s="44"/>
      <c r="CJJ105" s="44"/>
      <c r="CJK105" s="44"/>
      <c r="CJL105" s="44"/>
      <c r="CJM105" s="44"/>
      <c r="CJN105" s="44"/>
      <c r="CJO105" s="44"/>
      <c r="CJP105" s="44"/>
      <c r="CJQ105" s="44"/>
      <c r="CJR105" s="44"/>
      <c r="CJS105" s="44"/>
      <c r="CJT105" s="44"/>
      <c r="CJU105" s="44"/>
      <c r="CJV105" s="44"/>
      <c r="CJW105" s="44"/>
      <c r="CJX105" s="44"/>
      <c r="CJY105" s="44"/>
      <c r="CJZ105" s="44"/>
      <c r="CKA105" s="44"/>
      <c r="CKB105" s="44"/>
      <c r="CKC105" s="44"/>
      <c r="CKD105" s="44"/>
      <c r="CKE105" s="44"/>
      <c r="CKF105" s="44"/>
      <c r="CKG105" s="44"/>
      <c r="CKH105" s="44"/>
      <c r="CKI105" s="44"/>
      <c r="CKJ105" s="44"/>
      <c r="CKK105" s="44"/>
      <c r="CKL105" s="44"/>
      <c r="CKM105" s="44"/>
      <c r="CKN105" s="44"/>
      <c r="CKO105" s="44"/>
      <c r="CKP105" s="44"/>
      <c r="CKQ105" s="44"/>
      <c r="CKR105" s="44"/>
      <c r="CKS105" s="44"/>
      <c r="CKT105" s="44"/>
      <c r="CKU105" s="44"/>
      <c r="CKV105" s="44"/>
      <c r="CKW105" s="44"/>
      <c r="CKX105" s="44"/>
      <c r="CKY105" s="44"/>
      <c r="CKZ105" s="44"/>
      <c r="CLA105" s="44"/>
      <c r="CLB105" s="44"/>
      <c r="CLC105" s="44"/>
      <c r="CLD105" s="44"/>
      <c r="CLE105" s="44"/>
      <c r="CLF105" s="44"/>
      <c r="CLG105" s="44"/>
      <c r="CLH105" s="44"/>
      <c r="CLI105" s="44"/>
      <c r="CLJ105" s="44"/>
      <c r="CLK105" s="44"/>
      <c r="CLL105" s="44"/>
      <c r="CLM105" s="44"/>
      <c r="CLN105" s="44"/>
      <c r="CLO105" s="44"/>
      <c r="CLP105" s="44"/>
      <c r="CLQ105" s="44"/>
      <c r="CLR105" s="44"/>
      <c r="CLS105" s="44"/>
      <c r="CLT105" s="44"/>
      <c r="CLU105" s="44"/>
      <c r="CLV105" s="44"/>
      <c r="CLW105" s="44"/>
      <c r="CLX105" s="44"/>
      <c r="CLY105" s="44"/>
      <c r="CLZ105" s="44"/>
      <c r="CMA105" s="44"/>
      <c r="CMB105" s="44"/>
      <c r="CMC105" s="44"/>
      <c r="CMD105" s="44"/>
      <c r="CME105" s="44"/>
      <c r="CMF105" s="44"/>
      <c r="CMG105" s="44"/>
      <c r="CMH105" s="44"/>
      <c r="CMI105" s="44"/>
      <c r="CMJ105" s="44"/>
      <c r="CMK105" s="44"/>
      <c r="CML105" s="44"/>
      <c r="CMM105" s="44"/>
      <c r="CMN105" s="44"/>
      <c r="CMO105" s="44"/>
      <c r="CMP105" s="44"/>
      <c r="CMQ105" s="44"/>
      <c r="CMR105" s="44"/>
      <c r="CMS105" s="44"/>
      <c r="CMT105" s="44"/>
      <c r="CMU105" s="44"/>
      <c r="CMV105" s="44"/>
      <c r="CMW105" s="44"/>
      <c r="CMX105" s="44"/>
      <c r="CMY105" s="44"/>
      <c r="CMZ105" s="44"/>
      <c r="CNA105" s="44"/>
      <c r="CNB105" s="44"/>
      <c r="CNC105" s="44"/>
      <c r="CND105" s="44"/>
      <c r="CNE105" s="44"/>
      <c r="CNF105" s="44"/>
      <c r="CNG105" s="44"/>
      <c r="CNH105" s="44"/>
      <c r="CNI105" s="44"/>
      <c r="CNJ105" s="44"/>
      <c r="CNK105" s="44"/>
      <c r="CNL105" s="44"/>
      <c r="CNM105" s="44"/>
      <c r="CNN105" s="44"/>
      <c r="CNO105" s="44"/>
      <c r="CNP105" s="44"/>
      <c r="CNQ105" s="44"/>
      <c r="CNR105" s="44"/>
      <c r="CNS105" s="44"/>
      <c r="CNT105" s="44"/>
      <c r="CNU105" s="44"/>
      <c r="CNV105" s="44"/>
      <c r="CNW105" s="44"/>
      <c r="CNX105" s="44"/>
      <c r="CNY105" s="44"/>
      <c r="CNZ105" s="44"/>
      <c r="COA105" s="44"/>
      <c r="COB105" s="44"/>
      <c r="COC105" s="44"/>
      <c r="COD105" s="44"/>
      <c r="COE105" s="44"/>
      <c r="COF105" s="44"/>
      <c r="COG105" s="44"/>
      <c r="COH105" s="44"/>
      <c r="COI105" s="44"/>
      <c r="COJ105" s="44"/>
      <c r="COK105" s="44"/>
      <c r="COL105" s="44"/>
      <c r="COM105" s="44"/>
      <c r="CON105" s="44"/>
      <c r="COO105" s="44"/>
      <c r="COP105" s="44"/>
      <c r="COQ105" s="44"/>
      <c r="COR105" s="44"/>
      <c r="COS105" s="44"/>
      <c r="COT105" s="44"/>
      <c r="COU105" s="44"/>
      <c r="COV105" s="44"/>
      <c r="COW105" s="44"/>
      <c r="COX105" s="44"/>
      <c r="COY105" s="44"/>
      <c r="COZ105" s="44"/>
      <c r="CPA105" s="44"/>
      <c r="CPB105" s="44"/>
      <c r="CPC105" s="44"/>
      <c r="CPD105" s="44"/>
      <c r="CPE105" s="44"/>
      <c r="CPF105" s="44"/>
      <c r="CPG105" s="44"/>
      <c r="CPH105" s="44"/>
      <c r="CPI105" s="44"/>
      <c r="CPJ105" s="44"/>
      <c r="CPK105" s="44"/>
      <c r="CPL105" s="44"/>
      <c r="CPM105" s="44"/>
      <c r="CPN105" s="44"/>
      <c r="CPO105" s="44"/>
      <c r="CPP105" s="44"/>
      <c r="CPQ105" s="44"/>
      <c r="CPR105" s="44"/>
      <c r="CPS105" s="44"/>
      <c r="CPT105" s="44"/>
      <c r="CPU105" s="44"/>
      <c r="CPV105" s="44"/>
      <c r="CPW105" s="44"/>
      <c r="CPX105" s="44"/>
      <c r="CPY105" s="44"/>
      <c r="CPZ105" s="44"/>
      <c r="CQA105" s="44"/>
      <c r="CQB105" s="44"/>
      <c r="CQC105" s="44"/>
      <c r="CQD105" s="44"/>
      <c r="CQE105" s="44"/>
      <c r="CQF105" s="44"/>
      <c r="CQG105" s="44"/>
      <c r="CQH105" s="44"/>
      <c r="CQI105" s="44"/>
      <c r="CQJ105" s="44"/>
      <c r="CQK105" s="44"/>
      <c r="CQL105" s="44"/>
      <c r="CQM105" s="44"/>
      <c r="CQN105" s="44"/>
      <c r="CQO105" s="44"/>
      <c r="CQP105" s="44"/>
      <c r="CQQ105" s="44"/>
      <c r="CQR105" s="44"/>
      <c r="CQS105" s="44"/>
      <c r="CQT105" s="44"/>
      <c r="CQU105" s="44"/>
      <c r="CQV105" s="44"/>
      <c r="CQW105" s="44"/>
      <c r="CQX105" s="44"/>
      <c r="CQY105" s="44"/>
      <c r="CQZ105" s="44"/>
      <c r="CRA105" s="44"/>
      <c r="CRB105" s="44"/>
      <c r="CRC105" s="44"/>
      <c r="CRD105" s="44"/>
      <c r="CRE105" s="44"/>
      <c r="CRF105" s="44"/>
      <c r="CRG105" s="44"/>
      <c r="CRH105" s="44"/>
      <c r="CRI105" s="44"/>
      <c r="CRJ105" s="44"/>
      <c r="CRK105" s="44"/>
      <c r="CRL105" s="44"/>
      <c r="CRM105" s="44"/>
      <c r="CRN105" s="44"/>
      <c r="CRO105" s="44"/>
      <c r="CRP105" s="44"/>
      <c r="CRQ105" s="44"/>
      <c r="CRR105" s="44"/>
      <c r="CRS105" s="44"/>
      <c r="CRT105" s="44"/>
      <c r="CRU105" s="44"/>
      <c r="CRV105" s="44"/>
      <c r="CRW105" s="44"/>
      <c r="CRX105" s="44"/>
      <c r="CRY105" s="44"/>
      <c r="CRZ105" s="44"/>
      <c r="CSA105" s="44"/>
      <c r="CSB105" s="44"/>
      <c r="CSC105" s="44"/>
      <c r="CSD105" s="44"/>
      <c r="CSE105" s="44"/>
      <c r="CSF105" s="44"/>
      <c r="CSG105" s="44"/>
      <c r="CSH105" s="44"/>
      <c r="CSI105" s="44"/>
      <c r="CSJ105" s="44"/>
      <c r="CSK105" s="44"/>
      <c r="CSL105" s="44"/>
      <c r="CSM105" s="44"/>
      <c r="CSN105" s="44"/>
      <c r="CSO105" s="44"/>
      <c r="CSP105" s="44"/>
      <c r="CSQ105" s="44"/>
      <c r="CSR105" s="44"/>
      <c r="CSS105" s="44"/>
      <c r="CST105" s="44"/>
      <c r="CSU105" s="44"/>
      <c r="CSV105" s="44"/>
      <c r="CSW105" s="44"/>
      <c r="CSX105" s="44"/>
      <c r="CSY105" s="44"/>
      <c r="CSZ105" s="44"/>
      <c r="CTA105" s="44"/>
      <c r="CTB105" s="44"/>
      <c r="CTC105" s="44"/>
      <c r="CTD105" s="44"/>
      <c r="CTE105" s="44"/>
      <c r="CTF105" s="44"/>
      <c r="CTG105" s="44"/>
      <c r="CTH105" s="44"/>
      <c r="CTI105" s="44"/>
      <c r="CTJ105" s="44"/>
      <c r="CTK105" s="44"/>
      <c r="CTL105" s="44"/>
      <c r="CTM105" s="44"/>
      <c r="CTN105" s="44"/>
      <c r="CTO105" s="44"/>
      <c r="CTP105" s="44"/>
      <c r="CTQ105" s="44"/>
      <c r="CTR105" s="44"/>
      <c r="CTS105" s="44"/>
      <c r="CTT105" s="44"/>
      <c r="CTU105" s="44"/>
      <c r="CTV105" s="44"/>
      <c r="CTW105" s="44"/>
      <c r="CTX105" s="44"/>
      <c r="CTY105" s="44"/>
      <c r="CTZ105" s="44"/>
      <c r="CUA105" s="44"/>
      <c r="CUB105" s="44"/>
      <c r="CUC105" s="44"/>
      <c r="CUD105" s="44"/>
      <c r="CUE105" s="44"/>
      <c r="CUF105" s="44"/>
      <c r="CUG105" s="44"/>
      <c r="CUH105" s="44"/>
      <c r="CUI105" s="44"/>
      <c r="CUJ105" s="44"/>
      <c r="CUK105" s="44"/>
      <c r="CUL105" s="44"/>
      <c r="CUM105" s="44"/>
      <c r="CUN105" s="44"/>
      <c r="CUO105" s="44"/>
      <c r="CUP105" s="44"/>
      <c r="CUQ105" s="44"/>
      <c r="CUR105" s="44"/>
      <c r="CUS105" s="44"/>
      <c r="CUT105" s="44"/>
      <c r="CUU105" s="44"/>
      <c r="CUV105" s="44"/>
      <c r="CUW105" s="44"/>
      <c r="CUX105" s="44"/>
      <c r="CUY105" s="44"/>
      <c r="CUZ105" s="44"/>
      <c r="CVA105" s="44"/>
      <c r="CVB105" s="44"/>
      <c r="CVC105" s="44"/>
      <c r="CVD105" s="44"/>
      <c r="CVE105" s="44"/>
      <c r="CVF105" s="44"/>
      <c r="CVG105" s="44"/>
      <c r="CVH105" s="44"/>
      <c r="CVI105" s="44"/>
      <c r="CVJ105" s="44"/>
      <c r="CVK105" s="44"/>
      <c r="CVL105" s="44"/>
      <c r="CVM105" s="44"/>
      <c r="CVN105" s="44"/>
      <c r="CVO105" s="44"/>
      <c r="CVP105" s="44"/>
      <c r="CVQ105" s="44"/>
      <c r="CVR105" s="44"/>
      <c r="CVS105" s="44"/>
      <c r="CVT105" s="44"/>
      <c r="CVU105" s="44"/>
      <c r="CVV105" s="44"/>
      <c r="CVW105" s="44"/>
      <c r="CVX105" s="44"/>
      <c r="CVY105" s="44"/>
      <c r="CVZ105" s="44"/>
      <c r="CWA105" s="44"/>
      <c r="CWB105" s="44"/>
      <c r="CWC105" s="44"/>
      <c r="CWD105" s="44"/>
      <c r="CWE105" s="44"/>
      <c r="CWF105" s="44"/>
      <c r="CWG105" s="44"/>
      <c r="CWH105" s="44"/>
      <c r="CWI105" s="44"/>
      <c r="CWJ105" s="44"/>
      <c r="CWK105" s="44"/>
      <c r="CWL105" s="44"/>
      <c r="CWM105" s="44"/>
      <c r="CWN105" s="44"/>
      <c r="CWO105" s="44"/>
      <c r="CWP105" s="44"/>
      <c r="CWQ105" s="44"/>
      <c r="CWR105" s="44"/>
      <c r="CWS105" s="44"/>
      <c r="CWT105" s="44"/>
      <c r="CWU105" s="44"/>
      <c r="CWV105" s="44"/>
      <c r="CWW105" s="44"/>
      <c r="CWX105" s="44"/>
      <c r="CWY105" s="44"/>
      <c r="CWZ105" s="44"/>
      <c r="CXA105" s="44"/>
      <c r="CXB105" s="44"/>
      <c r="CXC105" s="44"/>
      <c r="CXD105" s="44"/>
      <c r="CXE105" s="44"/>
      <c r="CXF105" s="44"/>
      <c r="CXG105" s="44"/>
      <c r="CXH105" s="44"/>
      <c r="CXI105" s="44"/>
      <c r="CXJ105" s="44"/>
      <c r="CXK105" s="44"/>
      <c r="CXL105" s="44"/>
      <c r="CXM105" s="44"/>
      <c r="CXN105" s="44"/>
      <c r="CXO105" s="44"/>
      <c r="CXP105" s="44"/>
      <c r="CXQ105" s="44"/>
      <c r="CXR105" s="44"/>
      <c r="CXS105" s="44"/>
      <c r="CXT105" s="44"/>
      <c r="CXU105" s="44"/>
      <c r="CXV105" s="44"/>
      <c r="CXW105" s="44"/>
      <c r="CXX105" s="44"/>
      <c r="CXY105" s="44"/>
      <c r="CXZ105" s="44"/>
      <c r="CYA105" s="44"/>
      <c r="CYB105" s="44"/>
      <c r="CYC105" s="44"/>
      <c r="CYD105" s="44"/>
      <c r="CYE105" s="44"/>
      <c r="CYF105" s="44"/>
      <c r="CYG105" s="44"/>
      <c r="CYH105" s="44"/>
      <c r="CYI105" s="44"/>
      <c r="CYJ105" s="44"/>
      <c r="CYK105" s="44"/>
      <c r="CYL105" s="44"/>
      <c r="CYM105" s="44"/>
      <c r="CYN105" s="44"/>
      <c r="CYO105" s="44"/>
      <c r="CYP105" s="44"/>
      <c r="CYQ105" s="44"/>
      <c r="CYR105" s="44"/>
      <c r="CYS105" s="44"/>
      <c r="CYT105" s="44"/>
      <c r="CYU105" s="44"/>
      <c r="CYV105" s="44"/>
      <c r="CYW105" s="44"/>
      <c r="CYX105" s="44"/>
      <c r="CYY105" s="44"/>
      <c r="CYZ105" s="44"/>
      <c r="CZA105" s="44"/>
      <c r="CZB105" s="44"/>
      <c r="CZC105" s="44"/>
      <c r="CZD105" s="44"/>
      <c r="CZE105" s="44"/>
      <c r="CZF105" s="44"/>
      <c r="CZG105" s="44"/>
      <c r="CZH105" s="44"/>
      <c r="CZI105" s="44"/>
      <c r="CZJ105" s="44"/>
      <c r="CZK105" s="44"/>
      <c r="CZL105" s="44"/>
      <c r="CZM105" s="44"/>
      <c r="CZN105" s="44"/>
      <c r="CZO105" s="44"/>
      <c r="CZP105" s="44"/>
      <c r="CZQ105" s="44"/>
      <c r="CZR105" s="44"/>
      <c r="CZS105" s="44"/>
      <c r="CZT105" s="44"/>
      <c r="CZU105" s="44"/>
      <c r="CZV105" s="44"/>
      <c r="CZW105" s="44"/>
      <c r="CZX105" s="44"/>
      <c r="CZY105" s="44"/>
      <c r="CZZ105" s="44"/>
      <c r="DAA105" s="44"/>
      <c r="DAB105" s="44"/>
      <c r="DAC105" s="44"/>
      <c r="DAD105" s="44"/>
      <c r="DAE105" s="44"/>
      <c r="DAF105" s="44"/>
      <c r="DAG105" s="44"/>
      <c r="DAH105" s="44"/>
      <c r="DAI105" s="44"/>
      <c r="DAJ105" s="44"/>
      <c r="DAK105" s="44"/>
      <c r="DAL105" s="44"/>
      <c r="DAM105" s="44"/>
      <c r="DAN105" s="44"/>
      <c r="DAO105" s="44"/>
      <c r="DAP105" s="44"/>
      <c r="DAQ105" s="44"/>
      <c r="DAR105" s="44"/>
      <c r="DAS105" s="44"/>
      <c r="DAT105" s="44"/>
      <c r="DAU105" s="44"/>
      <c r="DAV105" s="44"/>
      <c r="DAW105" s="44"/>
      <c r="DAX105" s="44"/>
      <c r="DAY105" s="44"/>
      <c r="DAZ105" s="44"/>
      <c r="DBA105" s="44"/>
      <c r="DBB105" s="44"/>
      <c r="DBC105" s="44"/>
      <c r="DBD105" s="44"/>
      <c r="DBE105" s="44"/>
      <c r="DBF105" s="44"/>
      <c r="DBG105" s="44"/>
      <c r="DBH105" s="44"/>
      <c r="DBI105" s="44"/>
      <c r="DBJ105" s="44"/>
      <c r="DBK105" s="44"/>
      <c r="DBL105" s="44"/>
      <c r="DBM105" s="44"/>
      <c r="DBN105" s="44"/>
      <c r="DBO105" s="44"/>
      <c r="DBP105" s="44"/>
      <c r="DBQ105" s="44"/>
      <c r="DBR105" s="44"/>
      <c r="DBS105" s="44"/>
      <c r="DBT105" s="44"/>
      <c r="DBU105" s="44"/>
      <c r="DBV105" s="44"/>
      <c r="DBW105" s="44"/>
      <c r="DBX105" s="44"/>
      <c r="DBY105" s="44"/>
      <c r="DBZ105" s="44"/>
      <c r="DCA105" s="44"/>
      <c r="DCB105" s="44"/>
      <c r="DCC105" s="44"/>
      <c r="DCD105" s="44"/>
      <c r="DCE105" s="44"/>
      <c r="DCF105" s="44"/>
      <c r="DCG105" s="44"/>
      <c r="DCH105" s="44"/>
      <c r="DCI105" s="44"/>
      <c r="DCJ105" s="44"/>
      <c r="DCK105" s="44"/>
      <c r="DCL105" s="44"/>
      <c r="DCM105" s="44"/>
      <c r="DCN105" s="44"/>
      <c r="DCO105" s="44"/>
      <c r="DCP105" s="44"/>
      <c r="DCQ105" s="44"/>
      <c r="DCR105" s="44"/>
      <c r="DCS105" s="44"/>
      <c r="DCT105" s="44"/>
      <c r="DCU105" s="44"/>
      <c r="DCV105" s="44"/>
      <c r="DCW105" s="44"/>
      <c r="DCX105" s="44"/>
      <c r="DCY105" s="44"/>
      <c r="DCZ105" s="44"/>
      <c r="DDA105" s="44"/>
      <c r="DDB105" s="44"/>
      <c r="DDC105" s="44"/>
      <c r="DDD105" s="44"/>
      <c r="DDE105" s="44"/>
      <c r="DDF105" s="44"/>
      <c r="DDG105" s="44"/>
      <c r="DDH105" s="44"/>
      <c r="DDI105" s="44"/>
      <c r="DDJ105" s="44"/>
      <c r="DDK105" s="44"/>
      <c r="DDL105" s="44"/>
      <c r="DDM105" s="44"/>
      <c r="DDN105" s="44"/>
      <c r="DDO105" s="44"/>
      <c r="DDP105" s="44"/>
      <c r="DDQ105" s="44"/>
      <c r="DDR105" s="44"/>
      <c r="DDS105" s="44"/>
      <c r="DDT105" s="44"/>
      <c r="DDU105" s="44"/>
      <c r="DDV105" s="44"/>
      <c r="DDW105" s="44"/>
      <c r="DDX105" s="44"/>
      <c r="DDY105" s="44"/>
      <c r="DDZ105" s="44"/>
      <c r="DEA105" s="44"/>
      <c r="DEB105" s="44"/>
      <c r="DEC105" s="44"/>
      <c r="DED105" s="44"/>
      <c r="DEE105" s="44"/>
      <c r="DEF105" s="44"/>
      <c r="DEG105" s="44"/>
      <c r="DEH105" s="44"/>
      <c r="DEI105" s="44"/>
      <c r="DEJ105" s="44"/>
      <c r="DEK105" s="44"/>
      <c r="DEL105" s="44"/>
      <c r="DEM105" s="44"/>
      <c r="DEN105" s="44"/>
      <c r="DEO105" s="44"/>
      <c r="DEP105" s="44"/>
      <c r="DEQ105" s="44"/>
      <c r="DER105" s="44"/>
      <c r="DES105" s="44"/>
      <c r="DET105" s="44"/>
      <c r="DEU105" s="44"/>
      <c r="DEV105" s="44"/>
      <c r="DEW105" s="44"/>
      <c r="DEX105" s="44"/>
      <c r="DEY105" s="44"/>
      <c r="DEZ105" s="44"/>
      <c r="DFA105" s="44"/>
      <c r="DFB105" s="44"/>
      <c r="DFC105" s="44"/>
      <c r="DFD105" s="44"/>
      <c r="DFE105" s="44"/>
      <c r="DFF105" s="44"/>
      <c r="DFG105" s="44"/>
      <c r="DFH105" s="44"/>
      <c r="DFI105" s="44"/>
      <c r="DFJ105" s="44"/>
      <c r="DFK105" s="44"/>
      <c r="DFL105" s="44"/>
      <c r="DFM105" s="44"/>
      <c r="DFN105" s="44"/>
      <c r="DFO105" s="44"/>
      <c r="DFP105" s="44"/>
      <c r="DFQ105" s="44"/>
      <c r="DFR105" s="44"/>
      <c r="DFS105" s="44"/>
      <c r="DFT105" s="44"/>
      <c r="DFU105" s="44"/>
      <c r="DFV105" s="44"/>
      <c r="DFW105" s="44"/>
      <c r="DFX105" s="44"/>
      <c r="DFY105" s="44"/>
      <c r="DFZ105" s="44"/>
      <c r="DGA105" s="44"/>
      <c r="DGB105" s="44"/>
      <c r="DGC105" s="44"/>
      <c r="DGD105" s="44"/>
      <c r="DGE105" s="44"/>
      <c r="DGF105" s="44"/>
      <c r="DGG105" s="44"/>
      <c r="DGH105" s="44"/>
      <c r="DGI105" s="44"/>
      <c r="DGJ105" s="44"/>
      <c r="DGK105" s="44"/>
      <c r="DGL105" s="44"/>
      <c r="DGM105" s="44"/>
      <c r="DGN105" s="44"/>
      <c r="DGO105" s="44"/>
      <c r="DGP105" s="44"/>
      <c r="DGQ105" s="44"/>
      <c r="DGR105" s="44"/>
      <c r="DGS105" s="44"/>
      <c r="DGT105" s="44"/>
      <c r="DGU105" s="44"/>
      <c r="DGV105" s="44"/>
      <c r="DGW105" s="44"/>
      <c r="DGX105" s="44"/>
      <c r="DGY105" s="44"/>
      <c r="DGZ105" s="44"/>
      <c r="DHA105" s="44"/>
      <c r="DHB105" s="44"/>
      <c r="DHC105" s="44"/>
      <c r="DHD105" s="44"/>
      <c r="DHE105" s="44"/>
      <c r="DHF105" s="44"/>
      <c r="DHG105" s="44"/>
      <c r="DHH105" s="44"/>
      <c r="DHI105" s="44"/>
      <c r="DHJ105" s="44"/>
      <c r="DHK105" s="44"/>
      <c r="DHL105" s="44"/>
      <c r="DHM105" s="44"/>
      <c r="DHN105" s="44"/>
      <c r="DHO105" s="44"/>
      <c r="DHP105" s="44"/>
      <c r="DHQ105" s="44"/>
      <c r="DHR105" s="44"/>
      <c r="DHS105" s="44"/>
      <c r="DHT105" s="44"/>
      <c r="DHU105" s="44"/>
      <c r="DHV105" s="44"/>
      <c r="DHW105" s="44"/>
      <c r="DHX105" s="44"/>
      <c r="DHY105" s="44"/>
      <c r="DHZ105" s="44"/>
      <c r="DIA105" s="44"/>
      <c r="DIB105" s="44"/>
      <c r="DIC105" s="44"/>
      <c r="DID105" s="44"/>
      <c r="DIE105" s="44"/>
      <c r="DIF105" s="44"/>
      <c r="DIG105" s="44"/>
      <c r="DIH105" s="44"/>
      <c r="DII105" s="44"/>
      <c r="DIJ105" s="44"/>
      <c r="DIK105" s="44"/>
      <c r="DIL105" s="44"/>
      <c r="DIM105" s="44"/>
      <c r="DIN105" s="44"/>
      <c r="DIO105" s="44"/>
      <c r="DIP105" s="44"/>
      <c r="DIQ105" s="44"/>
      <c r="DIR105" s="44"/>
      <c r="DIS105" s="44"/>
      <c r="DIT105" s="44"/>
      <c r="DIU105" s="44"/>
      <c r="DIV105" s="44"/>
      <c r="DIW105" s="44"/>
      <c r="DIX105" s="44"/>
      <c r="DIY105" s="44"/>
      <c r="DIZ105" s="44"/>
      <c r="DJA105" s="44"/>
      <c r="DJB105" s="44"/>
      <c r="DJC105" s="44"/>
      <c r="DJD105" s="44"/>
      <c r="DJE105" s="44"/>
      <c r="DJF105" s="44"/>
      <c r="DJG105" s="44"/>
      <c r="DJH105" s="44"/>
      <c r="DJI105" s="44"/>
      <c r="DJJ105" s="44"/>
      <c r="DJK105" s="44"/>
      <c r="DJL105" s="44"/>
      <c r="DJM105" s="44"/>
      <c r="DJN105" s="44"/>
      <c r="DJO105" s="44"/>
      <c r="DJP105" s="44"/>
      <c r="DJQ105" s="44"/>
      <c r="DJR105" s="44"/>
      <c r="DJS105" s="44"/>
      <c r="DJT105" s="44"/>
      <c r="DJU105" s="44"/>
      <c r="DJV105" s="44"/>
      <c r="DJW105" s="44"/>
      <c r="DJX105" s="44"/>
      <c r="DJY105" s="44"/>
      <c r="DJZ105" s="44"/>
      <c r="DKA105" s="44"/>
      <c r="DKB105" s="44"/>
      <c r="DKC105" s="44"/>
      <c r="DKD105" s="44"/>
      <c r="DKE105" s="44"/>
      <c r="DKF105" s="44"/>
      <c r="DKG105" s="44"/>
      <c r="DKH105" s="44"/>
      <c r="DKI105" s="44"/>
      <c r="DKJ105" s="44"/>
      <c r="DKK105" s="44"/>
      <c r="DKL105" s="44"/>
      <c r="DKM105" s="44"/>
      <c r="DKN105" s="44"/>
      <c r="DKO105" s="44"/>
      <c r="DKP105" s="44"/>
      <c r="DKQ105" s="44"/>
      <c r="DKR105" s="44"/>
      <c r="DKS105" s="44"/>
      <c r="DKT105" s="44"/>
      <c r="DKU105" s="44"/>
      <c r="DKV105" s="44"/>
      <c r="DKW105" s="44"/>
      <c r="DKX105" s="44"/>
      <c r="DKY105" s="44"/>
      <c r="DKZ105" s="44"/>
      <c r="DLA105" s="44"/>
      <c r="DLB105" s="44"/>
      <c r="DLC105" s="44"/>
      <c r="DLD105" s="44"/>
      <c r="DLE105" s="44"/>
      <c r="DLF105" s="44"/>
      <c r="DLG105" s="44"/>
      <c r="DLH105" s="44"/>
      <c r="DLI105" s="44"/>
      <c r="DLJ105" s="44"/>
      <c r="DLK105" s="44"/>
      <c r="DLL105" s="44"/>
      <c r="DLM105" s="44"/>
      <c r="DLN105" s="44"/>
      <c r="DLO105" s="44"/>
      <c r="DLP105" s="44"/>
      <c r="DLQ105" s="44"/>
      <c r="DLR105" s="44"/>
      <c r="DLS105" s="44"/>
      <c r="DLT105" s="44"/>
      <c r="DLU105" s="44"/>
      <c r="DLV105" s="44"/>
      <c r="DLW105" s="44"/>
      <c r="DLX105" s="44"/>
      <c r="DLY105" s="44"/>
      <c r="DLZ105" s="44"/>
      <c r="DMA105" s="44"/>
      <c r="DMB105" s="44"/>
      <c r="DMC105" s="44"/>
      <c r="DMD105" s="44"/>
      <c r="DME105" s="44"/>
      <c r="DMF105" s="44"/>
      <c r="DMG105" s="44"/>
      <c r="DMH105" s="44"/>
      <c r="DMI105" s="44"/>
      <c r="DMJ105" s="44"/>
      <c r="DMK105" s="44"/>
      <c r="DML105" s="44"/>
      <c r="DMM105" s="44"/>
      <c r="DMN105" s="44"/>
      <c r="DMO105" s="44"/>
      <c r="DMP105" s="44"/>
      <c r="DMQ105" s="44"/>
      <c r="DMR105" s="44"/>
      <c r="DMS105" s="44"/>
      <c r="DMT105" s="44"/>
      <c r="DMU105" s="44"/>
      <c r="DMV105" s="44"/>
      <c r="DMW105" s="44"/>
      <c r="DMX105" s="44"/>
      <c r="DMY105" s="44"/>
      <c r="DMZ105" s="44"/>
      <c r="DNA105" s="44"/>
      <c r="DNB105" s="44"/>
      <c r="DNC105" s="44"/>
      <c r="DND105" s="44"/>
      <c r="DNE105" s="44"/>
      <c r="DNF105" s="44"/>
      <c r="DNG105" s="44"/>
      <c r="DNH105" s="44"/>
      <c r="DNI105" s="44"/>
      <c r="DNJ105" s="44"/>
      <c r="DNK105" s="44"/>
      <c r="DNL105" s="44"/>
      <c r="DNM105" s="44"/>
      <c r="DNN105" s="44"/>
      <c r="DNO105" s="44"/>
      <c r="DNP105" s="44"/>
      <c r="DNQ105" s="44"/>
      <c r="DNR105" s="44"/>
      <c r="DNS105" s="44"/>
      <c r="DNT105" s="44"/>
      <c r="DNU105" s="44"/>
      <c r="DNV105" s="44"/>
      <c r="DNW105" s="44"/>
      <c r="DNX105" s="44"/>
      <c r="DNY105" s="44"/>
      <c r="DNZ105" s="44"/>
      <c r="DOA105" s="44"/>
      <c r="DOB105" s="44"/>
      <c r="DOC105" s="44"/>
      <c r="DOD105" s="44"/>
      <c r="DOE105" s="44"/>
      <c r="DOF105" s="44"/>
      <c r="DOG105" s="44"/>
      <c r="DOH105" s="44"/>
      <c r="DOI105" s="44"/>
      <c r="DOJ105" s="44"/>
      <c r="DOK105" s="44"/>
      <c r="DOL105" s="44"/>
      <c r="DOM105" s="44"/>
      <c r="DON105" s="44"/>
      <c r="DOO105" s="44"/>
      <c r="DOP105" s="44"/>
      <c r="DOQ105" s="44"/>
      <c r="DOR105" s="44"/>
      <c r="DOS105" s="44"/>
      <c r="DOT105" s="44"/>
      <c r="DOU105" s="44"/>
      <c r="DOV105" s="44"/>
      <c r="DOW105" s="44"/>
      <c r="DOX105" s="44"/>
      <c r="DOY105" s="44"/>
      <c r="DOZ105" s="44"/>
      <c r="DPA105" s="44"/>
      <c r="DPB105" s="44"/>
      <c r="DPC105" s="44"/>
      <c r="DPD105" s="44"/>
      <c r="DPE105" s="44"/>
      <c r="DPF105" s="44"/>
      <c r="DPG105" s="44"/>
      <c r="DPH105" s="44"/>
      <c r="DPI105" s="44"/>
      <c r="DPJ105" s="44"/>
      <c r="DPK105" s="44"/>
      <c r="DPL105" s="44"/>
      <c r="DPM105" s="44"/>
      <c r="DPN105" s="44"/>
      <c r="DPO105" s="44"/>
      <c r="DPP105" s="44"/>
      <c r="DPQ105" s="44"/>
      <c r="DPR105" s="44"/>
      <c r="DPS105" s="44"/>
      <c r="DPT105" s="44"/>
      <c r="DPU105" s="44"/>
      <c r="DPV105" s="44"/>
      <c r="DPW105" s="44"/>
      <c r="DPX105" s="44"/>
      <c r="DPY105" s="44"/>
      <c r="DPZ105" s="44"/>
      <c r="DQA105" s="44"/>
      <c r="DQB105" s="44"/>
      <c r="DQC105" s="44"/>
      <c r="DQD105" s="44"/>
      <c r="DQE105" s="44"/>
      <c r="DQF105" s="44"/>
      <c r="DQG105" s="44"/>
      <c r="DQH105" s="44"/>
      <c r="DQI105" s="44"/>
      <c r="DQJ105" s="44"/>
      <c r="DQK105" s="44"/>
      <c r="DQL105" s="44"/>
      <c r="DQM105" s="44"/>
      <c r="DQN105" s="44"/>
      <c r="DQO105" s="44"/>
      <c r="DQP105" s="44"/>
      <c r="DQQ105" s="44"/>
      <c r="DQR105" s="44"/>
      <c r="DQS105" s="44"/>
      <c r="DQT105" s="44"/>
      <c r="DQU105" s="44"/>
      <c r="DQV105" s="44"/>
      <c r="DQW105" s="44"/>
      <c r="DQX105" s="44"/>
      <c r="DQY105" s="44"/>
      <c r="DQZ105" s="44"/>
      <c r="DRA105" s="44"/>
      <c r="DRB105" s="44"/>
      <c r="DRC105" s="44"/>
      <c r="DRD105" s="44"/>
      <c r="DRE105" s="44"/>
      <c r="DRF105" s="44"/>
      <c r="DRG105" s="44"/>
      <c r="DRH105" s="44"/>
      <c r="DRI105" s="44"/>
      <c r="DRJ105" s="44"/>
      <c r="DRK105" s="44"/>
      <c r="DRL105" s="44"/>
      <c r="DRM105" s="44"/>
      <c r="DRN105" s="44"/>
      <c r="DRO105" s="44"/>
      <c r="DRP105" s="44"/>
      <c r="DRQ105" s="44"/>
      <c r="DRR105" s="44"/>
      <c r="DRS105" s="44"/>
      <c r="DRT105" s="44"/>
      <c r="DRU105" s="44"/>
      <c r="DRV105" s="44"/>
      <c r="DRW105" s="44"/>
      <c r="DRX105" s="44"/>
      <c r="DRY105" s="44"/>
      <c r="DRZ105" s="44"/>
      <c r="DSA105" s="44"/>
      <c r="DSB105" s="44"/>
      <c r="DSC105" s="44"/>
      <c r="DSD105" s="44"/>
      <c r="DSE105" s="44"/>
      <c r="DSF105" s="44"/>
      <c r="DSG105" s="44"/>
      <c r="DSH105" s="44"/>
      <c r="DSI105" s="44"/>
      <c r="DSJ105" s="44"/>
      <c r="DSK105" s="44"/>
      <c r="DSL105" s="44"/>
      <c r="DSM105" s="44"/>
      <c r="DSN105" s="44"/>
      <c r="DSO105" s="44"/>
      <c r="DSP105" s="44"/>
      <c r="DSQ105" s="44"/>
      <c r="DSR105" s="44"/>
      <c r="DSS105" s="44"/>
      <c r="DST105" s="44"/>
      <c r="DSU105" s="44"/>
      <c r="DSV105" s="44"/>
      <c r="DSW105" s="44"/>
      <c r="DSX105" s="44"/>
      <c r="DSY105" s="44"/>
      <c r="DSZ105" s="44"/>
      <c r="DTA105" s="44"/>
      <c r="DTB105" s="44"/>
      <c r="DTC105" s="44"/>
      <c r="DTD105" s="44"/>
      <c r="DTE105" s="44"/>
      <c r="DTF105" s="44"/>
      <c r="DTG105" s="44"/>
      <c r="DTH105" s="44"/>
      <c r="DTI105" s="44"/>
      <c r="DTJ105" s="44"/>
      <c r="DTK105" s="44"/>
      <c r="DTL105" s="44"/>
      <c r="DTM105" s="44"/>
      <c r="DTN105" s="44"/>
      <c r="DTO105" s="44"/>
      <c r="DTP105" s="44"/>
      <c r="DTQ105" s="44"/>
      <c r="DTR105" s="44"/>
      <c r="DTS105" s="44"/>
      <c r="DTT105" s="44"/>
      <c r="DTU105" s="44"/>
      <c r="DTV105" s="44"/>
      <c r="DTW105" s="44"/>
      <c r="DTX105" s="44"/>
      <c r="DTY105" s="44"/>
      <c r="DTZ105" s="44"/>
      <c r="DUA105" s="44"/>
      <c r="DUB105" s="44"/>
      <c r="DUC105" s="44"/>
      <c r="DUD105" s="44"/>
      <c r="DUE105" s="44"/>
      <c r="DUF105" s="44"/>
      <c r="DUG105" s="44"/>
      <c r="DUH105" s="44"/>
      <c r="DUI105" s="44"/>
      <c r="DUJ105" s="44"/>
      <c r="DUK105" s="44"/>
      <c r="DUL105" s="44"/>
      <c r="DUM105" s="44"/>
      <c r="DUN105" s="44"/>
      <c r="DUO105" s="44"/>
      <c r="DUP105" s="44"/>
      <c r="DUQ105" s="44"/>
      <c r="DUR105" s="44"/>
      <c r="DUS105" s="44"/>
      <c r="DUT105" s="44"/>
      <c r="DUU105" s="44"/>
      <c r="DUV105" s="44"/>
      <c r="DUW105" s="44"/>
      <c r="DUX105" s="44"/>
      <c r="DUY105" s="44"/>
      <c r="DUZ105" s="44"/>
      <c r="DVA105" s="44"/>
      <c r="DVB105" s="44"/>
      <c r="DVC105" s="44"/>
      <c r="DVD105" s="44"/>
      <c r="DVE105" s="44"/>
      <c r="DVF105" s="44"/>
      <c r="DVG105" s="44"/>
      <c r="DVH105" s="44"/>
      <c r="DVI105" s="44"/>
      <c r="DVJ105" s="44"/>
      <c r="DVK105" s="44"/>
      <c r="DVL105" s="44"/>
      <c r="DVM105" s="44"/>
      <c r="DVN105" s="44"/>
      <c r="DVO105" s="44"/>
      <c r="DVP105" s="44"/>
      <c r="DVQ105" s="44"/>
      <c r="DVR105" s="44"/>
      <c r="DVS105" s="44"/>
      <c r="DVT105" s="44"/>
      <c r="DVU105" s="44"/>
      <c r="DVV105" s="44"/>
      <c r="DVW105" s="44"/>
      <c r="DVX105" s="44"/>
      <c r="DVY105" s="44"/>
      <c r="DVZ105" s="44"/>
      <c r="DWA105" s="44"/>
      <c r="DWB105" s="44"/>
      <c r="DWC105" s="44"/>
      <c r="DWD105" s="44"/>
      <c r="DWE105" s="44"/>
      <c r="DWF105" s="44"/>
      <c r="DWG105" s="44"/>
      <c r="DWH105" s="44"/>
      <c r="DWI105" s="44"/>
      <c r="DWJ105" s="44"/>
      <c r="DWK105" s="44"/>
      <c r="DWL105" s="44"/>
      <c r="DWM105" s="44"/>
      <c r="DWN105" s="44"/>
      <c r="DWO105" s="44"/>
      <c r="DWP105" s="44"/>
      <c r="DWQ105" s="44"/>
      <c r="DWR105" s="44"/>
      <c r="DWS105" s="44"/>
      <c r="DWT105" s="44"/>
      <c r="DWU105" s="44"/>
      <c r="DWV105" s="44"/>
      <c r="DWW105" s="44"/>
      <c r="DWX105" s="44"/>
      <c r="DWY105" s="44"/>
      <c r="DWZ105" s="44"/>
      <c r="DXA105" s="44"/>
      <c r="DXB105" s="44"/>
      <c r="DXC105" s="44"/>
      <c r="DXD105" s="44"/>
      <c r="DXE105" s="44"/>
      <c r="DXF105" s="44"/>
      <c r="DXG105" s="44"/>
      <c r="DXH105" s="44"/>
      <c r="DXI105" s="44"/>
      <c r="DXJ105" s="44"/>
      <c r="DXK105" s="44"/>
      <c r="DXL105" s="44"/>
      <c r="DXM105" s="44"/>
      <c r="DXN105" s="44"/>
      <c r="DXO105" s="44"/>
      <c r="DXP105" s="44"/>
      <c r="DXQ105" s="44"/>
      <c r="DXR105" s="44"/>
      <c r="DXS105" s="44"/>
      <c r="DXT105" s="44"/>
      <c r="DXU105" s="44"/>
      <c r="DXV105" s="44"/>
      <c r="DXW105" s="44"/>
      <c r="DXX105" s="44"/>
      <c r="DXY105" s="44"/>
      <c r="DXZ105" s="44"/>
      <c r="DYA105" s="44"/>
      <c r="DYB105" s="44"/>
      <c r="DYC105" s="44"/>
      <c r="DYD105" s="44"/>
      <c r="DYE105" s="44"/>
      <c r="DYF105" s="44"/>
      <c r="DYG105" s="44"/>
      <c r="DYH105" s="44"/>
      <c r="DYI105" s="44"/>
      <c r="DYJ105" s="44"/>
      <c r="DYK105" s="44"/>
      <c r="DYL105" s="44"/>
      <c r="DYM105" s="44"/>
      <c r="DYN105" s="44"/>
      <c r="DYO105" s="44"/>
      <c r="DYP105" s="44"/>
      <c r="DYQ105" s="44"/>
      <c r="DYR105" s="44"/>
      <c r="DYS105" s="44"/>
      <c r="DYT105" s="44"/>
      <c r="DYU105" s="44"/>
      <c r="DYV105" s="44"/>
      <c r="DYW105" s="44"/>
      <c r="DYX105" s="44"/>
      <c r="DYY105" s="44"/>
      <c r="DYZ105" s="44"/>
      <c r="DZA105" s="44"/>
      <c r="DZB105" s="44"/>
      <c r="DZC105" s="44"/>
      <c r="DZD105" s="44"/>
      <c r="DZE105" s="44"/>
      <c r="DZF105" s="44"/>
      <c r="DZG105" s="44"/>
      <c r="DZH105" s="44"/>
      <c r="DZI105" s="44"/>
      <c r="DZJ105" s="44"/>
      <c r="DZK105" s="44"/>
      <c r="DZL105" s="44"/>
      <c r="DZM105" s="44"/>
      <c r="DZN105" s="44"/>
      <c r="DZO105" s="44"/>
      <c r="DZP105" s="44"/>
      <c r="DZQ105" s="44"/>
      <c r="DZR105" s="44"/>
      <c r="DZS105" s="44"/>
      <c r="DZT105" s="44"/>
      <c r="DZU105" s="44"/>
      <c r="DZV105" s="44"/>
      <c r="DZW105" s="44"/>
      <c r="DZX105" s="44"/>
      <c r="DZY105" s="44"/>
      <c r="DZZ105" s="44"/>
      <c r="EAA105" s="44"/>
      <c r="EAB105" s="44"/>
      <c r="EAC105" s="44"/>
      <c r="EAD105" s="44"/>
      <c r="EAE105" s="44"/>
      <c r="EAF105" s="44"/>
      <c r="EAG105" s="44"/>
      <c r="EAH105" s="44"/>
      <c r="EAI105" s="44"/>
      <c r="EAJ105" s="44"/>
      <c r="EAK105" s="44"/>
      <c r="EAL105" s="44"/>
      <c r="EAM105" s="44"/>
      <c r="EAN105" s="44"/>
      <c r="EAO105" s="44"/>
      <c r="EAP105" s="44"/>
      <c r="EAQ105" s="44"/>
      <c r="EAR105" s="44"/>
      <c r="EAS105" s="44"/>
      <c r="EAT105" s="44"/>
      <c r="EAU105" s="44"/>
      <c r="EAV105" s="44"/>
      <c r="EAW105" s="44"/>
      <c r="EAX105" s="44"/>
      <c r="EAY105" s="44"/>
      <c r="EAZ105" s="44"/>
      <c r="EBA105" s="44"/>
      <c r="EBB105" s="44"/>
      <c r="EBC105" s="44"/>
      <c r="EBD105" s="44"/>
      <c r="EBE105" s="44"/>
      <c r="EBF105" s="44"/>
      <c r="EBG105" s="44"/>
      <c r="EBH105" s="44"/>
      <c r="EBI105" s="44"/>
      <c r="EBJ105" s="44"/>
      <c r="EBK105" s="44"/>
      <c r="EBL105" s="44"/>
      <c r="EBM105" s="44"/>
      <c r="EBN105" s="44"/>
      <c r="EBO105" s="44"/>
      <c r="EBP105" s="44"/>
      <c r="EBQ105" s="44"/>
      <c r="EBR105" s="44"/>
      <c r="EBS105" s="44"/>
      <c r="EBT105" s="44"/>
      <c r="EBU105" s="44"/>
      <c r="EBV105" s="44"/>
      <c r="EBW105" s="44"/>
      <c r="EBX105" s="44"/>
      <c r="EBY105" s="44"/>
      <c r="EBZ105" s="44"/>
      <c r="ECA105" s="44"/>
      <c r="ECB105" s="44"/>
      <c r="ECC105" s="44"/>
      <c r="ECD105" s="44"/>
      <c r="ECE105" s="44"/>
      <c r="ECF105" s="44"/>
      <c r="ECG105" s="44"/>
      <c r="ECH105" s="44"/>
      <c r="ECI105" s="44"/>
      <c r="ECJ105" s="44"/>
      <c r="ECK105" s="44"/>
      <c r="ECL105" s="44"/>
      <c r="ECM105" s="44"/>
      <c r="ECN105" s="44"/>
      <c r="ECO105" s="44"/>
      <c r="ECP105" s="44"/>
      <c r="ECQ105" s="44"/>
      <c r="ECR105" s="44"/>
      <c r="ECS105" s="44"/>
      <c r="ECT105" s="44"/>
      <c r="ECU105" s="44"/>
      <c r="ECV105" s="44"/>
      <c r="ECW105" s="44"/>
      <c r="ECX105" s="44"/>
      <c r="ECY105" s="44"/>
      <c r="ECZ105" s="44"/>
      <c r="EDA105" s="44"/>
      <c r="EDB105" s="44"/>
      <c r="EDC105" s="44"/>
      <c r="EDD105" s="44"/>
      <c r="EDE105" s="44"/>
      <c r="EDF105" s="44"/>
      <c r="EDG105" s="44"/>
      <c r="EDH105" s="44"/>
      <c r="EDI105" s="44"/>
      <c r="EDJ105" s="44"/>
      <c r="EDK105" s="44"/>
      <c r="EDL105" s="44"/>
      <c r="EDM105" s="44"/>
      <c r="EDN105" s="44"/>
      <c r="EDO105" s="44"/>
      <c r="EDP105" s="44"/>
      <c r="EDQ105" s="44"/>
      <c r="EDR105" s="44"/>
      <c r="EDS105" s="44"/>
      <c r="EDT105" s="44"/>
      <c r="EDU105" s="44"/>
      <c r="EDV105" s="44"/>
      <c r="EDW105" s="44"/>
      <c r="EDX105" s="44"/>
      <c r="EDY105" s="44"/>
      <c r="EDZ105" s="44"/>
      <c r="EEA105" s="44"/>
      <c r="EEB105" s="44"/>
      <c r="EEC105" s="44"/>
      <c r="EED105" s="44"/>
      <c r="EEE105" s="44"/>
      <c r="EEF105" s="44"/>
      <c r="EEG105" s="44"/>
      <c r="EEH105" s="44"/>
      <c r="EEI105" s="44"/>
      <c r="EEJ105" s="44"/>
      <c r="EEK105" s="44"/>
      <c r="EEL105" s="44"/>
      <c r="EEM105" s="44"/>
      <c r="EEN105" s="44"/>
      <c r="EEO105" s="44"/>
      <c r="EEP105" s="44"/>
      <c r="EEQ105" s="44"/>
      <c r="EER105" s="44"/>
      <c r="EES105" s="44"/>
      <c r="EET105" s="44"/>
      <c r="EEU105" s="44"/>
      <c r="EEV105" s="44"/>
      <c r="EEW105" s="44"/>
      <c r="EEX105" s="44"/>
      <c r="EEY105" s="44"/>
      <c r="EEZ105" s="44"/>
      <c r="EFA105" s="44"/>
      <c r="EFB105" s="44"/>
      <c r="EFC105" s="44"/>
      <c r="EFD105" s="44"/>
      <c r="EFE105" s="44"/>
      <c r="EFF105" s="44"/>
      <c r="EFG105" s="44"/>
      <c r="EFH105" s="44"/>
      <c r="EFI105" s="44"/>
      <c r="EFJ105" s="44"/>
      <c r="EFK105" s="44"/>
      <c r="EFL105" s="44"/>
      <c r="EFM105" s="44"/>
      <c r="EFN105" s="44"/>
      <c r="EFO105" s="44"/>
      <c r="EFP105" s="44"/>
      <c r="EFQ105" s="44"/>
      <c r="EFR105" s="44"/>
      <c r="EFS105" s="44"/>
      <c r="EFT105" s="44"/>
      <c r="EFU105" s="44"/>
      <c r="EFV105" s="44"/>
      <c r="EFW105" s="44"/>
      <c r="EFX105" s="44"/>
      <c r="EFY105" s="44"/>
      <c r="EFZ105" s="44"/>
      <c r="EGA105" s="44"/>
      <c r="EGB105" s="44"/>
      <c r="EGC105" s="44"/>
      <c r="EGD105" s="44"/>
      <c r="EGE105" s="44"/>
      <c r="EGF105" s="44"/>
      <c r="EGG105" s="44"/>
      <c r="EGH105" s="44"/>
      <c r="EGI105" s="44"/>
      <c r="EGJ105" s="44"/>
      <c r="EGK105" s="44"/>
      <c r="EGL105" s="44"/>
      <c r="EGM105" s="44"/>
      <c r="EGN105" s="44"/>
      <c r="EGO105" s="44"/>
      <c r="EGP105" s="44"/>
      <c r="EGQ105" s="44"/>
      <c r="EGR105" s="44"/>
      <c r="EGS105" s="44"/>
      <c r="EGT105" s="44"/>
      <c r="EGU105" s="44"/>
      <c r="EGV105" s="44"/>
      <c r="EGW105" s="44"/>
      <c r="EGX105" s="44"/>
      <c r="EGY105" s="44"/>
      <c r="EGZ105" s="44"/>
      <c r="EHA105" s="44"/>
      <c r="EHB105" s="44"/>
      <c r="EHC105" s="44"/>
      <c r="EHD105" s="44"/>
      <c r="EHE105" s="44"/>
      <c r="EHF105" s="44"/>
      <c r="EHG105" s="44"/>
      <c r="EHH105" s="44"/>
      <c r="EHI105" s="44"/>
      <c r="EHJ105" s="44"/>
      <c r="EHK105" s="44"/>
      <c r="EHL105" s="44"/>
      <c r="EHM105" s="44"/>
      <c r="EHN105" s="44"/>
      <c r="EHO105" s="44"/>
      <c r="EHP105" s="44"/>
      <c r="EHQ105" s="44"/>
      <c r="EHR105" s="44"/>
      <c r="EHS105" s="44"/>
      <c r="EHT105" s="44"/>
      <c r="EHU105" s="44"/>
      <c r="EHV105" s="44"/>
      <c r="EHW105" s="44"/>
      <c r="EHX105" s="44"/>
      <c r="EHY105" s="44"/>
      <c r="EHZ105" s="44"/>
      <c r="EIA105" s="44"/>
      <c r="EIB105" s="44"/>
      <c r="EIC105" s="44"/>
      <c r="EID105" s="44"/>
      <c r="EIE105" s="44"/>
      <c r="EIF105" s="44"/>
      <c r="EIG105" s="44"/>
      <c r="EIH105" s="44"/>
      <c r="EII105" s="44"/>
      <c r="EIJ105" s="44"/>
      <c r="EIK105" s="44"/>
      <c r="EIL105" s="44"/>
      <c r="EIM105" s="44"/>
      <c r="EIN105" s="44"/>
      <c r="EIO105" s="44"/>
      <c r="EIP105" s="44"/>
      <c r="EIQ105" s="44"/>
      <c r="EIR105" s="44"/>
      <c r="EIS105" s="44"/>
      <c r="EIT105" s="44"/>
      <c r="EIU105" s="44"/>
      <c r="EIV105" s="44"/>
      <c r="EIW105" s="44"/>
      <c r="EIX105" s="44"/>
      <c r="EIY105" s="44"/>
      <c r="EIZ105" s="44"/>
      <c r="EJA105" s="44"/>
      <c r="EJB105" s="44"/>
      <c r="EJC105" s="44"/>
      <c r="EJD105" s="44"/>
      <c r="EJE105" s="44"/>
      <c r="EJF105" s="44"/>
      <c r="EJG105" s="44"/>
      <c r="EJH105" s="44"/>
      <c r="EJI105" s="44"/>
      <c r="EJJ105" s="44"/>
      <c r="EJK105" s="44"/>
      <c r="EJL105" s="44"/>
      <c r="EJM105" s="44"/>
      <c r="EJN105" s="44"/>
      <c r="EJO105" s="44"/>
      <c r="EJP105" s="44"/>
      <c r="EJQ105" s="44"/>
      <c r="EJR105" s="44"/>
      <c r="EJS105" s="44"/>
      <c r="EJT105" s="44"/>
      <c r="EJU105" s="44"/>
      <c r="EJV105" s="44"/>
      <c r="EJW105" s="44"/>
      <c r="EJX105" s="44"/>
      <c r="EJY105" s="44"/>
      <c r="EJZ105" s="44"/>
      <c r="EKA105" s="44"/>
      <c r="EKB105" s="44"/>
      <c r="EKC105" s="44"/>
      <c r="EKD105" s="44"/>
      <c r="EKE105" s="44"/>
      <c r="EKF105" s="44"/>
      <c r="EKG105" s="44"/>
      <c r="EKH105" s="44"/>
      <c r="EKI105" s="44"/>
      <c r="EKJ105" s="44"/>
      <c r="EKK105" s="44"/>
      <c r="EKL105" s="44"/>
      <c r="EKM105" s="44"/>
      <c r="EKN105" s="44"/>
      <c r="EKO105" s="44"/>
      <c r="EKP105" s="44"/>
      <c r="EKQ105" s="44"/>
      <c r="EKR105" s="44"/>
      <c r="EKS105" s="44"/>
      <c r="EKT105" s="44"/>
      <c r="EKU105" s="44"/>
      <c r="EKV105" s="44"/>
      <c r="EKW105" s="44"/>
      <c r="EKX105" s="44"/>
      <c r="EKY105" s="44"/>
      <c r="EKZ105" s="44"/>
      <c r="ELA105" s="44"/>
      <c r="ELB105" s="44"/>
      <c r="ELC105" s="44"/>
      <c r="ELD105" s="44"/>
      <c r="ELE105" s="44"/>
      <c r="ELF105" s="44"/>
      <c r="ELG105" s="44"/>
      <c r="ELH105" s="44"/>
      <c r="ELI105" s="44"/>
      <c r="ELJ105" s="44"/>
      <c r="ELK105" s="44"/>
      <c r="ELL105" s="44"/>
      <c r="ELM105" s="44"/>
      <c r="ELN105" s="44"/>
      <c r="ELO105" s="44"/>
      <c r="ELP105" s="44"/>
      <c r="ELQ105" s="44"/>
      <c r="ELR105" s="44"/>
      <c r="ELS105" s="44"/>
      <c r="ELT105" s="44"/>
      <c r="ELU105" s="44"/>
      <c r="ELV105" s="44"/>
      <c r="ELW105" s="44"/>
      <c r="ELX105" s="44"/>
      <c r="ELY105" s="44"/>
      <c r="ELZ105" s="44"/>
      <c r="EMA105" s="44"/>
      <c r="EMB105" s="44"/>
      <c r="EMC105" s="44"/>
      <c r="EMD105" s="44"/>
      <c r="EME105" s="44"/>
      <c r="EMF105" s="44"/>
      <c r="EMG105" s="44"/>
      <c r="EMH105" s="44"/>
      <c r="EMI105" s="44"/>
      <c r="EMJ105" s="44"/>
      <c r="EMK105" s="44"/>
      <c r="EML105" s="44"/>
      <c r="EMM105" s="44"/>
      <c r="EMN105" s="44"/>
      <c r="EMO105" s="44"/>
      <c r="EMP105" s="44"/>
      <c r="EMQ105" s="44"/>
      <c r="EMR105" s="44"/>
      <c r="EMS105" s="44"/>
      <c r="EMT105" s="44"/>
      <c r="EMU105" s="44"/>
      <c r="EMV105" s="44"/>
      <c r="EMW105" s="44"/>
      <c r="EMX105" s="44"/>
      <c r="EMY105" s="44"/>
      <c r="EMZ105" s="44"/>
      <c r="ENA105" s="44"/>
      <c r="ENB105" s="44"/>
      <c r="ENC105" s="44"/>
      <c r="END105" s="44"/>
      <c r="ENE105" s="44"/>
      <c r="ENF105" s="44"/>
      <c r="ENG105" s="44"/>
      <c r="ENH105" s="44"/>
      <c r="ENI105" s="44"/>
      <c r="ENJ105" s="44"/>
      <c r="ENK105" s="44"/>
      <c r="ENL105" s="44"/>
      <c r="ENM105" s="44"/>
      <c r="ENN105" s="44"/>
      <c r="ENO105" s="44"/>
      <c r="ENP105" s="44"/>
      <c r="ENQ105" s="44"/>
      <c r="ENR105" s="44"/>
      <c r="ENS105" s="44"/>
      <c r="ENT105" s="44"/>
      <c r="ENU105" s="44"/>
      <c r="ENV105" s="44"/>
      <c r="ENW105" s="44"/>
      <c r="ENX105" s="44"/>
      <c r="ENY105" s="44"/>
      <c r="ENZ105" s="44"/>
      <c r="EOA105" s="44"/>
      <c r="EOB105" s="44"/>
      <c r="EOC105" s="44"/>
      <c r="EOD105" s="44"/>
      <c r="EOE105" s="44"/>
      <c r="EOF105" s="44"/>
      <c r="EOG105" s="44"/>
      <c r="EOH105" s="44"/>
      <c r="EOI105" s="44"/>
      <c r="EOJ105" s="44"/>
      <c r="EOK105" s="44"/>
      <c r="EOL105" s="44"/>
      <c r="EOM105" s="44"/>
      <c r="EON105" s="44"/>
      <c r="EOO105" s="44"/>
      <c r="EOP105" s="44"/>
      <c r="EOQ105" s="44"/>
      <c r="EOR105" s="44"/>
      <c r="EOS105" s="44"/>
      <c r="EOT105" s="44"/>
      <c r="EOU105" s="44"/>
      <c r="EOV105" s="44"/>
      <c r="EOW105" s="44"/>
      <c r="EOX105" s="44"/>
      <c r="EOY105" s="44"/>
      <c r="EOZ105" s="44"/>
      <c r="EPA105" s="44"/>
      <c r="EPB105" s="44"/>
      <c r="EPC105" s="44"/>
      <c r="EPD105" s="44"/>
      <c r="EPE105" s="44"/>
      <c r="EPF105" s="44"/>
      <c r="EPG105" s="44"/>
      <c r="EPH105" s="44"/>
      <c r="EPI105" s="44"/>
      <c r="EPJ105" s="44"/>
      <c r="EPK105" s="44"/>
      <c r="EPL105" s="44"/>
      <c r="EPM105" s="44"/>
      <c r="EPN105" s="44"/>
      <c r="EPO105" s="44"/>
      <c r="EPP105" s="44"/>
      <c r="EPQ105" s="44"/>
      <c r="EPR105" s="44"/>
      <c r="EPS105" s="44"/>
      <c r="EPT105" s="44"/>
      <c r="EPU105" s="44"/>
      <c r="EPV105" s="44"/>
      <c r="EPW105" s="44"/>
      <c r="EPX105" s="44"/>
      <c r="EPY105" s="44"/>
      <c r="EPZ105" s="44"/>
      <c r="EQA105" s="44"/>
      <c r="EQB105" s="44"/>
      <c r="EQC105" s="44"/>
      <c r="EQD105" s="44"/>
      <c r="EQE105" s="44"/>
      <c r="EQF105" s="44"/>
      <c r="EQG105" s="44"/>
      <c r="EQH105" s="44"/>
      <c r="EQI105" s="44"/>
      <c r="EQJ105" s="44"/>
      <c r="EQK105" s="44"/>
      <c r="EQL105" s="44"/>
      <c r="EQM105" s="44"/>
      <c r="EQN105" s="44"/>
      <c r="EQO105" s="44"/>
      <c r="EQP105" s="44"/>
      <c r="EQQ105" s="44"/>
      <c r="EQR105" s="44"/>
      <c r="EQS105" s="44"/>
      <c r="EQT105" s="44"/>
      <c r="EQU105" s="44"/>
      <c r="EQV105" s="44"/>
      <c r="EQW105" s="44"/>
      <c r="EQX105" s="44"/>
      <c r="EQY105" s="44"/>
      <c r="EQZ105" s="44"/>
      <c r="ERA105" s="44"/>
      <c r="ERB105" s="44"/>
      <c r="ERC105" s="44"/>
      <c r="ERD105" s="44"/>
      <c r="ERE105" s="44"/>
      <c r="ERF105" s="44"/>
      <c r="ERG105" s="44"/>
      <c r="ERH105" s="44"/>
      <c r="ERI105" s="44"/>
      <c r="ERJ105" s="44"/>
      <c r="ERK105" s="44"/>
      <c r="ERL105" s="44"/>
      <c r="ERM105" s="44"/>
      <c r="ERN105" s="44"/>
      <c r="ERO105" s="44"/>
      <c r="ERP105" s="44"/>
      <c r="ERQ105" s="44"/>
      <c r="ERR105" s="44"/>
      <c r="ERS105" s="44"/>
      <c r="ERT105" s="44"/>
      <c r="ERU105" s="44"/>
      <c r="ERV105" s="44"/>
      <c r="ERW105" s="44"/>
      <c r="ERX105" s="44"/>
      <c r="ERY105" s="44"/>
      <c r="ERZ105" s="44"/>
      <c r="ESA105" s="44"/>
      <c r="ESB105" s="44"/>
      <c r="ESC105" s="44"/>
      <c r="ESD105" s="44"/>
      <c r="ESE105" s="44"/>
      <c r="ESF105" s="44"/>
      <c r="ESG105" s="44"/>
      <c r="ESH105" s="44"/>
      <c r="ESI105" s="44"/>
      <c r="ESJ105" s="44"/>
      <c r="ESK105" s="44"/>
      <c r="ESL105" s="44"/>
      <c r="ESM105" s="44"/>
      <c r="ESN105" s="44"/>
      <c r="ESO105" s="44"/>
      <c r="ESP105" s="44"/>
      <c r="ESQ105" s="44"/>
      <c r="ESR105" s="44"/>
      <c r="ESS105" s="44"/>
      <c r="EST105" s="44"/>
      <c r="ESU105" s="44"/>
      <c r="ESV105" s="44"/>
      <c r="ESW105" s="44"/>
      <c r="ESX105" s="44"/>
      <c r="ESY105" s="44"/>
      <c r="ESZ105" s="44"/>
      <c r="ETA105" s="44"/>
      <c r="ETB105" s="44"/>
      <c r="ETC105" s="44"/>
      <c r="ETD105" s="44"/>
      <c r="ETE105" s="44"/>
      <c r="ETF105" s="44"/>
      <c r="ETG105" s="44"/>
      <c r="ETH105" s="44"/>
      <c r="ETI105" s="44"/>
      <c r="ETJ105" s="44"/>
      <c r="ETK105" s="44"/>
      <c r="ETL105" s="44"/>
      <c r="ETM105" s="44"/>
      <c r="ETN105" s="44"/>
      <c r="ETO105" s="44"/>
      <c r="ETP105" s="44"/>
      <c r="ETQ105" s="44"/>
      <c r="ETR105" s="44"/>
      <c r="ETS105" s="44"/>
      <c r="ETT105" s="44"/>
      <c r="ETU105" s="44"/>
      <c r="ETV105" s="44"/>
      <c r="ETW105" s="44"/>
      <c r="ETX105" s="44"/>
      <c r="ETY105" s="44"/>
      <c r="ETZ105" s="44"/>
      <c r="EUA105" s="44"/>
      <c r="EUB105" s="44"/>
      <c r="EUC105" s="44"/>
      <c r="EUD105" s="44"/>
      <c r="EUE105" s="44"/>
      <c r="EUF105" s="44"/>
      <c r="EUG105" s="44"/>
      <c r="EUH105" s="44"/>
      <c r="EUI105" s="44"/>
      <c r="EUJ105" s="44"/>
      <c r="EUK105" s="44"/>
      <c r="EUL105" s="44"/>
      <c r="EUM105" s="44"/>
      <c r="EUN105" s="44"/>
      <c r="EUO105" s="44"/>
      <c r="EUP105" s="44"/>
      <c r="EUQ105" s="44"/>
      <c r="EUR105" s="44"/>
      <c r="EUS105" s="44"/>
      <c r="EUT105" s="44"/>
      <c r="EUU105" s="44"/>
      <c r="EUV105" s="44"/>
      <c r="EUW105" s="44"/>
      <c r="EUX105" s="44"/>
      <c r="EUY105" s="44"/>
      <c r="EUZ105" s="44"/>
      <c r="EVA105" s="44"/>
      <c r="EVB105" s="44"/>
      <c r="EVC105" s="44"/>
      <c r="EVD105" s="44"/>
      <c r="EVE105" s="44"/>
      <c r="EVF105" s="44"/>
      <c r="EVG105" s="44"/>
      <c r="EVH105" s="44"/>
      <c r="EVI105" s="44"/>
      <c r="EVJ105" s="44"/>
      <c r="EVK105" s="44"/>
      <c r="EVL105" s="44"/>
      <c r="EVM105" s="44"/>
      <c r="EVN105" s="44"/>
      <c r="EVO105" s="44"/>
      <c r="EVP105" s="44"/>
      <c r="EVQ105" s="44"/>
      <c r="EVR105" s="44"/>
      <c r="EVS105" s="44"/>
      <c r="EVT105" s="44"/>
      <c r="EVU105" s="44"/>
      <c r="EVV105" s="44"/>
      <c r="EVW105" s="44"/>
      <c r="EVX105" s="44"/>
      <c r="EVY105" s="44"/>
      <c r="EVZ105" s="44"/>
      <c r="EWA105" s="44"/>
      <c r="EWB105" s="44"/>
      <c r="EWC105" s="44"/>
      <c r="EWD105" s="44"/>
      <c r="EWE105" s="44"/>
      <c r="EWF105" s="44"/>
      <c r="EWG105" s="44"/>
      <c r="EWH105" s="44"/>
      <c r="EWI105" s="44"/>
      <c r="EWJ105" s="44"/>
      <c r="EWK105" s="44"/>
      <c r="EWL105" s="44"/>
      <c r="EWM105" s="44"/>
      <c r="EWN105" s="44"/>
      <c r="EWO105" s="44"/>
      <c r="EWP105" s="44"/>
      <c r="EWQ105" s="44"/>
      <c r="EWR105" s="44"/>
      <c r="EWS105" s="44"/>
      <c r="EWT105" s="44"/>
      <c r="EWU105" s="44"/>
      <c r="EWV105" s="44"/>
      <c r="EWW105" s="44"/>
      <c r="EWX105" s="44"/>
      <c r="EWY105" s="44"/>
      <c r="EWZ105" s="44"/>
      <c r="EXA105" s="44"/>
      <c r="EXB105" s="44"/>
      <c r="EXC105" s="44"/>
      <c r="EXD105" s="44"/>
      <c r="EXE105" s="44"/>
      <c r="EXF105" s="44"/>
      <c r="EXG105" s="44"/>
      <c r="EXH105" s="44"/>
      <c r="EXI105" s="44"/>
      <c r="EXJ105" s="44"/>
      <c r="EXK105" s="44"/>
      <c r="EXL105" s="44"/>
      <c r="EXM105" s="44"/>
      <c r="EXN105" s="44"/>
      <c r="EXO105" s="44"/>
      <c r="EXP105" s="44"/>
      <c r="EXQ105" s="44"/>
      <c r="EXR105" s="44"/>
      <c r="EXS105" s="44"/>
      <c r="EXT105" s="44"/>
      <c r="EXU105" s="44"/>
      <c r="EXV105" s="44"/>
      <c r="EXW105" s="44"/>
      <c r="EXX105" s="44"/>
      <c r="EXY105" s="44"/>
      <c r="EXZ105" s="44"/>
      <c r="EYA105" s="44"/>
      <c r="EYB105" s="44"/>
      <c r="EYC105" s="44"/>
      <c r="EYD105" s="44"/>
      <c r="EYE105" s="44"/>
      <c r="EYF105" s="44"/>
      <c r="EYG105" s="44"/>
      <c r="EYH105" s="44"/>
      <c r="EYI105" s="44"/>
      <c r="EYJ105" s="44"/>
      <c r="EYK105" s="44"/>
      <c r="EYL105" s="44"/>
      <c r="EYM105" s="44"/>
      <c r="EYN105" s="44"/>
      <c r="EYO105" s="44"/>
      <c r="EYP105" s="44"/>
      <c r="EYQ105" s="44"/>
      <c r="EYR105" s="44"/>
      <c r="EYS105" s="44"/>
      <c r="EYT105" s="44"/>
      <c r="EYU105" s="44"/>
      <c r="EYV105" s="44"/>
      <c r="EYW105" s="44"/>
      <c r="EYX105" s="44"/>
      <c r="EYY105" s="44"/>
      <c r="EYZ105" s="44"/>
      <c r="EZA105" s="44"/>
      <c r="EZB105" s="44"/>
      <c r="EZC105" s="44"/>
      <c r="EZD105" s="44"/>
      <c r="EZE105" s="44"/>
      <c r="EZF105" s="44"/>
      <c r="EZG105" s="44"/>
      <c r="EZH105" s="44"/>
      <c r="EZI105" s="44"/>
      <c r="EZJ105" s="44"/>
      <c r="EZK105" s="44"/>
      <c r="EZL105" s="44"/>
      <c r="EZM105" s="44"/>
      <c r="EZN105" s="44"/>
      <c r="EZO105" s="44"/>
      <c r="EZP105" s="44"/>
      <c r="EZQ105" s="44"/>
      <c r="EZR105" s="44"/>
      <c r="EZS105" s="44"/>
      <c r="EZT105" s="44"/>
      <c r="EZU105" s="44"/>
      <c r="EZV105" s="44"/>
      <c r="EZW105" s="44"/>
      <c r="EZX105" s="44"/>
      <c r="EZY105" s="44"/>
      <c r="EZZ105" s="44"/>
      <c r="FAA105" s="44"/>
      <c r="FAB105" s="44"/>
      <c r="FAC105" s="44"/>
      <c r="FAD105" s="44"/>
      <c r="FAE105" s="44"/>
      <c r="FAF105" s="44"/>
      <c r="FAG105" s="44"/>
      <c r="FAH105" s="44"/>
      <c r="FAI105" s="44"/>
      <c r="FAJ105" s="44"/>
      <c r="FAK105" s="44"/>
      <c r="FAL105" s="44"/>
      <c r="FAM105" s="44"/>
      <c r="FAN105" s="44"/>
      <c r="FAO105" s="44"/>
      <c r="FAP105" s="44"/>
      <c r="FAQ105" s="44"/>
      <c r="FAR105" s="44"/>
      <c r="FAS105" s="44"/>
      <c r="FAT105" s="44"/>
      <c r="FAU105" s="44"/>
      <c r="FAV105" s="44"/>
      <c r="FAW105" s="44"/>
      <c r="FAX105" s="44"/>
      <c r="FAY105" s="44"/>
      <c r="FAZ105" s="44"/>
      <c r="FBA105" s="44"/>
      <c r="FBB105" s="44"/>
      <c r="FBC105" s="44"/>
      <c r="FBD105" s="44"/>
      <c r="FBE105" s="44"/>
      <c r="FBF105" s="44"/>
      <c r="FBG105" s="44"/>
      <c r="FBH105" s="44"/>
      <c r="FBI105" s="44"/>
      <c r="FBJ105" s="44"/>
      <c r="FBK105" s="44"/>
      <c r="FBL105" s="44"/>
      <c r="FBM105" s="44"/>
      <c r="FBN105" s="44"/>
      <c r="FBO105" s="44"/>
      <c r="FBP105" s="44"/>
      <c r="FBQ105" s="44"/>
      <c r="FBR105" s="44"/>
      <c r="FBS105" s="44"/>
      <c r="FBT105" s="44"/>
      <c r="FBU105" s="44"/>
      <c r="FBV105" s="44"/>
      <c r="FBW105" s="44"/>
      <c r="FBX105" s="44"/>
      <c r="FBY105" s="44"/>
      <c r="FBZ105" s="44"/>
      <c r="FCA105" s="44"/>
      <c r="FCB105" s="44"/>
      <c r="FCC105" s="44"/>
      <c r="FCD105" s="44"/>
      <c r="FCE105" s="44"/>
      <c r="FCF105" s="44"/>
      <c r="FCG105" s="44"/>
      <c r="FCH105" s="44"/>
      <c r="FCI105" s="44"/>
      <c r="FCJ105" s="44"/>
      <c r="FCK105" s="44"/>
      <c r="FCL105" s="44"/>
      <c r="FCM105" s="44"/>
      <c r="FCN105" s="44"/>
      <c r="FCO105" s="44"/>
      <c r="FCP105" s="44"/>
      <c r="FCQ105" s="44"/>
      <c r="FCR105" s="44"/>
      <c r="FCS105" s="44"/>
      <c r="FCT105" s="44"/>
      <c r="FCU105" s="44"/>
      <c r="FCV105" s="44"/>
      <c r="FCW105" s="44"/>
      <c r="FCX105" s="44"/>
      <c r="FCY105" s="44"/>
      <c r="FCZ105" s="44"/>
      <c r="FDA105" s="44"/>
      <c r="FDB105" s="44"/>
      <c r="FDC105" s="44"/>
      <c r="FDD105" s="44"/>
      <c r="FDE105" s="44"/>
      <c r="FDF105" s="44"/>
      <c r="FDG105" s="44"/>
      <c r="FDH105" s="44"/>
      <c r="FDI105" s="44"/>
      <c r="FDJ105" s="44"/>
      <c r="FDK105" s="44"/>
      <c r="FDL105" s="44"/>
      <c r="FDM105" s="44"/>
      <c r="FDN105" s="44"/>
      <c r="FDO105" s="44"/>
      <c r="FDP105" s="44"/>
      <c r="FDQ105" s="44"/>
      <c r="FDR105" s="44"/>
      <c r="FDS105" s="44"/>
      <c r="FDT105" s="44"/>
      <c r="FDU105" s="44"/>
      <c r="FDV105" s="44"/>
      <c r="FDW105" s="44"/>
      <c r="FDX105" s="44"/>
      <c r="FDY105" s="44"/>
      <c r="FDZ105" s="44"/>
      <c r="FEA105" s="44"/>
      <c r="FEB105" s="44"/>
      <c r="FEC105" s="44"/>
      <c r="FED105" s="44"/>
      <c r="FEE105" s="44"/>
      <c r="FEF105" s="44"/>
      <c r="FEG105" s="44"/>
      <c r="FEH105" s="44"/>
      <c r="FEI105" s="44"/>
      <c r="FEJ105" s="44"/>
      <c r="FEK105" s="44"/>
      <c r="FEL105" s="44"/>
      <c r="FEM105" s="44"/>
      <c r="FEN105" s="44"/>
      <c r="FEO105" s="44"/>
      <c r="FEP105" s="44"/>
      <c r="FEQ105" s="44"/>
      <c r="FER105" s="44"/>
      <c r="FES105" s="44"/>
      <c r="FET105" s="44"/>
      <c r="FEU105" s="44"/>
      <c r="FEV105" s="44"/>
      <c r="FEW105" s="44"/>
      <c r="FEX105" s="44"/>
      <c r="FEY105" s="44"/>
      <c r="FEZ105" s="44"/>
      <c r="FFA105" s="44"/>
      <c r="FFB105" s="44"/>
      <c r="FFC105" s="44"/>
      <c r="FFD105" s="44"/>
      <c r="FFE105" s="44"/>
      <c r="FFF105" s="44"/>
      <c r="FFG105" s="44"/>
      <c r="FFH105" s="44"/>
      <c r="FFI105" s="44"/>
      <c r="FFJ105" s="44"/>
      <c r="FFK105" s="44"/>
      <c r="FFL105" s="44"/>
      <c r="FFM105" s="44"/>
      <c r="FFN105" s="44"/>
      <c r="FFO105" s="44"/>
      <c r="FFP105" s="44"/>
      <c r="FFQ105" s="44"/>
      <c r="FFR105" s="44"/>
      <c r="FFS105" s="44"/>
      <c r="FFT105" s="44"/>
      <c r="FFU105" s="44"/>
      <c r="FFV105" s="44"/>
      <c r="FFW105" s="44"/>
      <c r="FFX105" s="44"/>
      <c r="FFY105" s="44"/>
      <c r="FFZ105" s="44"/>
      <c r="FGA105" s="44"/>
      <c r="FGB105" s="44"/>
      <c r="FGC105" s="44"/>
      <c r="FGD105" s="44"/>
      <c r="FGE105" s="44"/>
      <c r="FGF105" s="44"/>
      <c r="FGG105" s="44"/>
      <c r="FGH105" s="44"/>
      <c r="FGI105" s="44"/>
      <c r="FGJ105" s="44"/>
      <c r="FGK105" s="44"/>
      <c r="FGL105" s="44"/>
      <c r="FGM105" s="44"/>
      <c r="FGN105" s="44"/>
      <c r="FGO105" s="44"/>
      <c r="FGP105" s="44"/>
      <c r="FGQ105" s="44"/>
      <c r="FGR105" s="44"/>
      <c r="FGS105" s="44"/>
      <c r="FGT105" s="44"/>
      <c r="FGU105" s="44"/>
      <c r="FGV105" s="44"/>
      <c r="FGW105" s="44"/>
      <c r="FGX105" s="44"/>
      <c r="FGY105" s="44"/>
      <c r="FGZ105" s="44"/>
      <c r="FHA105" s="44"/>
      <c r="FHB105" s="44"/>
      <c r="FHC105" s="44"/>
      <c r="FHD105" s="44"/>
      <c r="FHE105" s="44"/>
      <c r="FHF105" s="44"/>
      <c r="FHG105" s="44"/>
      <c r="FHH105" s="44"/>
      <c r="FHI105" s="44"/>
      <c r="FHJ105" s="44"/>
      <c r="FHK105" s="44"/>
      <c r="FHL105" s="44"/>
      <c r="FHM105" s="44"/>
      <c r="FHN105" s="44"/>
      <c r="FHO105" s="44"/>
      <c r="FHP105" s="44"/>
      <c r="FHQ105" s="44"/>
      <c r="FHR105" s="44"/>
      <c r="FHS105" s="44"/>
      <c r="FHT105" s="44"/>
      <c r="FHU105" s="44"/>
      <c r="FHV105" s="44"/>
      <c r="FHW105" s="44"/>
      <c r="FHX105" s="44"/>
      <c r="FHY105" s="44"/>
      <c r="FHZ105" s="44"/>
      <c r="FIA105" s="44"/>
      <c r="FIB105" s="44"/>
      <c r="FIC105" s="44"/>
      <c r="FID105" s="44"/>
      <c r="FIE105" s="44"/>
      <c r="FIF105" s="44"/>
      <c r="FIG105" s="44"/>
      <c r="FIH105" s="44"/>
      <c r="FII105" s="44"/>
      <c r="FIJ105" s="44"/>
      <c r="FIK105" s="44"/>
      <c r="FIL105" s="44"/>
      <c r="FIM105" s="44"/>
      <c r="FIN105" s="44"/>
      <c r="FIO105" s="44"/>
      <c r="FIP105" s="44"/>
      <c r="FIQ105" s="44"/>
      <c r="FIR105" s="44"/>
      <c r="FIS105" s="44"/>
      <c r="FIT105" s="44"/>
      <c r="FIU105" s="44"/>
      <c r="FIV105" s="44"/>
      <c r="FIW105" s="44"/>
      <c r="FIX105" s="44"/>
      <c r="FIY105" s="44"/>
      <c r="FIZ105" s="44"/>
      <c r="FJA105" s="44"/>
      <c r="FJB105" s="44"/>
      <c r="FJC105" s="44"/>
      <c r="FJD105" s="44"/>
      <c r="FJE105" s="44"/>
      <c r="FJF105" s="44"/>
      <c r="FJG105" s="44"/>
      <c r="FJH105" s="44"/>
      <c r="FJI105" s="44"/>
      <c r="FJJ105" s="44"/>
      <c r="FJK105" s="44"/>
      <c r="FJL105" s="44"/>
      <c r="FJM105" s="44"/>
      <c r="FJN105" s="44"/>
      <c r="FJO105" s="44"/>
      <c r="FJP105" s="44"/>
      <c r="FJQ105" s="44"/>
      <c r="FJR105" s="44"/>
      <c r="FJS105" s="44"/>
      <c r="FJT105" s="44"/>
      <c r="FJU105" s="44"/>
      <c r="FJV105" s="44"/>
      <c r="FJW105" s="44"/>
      <c r="FJX105" s="44"/>
      <c r="FJY105" s="44"/>
      <c r="FJZ105" s="44"/>
      <c r="FKA105" s="44"/>
      <c r="FKB105" s="44"/>
      <c r="FKC105" s="44"/>
      <c r="FKD105" s="44"/>
      <c r="FKE105" s="44"/>
      <c r="FKF105" s="44"/>
      <c r="FKG105" s="44"/>
      <c r="FKH105" s="44"/>
      <c r="FKI105" s="44"/>
      <c r="FKJ105" s="44"/>
      <c r="FKK105" s="44"/>
      <c r="FKL105" s="44"/>
      <c r="FKM105" s="44"/>
      <c r="FKN105" s="44"/>
      <c r="FKO105" s="44"/>
      <c r="FKP105" s="44"/>
      <c r="FKQ105" s="44"/>
      <c r="FKR105" s="44"/>
      <c r="FKS105" s="44"/>
      <c r="FKT105" s="44"/>
      <c r="FKU105" s="44"/>
      <c r="FKV105" s="44"/>
      <c r="FKW105" s="44"/>
      <c r="FKX105" s="44"/>
      <c r="FKY105" s="44"/>
      <c r="FKZ105" s="44"/>
      <c r="FLA105" s="44"/>
      <c r="FLB105" s="44"/>
      <c r="FLC105" s="44"/>
      <c r="FLD105" s="44"/>
      <c r="FLE105" s="44"/>
      <c r="FLF105" s="44"/>
      <c r="FLG105" s="44"/>
      <c r="FLH105" s="44"/>
      <c r="FLI105" s="44"/>
      <c r="FLJ105" s="44"/>
      <c r="FLK105" s="44"/>
      <c r="FLL105" s="44"/>
      <c r="FLM105" s="44"/>
      <c r="FLN105" s="44"/>
      <c r="FLO105" s="44"/>
      <c r="FLP105" s="44"/>
      <c r="FLQ105" s="44"/>
      <c r="FLR105" s="44"/>
      <c r="FLS105" s="44"/>
      <c r="FLT105" s="44"/>
      <c r="FLU105" s="44"/>
      <c r="FLV105" s="44"/>
      <c r="FLW105" s="44"/>
      <c r="FLX105" s="44"/>
      <c r="FLY105" s="44"/>
      <c r="FLZ105" s="44"/>
      <c r="FMA105" s="44"/>
      <c r="FMB105" s="44"/>
      <c r="FMC105" s="44"/>
      <c r="FMD105" s="44"/>
      <c r="FME105" s="44"/>
      <c r="FMF105" s="44"/>
      <c r="FMG105" s="44"/>
      <c r="FMH105" s="44"/>
      <c r="FMI105" s="44"/>
      <c r="FMJ105" s="44"/>
      <c r="FMK105" s="44"/>
      <c r="FML105" s="44"/>
      <c r="FMM105" s="44"/>
      <c r="FMN105" s="44"/>
      <c r="FMO105" s="44"/>
      <c r="FMP105" s="44"/>
      <c r="FMQ105" s="44"/>
      <c r="FMR105" s="44"/>
      <c r="FMS105" s="44"/>
      <c r="FMT105" s="44"/>
      <c r="FMU105" s="44"/>
      <c r="FMV105" s="44"/>
      <c r="FMW105" s="44"/>
      <c r="FMX105" s="44"/>
      <c r="FMY105" s="44"/>
      <c r="FMZ105" s="44"/>
      <c r="FNA105" s="44"/>
      <c r="FNB105" s="44"/>
      <c r="FNC105" s="44"/>
      <c r="FND105" s="44"/>
      <c r="FNE105" s="44"/>
      <c r="FNF105" s="44"/>
      <c r="FNG105" s="44"/>
      <c r="FNH105" s="44"/>
      <c r="FNI105" s="44"/>
      <c r="FNJ105" s="44"/>
      <c r="FNK105" s="44"/>
      <c r="FNL105" s="44"/>
      <c r="FNM105" s="44"/>
      <c r="FNN105" s="44"/>
      <c r="FNO105" s="44"/>
      <c r="FNP105" s="44"/>
      <c r="FNQ105" s="44"/>
      <c r="FNR105" s="44"/>
      <c r="FNS105" s="44"/>
      <c r="FNT105" s="44"/>
      <c r="FNU105" s="44"/>
      <c r="FNV105" s="44"/>
      <c r="FNW105" s="44"/>
      <c r="FNX105" s="44"/>
      <c r="FNY105" s="44"/>
      <c r="FNZ105" s="44"/>
      <c r="FOA105" s="44"/>
      <c r="FOB105" s="44"/>
      <c r="FOC105" s="44"/>
      <c r="FOD105" s="44"/>
      <c r="FOE105" s="44"/>
      <c r="FOF105" s="44"/>
      <c r="FOG105" s="44"/>
      <c r="FOH105" s="44"/>
      <c r="FOI105" s="44"/>
      <c r="FOJ105" s="44"/>
      <c r="FOK105" s="44"/>
      <c r="FOL105" s="44"/>
      <c r="FOM105" s="44"/>
      <c r="FON105" s="44"/>
      <c r="FOO105" s="44"/>
      <c r="FOP105" s="44"/>
      <c r="FOQ105" s="44"/>
      <c r="FOR105" s="44"/>
      <c r="FOS105" s="44"/>
      <c r="FOT105" s="44"/>
      <c r="FOU105" s="44"/>
      <c r="FOV105" s="44"/>
      <c r="FOW105" s="44"/>
      <c r="FOX105" s="44"/>
      <c r="FOY105" s="44"/>
      <c r="FOZ105" s="44"/>
      <c r="FPA105" s="44"/>
      <c r="FPB105" s="44"/>
      <c r="FPC105" s="44"/>
      <c r="FPD105" s="44"/>
      <c r="FPE105" s="44"/>
      <c r="FPF105" s="44"/>
      <c r="FPG105" s="44"/>
      <c r="FPH105" s="44"/>
      <c r="FPI105" s="44"/>
      <c r="FPJ105" s="44"/>
      <c r="FPK105" s="44"/>
      <c r="FPL105" s="44"/>
      <c r="FPM105" s="44"/>
      <c r="FPN105" s="44"/>
      <c r="FPO105" s="44"/>
      <c r="FPP105" s="44"/>
      <c r="FPQ105" s="44"/>
      <c r="FPR105" s="44"/>
      <c r="FPS105" s="44"/>
      <c r="FPT105" s="44"/>
      <c r="FPU105" s="44"/>
      <c r="FPV105" s="44"/>
      <c r="FPW105" s="44"/>
      <c r="FPX105" s="44"/>
      <c r="FPY105" s="44"/>
      <c r="FPZ105" s="44"/>
      <c r="FQA105" s="44"/>
      <c r="FQB105" s="44"/>
      <c r="FQC105" s="44"/>
      <c r="FQD105" s="44"/>
      <c r="FQE105" s="44"/>
      <c r="FQF105" s="44"/>
      <c r="FQG105" s="44"/>
      <c r="FQH105" s="44"/>
      <c r="FQI105" s="44"/>
      <c r="FQJ105" s="44"/>
      <c r="FQK105" s="44"/>
      <c r="FQL105" s="44"/>
      <c r="FQM105" s="44"/>
      <c r="FQN105" s="44"/>
      <c r="FQO105" s="44"/>
      <c r="FQP105" s="44"/>
      <c r="FQQ105" s="44"/>
      <c r="FQR105" s="44"/>
      <c r="FQS105" s="44"/>
      <c r="FQT105" s="44"/>
      <c r="FQU105" s="44"/>
      <c r="FQV105" s="44"/>
      <c r="FQW105" s="44"/>
      <c r="FQX105" s="44"/>
      <c r="FQY105" s="44"/>
      <c r="FQZ105" s="44"/>
      <c r="FRA105" s="44"/>
      <c r="FRB105" s="44"/>
      <c r="FRC105" s="44"/>
      <c r="FRD105" s="44"/>
      <c r="FRE105" s="44"/>
      <c r="FRF105" s="44"/>
      <c r="FRG105" s="44"/>
      <c r="FRH105" s="44"/>
      <c r="FRI105" s="44"/>
      <c r="FRJ105" s="44"/>
      <c r="FRK105" s="44"/>
      <c r="FRL105" s="44"/>
      <c r="FRM105" s="44"/>
      <c r="FRN105" s="44"/>
      <c r="FRO105" s="44"/>
      <c r="FRP105" s="44"/>
      <c r="FRQ105" s="44"/>
      <c r="FRR105" s="44"/>
      <c r="FRS105" s="44"/>
      <c r="FRT105" s="44"/>
      <c r="FRU105" s="44"/>
      <c r="FRV105" s="44"/>
      <c r="FRW105" s="44"/>
      <c r="FRX105" s="44"/>
      <c r="FRY105" s="44"/>
      <c r="FRZ105" s="44"/>
      <c r="FSA105" s="44"/>
      <c r="FSB105" s="44"/>
      <c r="FSC105" s="44"/>
      <c r="FSD105" s="44"/>
      <c r="FSE105" s="44"/>
      <c r="FSF105" s="44"/>
      <c r="FSG105" s="44"/>
      <c r="FSH105" s="44"/>
      <c r="FSI105" s="44"/>
      <c r="FSJ105" s="44"/>
      <c r="FSK105" s="44"/>
      <c r="FSL105" s="44"/>
      <c r="FSM105" s="44"/>
      <c r="FSN105" s="44"/>
      <c r="FSO105" s="44"/>
      <c r="FSP105" s="44"/>
      <c r="FSQ105" s="44"/>
      <c r="FSR105" s="44"/>
      <c r="FSS105" s="44"/>
      <c r="FST105" s="44"/>
      <c r="FSU105" s="44"/>
      <c r="FSV105" s="44"/>
      <c r="FSW105" s="44"/>
      <c r="FSX105" s="44"/>
      <c r="FSY105" s="44"/>
      <c r="FSZ105" s="44"/>
      <c r="FTA105" s="44"/>
      <c r="FTB105" s="44"/>
      <c r="FTC105" s="44"/>
      <c r="FTD105" s="44"/>
      <c r="FTE105" s="44"/>
      <c r="FTF105" s="44"/>
      <c r="FTG105" s="44"/>
      <c r="FTH105" s="44"/>
      <c r="FTI105" s="44"/>
      <c r="FTJ105" s="44"/>
      <c r="FTK105" s="44"/>
      <c r="FTL105" s="44"/>
      <c r="FTM105" s="44"/>
      <c r="FTN105" s="44"/>
      <c r="FTO105" s="44"/>
      <c r="FTP105" s="44"/>
      <c r="FTQ105" s="44"/>
      <c r="FTR105" s="44"/>
      <c r="FTS105" s="44"/>
      <c r="FTT105" s="44"/>
      <c r="FTU105" s="44"/>
      <c r="FTV105" s="44"/>
      <c r="FTW105" s="44"/>
      <c r="FTX105" s="44"/>
      <c r="FTY105" s="44"/>
      <c r="FTZ105" s="44"/>
      <c r="FUA105" s="44"/>
      <c r="FUB105" s="44"/>
      <c r="FUC105" s="44"/>
      <c r="FUD105" s="44"/>
      <c r="FUE105" s="44"/>
      <c r="FUF105" s="44"/>
      <c r="FUG105" s="44"/>
      <c r="FUH105" s="44"/>
      <c r="FUI105" s="44"/>
      <c r="FUJ105" s="44"/>
      <c r="FUK105" s="44"/>
      <c r="FUL105" s="44"/>
      <c r="FUM105" s="44"/>
      <c r="FUN105" s="44"/>
      <c r="FUO105" s="44"/>
      <c r="FUP105" s="44"/>
      <c r="FUQ105" s="44"/>
      <c r="FUR105" s="44"/>
      <c r="FUS105" s="44"/>
      <c r="FUT105" s="44"/>
      <c r="FUU105" s="44"/>
      <c r="FUV105" s="44"/>
      <c r="FUW105" s="44"/>
      <c r="FUX105" s="44"/>
      <c r="FUY105" s="44"/>
      <c r="FUZ105" s="44"/>
      <c r="FVA105" s="44"/>
      <c r="FVB105" s="44"/>
      <c r="FVC105" s="44"/>
      <c r="FVD105" s="44"/>
      <c r="FVE105" s="44"/>
      <c r="FVF105" s="44"/>
      <c r="FVG105" s="44"/>
      <c r="FVH105" s="44"/>
      <c r="FVI105" s="44"/>
      <c r="FVJ105" s="44"/>
      <c r="FVK105" s="44"/>
      <c r="FVL105" s="44"/>
      <c r="FVM105" s="44"/>
      <c r="FVN105" s="44"/>
      <c r="FVO105" s="44"/>
      <c r="FVP105" s="44"/>
      <c r="FVQ105" s="44"/>
      <c r="FVR105" s="44"/>
      <c r="FVS105" s="44"/>
      <c r="FVT105" s="44"/>
      <c r="FVU105" s="44"/>
      <c r="FVV105" s="44"/>
      <c r="FVW105" s="44"/>
      <c r="FVX105" s="44"/>
      <c r="FVY105" s="44"/>
      <c r="FVZ105" s="44"/>
      <c r="FWA105" s="44"/>
      <c r="FWB105" s="44"/>
      <c r="FWC105" s="44"/>
      <c r="FWD105" s="44"/>
      <c r="FWE105" s="44"/>
      <c r="FWF105" s="44"/>
      <c r="FWG105" s="44"/>
      <c r="FWH105" s="44"/>
      <c r="FWI105" s="44"/>
      <c r="FWJ105" s="44"/>
      <c r="FWK105" s="44"/>
      <c r="FWL105" s="44"/>
      <c r="FWM105" s="44"/>
      <c r="FWN105" s="44"/>
      <c r="FWO105" s="44"/>
      <c r="FWP105" s="44"/>
      <c r="FWQ105" s="44"/>
      <c r="FWR105" s="44"/>
      <c r="FWS105" s="44"/>
      <c r="FWT105" s="44"/>
      <c r="FWU105" s="44"/>
      <c r="FWV105" s="44"/>
      <c r="FWW105" s="44"/>
      <c r="FWX105" s="44"/>
      <c r="FWY105" s="44"/>
      <c r="FWZ105" s="44"/>
      <c r="FXA105" s="44"/>
      <c r="FXB105" s="44"/>
      <c r="FXC105" s="44"/>
      <c r="FXD105" s="44"/>
      <c r="FXE105" s="44"/>
      <c r="FXF105" s="44"/>
      <c r="FXG105" s="44"/>
      <c r="FXH105" s="44"/>
      <c r="FXI105" s="44"/>
      <c r="FXJ105" s="44"/>
      <c r="FXK105" s="44"/>
      <c r="FXL105" s="44"/>
      <c r="FXM105" s="44"/>
      <c r="FXN105" s="44"/>
      <c r="FXO105" s="44"/>
      <c r="FXP105" s="44"/>
      <c r="FXQ105" s="44"/>
      <c r="FXR105" s="44"/>
      <c r="FXS105" s="44"/>
      <c r="FXT105" s="44"/>
      <c r="FXU105" s="44"/>
      <c r="FXV105" s="44"/>
      <c r="FXW105" s="44"/>
      <c r="FXX105" s="44"/>
      <c r="FXY105" s="44"/>
      <c r="FXZ105" s="44"/>
      <c r="FYA105" s="44"/>
      <c r="FYB105" s="44"/>
      <c r="FYC105" s="44"/>
      <c r="FYD105" s="44"/>
      <c r="FYE105" s="44"/>
      <c r="FYF105" s="44"/>
      <c r="FYG105" s="44"/>
      <c r="FYH105" s="44"/>
      <c r="FYI105" s="44"/>
      <c r="FYJ105" s="44"/>
      <c r="FYK105" s="44"/>
      <c r="FYL105" s="44"/>
      <c r="FYM105" s="44"/>
      <c r="FYN105" s="44"/>
      <c r="FYO105" s="44"/>
      <c r="FYP105" s="44"/>
      <c r="FYQ105" s="44"/>
      <c r="FYR105" s="44"/>
      <c r="FYS105" s="44"/>
      <c r="FYT105" s="44"/>
      <c r="FYU105" s="44"/>
      <c r="FYV105" s="44"/>
      <c r="FYW105" s="44"/>
      <c r="FYX105" s="44"/>
      <c r="FYY105" s="44"/>
      <c r="FYZ105" s="44"/>
      <c r="FZA105" s="44"/>
      <c r="FZB105" s="44"/>
      <c r="FZC105" s="44"/>
      <c r="FZD105" s="44"/>
      <c r="FZE105" s="44"/>
      <c r="FZF105" s="44"/>
      <c r="FZG105" s="44"/>
      <c r="FZH105" s="44"/>
      <c r="FZI105" s="44"/>
      <c r="FZJ105" s="44"/>
      <c r="FZK105" s="44"/>
      <c r="FZL105" s="44"/>
      <c r="FZM105" s="44"/>
      <c r="FZN105" s="44"/>
      <c r="FZO105" s="44"/>
      <c r="FZP105" s="44"/>
      <c r="FZQ105" s="44"/>
      <c r="FZR105" s="44"/>
      <c r="FZS105" s="44"/>
      <c r="FZT105" s="44"/>
      <c r="FZU105" s="44"/>
      <c r="FZV105" s="44"/>
      <c r="FZW105" s="44"/>
      <c r="FZX105" s="44"/>
      <c r="FZY105" s="44"/>
      <c r="FZZ105" s="44"/>
      <c r="GAA105" s="44"/>
      <c r="GAB105" s="44"/>
      <c r="GAC105" s="44"/>
      <c r="GAD105" s="44"/>
      <c r="GAE105" s="44"/>
      <c r="GAF105" s="44"/>
      <c r="GAG105" s="44"/>
      <c r="GAH105" s="44"/>
      <c r="GAI105" s="44"/>
      <c r="GAJ105" s="44"/>
      <c r="GAK105" s="44"/>
      <c r="GAL105" s="44"/>
      <c r="GAM105" s="44"/>
      <c r="GAN105" s="44"/>
      <c r="GAO105" s="44"/>
      <c r="GAP105" s="44"/>
      <c r="GAQ105" s="44"/>
      <c r="GAR105" s="44"/>
      <c r="GAS105" s="44"/>
      <c r="GAT105" s="44"/>
      <c r="GAU105" s="44"/>
      <c r="GAV105" s="44"/>
      <c r="GAW105" s="44"/>
      <c r="GAX105" s="44"/>
      <c r="GAY105" s="44"/>
      <c r="GAZ105" s="44"/>
      <c r="GBA105" s="44"/>
      <c r="GBB105" s="44"/>
      <c r="GBC105" s="44"/>
      <c r="GBD105" s="44"/>
      <c r="GBE105" s="44"/>
      <c r="GBF105" s="44"/>
      <c r="GBG105" s="44"/>
      <c r="GBH105" s="44"/>
      <c r="GBI105" s="44"/>
      <c r="GBJ105" s="44"/>
      <c r="GBK105" s="44"/>
      <c r="GBL105" s="44"/>
      <c r="GBM105" s="44"/>
      <c r="GBN105" s="44"/>
      <c r="GBO105" s="44"/>
      <c r="GBP105" s="44"/>
      <c r="GBQ105" s="44"/>
      <c r="GBR105" s="44"/>
      <c r="GBS105" s="44"/>
      <c r="GBT105" s="44"/>
      <c r="GBU105" s="44"/>
      <c r="GBV105" s="44"/>
      <c r="GBW105" s="44"/>
      <c r="GBX105" s="44"/>
      <c r="GBY105" s="44"/>
      <c r="GBZ105" s="44"/>
      <c r="GCA105" s="44"/>
      <c r="GCB105" s="44"/>
      <c r="GCC105" s="44"/>
      <c r="GCD105" s="44"/>
      <c r="GCE105" s="44"/>
      <c r="GCF105" s="44"/>
      <c r="GCG105" s="44"/>
      <c r="GCH105" s="44"/>
      <c r="GCI105" s="44"/>
      <c r="GCJ105" s="44"/>
      <c r="GCK105" s="44"/>
      <c r="GCL105" s="44"/>
      <c r="GCM105" s="44"/>
      <c r="GCN105" s="44"/>
      <c r="GCO105" s="44"/>
      <c r="GCP105" s="44"/>
      <c r="GCQ105" s="44"/>
      <c r="GCR105" s="44"/>
      <c r="GCS105" s="44"/>
      <c r="GCT105" s="44"/>
      <c r="GCU105" s="44"/>
      <c r="GCV105" s="44"/>
      <c r="GCW105" s="44"/>
      <c r="GCX105" s="44"/>
      <c r="GCY105" s="44"/>
      <c r="GCZ105" s="44"/>
      <c r="GDA105" s="44"/>
      <c r="GDB105" s="44"/>
      <c r="GDC105" s="44"/>
      <c r="GDD105" s="44"/>
      <c r="GDE105" s="44"/>
      <c r="GDF105" s="44"/>
      <c r="GDG105" s="44"/>
      <c r="GDH105" s="44"/>
      <c r="GDI105" s="44"/>
      <c r="GDJ105" s="44"/>
      <c r="GDK105" s="44"/>
      <c r="GDL105" s="44"/>
      <c r="GDM105" s="44"/>
      <c r="GDN105" s="44"/>
      <c r="GDO105" s="44"/>
      <c r="GDP105" s="44"/>
      <c r="GDQ105" s="44"/>
      <c r="GDR105" s="44"/>
      <c r="GDS105" s="44"/>
      <c r="GDT105" s="44"/>
      <c r="GDU105" s="44"/>
      <c r="GDV105" s="44"/>
      <c r="GDW105" s="44"/>
      <c r="GDX105" s="44"/>
      <c r="GDY105" s="44"/>
      <c r="GDZ105" s="44"/>
      <c r="GEA105" s="44"/>
      <c r="GEB105" s="44"/>
      <c r="GEC105" s="44"/>
      <c r="GED105" s="44"/>
      <c r="GEE105" s="44"/>
      <c r="GEF105" s="44"/>
      <c r="GEG105" s="44"/>
      <c r="GEH105" s="44"/>
      <c r="GEI105" s="44"/>
      <c r="GEJ105" s="44"/>
      <c r="GEK105" s="44"/>
      <c r="GEL105" s="44"/>
      <c r="GEM105" s="44"/>
      <c r="GEN105" s="44"/>
      <c r="GEO105" s="44"/>
      <c r="GEP105" s="44"/>
      <c r="GEQ105" s="44"/>
      <c r="GER105" s="44"/>
      <c r="GES105" s="44"/>
      <c r="GET105" s="44"/>
      <c r="GEU105" s="44"/>
      <c r="GEV105" s="44"/>
      <c r="GEW105" s="44"/>
      <c r="GEX105" s="44"/>
      <c r="GEY105" s="44"/>
      <c r="GEZ105" s="44"/>
      <c r="GFA105" s="44"/>
      <c r="GFB105" s="44"/>
      <c r="GFC105" s="44"/>
      <c r="GFD105" s="44"/>
      <c r="GFE105" s="44"/>
      <c r="GFF105" s="44"/>
      <c r="GFG105" s="44"/>
      <c r="GFH105" s="44"/>
      <c r="GFI105" s="44"/>
      <c r="GFJ105" s="44"/>
      <c r="GFK105" s="44"/>
      <c r="GFL105" s="44"/>
      <c r="GFM105" s="44"/>
      <c r="GFN105" s="44"/>
      <c r="GFO105" s="44"/>
      <c r="GFP105" s="44"/>
      <c r="GFQ105" s="44"/>
      <c r="GFR105" s="44"/>
      <c r="GFS105" s="44"/>
      <c r="GFT105" s="44"/>
      <c r="GFU105" s="44"/>
      <c r="GFV105" s="44"/>
      <c r="GFW105" s="44"/>
      <c r="GFX105" s="44"/>
      <c r="GFY105" s="44"/>
      <c r="GFZ105" s="44"/>
      <c r="GGA105" s="44"/>
      <c r="GGB105" s="44"/>
      <c r="GGC105" s="44"/>
      <c r="GGD105" s="44"/>
      <c r="GGE105" s="44"/>
      <c r="GGF105" s="44"/>
      <c r="GGG105" s="44"/>
      <c r="GGH105" s="44"/>
      <c r="GGI105" s="44"/>
      <c r="GGJ105" s="44"/>
      <c r="GGK105" s="44"/>
      <c r="GGL105" s="44"/>
      <c r="GGM105" s="44"/>
      <c r="GGN105" s="44"/>
      <c r="GGO105" s="44"/>
      <c r="GGP105" s="44"/>
      <c r="GGQ105" s="44"/>
      <c r="GGR105" s="44"/>
      <c r="GGS105" s="44"/>
      <c r="GGT105" s="44"/>
      <c r="GGU105" s="44"/>
      <c r="GGV105" s="44"/>
      <c r="GGW105" s="44"/>
      <c r="GGX105" s="44"/>
      <c r="GGY105" s="44"/>
      <c r="GGZ105" s="44"/>
      <c r="GHA105" s="44"/>
      <c r="GHB105" s="44"/>
      <c r="GHC105" s="44"/>
      <c r="GHD105" s="44"/>
      <c r="GHE105" s="44"/>
      <c r="GHF105" s="44"/>
      <c r="GHG105" s="44"/>
      <c r="GHH105" s="44"/>
      <c r="GHI105" s="44"/>
      <c r="GHJ105" s="44"/>
      <c r="GHK105" s="44"/>
      <c r="GHL105" s="44"/>
      <c r="GHM105" s="44"/>
      <c r="GHN105" s="44"/>
      <c r="GHO105" s="44"/>
      <c r="GHP105" s="44"/>
      <c r="GHQ105" s="44"/>
      <c r="GHR105" s="44"/>
      <c r="GHS105" s="44"/>
      <c r="GHT105" s="44"/>
      <c r="GHU105" s="44"/>
      <c r="GHV105" s="44"/>
      <c r="GHW105" s="44"/>
      <c r="GHX105" s="44"/>
      <c r="GHY105" s="44"/>
      <c r="GHZ105" s="44"/>
      <c r="GIA105" s="44"/>
      <c r="GIB105" s="44"/>
      <c r="GIC105" s="44"/>
      <c r="GID105" s="44"/>
      <c r="GIE105" s="44"/>
      <c r="GIF105" s="44"/>
      <c r="GIG105" s="44"/>
      <c r="GIH105" s="44"/>
      <c r="GII105" s="44"/>
      <c r="GIJ105" s="44"/>
      <c r="GIK105" s="44"/>
      <c r="GIL105" s="44"/>
      <c r="GIM105" s="44"/>
      <c r="GIN105" s="44"/>
      <c r="GIO105" s="44"/>
      <c r="GIP105" s="44"/>
      <c r="GIQ105" s="44"/>
      <c r="GIR105" s="44"/>
      <c r="GIS105" s="44"/>
      <c r="GIT105" s="44"/>
      <c r="GIU105" s="44"/>
      <c r="GIV105" s="44"/>
      <c r="GIW105" s="44"/>
      <c r="GIX105" s="44"/>
      <c r="GIY105" s="44"/>
      <c r="GIZ105" s="44"/>
      <c r="GJA105" s="44"/>
      <c r="GJB105" s="44"/>
      <c r="GJC105" s="44"/>
      <c r="GJD105" s="44"/>
      <c r="GJE105" s="44"/>
      <c r="GJF105" s="44"/>
      <c r="GJG105" s="44"/>
      <c r="GJH105" s="44"/>
      <c r="GJI105" s="44"/>
      <c r="GJJ105" s="44"/>
      <c r="GJK105" s="44"/>
      <c r="GJL105" s="44"/>
      <c r="GJM105" s="44"/>
      <c r="GJN105" s="44"/>
      <c r="GJO105" s="44"/>
      <c r="GJP105" s="44"/>
      <c r="GJQ105" s="44"/>
      <c r="GJR105" s="44"/>
      <c r="GJS105" s="44"/>
      <c r="GJT105" s="44"/>
      <c r="GJU105" s="44"/>
      <c r="GJV105" s="44"/>
      <c r="GJW105" s="44"/>
      <c r="GJX105" s="44"/>
      <c r="GJY105" s="44"/>
      <c r="GJZ105" s="44"/>
      <c r="GKA105" s="44"/>
      <c r="GKB105" s="44"/>
      <c r="GKC105" s="44"/>
      <c r="GKD105" s="44"/>
      <c r="GKE105" s="44"/>
      <c r="GKF105" s="44"/>
      <c r="GKG105" s="44"/>
      <c r="GKH105" s="44"/>
      <c r="GKI105" s="44"/>
      <c r="GKJ105" s="44"/>
      <c r="GKK105" s="44"/>
      <c r="GKL105" s="44"/>
      <c r="GKM105" s="44"/>
      <c r="GKN105" s="44"/>
      <c r="GKO105" s="44"/>
      <c r="GKP105" s="44"/>
      <c r="GKQ105" s="44"/>
      <c r="GKR105" s="44"/>
      <c r="GKS105" s="44"/>
      <c r="GKT105" s="44"/>
      <c r="GKU105" s="44"/>
      <c r="GKV105" s="44"/>
      <c r="GKW105" s="44"/>
      <c r="GKX105" s="44"/>
      <c r="GKY105" s="44"/>
      <c r="GKZ105" s="44"/>
      <c r="GLA105" s="44"/>
      <c r="GLB105" s="44"/>
      <c r="GLC105" s="44"/>
      <c r="GLD105" s="44"/>
      <c r="GLE105" s="44"/>
      <c r="GLF105" s="44"/>
      <c r="GLG105" s="44"/>
      <c r="GLH105" s="44"/>
      <c r="GLI105" s="44"/>
      <c r="GLJ105" s="44"/>
      <c r="GLK105" s="44"/>
      <c r="GLL105" s="44"/>
      <c r="GLM105" s="44"/>
      <c r="GLN105" s="44"/>
      <c r="GLO105" s="44"/>
      <c r="GLP105" s="44"/>
      <c r="GLQ105" s="44"/>
      <c r="GLR105" s="44"/>
      <c r="GLS105" s="44"/>
      <c r="GLT105" s="44"/>
      <c r="GLU105" s="44"/>
      <c r="GLV105" s="44"/>
      <c r="GLW105" s="44"/>
      <c r="GLX105" s="44"/>
      <c r="GLY105" s="44"/>
      <c r="GLZ105" s="44"/>
      <c r="GMA105" s="44"/>
      <c r="GMB105" s="44"/>
      <c r="GMC105" s="44"/>
      <c r="GMD105" s="44"/>
      <c r="GME105" s="44"/>
      <c r="GMF105" s="44"/>
      <c r="GMG105" s="44"/>
      <c r="GMH105" s="44"/>
      <c r="GMI105" s="44"/>
      <c r="GMJ105" s="44"/>
      <c r="GMK105" s="44"/>
      <c r="GML105" s="44"/>
      <c r="GMM105" s="44"/>
      <c r="GMN105" s="44"/>
      <c r="GMO105" s="44"/>
      <c r="GMP105" s="44"/>
      <c r="GMQ105" s="44"/>
      <c r="GMR105" s="44"/>
      <c r="GMS105" s="44"/>
      <c r="GMT105" s="44"/>
      <c r="GMU105" s="44"/>
      <c r="GMV105" s="44"/>
      <c r="GMW105" s="44"/>
      <c r="GMX105" s="44"/>
      <c r="GMY105" s="44"/>
      <c r="GMZ105" s="44"/>
      <c r="GNA105" s="44"/>
      <c r="GNB105" s="44"/>
      <c r="GNC105" s="44"/>
      <c r="GND105" s="44"/>
      <c r="GNE105" s="44"/>
      <c r="GNF105" s="44"/>
      <c r="GNG105" s="44"/>
      <c r="GNH105" s="44"/>
      <c r="GNI105" s="44"/>
      <c r="GNJ105" s="44"/>
      <c r="GNK105" s="44"/>
      <c r="GNL105" s="44"/>
      <c r="GNM105" s="44"/>
      <c r="GNN105" s="44"/>
      <c r="GNO105" s="44"/>
      <c r="GNP105" s="44"/>
      <c r="GNQ105" s="44"/>
      <c r="GNR105" s="44"/>
      <c r="GNS105" s="44"/>
      <c r="GNT105" s="44"/>
      <c r="GNU105" s="44"/>
      <c r="GNV105" s="44"/>
      <c r="GNW105" s="44"/>
      <c r="GNX105" s="44"/>
      <c r="GNY105" s="44"/>
      <c r="GNZ105" s="44"/>
      <c r="GOA105" s="44"/>
      <c r="GOB105" s="44"/>
      <c r="GOC105" s="44"/>
      <c r="GOD105" s="44"/>
      <c r="GOE105" s="44"/>
      <c r="GOF105" s="44"/>
      <c r="GOG105" s="44"/>
      <c r="GOH105" s="44"/>
      <c r="GOI105" s="44"/>
      <c r="GOJ105" s="44"/>
      <c r="GOK105" s="44"/>
      <c r="GOL105" s="44"/>
      <c r="GOM105" s="44"/>
      <c r="GON105" s="44"/>
      <c r="GOO105" s="44"/>
      <c r="GOP105" s="44"/>
      <c r="GOQ105" s="44"/>
      <c r="GOR105" s="44"/>
      <c r="GOS105" s="44"/>
      <c r="GOT105" s="44"/>
      <c r="GOU105" s="44"/>
      <c r="GOV105" s="44"/>
      <c r="GOW105" s="44"/>
      <c r="GOX105" s="44"/>
      <c r="GOY105" s="44"/>
      <c r="GOZ105" s="44"/>
      <c r="GPA105" s="44"/>
      <c r="GPB105" s="44"/>
      <c r="GPC105" s="44"/>
      <c r="GPD105" s="44"/>
      <c r="GPE105" s="44"/>
      <c r="GPF105" s="44"/>
      <c r="GPG105" s="44"/>
      <c r="GPH105" s="44"/>
      <c r="GPI105" s="44"/>
      <c r="GPJ105" s="44"/>
      <c r="GPK105" s="44"/>
      <c r="GPL105" s="44"/>
      <c r="GPM105" s="44"/>
      <c r="GPN105" s="44"/>
      <c r="GPO105" s="44"/>
      <c r="GPP105" s="44"/>
      <c r="GPQ105" s="44"/>
      <c r="GPR105" s="44"/>
      <c r="GPS105" s="44"/>
      <c r="GPT105" s="44"/>
      <c r="GPU105" s="44"/>
      <c r="GPV105" s="44"/>
      <c r="GPW105" s="44"/>
      <c r="GPX105" s="44"/>
      <c r="GPY105" s="44"/>
      <c r="GPZ105" s="44"/>
      <c r="GQA105" s="44"/>
      <c r="GQB105" s="44"/>
      <c r="GQC105" s="44"/>
      <c r="GQD105" s="44"/>
      <c r="GQE105" s="44"/>
      <c r="GQF105" s="44"/>
      <c r="GQG105" s="44"/>
      <c r="GQH105" s="44"/>
      <c r="GQI105" s="44"/>
      <c r="GQJ105" s="44"/>
      <c r="GQK105" s="44"/>
      <c r="GQL105" s="44"/>
      <c r="GQM105" s="44"/>
      <c r="GQN105" s="44"/>
      <c r="GQO105" s="44"/>
      <c r="GQP105" s="44"/>
      <c r="GQQ105" s="44"/>
      <c r="GQR105" s="44"/>
      <c r="GQS105" s="44"/>
      <c r="GQT105" s="44"/>
      <c r="GQU105" s="44"/>
      <c r="GQV105" s="44"/>
      <c r="GQW105" s="44"/>
      <c r="GQX105" s="44"/>
      <c r="GQY105" s="44"/>
      <c r="GQZ105" s="44"/>
      <c r="GRA105" s="44"/>
      <c r="GRB105" s="44"/>
      <c r="GRC105" s="44"/>
      <c r="GRD105" s="44"/>
      <c r="GRE105" s="44"/>
      <c r="GRF105" s="44"/>
      <c r="GRG105" s="44"/>
      <c r="GRH105" s="44"/>
      <c r="GRI105" s="44"/>
      <c r="GRJ105" s="44"/>
      <c r="GRK105" s="44"/>
      <c r="GRL105" s="44"/>
      <c r="GRM105" s="44"/>
      <c r="GRN105" s="44"/>
      <c r="GRO105" s="44"/>
      <c r="GRP105" s="44"/>
      <c r="GRQ105" s="44"/>
      <c r="GRR105" s="44"/>
      <c r="GRS105" s="44"/>
      <c r="GRT105" s="44"/>
      <c r="GRU105" s="44"/>
      <c r="GRV105" s="44"/>
      <c r="GRW105" s="44"/>
      <c r="GRX105" s="44"/>
      <c r="GRY105" s="44"/>
      <c r="GRZ105" s="44"/>
      <c r="GSA105" s="44"/>
      <c r="GSB105" s="44"/>
      <c r="GSC105" s="44"/>
      <c r="GSD105" s="44"/>
      <c r="GSE105" s="44"/>
      <c r="GSF105" s="44"/>
      <c r="GSG105" s="44"/>
      <c r="GSH105" s="44"/>
      <c r="GSI105" s="44"/>
      <c r="GSJ105" s="44"/>
      <c r="GSK105" s="44"/>
      <c r="GSL105" s="44"/>
      <c r="GSM105" s="44"/>
      <c r="GSN105" s="44"/>
      <c r="GSO105" s="44"/>
      <c r="GSP105" s="44"/>
      <c r="GSQ105" s="44"/>
      <c r="GSR105" s="44"/>
      <c r="GSS105" s="44"/>
      <c r="GST105" s="44"/>
      <c r="GSU105" s="44"/>
      <c r="GSV105" s="44"/>
      <c r="GSW105" s="44"/>
      <c r="GSX105" s="44"/>
      <c r="GSY105" s="44"/>
      <c r="GSZ105" s="44"/>
      <c r="GTA105" s="44"/>
      <c r="GTB105" s="44"/>
      <c r="GTC105" s="44"/>
      <c r="GTD105" s="44"/>
      <c r="GTE105" s="44"/>
      <c r="GTF105" s="44"/>
      <c r="GTG105" s="44"/>
      <c r="GTH105" s="44"/>
      <c r="GTI105" s="44"/>
      <c r="GTJ105" s="44"/>
      <c r="GTK105" s="44"/>
      <c r="GTL105" s="44"/>
      <c r="GTM105" s="44"/>
      <c r="GTN105" s="44"/>
      <c r="GTO105" s="44"/>
      <c r="GTP105" s="44"/>
      <c r="GTQ105" s="44"/>
      <c r="GTR105" s="44"/>
      <c r="GTS105" s="44"/>
      <c r="GTT105" s="44"/>
      <c r="GTU105" s="44"/>
      <c r="GTV105" s="44"/>
      <c r="GTW105" s="44"/>
      <c r="GTX105" s="44"/>
      <c r="GTY105" s="44"/>
      <c r="GTZ105" s="44"/>
      <c r="GUA105" s="44"/>
      <c r="GUB105" s="44"/>
      <c r="GUC105" s="44"/>
      <c r="GUD105" s="44"/>
      <c r="GUE105" s="44"/>
      <c r="GUF105" s="44"/>
      <c r="GUG105" s="44"/>
      <c r="GUH105" s="44"/>
      <c r="GUI105" s="44"/>
      <c r="GUJ105" s="44"/>
      <c r="GUK105" s="44"/>
      <c r="GUL105" s="44"/>
      <c r="GUM105" s="44"/>
      <c r="GUN105" s="44"/>
      <c r="GUO105" s="44"/>
      <c r="GUP105" s="44"/>
      <c r="GUQ105" s="44"/>
      <c r="GUR105" s="44"/>
      <c r="GUS105" s="44"/>
      <c r="GUT105" s="44"/>
      <c r="GUU105" s="44"/>
      <c r="GUV105" s="44"/>
      <c r="GUW105" s="44"/>
      <c r="GUX105" s="44"/>
      <c r="GUY105" s="44"/>
      <c r="GUZ105" s="44"/>
      <c r="GVA105" s="44"/>
      <c r="GVB105" s="44"/>
      <c r="GVC105" s="44"/>
      <c r="GVD105" s="44"/>
      <c r="GVE105" s="44"/>
      <c r="GVF105" s="44"/>
      <c r="GVG105" s="44"/>
      <c r="GVH105" s="44"/>
      <c r="GVI105" s="44"/>
      <c r="GVJ105" s="44"/>
      <c r="GVK105" s="44"/>
      <c r="GVL105" s="44"/>
      <c r="GVM105" s="44"/>
      <c r="GVN105" s="44"/>
      <c r="GVO105" s="44"/>
      <c r="GVP105" s="44"/>
      <c r="GVQ105" s="44"/>
      <c r="GVR105" s="44"/>
      <c r="GVS105" s="44"/>
      <c r="GVT105" s="44"/>
      <c r="GVU105" s="44"/>
      <c r="GVV105" s="44"/>
      <c r="GVW105" s="44"/>
      <c r="GVX105" s="44"/>
      <c r="GVY105" s="44"/>
      <c r="GVZ105" s="44"/>
      <c r="GWA105" s="44"/>
      <c r="GWB105" s="44"/>
      <c r="GWC105" s="44"/>
      <c r="GWD105" s="44"/>
      <c r="GWE105" s="44"/>
      <c r="GWF105" s="44"/>
      <c r="GWG105" s="44"/>
      <c r="GWH105" s="44"/>
      <c r="GWI105" s="44"/>
      <c r="GWJ105" s="44"/>
      <c r="GWK105" s="44"/>
      <c r="GWL105" s="44"/>
      <c r="GWM105" s="44"/>
      <c r="GWN105" s="44"/>
      <c r="GWO105" s="44"/>
      <c r="GWP105" s="44"/>
      <c r="GWQ105" s="44"/>
      <c r="GWR105" s="44"/>
      <c r="GWS105" s="44"/>
      <c r="GWT105" s="44"/>
      <c r="GWU105" s="44"/>
      <c r="GWV105" s="44"/>
      <c r="GWW105" s="44"/>
      <c r="GWX105" s="44"/>
      <c r="GWY105" s="44"/>
      <c r="GWZ105" s="44"/>
      <c r="GXA105" s="44"/>
      <c r="GXB105" s="44"/>
      <c r="GXC105" s="44"/>
      <c r="GXD105" s="44"/>
      <c r="GXE105" s="44"/>
      <c r="GXF105" s="44"/>
      <c r="GXG105" s="44"/>
      <c r="GXH105" s="44"/>
      <c r="GXI105" s="44"/>
      <c r="GXJ105" s="44"/>
      <c r="GXK105" s="44"/>
      <c r="GXL105" s="44"/>
      <c r="GXM105" s="44"/>
      <c r="GXN105" s="44"/>
      <c r="GXO105" s="44"/>
      <c r="GXP105" s="44"/>
      <c r="GXQ105" s="44"/>
      <c r="GXR105" s="44"/>
      <c r="GXS105" s="44"/>
      <c r="GXT105" s="44"/>
      <c r="GXU105" s="44"/>
      <c r="GXV105" s="44"/>
      <c r="GXW105" s="44"/>
      <c r="GXX105" s="44"/>
      <c r="GXY105" s="44"/>
      <c r="GXZ105" s="44"/>
      <c r="GYA105" s="44"/>
      <c r="GYB105" s="44"/>
      <c r="GYC105" s="44"/>
      <c r="GYD105" s="44"/>
      <c r="GYE105" s="44"/>
      <c r="GYF105" s="44"/>
      <c r="GYG105" s="44"/>
      <c r="GYH105" s="44"/>
      <c r="GYI105" s="44"/>
      <c r="GYJ105" s="44"/>
      <c r="GYK105" s="44"/>
      <c r="GYL105" s="44"/>
      <c r="GYM105" s="44"/>
      <c r="GYN105" s="44"/>
      <c r="GYO105" s="44"/>
      <c r="GYP105" s="44"/>
      <c r="GYQ105" s="44"/>
      <c r="GYR105" s="44"/>
      <c r="GYS105" s="44"/>
      <c r="GYT105" s="44"/>
      <c r="GYU105" s="44"/>
      <c r="GYV105" s="44"/>
      <c r="GYW105" s="44"/>
      <c r="GYX105" s="44"/>
      <c r="GYY105" s="44"/>
      <c r="GYZ105" s="44"/>
      <c r="GZA105" s="44"/>
      <c r="GZB105" s="44"/>
      <c r="GZC105" s="44"/>
      <c r="GZD105" s="44"/>
      <c r="GZE105" s="44"/>
      <c r="GZF105" s="44"/>
      <c r="GZG105" s="44"/>
      <c r="GZH105" s="44"/>
      <c r="GZI105" s="44"/>
      <c r="GZJ105" s="44"/>
      <c r="GZK105" s="44"/>
      <c r="GZL105" s="44"/>
      <c r="GZM105" s="44"/>
      <c r="GZN105" s="44"/>
      <c r="GZO105" s="44"/>
      <c r="GZP105" s="44"/>
      <c r="GZQ105" s="44"/>
      <c r="GZR105" s="44"/>
      <c r="GZS105" s="44"/>
      <c r="GZT105" s="44"/>
      <c r="GZU105" s="44"/>
      <c r="GZV105" s="44"/>
      <c r="GZW105" s="44"/>
      <c r="GZX105" s="44"/>
      <c r="GZY105" s="44"/>
      <c r="GZZ105" s="44"/>
      <c r="HAA105" s="44"/>
      <c r="HAB105" s="44"/>
      <c r="HAC105" s="44"/>
      <c r="HAD105" s="44"/>
      <c r="HAE105" s="44"/>
      <c r="HAF105" s="44"/>
      <c r="HAG105" s="44"/>
      <c r="HAH105" s="44"/>
      <c r="HAI105" s="44"/>
      <c r="HAJ105" s="44"/>
      <c r="HAK105" s="44"/>
      <c r="HAL105" s="44"/>
      <c r="HAM105" s="44"/>
      <c r="HAN105" s="44"/>
      <c r="HAO105" s="44"/>
      <c r="HAP105" s="44"/>
      <c r="HAQ105" s="44"/>
      <c r="HAR105" s="44"/>
      <c r="HAS105" s="44"/>
      <c r="HAT105" s="44"/>
      <c r="HAU105" s="44"/>
      <c r="HAV105" s="44"/>
      <c r="HAW105" s="44"/>
      <c r="HAX105" s="44"/>
      <c r="HAY105" s="44"/>
      <c r="HAZ105" s="44"/>
      <c r="HBA105" s="44"/>
      <c r="HBB105" s="44"/>
      <c r="HBC105" s="44"/>
      <c r="HBD105" s="44"/>
      <c r="HBE105" s="44"/>
      <c r="HBF105" s="44"/>
      <c r="HBG105" s="44"/>
      <c r="HBH105" s="44"/>
      <c r="HBI105" s="44"/>
      <c r="HBJ105" s="44"/>
      <c r="HBK105" s="44"/>
      <c r="HBL105" s="44"/>
      <c r="HBM105" s="44"/>
      <c r="HBN105" s="44"/>
      <c r="HBO105" s="44"/>
      <c r="HBP105" s="44"/>
      <c r="HBQ105" s="44"/>
      <c r="HBR105" s="44"/>
      <c r="HBS105" s="44"/>
      <c r="HBT105" s="44"/>
      <c r="HBU105" s="44"/>
      <c r="HBV105" s="44"/>
      <c r="HBW105" s="44"/>
      <c r="HBX105" s="44"/>
      <c r="HBY105" s="44"/>
      <c r="HBZ105" s="44"/>
      <c r="HCA105" s="44"/>
      <c r="HCB105" s="44"/>
      <c r="HCC105" s="44"/>
      <c r="HCD105" s="44"/>
      <c r="HCE105" s="44"/>
      <c r="HCF105" s="44"/>
      <c r="HCG105" s="44"/>
      <c r="HCH105" s="44"/>
      <c r="HCI105" s="44"/>
      <c r="HCJ105" s="44"/>
      <c r="HCK105" s="44"/>
      <c r="HCL105" s="44"/>
      <c r="HCM105" s="44"/>
      <c r="HCN105" s="44"/>
      <c r="HCO105" s="44"/>
      <c r="HCP105" s="44"/>
      <c r="HCQ105" s="44"/>
      <c r="HCR105" s="44"/>
      <c r="HCS105" s="44"/>
      <c r="HCT105" s="44"/>
      <c r="HCU105" s="44"/>
      <c r="HCV105" s="44"/>
      <c r="HCW105" s="44"/>
      <c r="HCX105" s="44"/>
      <c r="HCY105" s="44"/>
      <c r="HCZ105" s="44"/>
      <c r="HDA105" s="44"/>
      <c r="HDB105" s="44"/>
      <c r="HDC105" s="44"/>
      <c r="HDD105" s="44"/>
      <c r="HDE105" s="44"/>
      <c r="HDF105" s="44"/>
      <c r="HDG105" s="44"/>
      <c r="HDH105" s="44"/>
      <c r="HDI105" s="44"/>
      <c r="HDJ105" s="44"/>
      <c r="HDK105" s="44"/>
      <c r="HDL105" s="44"/>
      <c r="HDM105" s="44"/>
      <c r="HDN105" s="44"/>
      <c r="HDO105" s="44"/>
      <c r="HDP105" s="44"/>
      <c r="HDQ105" s="44"/>
      <c r="HDR105" s="44"/>
      <c r="HDS105" s="44"/>
      <c r="HDT105" s="44"/>
      <c r="HDU105" s="44"/>
      <c r="HDV105" s="44"/>
      <c r="HDW105" s="44"/>
      <c r="HDX105" s="44"/>
      <c r="HDY105" s="44"/>
      <c r="HDZ105" s="44"/>
      <c r="HEA105" s="44"/>
      <c r="HEB105" s="44"/>
      <c r="HEC105" s="44"/>
      <c r="HED105" s="44"/>
      <c r="HEE105" s="44"/>
      <c r="HEF105" s="44"/>
      <c r="HEG105" s="44"/>
      <c r="HEH105" s="44"/>
      <c r="HEI105" s="44"/>
      <c r="HEJ105" s="44"/>
      <c r="HEK105" s="44"/>
      <c r="HEL105" s="44"/>
      <c r="HEM105" s="44"/>
      <c r="HEN105" s="44"/>
      <c r="HEO105" s="44"/>
      <c r="HEP105" s="44"/>
      <c r="HEQ105" s="44"/>
      <c r="HER105" s="44"/>
      <c r="HES105" s="44"/>
      <c r="HET105" s="44"/>
      <c r="HEU105" s="44"/>
      <c r="HEV105" s="44"/>
      <c r="HEW105" s="44"/>
      <c r="HEX105" s="44"/>
      <c r="HEY105" s="44"/>
      <c r="HEZ105" s="44"/>
      <c r="HFA105" s="44"/>
      <c r="HFB105" s="44"/>
      <c r="HFC105" s="44"/>
      <c r="HFD105" s="44"/>
      <c r="HFE105" s="44"/>
      <c r="HFF105" s="44"/>
      <c r="HFG105" s="44"/>
      <c r="HFH105" s="44"/>
      <c r="HFI105" s="44"/>
      <c r="HFJ105" s="44"/>
      <c r="HFK105" s="44"/>
      <c r="HFL105" s="44"/>
      <c r="HFM105" s="44"/>
      <c r="HFN105" s="44"/>
      <c r="HFO105" s="44"/>
      <c r="HFP105" s="44"/>
      <c r="HFQ105" s="44"/>
      <c r="HFR105" s="44"/>
      <c r="HFS105" s="44"/>
      <c r="HFT105" s="44"/>
      <c r="HFU105" s="44"/>
      <c r="HFV105" s="44"/>
      <c r="HFW105" s="44"/>
      <c r="HFX105" s="44"/>
      <c r="HFY105" s="44"/>
      <c r="HFZ105" s="44"/>
      <c r="HGA105" s="44"/>
      <c r="HGB105" s="44"/>
      <c r="HGC105" s="44"/>
      <c r="HGD105" s="44"/>
      <c r="HGE105" s="44"/>
      <c r="HGF105" s="44"/>
      <c r="HGG105" s="44"/>
      <c r="HGH105" s="44"/>
      <c r="HGI105" s="44"/>
      <c r="HGJ105" s="44"/>
      <c r="HGK105" s="44"/>
      <c r="HGL105" s="44"/>
      <c r="HGM105" s="44"/>
      <c r="HGN105" s="44"/>
      <c r="HGO105" s="44"/>
      <c r="HGP105" s="44"/>
      <c r="HGQ105" s="44"/>
      <c r="HGR105" s="44"/>
      <c r="HGS105" s="44"/>
      <c r="HGT105" s="44"/>
      <c r="HGU105" s="44"/>
      <c r="HGV105" s="44"/>
      <c r="HGW105" s="44"/>
      <c r="HGX105" s="44"/>
      <c r="HGY105" s="44"/>
      <c r="HGZ105" s="44"/>
      <c r="HHA105" s="44"/>
      <c r="HHB105" s="44"/>
      <c r="HHC105" s="44"/>
      <c r="HHD105" s="44"/>
      <c r="HHE105" s="44"/>
      <c r="HHF105" s="44"/>
      <c r="HHG105" s="44"/>
      <c r="HHH105" s="44"/>
      <c r="HHI105" s="44"/>
      <c r="HHJ105" s="44"/>
      <c r="HHK105" s="44"/>
      <c r="HHL105" s="44"/>
      <c r="HHM105" s="44"/>
      <c r="HHN105" s="44"/>
      <c r="HHO105" s="44"/>
      <c r="HHP105" s="44"/>
      <c r="HHQ105" s="44"/>
      <c r="HHR105" s="44"/>
      <c r="HHS105" s="44"/>
      <c r="HHT105" s="44"/>
      <c r="HHU105" s="44"/>
      <c r="HHV105" s="44"/>
      <c r="HHW105" s="44"/>
      <c r="HHX105" s="44"/>
      <c r="HHY105" s="44"/>
      <c r="HHZ105" s="44"/>
      <c r="HIA105" s="44"/>
      <c r="HIB105" s="44"/>
      <c r="HIC105" s="44"/>
      <c r="HID105" s="44"/>
      <c r="HIE105" s="44"/>
      <c r="HIF105" s="44"/>
      <c r="HIG105" s="44"/>
      <c r="HIH105" s="44"/>
      <c r="HII105" s="44"/>
      <c r="HIJ105" s="44"/>
      <c r="HIK105" s="44"/>
      <c r="HIL105" s="44"/>
      <c r="HIM105" s="44"/>
      <c r="HIN105" s="44"/>
      <c r="HIO105" s="44"/>
      <c r="HIP105" s="44"/>
      <c r="HIQ105" s="44"/>
      <c r="HIR105" s="44"/>
      <c r="HIS105" s="44"/>
      <c r="HIT105" s="44"/>
      <c r="HIU105" s="44"/>
      <c r="HIV105" s="44"/>
      <c r="HIW105" s="44"/>
      <c r="HIX105" s="44"/>
      <c r="HIY105" s="44"/>
      <c r="HIZ105" s="44"/>
      <c r="HJA105" s="44"/>
      <c r="HJB105" s="44"/>
      <c r="HJC105" s="44"/>
      <c r="HJD105" s="44"/>
      <c r="HJE105" s="44"/>
      <c r="HJF105" s="44"/>
      <c r="HJG105" s="44"/>
      <c r="HJH105" s="44"/>
      <c r="HJI105" s="44"/>
      <c r="HJJ105" s="44"/>
      <c r="HJK105" s="44"/>
      <c r="HJL105" s="44"/>
      <c r="HJM105" s="44"/>
      <c r="HJN105" s="44"/>
      <c r="HJO105" s="44"/>
      <c r="HJP105" s="44"/>
      <c r="HJQ105" s="44"/>
      <c r="HJR105" s="44"/>
      <c r="HJS105" s="44"/>
      <c r="HJT105" s="44"/>
      <c r="HJU105" s="44"/>
      <c r="HJV105" s="44"/>
      <c r="HJW105" s="44"/>
      <c r="HJX105" s="44"/>
      <c r="HJY105" s="44"/>
      <c r="HJZ105" s="44"/>
      <c r="HKA105" s="44"/>
      <c r="HKB105" s="44"/>
      <c r="HKC105" s="44"/>
      <c r="HKD105" s="44"/>
      <c r="HKE105" s="44"/>
      <c r="HKF105" s="44"/>
      <c r="HKG105" s="44"/>
      <c r="HKH105" s="44"/>
      <c r="HKI105" s="44"/>
      <c r="HKJ105" s="44"/>
      <c r="HKK105" s="44"/>
      <c r="HKL105" s="44"/>
      <c r="HKM105" s="44"/>
      <c r="HKN105" s="44"/>
      <c r="HKO105" s="44"/>
      <c r="HKP105" s="44"/>
      <c r="HKQ105" s="44"/>
      <c r="HKR105" s="44"/>
      <c r="HKS105" s="44"/>
      <c r="HKT105" s="44"/>
      <c r="HKU105" s="44"/>
      <c r="HKV105" s="44"/>
      <c r="HKW105" s="44"/>
      <c r="HKX105" s="44"/>
      <c r="HKY105" s="44"/>
      <c r="HKZ105" s="44"/>
      <c r="HLA105" s="44"/>
      <c r="HLB105" s="44"/>
      <c r="HLC105" s="44"/>
      <c r="HLD105" s="44"/>
      <c r="HLE105" s="44"/>
      <c r="HLF105" s="44"/>
      <c r="HLG105" s="44"/>
      <c r="HLH105" s="44"/>
      <c r="HLI105" s="44"/>
      <c r="HLJ105" s="44"/>
      <c r="HLK105" s="44"/>
      <c r="HLL105" s="44"/>
      <c r="HLM105" s="44"/>
      <c r="HLN105" s="44"/>
      <c r="HLO105" s="44"/>
      <c r="HLP105" s="44"/>
      <c r="HLQ105" s="44"/>
      <c r="HLR105" s="44"/>
      <c r="HLS105" s="44"/>
      <c r="HLT105" s="44"/>
      <c r="HLU105" s="44"/>
      <c r="HLV105" s="44"/>
      <c r="HLW105" s="44"/>
      <c r="HLX105" s="44"/>
      <c r="HLY105" s="44"/>
      <c r="HLZ105" s="44"/>
      <c r="HMA105" s="44"/>
      <c r="HMB105" s="44"/>
      <c r="HMC105" s="44"/>
      <c r="HMD105" s="44"/>
      <c r="HME105" s="44"/>
      <c r="HMF105" s="44"/>
      <c r="HMG105" s="44"/>
      <c r="HMH105" s="44"/>
      <c r="HMI105" s="44"/>
      <c r="HMJ105" s="44"/>
      <c r="HMK105" s="44"/>
      <c r="HML105" s="44"/>
      <c r="HMM105" s="44"/>
      <c r="HMN105" s="44"/>
      <c r="HMO105" s="44"/>
      <c r="HMP105" s="44"/>
      <c r="HMQ105" s="44"/>
      <c r="HMR105" s="44"/>
      <c r="HMS105" s="44"/>
      <c r="HMT105" s="44"/>
      <c r="HMU105" s="44"/>
      <c r="HMV105" s="44"/>
      <c r="HMW105" s="44"/>
      <c r="HMX105" s="44"/>
      <c r="HMY105" s="44"/>
      <c r="HMZ105" s="44"/>
      <c r="HNA105" s="44"/>
      <c r="HNB105" s="44"/>
      <c r="HNC105" s="44"/>
      <c r="HND105" s="44"/>
      <c r="HNE105" s="44"/>
      <c r="HNF105" s="44"/>
      <c r="HNG105" s="44"/>
      <c r="HNH105" s="44"/>
      <c r="HNI105" s="44"/>
      <c r="HNJ105" s="44"/>
      <c r="HNK105" s="44"/>
      <c r="HNL105" s="44"/>
      <c r="HNM105" s="44"/>
      <c r="HNN105" s="44"/>
      <c r="HNO105" s="44"/>
      <c r="HNP105" s="44"/>
      <c r="HNQ105" s="44"/>
      <c r="HNR105" s="44"/>
      <c r="HNS105" s="44"/>
      <c r="HNT105" s="44"/>
      <c r="HNU105" s="44"/>
      <c r="HNV105" s="44"/>
      <c r="HNW105" s="44"/>
      <c r="HNX105" s="44"/>
      <c r="HNY105" s="44"/>
      <c r="HNZ105" s="44"/>
      <c r="HOA105" s="44"/>
      <c r="HOB105" s="44"/>
      <c r="HOC105" s="44"/>
      <c r="HOD105" s="44"/>
      <c r="HOE105" s="44"/>
      <c r="HOF105" s="44"/>
      <c r="HOG105" s="44"/>
      <c r="HOH105" s="44"/>
      <c r="HOI105" s="44"/>
      <c r="HOJ105" s="44"/>
      <c r="HOK105" s="44"/>
      <c r="HOL105" s="44"/>
      <c r="HOM105" s="44"/>
      <c r="HON105" s="44"/>
      <c r="HOO105" s="44"/>
      <c r="HOP105" s="44"/>
      <c r="HOQ105" s="44"/>
      <c r="HOR105" s="44"/>
      <c r="HOS105" s="44"/>
      <c r="HOT105" s="44"/>
      <c r="HOU105" s="44"/>
      <c r="HOV105" s="44"/>
      <c r="HOW105" s="44"/>
      <c r="HOX105" s="44"/>
      <c r="HOY105" s="44"/>
      <c r="HOZ105" s="44"/>
      <c r="HPA105" s="44"/>
      <c r="HPB105" s="44"/>
      <c r="HPC105" s="44"/>
      <c r="HPD105" s="44"/>
      <c r="HPE105" s="44"/>
      <c r="HPF105" s="44"/>
      <c r="HPG105" s="44"/>
      <c r="HPH105" s="44"/>
      <c r="HPI105" s="44"/>
      <c r="HPJ105" s="44"/>
      <c r="HPK105" s="44"/>
      <c r="HPL105" s="44"/>
      <c r="HPM105" s="44"/>
      <c r="HPN105" s="44"/>
      <c r="HPO105" s="44"/>
      <c r="HPP105" s="44"/>
      <c r="HPQ105" s="44"/>
      <c r="HPR105" s="44"/>
      <c r="HPS105" s="44"/>
      <c r="HPT105" s="44"/>
      <c r="HPU105" s="44"/>
      <c r="HPV105" s="44"/>
      <c r="HPW105" s="44"/>
      <c r="HPX105" s="44"/>
      <c r="HPY105" s="44"/>
      <c r="HPZ105" s="44"/>
      <c r="HQA105" s="44"/>
      <c r="HQB105" s="44"/>
      <c r="HQC105" s="44"/>
      <c r="HQD105" s="44"/>
      <c r="HQE105" s="44"/>
      <c r="HQF105" s="44"/>
      <c r="HQG105" s="44"/>
      <c r="HQH105" s="44"/>
      <c r="HQI105" s="44"/>
      <c r="HQJ105" s="44"/>
      <c r="HQK105" s="44"/>
      <c r="HQL105" s="44"/>
      <c r="HQM105" s="44"/>
      <c r="HQN105" s="44"/>
      <c r="HQO105" s="44"/>
      <c r="HQP105" s="44"/>
      <c r="HQQ105" s="44"/>
      <c r="HQR105" s="44"/>
      <c r="HQS105" s="44"/>
      <c r="HQT105" s="44"/>
      <c r="HQU105" s="44"/>
      <c r="HQV105" s="44"/>
      <c r="HQW105" s="44"/>
      <c r="HQX105" s="44"/>
      <c r="HQY105" s="44"/>
      <c r="HQZ105" s="44"/>
      <c r="HRA105" s="44"/>
      <c r="HRB105" s="44"/>
      <c r="HRC105" s="44"/>
      <c r="HRD105" s="44"/>
      <c r="HRE105" s="44"/>
      <c r="HRF105" s="44"/>
      <c r="HRG105" s="44"/>
      <c r="HRH105" s="44"/>
      <c r="HRI105" s="44"/>
      <c r="HRJ105" s="44"/>
      <c r="HRK105" s="44"/>
      <c r="HRL105" s="44"/>
      <c r="HRM105" s="44"/>
      <c r="HRN105" s="44"/>
      <c r="HRO105" s="44"/>
      <c r="HRP105" s="44"/>
      <c r="HRQ105" s="44"/>
      <c r="HRR105" s="44"/>
      <c r="HRS105" s="44"/>
      <c r="HRT105" s="44"/>
      <c r="HRU105" s="44"/>
      <c r="HRV105" s="44"/>
      <c r="HRW105" s="44"/>
      <c r="HRX105" s="44"/>
      <c r="HRY105" s="44"/>
      <c r="HRZ105" s="44"/>
      <c r="HSA105" s="44"/>
      <c r="HSB105" s="44"/>
      <c r="HSC105" s="44"/>
      <c r="HSD105" s="44"/>
      <c r="HSE105" s="44"/>
      <c r="HSF105" s="44"/>
      <c r="HSG105" s="44"/>
      <c r="HSH105" s="44"/>
      <c r="HSI105" s="44"/>
      <c r="HSJ105" s="44"/>
      <c r="HSK105" s="44"/>
      <c r="HSL105" s="44"/>
      <c r="HSM105" s="44"/>
      <c r="HSN105" s="44"/>
      <c r="HSO105" s="44"/>
      <c r="HSP105" s="44"/>
      <c r="HSQ105" s="44"/>
      <c r="HSR105" s="44"/>
      <c r="HSS105" s="44"/>
      <c r="HST105" s="44"/>
      <c r="HSU105" s="44"/>
      <c r="HSV105" s="44"/>
      <c r="HSW105" s="44"/>
      <c r="HSX105" s="44"/>
      <c r="HSY105" s="44"/>
      <c r="HSZ105" s="44"/>
      <c r="HTA105" s="44"/>
      <c r="HTB105" s="44"/>
      <c r="HTC105" s="44"/>
      <c r="HTD105" s="44"/>
      <c r="HTE105" s="44"/>
      <c r="HTF105" s="44"/>
      <c r="HTG105" s="44"/>
      <c r="HTH105" s="44"/>
      <c r="HTI105" s="44"/>
      <c r="HTJ105" s="44"/>
      <c r="HTK105" s="44"/>
      <c r="HTL105" s="44"/>
      <c r="HTM105" s="44"/>
      <c r="HTN105" s="44"/>
      <c r="HTO105" s="44"/>
      <c r="HTP105" s="44"/>
      <c r="HTQ105" s="44"/>
      <c r="HTR105" s="44"/>
      <c r="HTS105" s="44"/>
      <c r="HTT105" s="44"/>
      <c r="HTU105" s="44"/>
      <c r="HTV105" s="44"/>
      <c r="HTW105" s="44"/>
      <c r="HTX105" s="44"/>
      <c r="HTY105" s="44"/>
      <c r="HTZ105" s="44"/>
      <c r="HUA105" s="44"/>
      <c r="HUB105" s="44"/>
      <c r="HUC105" s="44"/>
      <c r="HUD105" s="44"/>
      <c r="HUE105" s="44"/>
      <c r="HUF105" s="44"/>
      <c r="HUG105" s="44"/>
      <c r="HUH105" s="44"/>
      <c r="HUI105" s="44"/>
      <c r="HUJ105" s="44"/>
      <c r="HUK105" s="44"/>
      <c r="HUL105" s="44"/>
      <c r="HUM105" s="44"/>
      <c r="HUN105" s="44"/>
      <c r="HUO105" s="44"/>
      <c r="HUP105" s="44"/>
      <c r="HUQ105" s="44"/>
      <c r="HUR105" s="44"/>
      <c r="HUS105" s="44"/>
      <c r="HUT105" s="44"/>
      <c r="HUU105" s="44"/>
      <c r="HUV105" s="44"/>
      <c r="HUW105" s="44"/>
      <c r="HUX105" s="44"/>
      <c r="HUY105" s="44"/>
      <c r="HUZ105" s="44"/>
      <c r="HVA105" s="44"/>
      <c r="HVB105" s="44"/>
      <c r="HVC105" s="44"/>
      <c r="HVD105" s="44"/>
      <c r="HVE105" s="44"/>
      <c r="HVF105" s="44"/>
      <c r="HVG105" s="44"/>
      <c r="HVH105" s="44"/>
      <c r="HVI105" s="44"/>
      <c r="HVJ105" s="44"/>
      <c r="HVK105" s="44"/>
      <c r="HVL105" s="44"/>
      <c r="HVM105" s="44"/>
      <c r="HVN105" s="44"/>
      <c r="HVO105" s="44"/>
      <c r="HVP105" s="44"/>
      <c r="HVQ105" s="44"/>
      <c r="HVR105" s="44"/>
      <c r="HVS105" s="44"/>
      <c r="HVT105" s="44"/>
      <c r="HVU105" s="44"/>
      <c r="HVV105" s="44"/>
      <c r="HVW105" s="44"/>
      <c r="HVX105" s="44"/>
      <c r="HVY105" s="44"/>
      <c r="HVZ105" s="44"/>
      <c r="HWA105" s="44"/>
      <c r="HWB105" s="44"/>
      <c r="HWC105" s="44"/>
      <c r="HWD105" s="44"/>
      <c r="HWE105" s="44"/>
      <c r="HWF105" s="44"/>
      <c r="HWG105" s="44"/>
      <c r="HWH105" s="44"/>
      <c r="HWI105" s="44"/>
      <c r="HWJ105" s="44"/>
      <c r="HWK105" s="44"/>
      <c r="HWL105" s="44"/>
      <c r="HWM105" s="44"/>
      <c r="HWN105" s="44"/>
      <c r="HWO105" s="44"/>
      <c r="HWP105" s="44"/>
      <c r="HWQ105" s="44"/>
      <c r="HWR105" s="44"/>
      <c r="HWS105" s="44"/>
      <c r="HWT105" s="44"/>
      <c r="HWU105" s="44"/>
      <c r="HWV105" s="44"/>
      <c r="HWW105" s="44"/>
      <c r="HWX105" s="44"/>
      <c r="HWY105" s="44"/>
      <c r="HWZ105" s="44"/>
      <c r="HXA105" s="44"/>
      <c r="HXB105" s="44"/>
      <c r="HXC105" s="44"/>
      <c r="HXD105" s="44"/>
      <c r="HXE105" s="44"/>
      <c r="HXF105" s="44"/>
      <c r="HXG105" s="44"/>
      <c r="HXH105" s="44"/>
      <c r="HXI105" s="44"/>
      <c r="HXJ105" s="44"/>
      <c r="HXK105" s="44"/>
      <c r="HXL105" s="44"/>
      <c r="HXM105" s="44"/>
      <c r="HXN105" s="44"/>
      <c r="HXO105" s="44"/>
      <c r="HXP105" s="44"/>
      <c r="HXQ105" s="44"/>
      <c r="HXR105" s="44"/>
      <c r="HXS105" s="44"/>
      <c r="HXT105" s="44"/>
      <c r="HXU105" s="44"/>
      <c r="HXV105" s="44"/>
      <c r="HXW105" s="44"/>
      <c r="HXX105" s="44"/>
      <c r="HXY105" s="44"/>
      <c r="HXZ105" s="44"/>
      <c r="HYA105" s="44"/>
      <c r="HYB105" s="44"/>
      <c r="HYC105" s="44"/>
      <c r="HYD105" s="44"/>
      <c r="HYE105" s="44"/>
      <c r="HYF105" s="44"/>
      <c r="HYG105" s="44"/>
      <c r="HYH105" s="44"/>
      <c r="HYI105" s="44"/>
      <c r="HYJ105" s="44"/>
      <c r="HYK105" s="44"/>
      <c r="HYL105" s="44"/>
      <c r="HYM105" s="44"/>
      <c r="HYN105" s="44"/>
      <c r="HYO105" s="44"/>
      <c r="HYP105" s="44"/>
      <c r="HYQ105" s="44"/>
      <c r="HYR105" s="44"/>
      <c r="HYS105" s="44"/>
      <c r="HYT105" s="44"/>
      <c r="HYU105" s="44"/>
      <c r="HYV105" s="44"/>
      <c r="HYW105" s="44"/>
      <c r="HYX105" s="44"/>
      <c r="HYY105" s="44"/>
      <c r="HYZ105" s="44"/>
      <c r="HZA105" s="44"/>
      <c r="HZB105" s="44"/>
      <c r="HZC105" s="44"/>
      <c r="HZD105" s="44"/>
      <c r="HZE105" s="44"/>
      <c r="HZF105" s="44"/>
      <c r="HZG105" s="44"/>
      <c r="HZH105" s="44"/>
      <c r="HZI105" s="44"/>
      <c r="HZJ105" s="44"/>
      <c r="HZK105" s="44"/>
      <c r="HZL105" s="44"/>
      <c r="HZM105" s="44"/>
      <c r="HZN105" s="44"/>
      <c r="HZO105" s="44"/>
      <c r="HZP105" s="44"/>
      <c r="HZQ105" s="44"/>
      <c r="HZR105" s="44"/>
      <c r="HZS105" s="44"/>
      <c r="HZT105" s="44"/>
      <c r="HZU105" s="44"/>
      <c r="HZV105" s="44"/>
      <c r="HZW105" s="44"/>
      <c r="HZX105" s="44"/>
      <c r="HZY105" s="44"/>
      <c r="HZZ105" s="44"/>
      <c r="IAA105" s="44"/>
      <c r="IAB105" s="44"/>
      <c r="IAC105" s="44"/>
      <c r="IAD105" s="44"/>
      <c r="IAE105" s="44"/>
      <c r="IAF105" s="44"/>
      <c r="IAG105" s="44"/>
      <c r="IAH105" s="44"/>
      <c r="IAI105" s="44"/>
      <c r="IAJ105" s="44"/>
      <c r="IAK105" s="44"/>
      <c r="IAL105" s="44"/>
      <c r="IAM105" s="44"/>
      <c r="IAN105" s="44"/>
      <c r="IAO105" s="44"/>
      <c r="IAP105" s="44"/>
      <c r="IAQ105" s="44"/>
      <c r="IAR105" s="44"/>
      <c r="IAS105" s="44"/>
      <c r="IAT105" s="44"/>
      <c r="IAU105" s="44"/>
      <c r="IAV105" s="44"/>
      <c r="IAW105" s="44"/>
      <c r="IAX105" s="44"/>
      <c r="IAY105" s="44"/>
      <c r="IAZ105" s="44"/>
      <c r="IBA105" s="44"/>
      <c r="IBB105" s="44"/>
      <c r="IBC105" s="44"/>
      <c r="IBD105" s="44"/>
      <c r="IBE105" s="44"/>
      <c r="IBF105" s="44"/>
      <c r="IBG105" s="44"/>
      <c r="IBH105" s="44"/>
      <c r="IBI105" s="44"/>
      <c r="IBJ105" s="44"/>
      <c r="IBK105" s="44"/>
      <c r="IBL105" s="44"/>
      <c r="IBM105" s="44"/>
      <c r="IBN105" s="44"/>
      <c r="IBO105" s="44"/>
      <c r="IBP105" s="44"/>
      <c r="IBQ105" s="44"/>
      <c r="IBR105" s="44"/>
      <c r="IBS105" s="44"/>
      <c r="IBT105" s="44"/>
      <c r="IBU105" s="44"/>
      <c r="IBV105" s="44"/>
      <c r="IBW105" s="44"/>
      <c r="IBX105" s="44"/>
      <c r="IBY105" s="44"/>
      <c r="IBZ105" s="44"/>
      <c r="ICA105" s="44"/>
      <c r="ICB105" s="44"/>
      <c r="ICC105" s="44"/>
      <c r="ICD105" s="44"/>
      <c r="ICE105" s="44"/>
      <c r="ICF105" s="44"/>
      <c r="ICG105" s="44"/>
      <c r="ICH105" s="44"/>
      <c r="ICI105" s="44"/>
      <c r="ICJ105" s="44"/>
      <c r="ICK105" s="44"/>
      <c r="ICL105" s="44"/>
      <c r="ICM105" s="44"/>
      <c r="ICN105" s="44"/>
      <c r="ICO105" s="44"/>
      <c r="ICP105" s="44"/>
      <c r="ICQ105" s="44"/>
      <c r="ICR105" s="44"/>
      <c r="ICS105" s="44"/>
      <c r="ICT105" s="44"/>
      <c r="ICU105" s="44"/>
      <c r="ICV105" s="44"/>
      <c r="ICW105" s="44"/>
      <c r="ICX105" s="44"/>
      <c r="ICY105" s="44"/>
      <c r="ICZ105" s="44"/>
      <c r="IDA105" s="44"/>
      <c r="IDB105" s="44"/>
      <c r="IDC105" s="44"/>
      <c r="IDD105" s="44"/>
      <c r="IDE105" s="44"/>
      <c r="IDF105" s="44"/>
      <c r="IDG105" s="44"/>
      <c r="IDH105" s="44"/>
      <c r="IDI105" s="44"/>
      <c r="IDJ105" s="44"/>
      <c r="IDK105" s="44"/>
      <c r="IDL105" s="44"/>
      <c r="IDM105" s="44"/>
      <c r="IDN105" s="44"/>
      <c r="IDO105" s="44"/>
      <c r="IDP105" s="44"/>
      <c r="IDQ105" s="44"/>
      <c r="IDR105" s="44"/>
      <c r="IDS105" s="44"/>
      <c r="IDT105" s="44"/>
      <c r="IDU105" s="44"/>
      <c r="IDV105" s="44"/>
      <c r="IDW105" s="44"/>
      <c r="IDX105" s="44"/>
      <c r="IDY105" s="44"/>
      <c r="IDZ105" s="44"/>
      <c r="IEA105" s="44"/>
      <c r="IEB105" s="44"/>
      <c r="IEC105" s="44"/>
      <c r="IED105" s="44"/>
      <c r="IEE105" s="44"/>
      <c r="IEF105" s="44"/>
      <c r="IEG105" s="44"/>
      <c r="IEH105" s="44"/>
      <c r="IEI105" s="44"/>
      <c r="IEJ105" s="44"/>
      <c r="IEK105" s="44"/>
      <c r="IEL105" s="44"/>
      <c r="IEM105" s="44"/>
      <c r="IEN105" s="44"/>
      <c r="IEO105" s="44"/>
      <c r="IEP105" s="44"/>
      <c r="IEQ105" s="44"/>
      <c r="IER105" s="44"/>
      <c r="IES105" s="44"/>
      <c r="IET105" s="44"/>
      <c r="IEU105" s="44"/>
      <c r="IEV105" s="44"/>
      <c r="IEW105" s="44"/>
      <c r="IEX105" s="44"/>
      <c r="IEY105" s="44"/>
      <c r="IEZ105" s="44"/>
      <c r="IFA105" s="44"/>
      <c r="IFB105" s="44"/>
      <c r="IFC105" s="44"/>
      <c r="IFD105" s="44"/>
      <c r="IFE105" s="44"/>
      <c r="IFF105" s="44"/>
      <c r="IFG105" s="44"/>
      <c r="IFH105" s="44"/>
      <c r="IFI105" s="44"/>
      <c r="IFJ105" s="44"/>
      <c r="IFK105" s="44"/>
      <c r="IFL105" s="44"/>
      <c r="IFM105" s="44"/>
      <c r="IFN105" s="44"/>
      <c r="IFO105" s="44"/>
      <c r="IFP105" s="44"/>
      <c r="IFQ105" s="44"/>
      <c r="IFR105" s="44"/>
      <c r="IFS105" s="44"/>
      <c r="IFT105" s="44"/>
      <c r="IFU105" s="44"/>
      <c r="IFV105" s="44"/>
      <c r="IFW105" s="44"/>
      <c r="IFX105" s="44"/>
      <c r="IFY105" s="44"/>
      <c r="IFZ105" s="44"/>
      <c r="IGA105" s="44"/>
      <c r="IGB105" s="44"/>
      <c r="IGC105" s="44"/>
      <c r="IGD105" s="44"/>
      <c r="IGE105" s="44"/>
      <c r="IGF105" s="44"/>
      <c r="IGG105" s="44"/>
      <c r="IGH105" s="44"/>
      <c r="IGI105" s="44"/>
      <c r="IGJ105" s="44"/>
      <c r="IGK105" s="44"/>
      <c r="IGL105" s="44"/>
      <c r="IGM105" s="44"/>
      <c r="IGN105" s="44"/>
      <c r="IGO105" s="44"/>
      <c r="IGP105" s="44"/>
      <c r="IGQ105" s="44"/>
      <c r="IGR105" s="44"/>
      <c r="IGS105" s="44"/>
      <c r="IGT105" s="44"/>
      <c r="IGU105" s="44"/>
      <c r="IGV105" s="44"/>
      <c r="IGW105" s="44"/>
      <c r="IGX105" s="44"/>
      <c r="IGY105" s="44"/>
      <c r="IGZ105" s="44"/>
      <c r="IHA105" s="44"/>
      <c r="IHB105" s="44"/>
      <c r="IHC105" s="44"/>
      <c r="IHD105" s="44"/>
      <c r="IHE105" s="44"/>
      <c r="IHF105" s="44"/>
      <c r="IHG105" s="44"/>
      <c r="IHH105" s="44"/>
      <c r="IHI105" s="44"/>
      <c r="IHJ105" s="44"/>
      <c r="IHK105" s="44"/>
      <c r="IHL105" s="44"/>
      <c r="IHM105" s="44"/>
      <c r="IHN105" s="44"/>
      <c r="IHO105" s="44"/>
      <c r="IHP105" s="44"/>
      <c r="IHQ105" s="44"/>
      <c r="IHR105" s="44"/>
      <c r="IHS105" s="44"/>
      <c r="IHT105" s="44"/>
      <c r="IHU105" s="44"/>
      <c r="IHV105" s="44"/>
      <c r="IHW105" s="44"/>
      <c r="IHX105" s="44"/>
      <c r="IHY105" s="44"/>
      <c r="IHZ105" s="44"/>
      <c r="IIA105" s="44"/>
      <c r="IIB105" s="44"/>
      <c r="IIC105" s="44"/>
      <c r="IID105" s="44"/>
      <c r="IIE105" s="44"/>
      <c r="IIF105" s="44"/>
      <c r="IIG105" s="44"/>
      <c r="IIH105" s="44"/>
      <c r="III105" s="44"/>
      <c r="IIJ105" s="44"/>
      <c r="IIK105" s="44"/>
      <c r="IIL105" s="44"/>
      <c r="IIM105" s="44"/>
      <c r="IIN105" s="44"/>
      <c r="IIO105" s="44"/>
      <c r="IIP105" s="44"/>
      <c r="IIQ105" s="44"/>
      <c r="IIR105" s="44"/>
      <c r="IIS105" s="44"/>
      <c r="IIT105" s="44"/>
      <c r="IIU105" s="44"/>
      <c r="IIV105" s="44"/>
      <c r="IIW105" s="44"/>
      <c r="IIX105" s="44"/>
      <c r="IIY105" s="44"/>
      <c r="IIZ105" s="44"/>
      <c r="IJA105" s="44"/>
      <c r="IJB105" s="44"/>
      <c r="IJC105" s="44"/>
      <c r="IJD105" s="44"/>
      <c r="IJE105" s="44"/>
      <c r="IJF105" s="44"/>
      <c r="IJG105" s="44"/>
      <c r="IJH105" s="44"/>
      <c r="IJI105" s="44"/>
      <c r="IJJ105" s="44"/>
      <c r="IJK105" s="44"/>
      <c r="IJL105" s="44"/>
      <c r="IJM105" s="44"/>
      <c r="IJN105" s="44"/>
      <c r="IJO105" s="44"/>
      <c r="IJP105" s="44"/>
      <c r="IJQ105" s="44"/>
      <c r="IJR105" s="44"/>
      <c r="IJS105" s="44"/>
      <c r="IJT105" s="44"/>
      <c r="IJU105" s="44"/>
      <c r="IJV105" s="44"/>
      <c r="IJW105" s="44"/>
      <c r="IJX105" s="44"/>
      <c r="IJY105" s="44"/>
      <c r="IJZ105" s="44"/>
      <c r="IKA105" s="44"/>
      <c r="IKB105" s="44"/>
      <c r="IKC105" s="44"/>
      <c r="IKD105" s="44"/>
      <c r="IKE105" s="44"/>
      <c r="IKF105" s="44"/>
      <c r="IKG105" s="44"/>
      <c r="IKH105" s="44"/>
      <c r="IKI105" s="44"/>
      <c r="IKJ105" s="44"/>
      <c r="IKK105" s="44"/>
      <c r="IKL105" s="44"/>
      <c r="IKM105" s="44"/>
      <c r="IKN105" s="44"/>
      <c r="IKO105" s="44"/>
      <c r="IKP105" s="44"/>
      <c r="IKQ105" s="44"/>
      <c r="IKR105" s="44"/>
      <c r="IKS105" s="44"/>
      <c r="IKT105" s="44"/>
      <c r="IKU105" s="44"/>
      <c r="IKV105" s="44"/>
      <c r="IKW105" s="44"/>
      <c r="IKX105" s="44"/>
      <c r="IKY105" s="44"/>
      <c r="IKZ105" s="44"/>
      <c r="ILA105" s="44"/>
      <c r="ILB105" s="44"/>
      <c r="ILC105" s="44"/>
      <c r="ILD105" s="44"/>
      <c r="ILE105" s="44"/>
      <c r="ILF105" s="44"/>
      <c r="ILG105" s="44"/>
      <c r="ILH105" s="44"/>
      <c r="ILI105" s="44"/>
      <c r="ILJ105" s="44"/>
      <c r="ILK105" s="44"/>
      <c r="ILL105" s="44"/>
      <c r="ILM105" s="44"/>
      <c r="ILN105" s="44"/>
      <c r="ILO105" s="44"/>
      <c r="ILP105" s="44"/>
      <c r="ILQ105" s="44"/>
      <c r="ILR105" s="44"/>
      <c r="ILS105" s="44"/>
      <c r="ILT105" s="44"/>
      <c r="ILU105" s="44"/>
      <c r="ILV105" s="44"/>
      <c r="ILW105" s="44"/>
      <c r="ILX105" s="44"/>
      <c r="ILY105" s="44"/>
      <c r="ILZ105" s="44"/>
      <c r="IMA105" s="44"/>
      <c r="IMB105" s="44"/>
      <c r="IMC105" s="44"/>
      <c r="IMD105" s="44"/>
      <c r="IME105" s="44"/>
      <c r="IMF105" s="44"/>
      <c r="IMG105" s="44"/>
      <c r="IMH105" s="44"/>
      <c r="IMI105" s="44"/>
      <c r="IMJ105" s="44"/>
      <c r="IMK105" s="44"/>
      <c r="IML105" s="44"/>
      <c r="IMM105" s="44"/>
      <c r="IMN105" s="44"/>
      <c r="IMO105" s="44"/>
      <c r="IMP105" s="44"/>
      <c r="IMQ105" s="44"/>
      <c r="IMR105" s="44"/>
      <c r="IMS105" s="44"/>
      <c r="IMT105" s="44"/>
      <c r="IMU105" s="44"/>
      <c r="IMV105" s="44"/>
      <c r="IMW105" s="44"/>
      <c r="IMX105" s="44"/>
      <c r="IMY105" s="44"/>
      <c r="IMZ105" s="44"/>
      <c r="INA105" s="44"/>
      <c r="INB105" s="44"/>
      <c r="INC105" s="44"/>
      <c r="IND105" s="44"/>
      <c r="INE105" s="44"/>
      <c r="INF105" s="44"/>
      <c r="ING105" s="44"/>
      <c r="INH105" s="44"/>
      <c r="INI105" s="44"/>
      <c r="INJ105" s="44"/>
      <c r="INK105" s="44"/>
      <c r="INL105" s="44"/>
      <c r="INM105" s="44"/>
      <c r="INN105" s="44"/>
      <c r="INO105" s="44"/>
      <c r="INP105" s="44"/>
      <c r="INQ105" s="44"/>
      <c r="INR105" s="44"/>
      <c r="INS105" s="44"/>
      <c r="INT105" s="44"/>
      <c r="INU105" s="44"/>
      <c r="INV105" s="44"/>
      <c r="INW105" s="44"/>
      <c r="INX105" s="44"/>
      <c r="INY105" s="44"/>
      <c r="INZ105" s="44"/>
      <c r="IOA105" s="44"/>
      <c r="IOB105" s="44"/>
      <c r="IOC105" s="44"/>
      <c r="IOD105" s="44"/>
      <c r="IOE105" s="44"/>
      <c r="IOF105" s="44"/>
      <c r="IOG105" s="44"/>
      <c r="IOH105" s="44"/>
      <c r="IOI105" s="44"/>
      <c r="IOJ105" s="44"/>
      <c r="IOK105" s="44"/>
      <c r="IOL105" s="44"/>
      <c r="IOM105" s="44"/>
      <c r="ION105" s="44"/>
      <c r="IOO105" s="44"/>
      <c r="IOP105" s="44"/>
      <c r="IOQ105" s="44"/>
      <c r="IOR105" s="44"/>
      <c r="IOS105" s="44"/>
      <c r="IOT105" s="44"/>
      <c r="IOU105" s="44"/>
      <c r="IOV105" s="44"/>
      <c r="IOW105" s="44"/>
      <c r="IOX105" s="44"/>
      <c r="IOY105" s="44"/>
      <c r="IOZ105" s="44"/>
      <c r="IPA105" s="44"/>
      <c r="IPB105" s="44"/>
      <c r="IPC105" s="44"/>
      <c r="IPD105" s="44"/>
      <c r="IPE105" s="44"/>
      <c r="IPF105" s="44"/>
      <c r="IPG105" s="44"/>
      <c r="IPH105" s="44"/>
      <c r="IPI105" s="44"/>
      <c r="IPJ105" s="44"/>
      <c r="IPK105" s="44"/>
      <c r="IPL105" s="44"/>
      <c r="IPM105" s="44"/>
      <c r="IPN105" s="44"/>
      <c r="IPO105" s="44"/>
      <c r="IPP105" s="44"/>
      <c r="IPQ105" s="44"/>
      <c r="IPR105" s="44"/>
      <c r="IPS105" s="44"/>
      <c r="IPT105" s="44"/>
      <c r="IPU105" s="44"/>
      <c r="IPV105" s="44"/>
      <c r="IPW105" s="44"/>
      <c r="IPX105" s="44"/>
      <c r="IPY105" s="44"/>
      <c r="IPZ105" s="44"/>
      <c r="IQA105" s="44"/>
      <c r="IQB105" s="44"/>
      <c r="IQC105" s="44"/>
      <c r="IQD105" s="44"/>
      <c r="IQE105" s="44"/>
      <c r="IQF105" s="44"/>
      <c r="IQG105" s="44"/>
      <c r="IQH105" s="44"/>
      <c r="IQI105" s="44"/>
      <c r="IQJ105" s="44"/>
      <c r="IQK105" s="44"/>
      <c r="IQL105" s="44"/>
      <c r="IQM105" s="44"/>
      <c r="IQN105" s="44"/>
      <c r="IQO105" s="44"/>
      <c r="IQP105" s="44"/>
      <c r="IQQ105" s="44"/>
      <c r="IQR105" s="44"/>
      <c r="IQS105" s="44"/>
      <c r="IQT105" s="44"/>
      <c r="IQU105" s="44"/>
      <c r="IQV105" s="44"/>
      <c r="IQW105" s="44"/>
      <c r="IQX105" s="44"/>
      <c r="IQY105" s="44"/>
      <c r="IQZ105" s="44"/>
      <c r="IRA105" s="44"/>
      <c r="IRB105" s="44"/>
      <c r="IRC105" s="44"/>
      <c r="IRD105" s="44"/>
      <c r="IRE105" s="44"/>
      <c r="IRF105" s="44"/>
      <c r="IRG105" s="44"/>
      <c r="IRH105" s="44"/>
      <c r="IRI105" s="44"/>
      <c r="IRJ105" s="44"/>
      <c r="IRK105" s="44"/>
      <c r="IRL105" s="44"/>
      <c r="IRM105" s="44"/>
      <c r="IRN105" s="44"/>
      <c r="IRO105" s="44"/>
      <c r="IRP105" s="44"/>
      <c r="IRQ105" s="44"/>
      <c r="IRR105" s="44"/>
      <c r="IRS105" s="44"/>
      <c r="IRT105" s="44"/>
      <c r="IRU105" s="44"/>
      <c r="IRV105" s="44"/>
      <c r="IRW105" s="44"/>
      <c r="IRX105" s="44"/>
      <c r="IRY105" s="44"/>
      <c r="IRZ105" s="44"/>
      <c r="ISA105" s="44"/>
      <c r="ISB105" s="44"/>
      <c r="ISC105" s="44"/>
      <c r="ISD105" s="44"/>
      <c r="ISE105" s="44"/>
      <c r="ISF105" s="44"/>
      <c r="ISG105" s="44"/>
      <c r="ISH105" s="44"/>
      <c r="ISI105" s="44"/>
      <c r="ISJ105" s="44"/>
      <c r="ISK105" s="44"/>
      <c r="ISL105" s="44"/>
      <c r="ISM105" s="44"/>
      <c r="ISN105" s="44"/>
      <c r="ISO105" s="44"/>
      <c r="ISP105" s="44"/>
      <c r="ISQ105" s="44"/>
      <c r="ISR105" s="44"/>
      <c r="ISS105" s="44"/>
      <c r="IST105" s="44"/>
      <c r="ISU105" s="44"/>
      <c r="ISV105" s="44"/>
      <c r="ISW105" s="44"/>
      <c r="ISX105" s="44"/>
      <c r="ISY105" s="44"/>
      <c r="ISZ105" s="44"/>
      <c r="ITA105" s="44"/>
      <c r="ITB105" s="44"/>
      <c r="ITC105" s="44"/>
      <c r="ITD105" s="44"/>
      <c r="ITE105" s="44"/>
      <c r="ITF105" s="44"/>
      <c r="ITG105" s="44"/>
      <c r="ITH105" s="44"/>
      <c r="ITI105" s="44"/>
      <c r="ITJ105" s="44"/>
      <c r="ITK105" s="44"/>
      <c r="ITL105" s="44"/>
      <c r="ITM105" s="44"/>
      <c r="ITN105" s="44"/>
      <c r="ITO105" s="44"/>
      <c r="ITP105" s="44"/>
      <c r="ITQ105" s="44"/>
      <c r="ITR105" s="44"/>
      <c r="ITS105" s="44"/>
      <c r="ITT105" s="44"/>
      <c r="ITU105" s="44"/>
      <c r="ITV105" s="44"/>
      <c r="ITW105" s="44"/>
      <c r="ITX105" s="44"/>
      <c r="ITY105" s="44"/>
      <c r="ITZ105" s="44"/>
      <c r="IUA105" s="44"/>
      <c r="IUB105" s="44"/>
      <c r="IUC105" s="44"/>
      <c r="IUD105" s="44"/>
      <c r="IUE105" s="44"/>
      <c r="IUF105" s="44"/>
      <c r="IUG105" s="44"/>
      <c r="IUH105" s="44"/>
      <c r="IUI105" s="44"/>
      <c r="IUJ105" s="44"/>
      <c r="IUK105" s="44"/>
      <c r="IUL105" s="44"/>
      <c r="IUM105" s="44"/>
      <c r="IUN105" s="44"/>
      <c r="IUO105" s="44"/>
      <c r="IUP105" s="44"/>
      <c r="IUQ105" s="44"/>
      <c r="IUR105" s="44"/>
      <c r="IUS105" s="44"/>
      <c r="IUT105" s="44"/>
      <c r="IUU105" s="44"/>
      <c r="IUV105" s="44"/>
      <c r="IUW105" s="44"/>
      <c r="IUX105" s="44"/>
      <c r="IUY105" s="44"/>
      <c r="IUZ105" s="44"/>
      <c r="IVA105" s="44"/>
      <c r="IVB105" s="44"/>
      <c r="IVC105" s="44"/>
      <c r="IVD105" s="44"/>
      <c r="IVE105" s="44"/>
      <c r="IVF105" s="44"/>
      <c r="IVG105" s="44"/>
      <c r="IVH105" s="44"/>
      <c r="IVI105" s="44"/>
      <c r="IVJ105" s="44"/>
      <c r="IVK105" s="44"/>
      <c r="IVL105" s="44"/>
      <c r="IVM105" s="44"/>
      <c r="IVN105" s="44"/>
      <c r="IVO105" s="44"/>
      <c r="IVP105" s="44"/>
      <c r="IVQ105" s="44"/>
      <c r="IVR105" s="44"/>
      <c r="IVS105" s="44"/>
      <c r="IVT105" s="44"/>
      <c r="IVU105" s="44"/>
      <c r="IVV105" s="44"/>
      <c r="IVW105" s="44"/>
      <c r="IVX105" s="44"/>
      <c r="IVY105" s="44"/>
      <c r="IVZ105" s="44"/>
      <c r="IWA105" s="44"/>
      <c r="IWB105" s="44"/>
      <c r="IWC105" s="44"/>
      <c r="IWD105" s="44"/>
      <c r="IWE105" s="44"/>
      <c r="IWF105" s="44"/>
      <c r="IWG105" s="44"/>
      <c r="IWH105" s="44"/>
      <c r="IWI105" s="44"/>
      <c r="IWJ105" s="44"/>
      <c r="IWK105" s="44"/>
      <c r="IWL105" s="44"/>
      <c r="IWM105" s="44"/>
      <c r="IWN105" s="44"/>
      <c r="IWO105" s="44"/>
      <c r="IWP105" s="44"/>
      <c r="IWQ105" s="44"/>
      <c r="IWR105" s="44"/>
      <c r="IWS105" s="44"/>
      <c r="IWT105" s="44"/>
      <c r="IWU105" s="44"/>
      <c r="IWV105" s="44"/>
      <c r="IWW105" s="44"/>
      <c r="IWX105" s="44"/>
      <c r="IWY105" s="44"/>
      <c r="IWZ105" s="44"/>
      <c r="IXA105" s="44"/>
      <c r="IXB105" s="44"/>
      <c r="IXC105" s="44"/>
      <c r="IXD105" s="44"/>
      <c r="IXE105" s="44"/>
      <c r="IXF105" s="44"/>
      <c r="IXG105" s="44"/>
      <c r="IXH105" s="44"/>
      <c r="IXI105" s="44"/>
      <c r="IXJ105" s="44"/>
      <c r="IXK105" s="44"/>
      <c r="IXL105" s="44"/>
      <c r="IXM105" s="44"/>
      <c r="IXN105" s="44"/>
      <c r="IXO105" s="44"/>
      <c r="IXP105" s="44"/>
      <c r="IXQ105" s="44"/>
      <c r="IXR105" s="44"/>
      <c r="IXS105" s="44"/>
      <c r="IXT105" s="44"/>
      <c r="IXU105" s="44"/>
      <c r="IXV105" s="44"/>
      <c r="IXW105" s="44"/>
      <c r="IXX105" s="44"/>
      <c r="IXY105" s="44"/>
      <c r="IXZ105" s="44"/>
      <c r="IYA105" s="44"/>
      <c r="IYB105" s="44"/>
      <c r="IYC105" s="44"/>
      <c r="IYD105" s="44"/>
      <c r="IYE105" s="44"/>
      <c r="IYF105" s="44"/>
      <c r="IYG105" s="44"/>
      <c r="IYH105" s="44"/>
      <c r="IYI105" s="44"/>
      <c r="IYJ105" s="44"/>
      <c r="IYK105" s="44"/>
      <c r="IYL105" s="44"/>
      <c r="IYM105" s="44"/>
      <c r="IYN105" s="44"/>
      <c r="IYO105" s="44"/>
      <c r="IYP105" s="44"/>
      <c r="IYQ105" s="44"/>
      <c r="IYR105" s="44"/>
      <c r="IYS105" s="44"/>
      <c r="IYT105" s="44"/>
      <c r="IYU105" s="44"/>
      <c r="IYV105" s="44"/>
      <c r="IYW105" s="44"/>
      <c r="IYX105" s="44"/>
      <c r="IYY105" s="44"/>
      <c r="IYZ105" s="44"/>
      <c r="IZA105" s="44"/>
      <c r="IZB105" s="44"/>
      <c r="IZC105" s="44"/>
      <c r="IZD105" s="44"/>
      <c r="IZE105" s="44"/>
      <c r="IZF105" s="44"/>
      <c r="IZG105" s="44"/>
      <c r="IZH105" s="44"/>
      <c r="IZI105" s="44"/>
      <c r="IZJ105" s="44"/>
      <c r="IZK105" s="44"/>
      <c r="IZL105" s="44"/>
      <c r="IZM105" s="44"/>
      <c r="IZN105" s="44"/>
      <c r="IZO105" s="44"/>
      <c r="IZP105" s="44"/>
      <c r="IZQ105" s="44"/>
      <c r="IZR105" s="44"/>
      <c r="IZS105" s="44"/>
      <c r="IZT105" s="44"/>
      <c r="IZU105" s="44"/>
      <c r="IZV105" s="44"/>
      <c r="IZW105" s="44"/>
      <c r="IZX105" s="44"/>
      <c r="IZY105" s="44"/>
      <c r="IZZ105" s="44"/>
      <c r="JAA105" s="44"/>
      <c r="JAB105" s="44"/>
      <c r="JAC105" s="44"/>
      <c r="JAD105" s="44"/>
      <c r="JAE105" s="44"/>
      <c r="JAF105" s="44"/>
      <c r="JAG105" s="44"/>
      <c r="JAH105" s="44"/>
      <c r="JAI105" s="44"/>
      <c r="JAJ105" s="44"/>
      <c r="JAK105" s="44"/>
      <c r="JAL105" s="44"/>
      <c r="JAM105" s="44"/>
      <c r="JAN105" s="44"/>
      <c r="JAO105" s="44"/>
      <c r="JAP105" s="44"/>
      <c r="JAQ105" s="44"/>
      <c r="JAR105" s="44"/>
      <c r="JAS105" s="44"/>
      <c r="JAT105" s="44"/>
      <c r="JAU105" s="44"/>
      <c r="JAV105" s="44"/>
      <c r="JAW105" s="44"/>
      <c r="JAX105" s="44"/>
      <c r="JAY105" s="44"/>
      <c r="JAZ105" s="44"/>
      <c r="JBA105" s="44"/>
      <c r="JBB105" s="44"/>
      <c r="JBC105" s="44"/>
      <c r="JBD105" s="44"/>
      <c r="JBE105" s="44"/>
      <c r="JBF105" s="44"/>
      <c r="JBG105" s="44"/>
      <c r="JBH105" s="44"/>
      <c r="JBI105" s="44"/>
      <c r="JBJ105" s="44"/>
      <c r="JBK105" s="44"/>
      <c r="JBL105" s="44"/>
      <c r="JBM105" s="44"/>
      <c r="JBN105" s="44"/>
      <c r="JBO105" s="44"/>
      <c r="JBP105" s="44"/>
      <c r="JBQ105" s="44"/>
      <c r="JBR105" s="44"/>
      <c r="JBS105" s="44"/>
      <c r="JBT105" s="44"/>
      <c r="JBU105" s="44"/>
      <c r="JBV105" s="44"/>
      <c r="JBW105" s="44"/>
      <c r="JBX105" s="44"/>
      <c r="JBY105" s="44"/>
      <c r="JBZ105" s="44"/>
      <c r="JCA105" s="44"/>
      <c r="JCB105" s="44"/>
      <c r="JCC105" s="44"/>
      <c r="JCD105" s="44"/>
      <c r="JCE105" s="44"/>
      <c r="JCF105" s="44"/>
      <c r="JCG105" s="44"/>
      <c r="JCH105" s="44"/>
      <c r="JCI105" s="44"/>
      <c r="JCJ105" s="44"/>
      <c r="JCK105" s="44"/>
      <c r="JCL105" s="44"/>
      <c r="JCM105" s="44"/>
      <c r="JCN105" s="44"/>
      <c r="JCO105" s="44"/>
      <c r="JCP105" s="44"/>
      <c r="JCQ105" s="44"/>
      <c r="JCR105" s="44"/>
      <c r="JCS105" s="44"/>
      <c r="JCT105" s="44"/>
      <c r="JCU105" s="44"/>
      <c r="JCV105" s="44"/>
      <c r="JCW105" s="44"/>
      <c r="JCX105" s="44"/>
      <c r="JCY105" s="44"/>
      <c r="JCZ105" s="44"/>
      <c r="JDA105" s="44"/>
      <c r="JDB105" s="44"/>
      <c r="JDC105" s="44"/>
      <c r="JDD105" s="44"/>
      <c r="JDE105" s="44"/>
      <c r="JDF105" s="44"/>
      <c r="JDG105" s="44"/>
      <c r="JDH105" s="44"/>
      <c r="JDI105" s="44"/>
      <c r="JDJ105" s="44"/>
      <c r="JDK105" s="44"/>
      <c r="JDL105" s="44"/>
      <c r="JDM105" s="44"/>
      <c r="JDN105" s="44"/>
      <c r="JDO105" s="44"/>
      <c r="JDP105" s="44"/>
      <c r="JDQ105" s="44"/>
      <c r="JDR105" s="44"/>
      <c r="JDS105" s="44"/>
      <c r="JDT105" s="44"/>
      <c r="JDU105" s="44"/>
      <c r="JDV105" s="44"/>
      <c r="JDW105" s="44"/>
      <c r="JDX105" s="44"/>
      <c r="JDY105" s="44"/>
      <c r="JDZ105" s="44"/>
      <c r="JEA105" s="44"/>
      <c r="JEB105" s="44"/>
      <c r="JEC105" s="44"/>
      <c r="JED105" s="44"/>
      <c r="JEE105" s="44"/>
      <c r="JEF105" s="44"/>
      <c r="JEG105" s="44"/>
      <c r="JEH105" s="44"/>
      <c r="JEI105" s="44"/>
      <c r="JEJ105" s="44"/>
      <c r="JEK105" s="44"/>
      <c r="JEL105" s="44"/>
      <c r="JEM105" s="44"/>
      <c r="JEN105" s="44"/>
      <c r="JEO105" s="44"/>
      <c r="JEP105" s="44"/>
      <c r="JEQ105" s="44"/>
      <c r="JER105" s="44"/>
      <c r="JES105" s="44"/>
      <c r="JET105" s="44"/>
      <c r="JEU105" s="44"/>
      <c r="JEV105" s="44"/>
      <c r="JEW105" s="44"/>
      <c r="JEX105" s="44"/>
      <c r="JEY105" s="44"/>
      <c r="JEZ105" s="44"/>
      <c r="JFA105" s="44"/>
      <c r="JFB105" s="44"/>
      <c r="JFC105" s="44"/>
      <c r="JFD105" s="44"/>
      <c r="JFE105" s="44"/>
      <c r="JFF105" s="44"/>
      <c r="JFG105" s="44"/>
      <c r="JFH105" s="44"/>
      <c r="JFI105" s="44"/>
      <c r="JFJ105" s="44"/>
      <c r="JFK105" s="44"/>
      <c r="JFL105" s="44"/>
      <c r="JFM105" s="44"/>
      <c r="JFN105" s="44"/>
      <c r="JFO105" s="44"/>
      <c r="JFP105" s="44"/>
      <c r="JFQ105" s="44"/>
      <c r="JFR105" s="44"/>
      <c r="JFS105" s="44"/>
      <c r="JFT105" s="44"/>
      <c r="JFU105" s="44"/>
      <c r="JFV105" s="44"/>
      <c r="JFW105" s="44"/>
      <c r="JFX105" s="44"/>
      <c r="JFY105" s="44"/>
      <c r="JFZ105" s="44"/>
      <c r="JGA105" s="44"/>
      <c r="JGB105" s="44"/>
      <c r="JGC105" s="44"/>
      <c r="JGD105" s="44"/>
      <c r="JGE105" s="44"/>
      <c r="JGF105" s="44"/>
      <c r="JGG105" s="44"/>
      <c r="JGH105" s="44"/>
      <c r="JGI105" s="44"/>
      <c r="JGJ105" s="44"/>
      <c r="JGK105" s="44"/>
      <c r="JGL105" s="44"/>
      <c r="JGM105" s="44"/>
      <c r="JGN105" s="44"/>
      <c r="JGO105" s="44"/>
      <c r="JGP105" s="44"/>
      <c r="JGQ105" s="44"/>
      <c r="JGR105" s="44"/>
      <c r="JGS105" s="44"/>
      <c r="JGT105" s="44"/>
      <c r="JGU105" s="44"/>
      <c r="JGV105" s="44"/>
      <c r="JGW105" s="44"/>
      <c r="JGX105" s="44"/>
      <c r="JGY105" s="44"/>
      <c r="JGZ105" s="44"/>
      <c r="JHA105" s="44"/>
      <c r="JHB105" s="44"/>
      <c r="JHC105" s="44"/>
      <c r="JHD105" s="44"/>
      <c r="JHE105" s="44"/>
      <c r="JHF105" s="44"/>
      <c r="JHG105" s="44"/>
      <c r="JHH105" s="44"/>
      <c r="JHI105" s="44"/>
      <c r="JHJ105" s="44"/>
      <c r="JHK105" s="44"/>
      <c r="JHL105" s="44"/>
      <c r="JHM105" s="44"/>
      <c r="JHN105" s="44"/>
      <c r="JHO105" s="44"/>
      <c r="JHP105" s="44"/>
      <c r="JHQ105" s="44"/>
      <c r="JHR105" s="44"/>
      <c r="JHS105" s="44"/>
      <c r="JHT105" s="44"/>
      <c r="JHU105" s="44"/>
      <c r="JHV105" s="44"/>
      <c r="JHW105" s="44"/>
      <c r="JHX105" s="44"/>
      <c r="JHY105" s="44"/>
      <c r="JHZ105" s="44"/>
      <c r="JIA105" s="44"/>
      <c r="JIB105" s="44"/>
      <c r="JIC105" s="44"/>
      <c r="JID105" s="44"/>
      <c r="JIE105" s="44"/>
      <c r="JIF105" s="44"/>
      <c r="JIG105" s="44"/>
      <c r="JIH105" s="44"/>
      <c r="JII105" s="44"/>
      <c r="JIJ105" s="44"/>
      <c r="JIK105" s="44"/>
      <c r="JIL105" s="44"/>
      <c r="JIM105" s="44"/>
      <c r="JIN105" s="44"/>
      <c r="JIO105" s="44"/>
      <c r="JIP105" s="44"/>
      <c r="JIQ105" s="44"/>
      <c r="JIR105" s="44"/>
      <c r="JIS105" s="44"/>
      <c r="JIT105" s="44"/>
      <c r="JIU105" s="44"/>
      <c r="JIV105" s="44"/>
      <c r="JIW105" s="44"/>
      <c r="JIX105" s="44"/>
      <c r="JIY105" s="44"/>
      <c r="JIZ105" s="44"/>
      <c r="JJA105" s="44"/>
      <c r="JJB105" s="44"/>
      <c r="JJC105" s="44"/>
      <c r="JJD105" s="44"/>
      <c r="JJE105" s="44"/>
      <c r="JJF105" s="44"/>
      <c r="JJG105" s="44"/>
      <c r="JJH105" s="44"/>
      <c r="JJI105" s="44"/>
      <c r="JJJ105" s="44"/>
      <c r="JJK105" s="44"/>
      <c r="JJL105" s="44"/>
      <c r="JJM105" s="44"/>
      <c r="JJN105" s="44"/>
      <c r="JJO105" s="44"/>
      <c r="JJP105" s="44"/>
      <c r="JJQ105" s="44"/>
      <c r="JJR105" s="44"/>
      <c r="JJS105" s="44"/>
      <c r="JJT105" s="44"/>
      <c r="JJU105" s="44"/>
      <c r="JJV105" s="44"/>
      <c r="JJW105" s="44"/>
      <c r="JJX105" s="44"/>
      <c r="JJY105" s="44"/>
      <c r="JJZ105" s="44"/>
      <c r="JKA105" s="44"/>
      <c r="JKB105" s="44"/>
      <c r="JKC105" s="44"/>
      <c r="JKD105" s="44"/>
      <c r="JKE105" s="44"/>
      <c r="JKF105" s="44"/>
      <c r="JKG105" s="44"/>
      <c r="JKH105" s="44"/>
      <c r="JKI105" s="44"/>
      <c r="JKJ105" s="44"/>
      <c r="JKK105" s="44"/>
      <c r="JKL105" s="44"/>
      <c r="JKM105" s="44"/>
      <c r="JKN105" s="44"/>
      <c r="JKO105" s="44"/>
      <c r="JKP105" s="44"/>
      <c r="JKQ105" s="44"/>
      <c r="JKR105" s="44"/>
      <c r="JKS105" s="44"/>
      <c r="JKT105" s="44"/>
      <c r="JKU105" s="44"/>
      <c r="JKV105" s="44"/>
      <c r="JKW105" s="44"/>
      <c r="JKX105" s="44"/>
      <c r="JKY105" s="44"/>
      <c r="JKZ105" s="44"/>
      <c r="JLA105" s="44"/>
      <c r="JLB105" s="44"/>
      <c r="JLC105" s="44"/>
      <c r="JLD105" s="44"/>
      <c r="JLE105" s="44"/>
      <c r="JLF105" s="44"/>
      <c r="JLG105" s="44"/>
      <c r="JLH105" s="44"/>
      <c r="JLI105" s="44"/>
      <c r="JLJ105" s="44"/>
      <c r="JLK105" s="44"/>
      <c r="JLL105" s="44"/>
      <c r="JLM105" s="44"/>
      <c r="JLN105" s="44"/>
      <c r="JLO105" s="44"/>
      <c r="JLP105" s="44"/>
      <c r="JLQ105" s="44"/>
      <c r="JLR105" s="44"/>
      <c r="JLS105" s="44"/>
      <c r="JLT105" s="44"/>
      <c r="JLU105" s="44"/>
      <c r="JLV105" s="44"/>
      <c r="JLW105" s="44"/>
      <c r="JLX105" s="44"/>
      <c r="JLY105" s="44"/>
      <c r="JLZ105" s="44"/>
      <c r="JMA105" s="44"/>
      <c r="JMB105" s="44"/>
      <c r="JMC105" s="44"/>
      <c r="JMD105" s="44"/>
      <c r="JME105" s="44"/>
      <c r="JMF105" s="44"/>
      <c r="JMG105" s="44"/>
      <c r="JMH105" s="44"/>
      <c r="JMI105" s="44"/>
      <c r="JMJ105" s="44"/>
      <c r="JMK105" s="44"/>
      <c r="JML105" s="44"/>
      <c r="JMM105" s="44"/>
      <c r="JMN105" s="44"/>
      <c r="JMO105" s="44"/>
      <c r="JMP105" s="44"/>
      <c r="JMQ105" s="44"/>
      <c r="JMR105" s="44"/>
      <c r="JMS105" s="44"/>
      <c r="JMT105" s="44"/>
      <c r="JMU105" s="44"/>
      <c r="JMV105" s="44"/>
      <c r="JMW105" s="44"/>
      <c r="JMX105" s="44"/>
      <c r="JMY105" s="44"/>
      <c r="JMZ105" s="44"/>
      <c r="JNA105" s="44"/>
      <c r="JNB105" s="44"/>
      <c r="JNC105" s="44"/>
      <c r="JND105" s="44"/>
      <c r="JNE105" s="44"/>
      <c r="JNF105" s="44"/>
      <c r="JNG105" s="44"/>
      <c r="JNH105" s="44"/>
      <c r="JNI105" s="44"/>
      <c r="JNJ105" s="44"/>
      <c r="JNK105" s="44"/>
      <c r="JNL105" s="44"/>
      <c r="JNM105" s="44"/>
      <c r="JNN105" s="44"/>
      <c r="JNO105" s="44"/>
      <c r="JNP105" s="44"/>
      <c r="JNQ105" s="44"/>
      <c r="JNR105" s="44"/>
      <c r="JNS105" s="44"/>
      <c r="JNT105" s="44"/>
      <c r="JNU105" s="44"/>
      <c r="JNV105" s="44"/>
      <c r="JNW105" s="44"/>
      <c r="JNX105" s="44"/>
      <c r="JNY105" s="44"/>
      <c r="JNZ105" s="44"/>
      <c r="JOA105" s="44"/>
      <c r="JOB105" s="44"/>
      <c r="JOC105" s="44"/>
      <c r="JOD105" s="44"/>
      <c r="JOE105" s="44"/>
      <c r="JOF105" s="44"/>
      <c r="JOG105" s="44"/>
      <c r="JOH105" s="44"/>
      <c r="JOI105" s="44"/>
      <c r="JOJ105" s="44"/>
      <c r="JOK105" s="44"/>
      <c r="JOL105" s="44"/>
      <c r="JOM105" s="44"/>
      <c r="JON105" s="44"/>
      <c r="JOO105" s="44"/>
      <c r="JOP105" s="44"/>
      <c r="JOQ105" s="44"/>
      <c r="JOR105" s="44"/>
      <c r="JOS105" s="44"/>
      <c r="JOT105" s="44"/>
      <c r="JOU105" s="44"/>
      <c r="JOV105" s="44"/>
      <c r="JOW105" s="44"/>
      <c r="JOX105" s="44"/>
      <c r="JOY105" s="44"/>
      <c r="JOZ105" s="44"/>
      <c r="JPA105" s="44"/>
      <c r="JPB105" s="44"/>
      <c r="JPC105" s="44"/>
      <c r="JPD105" s="44"/>
      <c r="JPE105" s="44"/>
      <c r="JPF105" s="44"/>
      <c r="JPG105" s="44"/>
      <c r="JPH105" s="44"/>
      <c r="JPI105" s="44"/>
      <c r="JPJ105" s="44"/>
      <c r="JPK105" s="44"/>
      <c r="JPL105" s="44"/>
      <c r="JPM105" s="44"/>
      <c r="JPN105" s="44"/>
      <c r="JPO105" s="44"/>
      <c r="JPP105" s="44"/>
      <c r="JPQ105" s="44"/>
      <c r="JPR105" s="44"/>
      <c r="JPS105" s="44"/>
      <c r="JPT105" s="44"/>
      <c r="JPU105" s="44"/>
      <c r="JPV105" s="44"/>
      <c r="JPW105" s="44"/>
      <c r="JPX105" s="44"/>
      <c r="JPY105" s="44"/>
      <c r="JPZ105" s="44"/>
      <c r="JQA105" s="44"/>
      <c r="JQB105" s="44"/>
      <c r="JQC105" s="44"/>
      <c r="JQD105" s="44"/>
      <c r="JQE105" s="44"/>
      <c r="JQF105" s="44"/>
      <c r="JQG105" s="44"/>
      <c r="JQH105" s="44"/>
      <c r="JQI105" s="44"/>
      <c r="JQJ105" s="44"/>
      <c r="JQK105" s="44"/>
      <c r="JQL105" s="44"/>
      <c r="JQM105" s="44"/>
      <c r="JQN105" s="44"/>
      <c r="JQO105" s="44"/>
      <c r="JQP105" s="44"/>
      <c r="JQQ105" s="44"/>
      <c r="JQR105" s="44"/>
      <c r="JQS105" s="44"/>
      <c r="JQT105" s="44"/>
      <c r="JQU105" s="44"/>
      <c r="JQV105" s="44"/>
      <c r="JQW105" s="44"/>
      <c r="JQX105" s="44"/>
      <c r="JQY105" s="44"/>
      <c r="JQZ105" s="44"/>
      <c r="JRA105" s="44"/>
      <c r="JRB105" s="44"/>
      <c r="JRC105" s="44"/>
      <c r="JRD105" s="44"/>
      <c r="JRE105" s="44"/>
      <c r="JRF105" s="44"/>
      <c r="JRG105" s="44"/>
      <c r="JRH105" s="44"/>
      <c r="JRI105" s="44"/>
      <c r="JRJ105" s="44"/>
      <c r="JRK105" s="44"/>
      <c r="JRL105" s="44"/>
      <c r="JRM105" s="44"/>
      <c r="JRN105" s="44"/>
      <c r="JRO105" s="44"/>
      <c r="JRP105" s="44"/>
      <c r="JRQ105" s="44"/>
      <c r="JRR105" s="44"/>
      <c r="JRS105" s="44"/>
      <c r="JRT105" s="44"/>
      <c r="JRU105" s="44"/>
      <c r="JRV105" s="44"/>
      <c r="JRW105" s="44"/>
      <c r="JRX105" s="44"/>
      <c r="JRY105" s="44"/>
      <c r="JRZ105" s="44"/>
      <c r="JSA105" s="44"/>
      <c r="JSB105" s="44"/>
      <c r="JSC105" s="44"/>
      <c r="JSD105" s="44"/>
      <c r="JSE105" s="44"/>
      <c r="JSF105" s="44"/>
      <c r="JSG105" s="44"/>
      <c r="JSH105" s="44"/>
      <c r="JSI105" s="44"/>
      <c r="JSJ105" s="44"/>
      <c r="JSK105" s="44"/>
      <c r="JSL105" s="44"/>
      <c r="JSM105" s="44"/>
      <c r="JSN105" s="44"/>
      <c r="JSO105" s="44"/>
      <c r="JSP105" s="44"/>
      <c r="JSQ105" s="44"/>
      <c r="JSR105" s="44"/>
      <c r="JSS105" s="44"/>
      <c r="JST105" s="44"/>
      <c r="JSU105" s="44"/>
      <c r="JSV105" s="44"/>
      <c r="JSW105" s="44"/>
      <c r="JSX105" s="44"/>
      <c r="JSY105" s="44"/>
      <c r="JSZ105" s="44"/>
      <c r="JTA105" s="44"/>
      <c r="JTB105" s="44"/>
      <c r="JTC105" s="44"/>
      <c r="JTD105" s="44"/>
      <c r="JTE105" s="44"/>
      <c r="JTF105" s="44"/>
      <c r="JTG105" s="44"/>
      <c r="JTH105" s="44"/>
      <c r="JTI105" s="44"/>
      <c r="JTJ105" s="44"/>
      <c r="JTK105" s="44"/>
      <c r="JTL105" s="44"/>
      <c r="JTM105" s="44"/>
      <c r="JTN105" s="44"/>
      <c r="JTO105" s="44"/>
      <c r="JTP105" s="44"/>
      <c r="JTQ105" s="44"/>
      <c r="JTR105" s="44"/>
      <c r="JTS105" s="44"/>
      <c r="JTT105" s="44"/>
      <c r="JTU105" s="44"/>
      <c r="JTV105" s="44"/>
      <c r="JTW105" s="44"/>
      <c r="JTX105" s="44"/>
      <c r="JTY105" s="44"/>
      <c r="JTZ105" s="44"/>
      <c r="JUA105" s="44"/>
      <c r="JUB105" s="44"/>
      <c r="JUC105" s="44"/>
      <c r="JUD105" s="44"/>
      <c r="JUE105" s="44"/>
      <c r="JUF105" s="44"/>
      <c r="JUG105" s="44"/>
      <c r="JUH105" s="44"/>
      <c r="JUI105" s="44"/>
      <c r="JUJ105" s="44"/>
      <c r="JUK105" s="44"/>
      <c r="JUL105" s="44"/>
      <c r="JUM105" s="44"/>
      <c r="JUN105" s="44"/>
      <c r="JUO105" s="44"/>
      <c r="JUP105" s="44"/>
      <c r="JUQ105" s="44"/>
      <c r="JUR105" s="44"/>
      <c r="JUS105" s="44"/>
      <c r="JUT105" s="44"/>
      <c r="JUU105" s="44"/>
      <c r="JUV105" s="44"/>
      <c r="JUW105" s="44"/>
      <c r="JUX105" s="44"/>
      <c r="JUY105" s="44"/>
      <c r="JUZ105" s="44"/>
      <c r="JVA105" s="44"/>
      <c r="JVB105" s="44"/>
      <c r="JVC105" s="44"/>
      <c r="JVD105" s="44"/>
      <c r="JVE105" s="44"/>
      <c r="JVF105" s="44"/>
      <c r="JVG105" s="44"/>
      <c r="JVH105" s="44"/>
      <c r="JVI105" s="44"/>
      <c r="JVJ105" s="44"/>
      <c r="JVK105" s="44"/>
      <c r="JVL105" s="44"/>
      <c r="JVM105" s="44"/>
      <c r="JVN105" s="44"/>
      <c r="JVO105" s="44"/>
      <c r="JVP105" s="44"/>
      <c r="JVQ105" s="44"/>
      <c r="JVR105" s="44"/>
      <c r="JVS105" s="44"/>
      <c r="JVT105" s="44"/>
      <c r="JVU105" s="44"/>
      <c r="JVV105" s="44"/>
      <c r="JVW105" s="44"/>
      <c r="JVX105" s="44"/>
      <c r="JVY105" s="44"/>
      <c r="JVZ105" s="44"/>
      <c r="JWA105" s="44"/>
      <c r="JWB105" s="44"/>
      <c r="JWC105" s="44"/>
      <c r="JWD105" s="44"/>
      <c r="JWE105" s="44"/>
      <c r="JWF105" s="44"/>
      <c r="JWG105" s="44"/>
      <c r="JWH105" s="44"/>
      <c r="JWI105" s="44"/>
      <c r="JWJ105" s="44"/>
      <c r="JWK105" s="44"/>
      <c r="JWL105" s="44"/>
      <c r="JWM105" s="44"/>
      <c r="JWN105" s="44"/>
      <c r="JWO105" s="44"/>
      <c r="JWP105" s="44"/>
      <c r="JWQ105" s="44"/>
      <c r="JWR105" s="44"/>
      <c r="JWS105" s="44"/>
      <c r="JWT105" s="44"/>
      <c r="JWU105" s="44"/>
      <c r="JWV105" s="44"/>
      <c r="JWW105" s="44"/>
      <c r="JWX105" s="44"/>
      <c r="JWY105" s="44"/>
      <c r="JWZ105" s="44"/>
      <c r="JXA105" s="44"/>
      <c r="JXB105" s="44"/>
      <c r="JXC105" s="44"/>
      <c r="JXD105" s="44"/>
      <c r="JXE105" s="44"/>
      <c r="JXF105" s="44"/>
      <c r="JXG105" s="44"/>
      <c r="JXH105" s="44"/>
      <c r="JXI105" s="44"/>
      <c r="JXJ105" s="44"/>
      <c r="JXK105" s="44"/>
      <c r="JXL105" s="44"/>
      <c r="JXM105" s="44"/>
      <c r="JXN105" s="44"/>
      <c r="JXO105" s="44"/>
      <c r="JXP105" s="44"/>
      <c r="JXQ105" s="44"/>
      <c r="JXR105" s="44"/>
      <c r="JXS105" s="44"/>
      <c r="JXT105" s="44"/>
      <c r="JXU105" s="44"/>
      <c r="JXV105" s="44"/>
      <c r="JXW105" s="44"/>
      <c r="JXX105" s="44"/>
      <c r="JXY105" s="44"/>
      <c r="JXZ105" s="44"/>
      <c r="JYA105" s="44"/>
      <c r="JYB105" s="44"/>
      <c r="JYC105" s="44"/>
      <c r="JYD105" s="44"/>
      <c r="JYE105" s="44"/>
      <c r="JYF105" s="44"/>
      <c r="JYG105" s="44"/>
      <c r="JYH105" s="44"/>
      <c r="JYI105" s="44"/>
      <c r="JYJ105" s="44"/>
      <c r="JYK105" s="44"/>
      <c r="JYL105" s="44"/>
      <c r="JYM105" s="44"/>
      <c r="JYN105" s="44"/>
      <c r="JYO105" s="44"/>
      <c r="JYP105" s="44"/>
      <c r="JYQ105" s="44"/>
      <c r="JYR105" s="44"/>
      <c r="JYS105" s="44"/>
      <c r="JYT105" s="44"/>
      <c r="JYU105" s="44"/>
      <c r="JYV105" s="44"/>
      <c r="JYW105" s="44"/>
      <c r="JYX105" s="44"/>
      <c r="JYY105" s="44"/>
      <c r="JYZ105" s="44"/>
      <c r="JZA105" s="44"/>
      <c r="JZB105" s="44"/>
      <c r="JZC105" s="44"/>
      <c r="JZD105" s="44"/>
      <c r="JZE105" s="44"/>
      <c r="JZF105" s="44"/>
      <c r="JZG105" s="44"/>
      <c r="JZH105" s="44"/>
      <c r="JZI105" s="44"/>
      <c r="JZJ105" s="44"/>
      <c r="JZK105" s="44"/>
      <c r="JZL105" s="44"/>
      <c r="JZM105" s="44"/>
      <c r="JZN105" s="44"/>
      <c r="JZO105" s="44"/>
      <c r="JZP105" s="44"/>
      <c r="JZQ105" s="44"/>
      <c r="JZR105" s="44"/>
      <c r="JZS105" s="44"/>
      <c r="JZT105" s="44"/>
      <c r="JZU105" s="44"/>
      <c r="JZV105" s="44"/>
      <c r="JZW105" s="44"/>
      <c r="JZX105" s="44"/>
      <c r="JZY105" s="44"/>
      <c r="JZZ105" s="44"/>
      <c r="KAA105" s="44"/>
      <c r="KAB105" s="44"/>
      <c r="KAC105" s="44"/>
      <c r="KAD105" s="44"/>
      <c r="KAE105" s="44"/>
      <c r="KAF105" s="44"/>
      <c r="KAG105" s="44"/>
      <c r="KAH105" s="44"/>
      <c r="KAI105" s="44"/>
      <c r="KAJ105" s="44"/>
      <c r="KAK105" s="44"/>
      <c r="KAL105" s="44"/>
      <c r="KAM105" s="44"/>
      <c r="KAN105" s="44"/>
      <c r="KAO105" s="44"/>
      <c r="KAP105" s="44"/>
      <c r="KAQ105" s="44"/>
      <c r="KAR105" s="44"/>
      <c r="KAS105" s="44"/>
      <c r="KAT105" s="44"/>
      <c r="KAU105" s="44"/>
      <c r="KAV105" s="44"/>
      <c r="KAW105" s="44"/>
      <c r="KAX105" s="44"/>
      <c r="KAY105" s="44"/>
      <c r="KAZ105" s="44"/>
      <c r="KBA105" s="44"/>
      <c r="KBB105" s="44"/>
      <c r="KBC105" s="44"/>
      <c r="KBD105" s="44"/>
      <c r="KBE105" s="44"/>
      <c r="KBF105" s="44"/>
      <c r="KBG105" s="44"/>
      <c r="KBH105" s="44"/>
      <c r="KBI105" s="44"/>
      <c r="KBJ105" s="44"/>
      <c r="KBK105" s="44"/>
      <c r="KBL105" s="44"/>
      <c r="KBM105" s="44"/>
      <c r="KBN105" s="44"/>
      <c r="KBO105" s="44"/>
      <c r="KBP105" s="44"/>
      <c r="KBQ105" s="44"/>
      <c r="KBR105" s="44"/>
      <c r="KBS105" s="44"/>
      <c r="KBT105" s="44"/>
      <c r="KBU105" s="44"/>
      <c r="KBV105" s="44"/>
      <c r="KBW105" s="44"/>
      <c r="KBX105" s="44"/>
      <c r="KBY105" s="44"/>
      <c r="KBZ105" s="44"/>
      <c r="KCA105" s="44"/>
      <c r="KCB105" s="44"/>
      <c r="KCC105" s="44"/>
      <c r="KCD105" s="44"/>
      <c r="KCE105" s="44"/>
      <c r="KCF105" s="44"/>
      <c r="KCG105" s="44"/>
      <c r="KCH105" s="44"/>
      <c r="KCI105" s="44"/>
      <c r="KCJ105" s="44"/>
      <c r="KCK105" s="44"/>
      <c r="KCL105" s="44"/>
      <c r="KCM105" s="44"/>
      <c r="KCN105" s="44"/>
      <c r="KCO105" s="44"/>
      <c r="KCP105" s="44"/>
      <c r="KCQ105" s="44"/>
      <c r="KCR105" s="44"/>
      <c r="KCS105" s="44"/>
      <c r="KCT105" s="44"/>
      <c r="KCU105" s="44"/>
      <c r="KCV105" s="44"/>
      <c r="KCW105" s="44"/>
      <c r="KCX105" s="44"/>
      <c r="KCY105" s="44"/>
      <c r="KCZ105" s="44"/>
      <c r="KDA105" s="44"/>
      <c r="KDB105" s="44"/>
      <c r="KDC105" s="44"/>
      <c r="KDD105" s="44"/>
      <c r="KDE105" s="44"/>
      <c r="KDF105" s="44"/>
      <c r="KDG105" s="44"/>
      <c r="KDH105" s="44"/>
      <c r="KDI105" s="44"/>
      <c r="KDJ105" s="44"/>
      <c r="KDK105" s="44"/>
      <c r="KDL105" s="44"/>
      <c r="KDM105" s="44"/>
      <c r="KDN105" s="44"/>
      <c r="KDO105" s="44"/>
      <c r="KDP105" s="44"/>
      <c r="KDQ105" s="44"/>
      <c r="KDR105" s="44"/>
      <c r="KDS105" s="44"/>
      <c r="KDT105" s="44"/>
      <c r="KDU105" s="44"/>
      <c r="KDV105" s="44"/>
      <c r="KDW105" s="44"/>
      <c r="KDX105" s="44"/>
      <c r="KDY105" s="44"/>
      <c r="KDZ105" s="44"/>
      <c r="KEA105" s="44"/>
      <c r="KEB105" s="44"/>
      <c r="KEC105" s="44"/>
      <c r="KED105" s="44"/>
      <c r="KEE105" s="44"/>
      <c r="KEF105" s="44"/>
      <c r="KEG105" s="44"/>
      <c r="KEH105" s="44"/>
      <c r="KEI105" s="44"/>
      <c r="KEJ105" s="44"/>
      <c r="KEK105" s="44"/>
      <c r="KEL105" s="44"/>
      <c r="KEM105" s="44"/>
      <c r="KEN105" s="44"/>
      <c r="KEO105" s="44"/>
      <c r="KEP105" s="44"/>
      <c r="KEQ105" s="44"/>
      <c r="KER105" s="44"/>
      <c r="KES105" s="44"/>
      <c r="KET105" s="44"/>
      <c r="KEU105" s="44"/>
      <c r="KEV105" s="44"/>
      <c r="KEW105" s="44"/>
      <c r="KEX105" s="44"/>
      <c r="KEY105" s="44"/>
      <c r="KEZ105" s="44"/>
      <c r="KFA105" s="44"/>
      <c r="KFB105" s="44"/>
      <c r="KFC105" s="44"/>
      <c r="KFD105" s="44"/>
      <c r="KFE105" s="44"/>
      <c r="KFF105" s="44"/>
      <c r="KFG105" s="44"/>
      <c r="KFH105" s="44"/>
      <c r="KFI105" s="44"/>
      <c r="KFJ105" s="44"/>
      <c r="KFK105" s="44"/>
      <c r="KFL105" s="44"/>
      <c r="KFM105" s="44"/>
      <c r="KFN105" s="44"/>
      <c r="KFO105" s="44"/>
      <c r="KFP105" s="44"/>
      <c r="KFQ105" s="44"/>
      <c r="KFR105" s="44"/>
      <c r="KFS105" s="44"/>
      <c r="KFT105" s="44"/>
      <c r="KFU105" s="44"/>
      <c r="KFV105" s="44"/>
      <c r="KFW105" s="44"/>
      <c r="KFX105" s="44"/>
      <c r="KFY105" s="44"/>
      <c r="KFZ105" s="44"/>
      <c r="KGA105" s="44"/>
      <c r="KGB105" s="44"/>
      <c r="KGC105" s="44"/>
      <c r="KGD105" s="44"/>
      <c r="KGE105" s="44"/>
      <c r="KGF105" s="44"/>
      <c r="KGG105" s="44"/>
      <c r="KGH105" s="44"/>
      <c r="KGI105" s="44"/>
      <c r="KGJ105" s="44"/>
      <c r="KGK105" s="44"/>
      <c r="KGL105" s="44"/>
      <c r="KGM105" s="44"/>
      <c r="KGN105" s="44"/>
      <c r="KGO105" s="44"/>
      <c r="KGP105" s="44"/>
      <c r="KGQ105" s="44"/>
      <c r="KGR105" s="44"/>
      <c r="KGS105" s="44"/>
      <c r="KGT105" s="44"/>
      <c r="KGU105" s="44"/>
      <c r="KGV105" s="44"/>
      <c r="KGW105" s="44"/>
      <c r="KGX105" s="44"/>
      <c r="KGY105" s="44"/>
      <c r="KGZ105" s="44"/>
      <c r="KHA105" s="44"/>
      <c r="KHB105" s="44"/>
      <c r="KHC105" s="44"/>
      <c r="KHD105" s="44"/>
      <c r="KHE105" s="44"/>
      <c r="KHF105" s="44"/>
      <c r="KHG105" s="44"/>
      <c r="KHH105" s="44"/>
      <c r="KHI105" s="44"/>
      <c r="KHJ105" s="44"/>
      <c r="KHK105" s="44"/>
      <c r="KHL105" s="44"/>
      <c r="KHM105" s="44"/>
      <c r="KHN105" s="44"/>
      <c r="KHO105" s="44"/>
      <c r="KHP105" s="44"/>
      <c r="KHQ105" s="44"/>
      <c r="KHR105" s="44"/>
      <c r="KHS105" s="44"/>
      <c r="KHT105" s="44"/>
      <c r="KHU105" s="44"/>
      <c r="KHV105" s="44"/>
      <c r="KHW105" s="44"/>
      <c r="KHX105" s="44"/>
      <c r="KHY105" s="44"/>
      <c r="KHZ105" s="44"/>
      <c r="KIA105" s="44"/>
      <c r="KIB105" s="44"/>
      <c r="KIC105" s="44"/>
      <c r="KID105" s="44"/>
      <c r="KIE105" s="44"/>
      <c r="KIF105" s="44"/>
      <c r="KIG105" s="44"/>
      <c r="KIH105" s="44"/>
      <c r="KII105" s="44"/>
      <c r="KIJ105" s="44"/>
      <c r="KIK105" s="44"/>
      <c r="KIL105" s="44"/>
      <c r="KIM105" s="44"/>
      <c r="KIN105" s="44"/>
      <c r="KIO105" s="44"/>
      <c r="KIP105" s="44"/>
      <c r="KIQ105" s="44"/>
      <c r="KIR105" s="44"/>
      <c r="KIS105" s="44"/>
      <c r="KIT105" s="44"/>
      <c r="KIU105" s="44"/>
      <c r="KIV105" s="44"/>
      <c r="KIW105" s="44"/>
      <c r="KIX105" s="44"/>
      <c r="KIY105" s="44"/>
      <c r="KIZ105" s="44"/>
      <c r="KJA105" s="44"/>
      <c r="KJB105" s="44"/>
      <c r="KJC105" s="44"/>
      <c r="KJD105" s="44"/>
      <c r="KJE105" s="44"/>
      <c r="KJF105" s="44"/>
      <c r="KJG105" s="44"/>
      <c r="KJH105" s="44"/>
      <c r="KJI105" s="44"/>
      <c r="KJJ105" s="44"/>
      <c r="KJK105" s="44"/>
      <c r="KJL105" s="44"/>
      <c r="KJM105" s="44"/>
      <c r="KJN105" s="44"/>
      <c r="KJO105" s="44"/>
      <c r="KJP105" s="44"/>
      <c r="KJQ105" s="44"/>
      <c r="KJR105" s="44"/>
      <c r="KJS105" s="44"/>
      <c r="KJT105" s="44"/>
      <c r="KJU105" s="44"/>
      <c r="KJV105" s="44"/>
      <c r="KJW105" s="44"/>
      <c r="KJX105" s="44"/>
      <c r="KJY105" s="44"/>
      <c r="KJZ105" s="44"/>
      <c r="KKA105" s="44"/>
      <c r="KKB105" s="44"/>
      <c r="KKC105" s="44"/>
      <c r="KKD105" s="44"/>
      <c r="KKE105" s="44"/>
      <c r="KKF105" s="44"/>
      <c r="KKG105" s="44"/>
      <c r="KKH105" s="44"/>
      <c r="KKI105" s="44"/>
      <c r="KKJ105" s="44"/>
      <c r="KKK105" s="44"/>
      <c r="KKL105" s="44"/>
      <c r="KKM105" s="44"/>
      <c r="KKN105" s="44"/>
      <c r="KKO105" s="44"/>
      <c r="KKP105" s="44"/>
      <c r="KKQ105" s="44"/>
      <c r="KKR105" s="44"/>
      <c r="KKS105" s="44"/>
      <c r="KKT105" s="44"/>
      <c r="KKU105" s="44"/>
      <c r="KKV105" s="44"/>
      <c r="KKW105" s="44"/>
      <c r="KKX105" s="44"/>
      <c r="KKY105" s="44"/>
      <c r="KKZ105" s="44"/>
      <c r="KLA105" s="44"/>
      <c r="KLB105" s="44"/>
      <c r="KLC105" s="44"/>
      <c r="KLD105" s="44"/>
      <c r="KLE105" s="44"/>
      <c r="KLF105" s="44"/>
      <c r="KLG105" s="44"/>
      <c r="KLH105" s="44"/>
      <c r="KLI105" s="44"/>
      <c r="KLJ105" s="44"/>
      <c r="KLK105" s="44"/>
      <c r="KLL105" s="44"/>
      <c r="KLM105" s="44"/>
      <c r="KLN105" s="44"/>
      <c r="KLO105" s="44"/>
      <c r="KLP105" s="44"/>
      <c r="KLQ105" s="44"/>
      <c r="KLR105" s="44"/>
      <c r="KLS105" s="44"/>
      <c r="KLT105" s="44"/>
      <c r="KLU105" s="44"/>
      <c r="KLV105" s="44"/>
      <c r="KLW105" s="44"/>
      <c r="KLX105" s="44"/>
      <c r="KLY105" s="44"/>
      <c r="KLZ105" s="44"/>
      <c r="KMA105" s="44"/>
      <c r="KMB105" s="44"/>
      <c r="KMC105" s="44"/>
      <c r="KMD105" s="44"/>
      <c r="KME105" s="44"/>
      <c r="KMF105" s="44"/>
      <c r="KMG105" s="44"/>
      <c r="KMH105" s="44"/>
      <c r="KMI105" s="44"/>
      <c r="KMJ105" s="44"/>
      <c r="KMK105" s="44"/>
      <c r="KML105" s="44"/>
      <c r="KMM105" s="44"/>
      <c r="KMN105" s="44"/>
      <c r="KMO105" s="44"/>
      <c r="KMP105" s="44"/>
      <c r="KMQ105" s="44"/>
      <c r="KMR105" s="44"/>
      <c r="KMS105" s="44"/>
      <c r="KMT105" s="44"/>
      <c r="KMU105" s="44"/>
      <c r="KMV105" s="44"/>
      <c r="KMW105" s="44"/>
      <c r="KMX105" s="44"/>
      <c r="KMY105" s="44"/>
      <c r="KMZ105" s="44"/>
      <c r="KNA105" s="44"/>
      <c r="KNB105" s="44"/>
      <c r="KNC105" s="44"/>
      <c r="KND105" s="44"/>
      <c r="KNE105" s="44"/>
      <c r="KNF105" s="44"/>
      <c r="KNG105" s="44"/>
      <c r="KNH105" s="44"/>
      <c r="KNI105" s="44"/>
      <c r="KNJ105" s="44"/>
      <c r="KNK105" s="44"/>
      <c r="KNL105" s="44"/>
      <c r="KNM105" s="44"/>
      <c r="KNN105" s="44"/>
      <c r="KNO105" s="44"/>
      <c r="KNP105" s="44"/>
      <c r="KNQ105" s="44"/>
      <c r="KNR105" s="44"/>
      <c r="KNS105" s="44"/>
      <c r="KNT105" s="44"/>
      <c r="KNU105" s="44"/>
      <c r="KNV105" s="44"/>
      <c r="KNW105" s="44"/>
      <c r="KNX105" s="44"/>
      <c r="KNY105" s="44"/>
      <c r="KNZ105" s="44"/>
      <c r="KOA105" s="44"/>
      <c r="KOB105" s="44"/>
      <c r="KOC105" s="44"/>
      <c r="KOD105" s="44"/>
      <c r="KOE105" s="44"/>
      <c r="KOF105" s="44"/>
      <c r="KOG105" s="44"/>
      <c r="KOH105" s="44"/>
      <c r="KOI105" s="44"/>
      <c r="KOJ105" s="44"/>
      <c r="KOK105" s="44"/>
      <c r="KOL105" s="44"/>
      <c r="KOM105" s="44"/>
      <c r="KON105" s="44"/>
      <c r="KOO105" s="44"/>
      <c r="KOP105" s="44"/>
      <c r="KOQ105" s="44"/>
      <c r="KOR105" s="44"/>
      <c r="KOS105" s="44"/>
      <c r="KOT105" s="44"/>
      <c r="KOU105" s="44"/>
      <c r="KOV105" s="44"/>
      <c r="KOW105" s="44"/>
      <c r="KOX105" s="44"/>
      <c r="KOY105" s="44"/>
      <c r="KOZ105" s="44"/>
      <c r="KPA105" s="44"/>
      <c r="KPB105" s="44"/>
      <c r="KPC105" s="44"/>
      <c r="KPD105" s="44"/>
      <c r="KPE105" s="44"/>
      <c r="KPF105" s="44"/>
      <c r="KPG105" s="44"/>
      <c r="KPH105" s="44"/>
      <c r="KPI105" s="44"/>
      <c r="KPJ105" s="44"/>
      <c r="KPK105" s="44"/>
      <c r="KPL105" s="44"/>
      <c r="KPM105" s="44"/>
      <c r="KPN105" s="44"/>
      <c r="KPO105" s="44"/>
      <c r="KPP105" s="44"/>
      <c r="KPQ105" s="44"/>
      <c r="KPR105" s="44"/>
      <c r="KPS105" s="44"/>
      <c r="KPT105" s="44"/>
      <c r="KPU105" s="44"/>
      <c r="KPV105" s="44"/>
      <c r="KPW105" s="44"/>
      <c r="KPX105" s="44"/>
      <c r="KPY105" s="44"/>
      <c r="KPZ105" s="44"/>
      <c r="KQA105" s="44"/>
      <c r="KQB105" s="44"/>
      <c r="KQC105" s="44"/>
      <c r="KQD105" s="44"/>
      <c r="KQE105" s="44"/>
      <c r="KQF105" s="44"/>
      <c r="KQG105" s="44"/>
      <c r="KQH105" s="44"/>
      <c r="KQI105" s="44"/>
      <c r="KQJ105" s="44"/>
      <c r="KQK105" s="44"/>
      <c r="KQL105" s="44"/>
      <c r="KQM105" s="44"/>
      <c r="KQN105" s="44"/>
      <c r="KQO105" s="44"/>
      <c r="KQP105" s="44"/>
      <c r="KQQ105" s="44"/>
      <c r="KQR105" s="44"/>
      <c r="KQS105" s="44"/>
      <c r="KQT105" s="44"/>
      <c r="KQU105" s="44"/>
      <c r="KQV105" s="44"/>
      <c r="KQW105" s="44"/>
      <c r="KQX105" s="44"/>
      <c r="KQY105" s="44"/>
      <c r="KQZ105" s="44"/>
      <c r="KRA105" s="44"/>
      <c r="KRB105" s="44"/>
      <c r="KRC105" s="44"/>
      <c r="KRD105" s="44"/>
      <c r="KRE105" s="44"/>
      <c r="KRF105" s="44"/>
      <c r="KRG105" s="44"/>
      <c r="KRH105" s="44"/>
      <c r="KRI105" s="44"/>
      <c r="KRJ105" s="44"/>
      <c r="KRK105" s="44"/>
      <c r="KRL105" s="44"/>
      <c r="KRM105" s="44"/>
      <c r="KRN105" s="44"/>
      <c r="KRO105" s="44"/>
      <c r="KRP105" s="44"/>
      <c r="KRQ105" s="44"/>
      <c r="KRR105" s="44"/>
      <c r="KRS105" s="44"/>
      <c r="KRT105" s="44"/>
      <c r="KRU105" s="44"/>
      <c r="KRV105" s="44"/>
      <c r="KRW105" s="44"/>
      <c r="KRX105" s="44"/>
      <c r="KRY105" s="44"/>
      <c r="KRZ105" s="44"/>
      <c r="KSA105" s="44"/>
      <c r="KSB105" s="44"/>
      <c r="KSC105" s="44"/>
      <c r="KSD105" s="44"/>
      <c r="KSE105" s="44"/>
      <c r="KSF105" s="44"/>
      <c r="KSG105" s="44"/>
      <c r="KSH105" s="44"/>
      <c r="KSI105" s="44"/>
      <c r="KSJ105" s="44"/>
      <c r="KSK105" s="44"/>
      <c r="KSL105" s="44"/>
      <c r="KSM105" s="44"/>
      <c r="KSN105" s="44"/>
      <c r="KSO105" s="44"/>
      <c r="KSP105" s="44"/>
      <c r="KSQ105" s="44"/>
      <c r="KSR105" s="44"/>
      <c r="KSS105" s="44"/>
      <c r="KST105" s="44"/>
      <c r="KSU105" s="44"/>
      <c r="KSV105" s="44"/>
      <c r="KSW105" s="44"/>
      <c r="KSX105" s="44"/>
      <c r="KSY105" s="44"/>
      <c r="KSZ105" s="44"/>
      <c r="KTA105" s="44"/>
      <c r="KTB105" s="44"/>
      <c r="KTC105" s="44"/>
      <c r="KTD105" s="44"/>
      <c r="KTE105" s="44"/>
      <c r="KTF105" s="44"/>
      <c r="KTG105" s="44"/>
      <c r="KTH105" s="44"/>
      <c r="KTI105" s="44"/>
      <c r="KTJ105" s="44"/>
      <c r="KTK105" s="44"/>
      <c r="KTL105" s="44"/>
      <c r="KTM105" s="44"/>
      <c r="KTN105" s="44"/>
      <c r="KTO105" s="44"/>
      <c r="KTP105" s="44"/>
      <c r="KTQ105" s="44"/>
      <c r="KTR105" s="44"/>
      <c r="KTS105" s="44"/>
      <c r="KTT105" s="44"/>
      <c r="KTU105" s="44"/>
      <c r="KTV105" s="44"/>
      <c r="KTW105" s="44"/>
      <c r="KTX105" s="44"/>
      <c r="KTY105" s="44"/>
      <c r="KTZ105" s="44"/>
      <c r="KUA105" s="44"/>
      <c r="KUB105" s="44"/>
      <c r="KUC105" s="44"/>
      <c r="KUD105" s="44"/>
      <c r="KUE105" s="44"/>
      <c r="KUF105" s="44"/>
      <c r="KUG105" s="44"/>
      <c r="KUH105" s="44"/>
      <c r="KUI105" s="44"/>
      <c r="KUJ105" s="44"/>
      <c r="KUK105" s="44"/>
      <c r="KUL105" s="44"/>
      <c r="KUM105" s="44"/>
      <c r="KUN105" s="44"/>
      <c r="KUO105" s="44"/>
      <c r="KUP105" s="44"/>
      <c r="KUQ105" s="44"/>
      <c r="KUR105" s="44"/>
      <c r="KUS105" s="44"/>
      <c r="KUT105" s="44"/>
      <c r="KUU105" s="44"/>
      <c r="KUV105" s="44"/>
      <c r="KUW105" s="44"/>
      <c r="KUX105" s="44"/>
      <c r="KUY105" s="44"/>
      <c r="KUZ105" s="44"/>
      <c r="KVA105" s="44"/>
      <c r="KVB105" s="44"/>
      <c r="KVC105" s="44"/>
      <c r="KVD105" s="44"/>
      <c r="KVE105" s="44"/>
      <c r="KVF105" s="44"/>
      <c r="KVG105" s="44"/>
      <c r="KVH105" s="44"/>
      <c r="KVI105" s="44"/>
      <c r="KVJ105" s="44"/>
      <c r="KVK105" s="44"/>
      <c r="KVL105" s="44"/>
      <c r="KVM105" s="44"/>
      <c r="KVN105" s="44"/>
      <c r="KVO105" s="44"/>
      <c r="KVP105" s="44"/>
      <c r="KVQ105" s="44"/>
      <c r="KVR105" s="44"/>
      <c r="KVS105" s="44"/>
      <c r="KVT105" s="44"/>
      <c r="KVU105" s="44"/>
      <c r="KVV105" s="44"/>
      <c r="KVW105" s="44"/>
      <c r="KVX105" s="44"/>
      <c r="KVY105" s="44"/>
      <c r="KVZ105" s="44"/>
      <c r="KWA105" s="44"/>
      <c r="KWB105" s="44"/>
      <c r="KWC105" s="44"/>
      <c r="KWD105" s="44"/>
      <c r="KWE105" s="44"/>
      <c r="KWF105" s="44"/>
      <c r="KWG105" s="44"/>
      <c r="KWH105" s="44"/>
      <c r="KWI105" s="44"/>
      <c r="KWJ105" s="44"/>
      <c r="KWK105" s="44"/>
      <c r="KWL105" s="44"/>
      <c r="KWM105" s="44"/>
      <c r="KWN105" s="44"/>
      <c r="KWO105" s="44"/>
      <c r="KWP105" s="44"/>
      <c r="KWQ105" s="44"/>
      <c r="KWR105" s="44"/>
      <c r="KWS105" s="44"/>
      <c r="KWT105" s="44"/>
      <c r="KWU105" s="44"/>
      <c r="KWV105" s="44"/>
      <c r="KWW105" s="44"/>
      <c r="KWX105" s="44"/>
      <c r="KWY105" s="44"/>
      <c r="KWZ105" s="44"/>
      <c r="KXA105" s="44"/>
      <c r="KXB105" s="44"/>
      <c r="KXC105" s="44"/>
      <c r="KXD105" s="44"/>
      <c r="KXE105" s="44"/>
      <c r="KXF105" s="44"/>
      <c r="KXG105" s="44"/>
      <c r="KXH105" s="44"/>
      <c r="KXI105" s="44"/>
      <c r="KXJ105" s="44"/>
      <c r="KXK105" s="44"/>
      <c r="KXL105" s="44"/>
      <c r="KXM105" s="44"/>
      <c r="KXN105" s="44"/>
      <c r="KXO105" s="44"/>
      <c r="KXP105" s="44"/>
      <c r="KXQ105" s="44"/>
      <c r="KXR105" s="44"/>
      <c r="KXS105" s="44"/>
      <c r="KXT105" s="44"/>
      <c r="KXU105" s="44"/>
      <c r="KXV105" s="44"/>
      <c r="KXW105" s="44"/>
      <c r="KXX105" s="44"/>
      <c r="KXY105" s="44"/>
      <c r="KXZ105" s="44"/>
      <c r="KYA105" s="44"/>
      <c r="KYB105" s="44"/>
      <c r="KYC105" s="44"/>
      <c r="KYD105" s="44"/>
      <c r="KYE105" s="44"/>
      <c r="KYF105" s="44"/>
      <c r="KYG105" s="44"/>
      <c r="KYH105" s="44"/>
      <c r="KYI105" s="44"/>
      <c r="KYJ105" s="44"/>
      <c r="KYK105" s="44"/>
      <c r="KYL105" s="44"/>
      <c r="KYM105" s="44"/>
      <c r="KYN105" s="44"/>
      <c r="KYO105" s="44"/>
      <c r="KYP105" s="44"/>
      <c r="KYQ105" s="44"/>
      <c r="KYR105" s="44"/>
      <c r="KYS105" s="44"/>
      <c r="KYT105" s="44"/>
      <c r="KYU105" s="44"/>
      <c r="KYV105" s="44"/>
      <c r="KYW105" s="44"/>
      <c r="KYX105" s="44"/>
      <c r="KYY105" s="44"/>
      <c r="KYZ105" s="44"/>
      <c r="KZA105" s="44"/>
      <c r="KZB105" s="44"/>
      <c r="KZC105" s="44"/>
      <c r="KZD105" s="44"/>
      <c r="KZE105" s="44"/>
      <c r="KZF105" s="44"/>
      <c r="KZG105" s="44"/>
      <c r="KZH105" s="44"/>
      <c r="KZI105" s="44"/>
      <c r="KZJ105" s="44"/>
      <c r="KZK105" s="44"/>
      <c r="KZL105" s="44"/>
      <c r="KZM105" s="44"/>
      <c r="KZN105" s="44"/>
      <c r="KZO105" s="44"/>
      <c r="KZP105" s="44"/>
      <c r="KZQ105" s="44"/>
      <c r="KZR105" s="44"/>
      <c r="KZS105" s="44"/>
      <c r="KZT105" s="44"/>
      <c r="KZU105" s="44"/>
      <c r="KZV105" s="44"/>
      <c r="KZW105" s="44"/>
      <c r="KZX105" s="44"/>
      <c r="KZY105" s="44"/>
      <c r="KZZ105" s="44"/>
      <c r="LAA105" s="44"/>
      <c r="LAB105" s="44"/>
      <c r="LAC105" s="44"/>
      <c r="LAD105" s="44"/>
      <c r="LAE105" s="44"/>
      <c r="LAF105" s="44"/>
      <c r="LAG105" s="44"/>
      <c r="LAH105" s="44"/>
      <c r="LAI105" s="44"/>
      <c r="LAJ105" s="44"/>
      <c r="LAK105" s="44"/>
      <c r="LAL105" s="44"/>
      <c r="LAM105" s="44"/>
      <c r="LAN105" s="44"/>
      <c r="LAO105" s="44"/>
      <c r="LAP105" s="44"/>
      <c r="LAQ105" s="44"/>
      <c r="LAR105" s="44"/>
      <c r="LAS105" s="44"/>
      <c r="LAT105" s="44"/>
      <c r="LAU105" s="44"/>
      <c r="LAV105" s="44"/>
      <c r="LAW105" s="44"/>
      <c r="LAX105" s="44"/>
      <c r="LAY105" s="44"/>
      <c r="LAZ105" s="44"/>
      <c r="LBA105" s="44"/>
      <c r="LBB105" s="44"/>
      <c r="LBC105" s="44"/>
      <c r="LBD105" s="44"/>
      <c r="LBE105" s="44"/>
      <c r="LBF105" s="44"/>
      <c r="LBG105" s="44"/>
      <c r="LBH105" s="44"/>
      <c r="LBI105" s="44"/>
      <c r="LBJ105" s="44"/>
      <c r="LBK105" s="44"/>
      <c r="LBL105" s="44"/>
      <c r="LBM105" s="44"/>
      <c r="LBN105" s="44"/>
      <c r="LBO105" s="44"/>
      <c r="LBP105" s="44"/>
      <c r="LBQ105" s="44"/>
      <c r="LBR105" s="44"/>
      <c r="LBS105" s="44"/>
      <c r="LBT105" s="44"/>
      <c r="LBU105" s="44"/>
      <c r="LBV105" s="44"/>
      <c r="LBW105" s="44"/>
      <c r="LBX105" s="44"/>
      <c r="LBY105" s="44"/>
      <c r="LBZ105" s="44"/>
      <c r="LCA105" s="44"/>
      <c r="LCB105" s="44"/>
      <c r="LCC105" s="44"/>
      <c r="LCD105" s="44"/>
      <c r="LCE105" s="44"/>
      <c r="LCF105" s="44"/>
      <c r="LCG105" s="44"/>
      <c r="LCH105" s="44"/>
      <c r="LCI105" s="44"/>
      <c r="LCJ105" s="44"/>
      <c r="LCK105" s="44"/>
      <c r="LCL105" s="44"/>
      <c r="LCM105" s="44"/>
      <c r="LCN105" s="44"/>
      <c r="LCO105" s="44"/>
      <c r="LCP105" s="44"/>
      <c r="LCQ105" s="44"/>
      <c r="LCR105" s="44"/>
      <c r="LCS105" s="44"/>
      <c r="LCT105" s="44"/>
      <c r="LCU105" s="44"/>
      <c r="LCV105" s="44"/>
      <c r="LCW105" s="44"/>
      <c r="LCX105" s="44"/>
      <c r="LCY105" s="44"/>
      <c r="LCZ105" s="44"/>
      <c r="LDA105" s="44"/>
      <c r="LDB105" s="44"/>
      <c r="LDC105" s="44"/>
      <c r="LDD105" s="44"/>
      <c r="LDE105" s="44"/>
      <c r="LDF105" s="44"/>
      <c r="LDG105" s="44"/>
      <c r="LDH105" s="44"/>
      <c r="LDI105" s="44"/>
      <c r="LDJ105" s="44"/>
      <c r="LDK105" s="44"/>
      <c r="LDL105" s="44"/>
      <c r="LDM105" s="44"/>
      <c r="LDN105" s="44"/>
      <c r="LDO105" s="44"/>
      <c r="LDP105" s="44"/>
      <c r="LDQ105" s="44"/>
      <c r="LDR105" s="44"/>
      <c r="LDS105" s="44"/>
      <c r="LDT105" s="44"/>
      <c r="LDU105" s="44"/>
      <c r="LDV105" s="44"/>
      <c r="LDW105" s="44"/>
      <c r="LDX105" s="44"/>
      <c r="LDY105" s="44"/>
      <c r="LDZ105" s="44"/>
      <c r="LEA105" s="44"/>
      <c r="LEB105" s="44"/>
      <c r="LEC105" s="44"/>
      <c r="LED105" s="44"/>
      <c r="LEE105" s="44"/>
      <c r="LEF105" s="44"/>
      <c r="LEG105" s="44"/>
      <c r="LEH105" s="44"/>
      <c r="LEI105" s="44"/>
      <c r="LEJ105" s="44"/>
      <c r="LEK105" s="44"/>
      <c r="LEL105" s="44"/>
      <c r="LEM105" s="44"/>
      <c r="LEN105" s="44"/>
      <c r="LEO105" s="44"/>
      <c r="LEP105" s="44"/>
      <c r="LEQ105" s="44"/>
      <c r="LER105" s="44"/>
      <c r="LES105" s="44"/>
      <c r="LET105" s="44"/>
      <c r="LEU105" s="44"/>
      <c r="LEV105" s="44"/>
      <c r="LEW105" s="44"/>
      <c r="LEX105" s="44"/>
      <c r="LEY105" s="44"/>
      <c r="LEZ105" s="44"/>
      <c r="LFA105" s="44"/>
      <c r="LFB105" s="44"/>
      <c r="LFC105" s="44"/>
      <c r="LFD105" s="44"/>
      <c r="LFE105" s="44"/>
      <c r="LFF105" s="44"/>
      <c r="LFG105" s="44"/>
      <c r="LFH105" s="44"/>
      <c r="LFI105" s="44"/>
      <c r="LFJ105" s="44"/>
      <c r="LFK105" s="44"/>
      <c r="LFL105" s="44"/>
      <c r="LFM105" s="44"/>
      <c r="LFN105" s="44"/>
      <c r="LFO105" s="44"/>
      <c r="LFP105" s="44"/>
      <c r="LFQ105" s="44"/>
      <c r="LFR105" s="44"/>
      <c r="LFS105" s="44"/>
      <c r="LFT105" s="44"/>
      <c r="LFU105" s="44"/>
      <c r="LFV105" s="44"/>
      <c r="LFW105" s="44"/>
      <c r="LFX105" s="44"/>
      <c r="LFY105" s="44"/>
      <c r="LFZ105" s="44"/>
      <c r="LGA105" s="44"/>
      <c r="LGB105" s="44"/>
      <c r="LGC105" s="44"/>
      <c r="LGD105" s="44"/>
      <c r="LGE105" s="44"/>
      <c r="LGF105" s="44"/>
      <c r="LGG105" s="44"/>
      <c r="LGH105" s="44"/>
      <c r="LGI105" s="44"/>
      <c r="LGJ105" s="44"/>
      <c r="LGK105" s="44"/>
      <c r="LGL105" s="44"/>
      <c r="LGM105" s="44"/>
      <c r="LGN105" s="44"/>
      <c r="LGO105" s="44"/>
      <c r="LGP105" s="44"/>
      <c r="LGQ105" s="44"/>
      <c r="LGR105" s="44"/>
      <c r="LGS105" s="44"/>
      <c r="LGT105" s="44"/>
      <c r="LGU105" s="44"/>
      <c r="LGV105" s="44"/>
      <c r="LGW105" s="44"/>
      <c r="LGX105" s="44"/>
      <c r="LGY105" s="44"/>
      <c r="LGZ105" s="44"/>
      <c r="LHA105" s="44"/>
      <c r="LHB105" s="44"/>
      <c r="LHC105" s="44"/>
      <c r="LHD105" s="44"/>
      <c r="LHE105" s="44"/>
      <c r="LHF105" s="44"/>
      <c r="LHG105" s="44"/>
      <c r="LHH105" s="44"/>
      <c r="LHI105" s="44"/>
      <c r="LHJ105" s="44"/>
      <c r="LHK105" s="44"/>
      <c r="LHL105" s="44"/>
      <c r="LHM105" s="44"/>
      <c r="LHN105" s="44"/>
      <c r="LHO105" s="44"/>
      <c r="LHP105" s="44"/>
      <c r="LHQ105" s="44"/>
      <c r="LHR105" s="44"/>
      <c r="LHS105" s="44"/>
      <c r="LHT105" s="44"/>
      <c r="LHU105" s="44"/>
      <c r="LHV105" s="44"/>
      <c r="LHW105" s="44"/>
      <c r="LHX105" s="44"/>
      <c r="LHY105" s="44"/>
      <c r="LHZ105" s="44"/>
      <c r="LIA105" s="44"/>
      <c r="LIB105" s="44"/>
      <c r="LIC105" s="44"/>
      <c r="LID105" s="44"/>
      <c r="LIE105" s="44"/>
      <c r="LIF105" s="44"/>
      <c r="LIG105" s="44"/>
      <c r="LIH105" s="44"/>
      <c r="LII105" s="44"/>
      <c r="LIJ105" s="44"/>
      <c r="LIK105" s="44"/>
      <c r="LIL105" s="44"/>
      <c r="LIM105" s="44"/>
      <c r="LIN105" s="44"/>
      <c r="LIO105" s="44"/>
      <c r="LIP105" s="44"/>
      <c r="LIQ105" s="44"/>
      <c r="LIR105" s="44"/>
      <c r="LIS105" s="44"/>
      <c r="LIT105" s="44"/>
      <c r="LIU105" s="44"/>
      <c r="LIV105" s="44"/>
      <c r="LIW105" s="44"/>
      <c r="LIX105" s="44"/>
      <c r="LIY105" s="44"/>
      <c r="LIZ105" s="44"/>
      <c r="LJA105" s="44"/>
      <c r="LJB105" s="44"/>
      <c r="LJC105" s="44"/>
      <c r="LJD105" s="44"/>
      <c r="LJE105" s="44"/>
      <c r="LJF105" s="44"/>
      <c r="LJG105" s="44"/>
      <c r="LJH105" s="44"/>
      <c r="LJI105" s="44"/>
      <c r="LJJ105" s="44"/>
      <c r="LJK105" s="44"/>
      <c r="LJL105" s="44"/>
      <c r="LJM105" s="44"/>
      <c r="LJN105" s="44"/>
      <c r="LJO105" s="44"/>
      <c r="LJP105" s="44"/>
      <c r="LJQ105" s="44"/>
      <c r="LJR105" s="44"/>
      <c r="LJS105" s="44"/>
      <c r="LJT105" s="44"/>
      <c r="LJU105" s="44"/>
      <c r="LJV105" s="44"/>
      <c r="LJW105" s="44"/>
      <c r="LJX105" s="44"/>
      <c r="LJY105" s="44"/>
      <c r="LJZ105" s="44"/>
      <c r="LKA105" s="44"/>
      <c r="LKB105" s="44"/>
      <c r="LKC105" s="44"/>
      <c r="LKD105" s="44"/>
      <c r="LKE105" s="44"/>
      <c r="LKF105" s="44"/>
      <c r="LKG105" s="44"/>
      <c r="LKH105" s="44"/>
      <c r="LKI105" s="44"/>
      <c r="LKJ105" s="44"/>
      <c r="LKK105" s="44"/>
      <c r="LKL105" s="44"/>
      <c r="LKM105" s="44"/>
      <c r="LKN105" s="44"/>
      <c r="LKO105" s="44"/>
      <c r="LKP105" s="44"/>
      <c r="LKQ105" s="44"/>
      <c r="LKR105" s="44"/>
      <c r="LKS105" s="44"/>
      <c r="LKT105" s="44"/>
      <c r="LKU105" s="44"/>
      <c r="LKV105" s="44"/>
      <c r="LKW105" s="44"/>
      <c r="LKX105" s="44"/>
      <c r="LKY105" s="44"/>
      <c r="LKZ105" s="44"/>
      <c r="LLA105" s="44"/>
      <c r="LLB105" s="44"/>
      <c r="LLC105" s="44"/>
      <c r="LLD105" s="44"/>
      <c r="LLE105" s="44"/>
      <c r="LLF105" s="44"/>
      <c r="LLG105" s="44"/>
      <c r="LLH105" s="44"/>
      <c r="LLI105" s="44"/>
      <c r="LLJ105" s="44"/>
      <c r="LLK105" s="44"/>
      <c r="LLL105" s="44"/>
      <c r="LLM105" s="44"/>
      <c r="LLN105" s="44"/>
      <c r="LLO105" s="44"/>
      <c r="LLP105" s="44"/>
      <c r="LLQ105" s="44"/>
      <c r="LLR105" s="44"/>
      <c r="LLS105" s="44"/>
      <c r="LLT105" s="44"/>
      <c r="LLU105" s="44"/>
      <c r="LLV105" s="44"/>
      <c r="LLW105" s="44"/>
      <c r="LLX105" s="44"/>
      <c r="LLY105" s="44"/>
      <c r="LLZ105" s="44"/>
      <c r="LMA105" s="44"/>
      <c r="LMB105" s="44"/>
      <c r="LMC105" s="44"/>
      <c r="LMD105" s="44"/>
      <c r="LME105" s="44"/>
      <c r="LMF105" s="44"/>
      <c r="LMG105" s="44"/>
      <c r="LMH105" s="44"/>
      <c r="LMI105" s="44"/>
      <c r="LMJ105" s="44"/>
      <c r="LMK105" s="44"/>
      <c r="LML105" s="44"/>
      <c r="LMM105" s="44"/>
      <c r="LMN105" s="44"/>
      <c r="LMO105" s="44"/>
      <c r="LMP105" s="44"/>
      <c r="LMQ105" s="44"/>
      <c r="LMR105" s="44"/>
      <c r="LMS105" s="44"/>
      <c r="LMT105" s="44"/>
      <c r="LMU105" s="44"/>
      <c r="LMV105" s="44"/>
      <c r="LMW105" s="44"/>
      <c r="LMX105" s="44"/>
      <c r="LMY105" s="44"/>
      <c r="LMZ105" s="44"/>
      <c r="LNA105" s="44"/>
      <c r="LNB105" s="44"/>
      <c r="LNC105" s="44"/>
      <c r="LND105" s="44"/>
      <c r="LNE105" s="44"/>
      <c r="LNF105" s="44"/>
      <c r="LNG105" s="44"/>
      <c r="LNH105" s="44"/>
      <c r="LNI105" s="44"/>
      <c r="LNJ105" s="44"/>
      <c r="LNK105" s="44"/>
      <c r="LNL105" s="44"/>
      <c r="LNM105" s="44"/>
      <c r="LNN105" s="44"/>
      <c r="LNO105" s="44"/>
      <c r="LNP105" s="44"/>
      <c r="LNQ105" s="44"/>
      <c r="LNR105" s="44"/>
      <c r="LNS105" s="44"/>
      <c r="LNT105" s="44"/>
      <c r="LNU105" s="44"/>
      <c r="LNV105" s="44"/>
      <c r="LNW105" s="44"/>
      <c r="LNX105" s="44"/>
      <c r="LNY105" s="44"/>
      <c r="LNZ105" s="44"/>
      <c r="LOA105" s="44"/>
      <c r="LOB105" s="44"/>
      <c r="LOC105" s="44"/>
      <c r="LOD105" s="44"/>
      <c r="LOE105" s="44"/>
      <c r="LOF105" s="44"/>
      <c r="LOG105" s="44"/>
      <c r="LOH105" s="44"/>
      <c r="LOI105" s="44"/>
      <c r="LOJ105" s="44"/>
      <c r="LOK105" s="44"/>
      <c r="LOL105" s="44"/>
      <c r="LOM105" s="44"/>
      <c r="LON105" s="44"/>
      <c r="LOO105" s="44"/>
      <c r="LOP105" s="44"/>
      <c r="LOQ105" s="44"/>
      <c r="LOR105" s="44"/>
      <c r="LOS105" s="44"/>
      <c r="LOT105" s="44"/>
      <c r="LOU105" s="44"/>
      <c r="LOV105" s="44"/>
      <c r="LOW105" s="44"/>
      <c r="LOX105" s="44"/>
      <c r="LOY105" s="44"/>
      <c r="LOZ105" s="44"/>
      <c r="LPA105" s="44"/>
      <c r="LPB105" s="44"/>
      <c r="LPC105" s="44"/>
      <c r="LPD105" s="44"/>
      <c r="LPE105" s="44"/>
      <c r="LPF105" s="44"/>
      <c r="LPG105" s="44"/>
      <c r="LPH105" s="44"/>
      <c r="LPI105" s="44"/>
      <c r="LPJ105" s="44"/>
      <c r="LPK105" s="44"/>
      <c r="LPL105" s="44"/>
      <c r="LPM105" s="44"/>
      <c r="LPN105" s="44"/>
      <c r="LPO105" s="44"/>
      <c r="LPP105" s="44"/>
      <c r="LPQ105" s="44"/>
      <c r="LPR105" s="44"/>
      <c r="LPS105" s="44"/>
      <c r="LPT105" s="44"/>
      <c r="LPU105" s="44"/>
      <c r="LPV105" s="44"/>
      <c r="LPW105" s="44"/>
      <c r="LPX105" s="44"/>
      <c r="LPY105" s="44"/>
      <c r="LPZ105" s="44"/>
      <c r="LQA105" s="44"/>
      <c r="LQB105" s="44"/>
      <c r="LQC105" s="44"/>
      <c r="LQD105" s="44"/>
      <c r="LQE105" s="44"/>
      <c r="LQF105" s="44"/>
      <c r="LQG105" s="44"/>
      <c r="LQH105" s="44"/>
      <c r="LQI105" s="44"/>
      <c r="LQJ105" s="44"/>
      <c r="LQK105" s="44"/>
      <c r="LQL105" s="44"/>
      <c r="LQM105" s="44"/>
      <c r="LQN105" s="44"/>
      <c r="LQO105" s="44"/>
      <c r="LQP105" s="44"/>
      <c r="LQQ105" s="44"/>
      <c r="LQR105" s="44"/>
      <c r="LQS105" s="44"/>
      <c r="LQT105" s="44"/>
      <c r="LQU105" s="44"/>
      <c r="LQV105" s="44"/>
      <c r="LQW105" s="44"/>
      <c r="LQX105" s="44"/>
      <c r="LQY105" s="44"/>
      <c r="LQZ105" s="44"/>
      <c r="LRA105" s="44"/>
      <c r="LRB105" s="44"/>
      <c r="LRC105" s="44"/>
      <c r="LRD105" s="44"/>
      <c r="LRE105" s="44"/>
      <c r="LRF105" s="44"/>
      <c r="LRG105" s="44"/>
      <c r="LRH105" s="44"/>
      <c r="LRI105" s="44"/>
      <c r="LRJ105" s="44"/>
      <c r="LRK105" s="44"/>
      <c r="LRL105" s="44"/>
      <c r="LRM105" s="44"/>
      <c r="LRN105" s="44"/>
      <c r="LRO105" s="44"/>
      <c r="LRP105" s="44"/>
      <c r="LRQ105" s="44"/>
      <c r="LRR105" s="44"/>
      <c r="LRS105" s="44"/>
      <c r="LRT105" s="44"/>
      <c r="LRU105" s="44"/>
      <c r="LRV105" s="44"/>
      <c r="LRW105" s="44"/>
      <c r="LRX105" s="44"/>
      <c r="LRY105" s="44"/>
      <c r="LRZ105" s="44"/>
      <c r="LSA105" s="44"/>
      <c r="LSB105" s="44"/>
      <c r="LSC105" s="44"/>
      <c r="LSD105" s="44"/>
      <c r="LSE105" s="44"/>
      <c r="LSF105" s="44"/>
      <c r="LSG105" s="44"/>
      <c r="LSH105" s="44"/>
      <c r="LSI105" s="44"/>
      <c r="LSJ105" s="44"/>
      <c r="LSK105" s="44"/>
      <c r="LSL105" s="44"/>
      <c r="LSM105" s="44"/>
      <c r="LSN105" s="44"/>
      <c r="LSO105" s="44"/>
      <c r="LSP105" s="44"/>
      <c r="LSQ105" s="44"/>
      <c r="LSR105" s="44"/>
      <c r="LSS105" s="44"/>
      <c r="LST105" s="44"/>
      <c r="LSU105" s="44"/>
      <c r="LSV105" s="44"/>
      <c r="LSW105" s="44"/>
      <c r="LSX105" s="44"/>
      <c r="LSY105" s="44"/>
      <c r="LSZ105" s="44"/>
      <c r="LTA105" s="44"/>
      <c r="LTB105" s="44"/>
      <c r="LTC105" s="44"/>
      <c r="LTD105" s="44"/>
      <c r="LTE105" s="44"/>
      <c r="LTF105" s="44"/>
      <c r="LTG105" s="44"/>
      <c r="LTH105" s="44"/>
      <c r="LTI105" s="44"/>
      <c r="LTJ105" s="44"/>
      <c r="LTK105" s="44"/>
      <c r="LTL105" s="44"/>
      <c r="LTM105" s="44"/>
      <c r="LTN105" s="44"/>
      <c r="LTO105" s="44"/>
      <c r="LTP105" s="44"/>
      <c r="LTQ105" s="44"/>
      <c r="LTR105" s="44"/>
      <c r="LTS105" s="44"/>
      <c r="LTT105" s="44"/>
      <c r="LTU105" s="44"/>
      <c r="LTV105" s="44"/>
      <c r="LTW105" s="44"/>
      <c r="LTX105" s="44"/>
      <c r="LTY105" s="44"/>
      <c r="LTZ105" s="44"/>
      <c r="LUA105" s="44"/>
      <c r="LUB105" s="44"/>
      <c r="LUC105" s="44"/>
      <c r="LUD105" s="44"/>
      <c r="LUE105" s="44"/>
      <c r="LUF105" s="44"/>
      <c r="LUG105" s="44"/>
      <c r="LUH105" s="44"/>
      <c r="LUI105" s="44"/>
      <c r="LUJ105" s="44"/>
      <c r="LUK105" s="44"/>
      <c r="LUL105" s="44"/>
      <c r="LUM105" s="44"/>
      <c r="LUN105" s="44"/>
      <c r="LUO105" s="44"/>
      <c r="LUP105" s="44"/>
      <c r="LUQ105" s="44"/>
      <c r="LUR105" s="44"/>
      <c r="LUS105" s="44"/>
      <c r="LUT105" s="44"/>
      <c r="LUU105" s="44"/>
      <c r="LUV105" s="44"/>
      <c r="LUW105" s="44"/>
      <c r="LUX105" s="44"/>
      <c r="LUY105" s="44"/>
      <c r="LUZ105" s="44"/>
      <c r="LVA105" s="44"/>
      <c r="LVB105" s="44"/>
      <c r="LVC105" s="44"/>
      <c r="LVD105" s="44"/>
      <c r="LVE105" s="44"/>
      <c r="LVF105" s="44"/>
      <c r="LVG105" s="44"/>
      <c r="LVH105" s="44"/>
      <c r="LVI105" s="44"/>
      <c r="LVJ105" s="44"/>
      <c r="LVK105" s="44"/>
      <c r="LVL105" s="44"/>
      <c r="LVM105" s="44"/>
      <c r="LVN105" s="44"/>
      <c r="LVO105" s="44"/>
      <c r="LVP105" s="44"/>
      <c r="LVQ105" s="44"/>
      <c r="LVR105" s="44"/>
      <c r="LVS105" s="44"/>
      <c r="LVT105" s="44"/>
      <c r="LVU105" s="44"/>
      <c r="LVV105" s="44"/>
      <c r="LVW105" s="44"/>
      <c r="LVX105" s="44"/>
      <c r="LVY105" s="44"/>
      <c r="LVZ105" s="44"/>
      <c r="LWA105" s="44"/>
      <c r="LWB105" s="44"/>
      <c r="LWC105" s="44"/>
      <c r="LWD105" s="44"/>
      <c r="LWE105" s="44"/>
      <c r="LWF105" s="44"/>
      <c r="LWG105" s="44"/>
      <c r="LWH105" s="44"/>
      <c r="LWI105" s="44"/>
      <c r="LWJ105" s="44"/>
      <c r="LWK105" s="44"/>
      <c r="LWL105" s="44"/>
      <c r="LWM105" s="44"/>
      <c r="LWN105" s="44"/>
      <c r="LWO105" s="44"/>
      <c r="LWP105" s="44"/>
      <c r="LWQ105" s="44"/>
      <c r="LWR105" s="44"/>
      <c r="LWS105" s="44"/>
      <c r="LWT105" s="44"/>
      <c r="LWU105" s="44"/>
      <c r="LWV105" s="44"/>
      <c r="LWW105" s="44"/>
      <c r="LWX105" s="44"/>
      <c r="LWY105" s="44"/>
      <c r="LWZ105" s="44"/>
      <c r="LXA105" s="44"/>
      <c r="LXB105" s="44"/>
      <c r="LXC105" s="44"/>
      <c r="LXD105" s="44"/>
      <c r="LXE105" s="44"/>
      <c r="LXF105" s="44"/>
      <c r="LXG105" s="44"/>
      <c r="LXH105" s="44"/>
      <c r="LXI105" s="44"/>
      <c r="LXJ105" s="44"/>
      <c r="LXK105" s="44"/>
      <c r="LXL105" s="44"/>
      <c r="LXM105" s="44"/>
      <c r="LXN105" s="44"/>
      <c r="LXO105" s="44"/>
      <c r="LXP105" s="44"/>
      <c r="LXQ105" s="44"/>
      <c r="LXR105" s="44"/>
      <c r="LXS105" s="44"/>
      <c r="LXT105" s="44"/>
      <c r="LXU105" s="44"/>
      <c r="LXV105" s="44"/>
      <c r="LXW105" s="44"/>
      <c r="LXX105" s="44"/>
      <c r="LXY105" s="44"/>
      <c r="LXZ105" s="44"/>
      <c r="LYA105" s="44"/>
      <c r="LYB105" s="44"/>
      <c r="LYC105" s="44"/>
      <c r="LYD105" s="44"/>
      <c r="LYE105" s="44"/>
      <c r="LYF105" s="44"/>
      <c r="LYG105" s="44"/>
      <c r="LYH105" s="44"/>
      <c r="LYI105" s="44"/>
      <c r="LYJ105" s="44"/>
      <c r="LYK105" s="44"/>
      <c r="LYL105" s="44"/>
      <c r="LYM105" s="44"/>
      <c r="LYN105" s="44"/>
      <c r="LYO105" s="44"/>
      <c r="LYP105" s="44"/>
      <c r="LYQ105" s="44"/>
      <c r="LYR105" s="44"/>
      <c r="LYS105" s="44"/>
      <c r="LYT105" s="44"/>
      <c r="LYU105" s="44"/>
      <c r="LYV105" s="44"/>
      <c r="LYW105" s="44"/>
      <c r="LYX105" s="44"/>
      <c r="LYY105" s="44"/>
      <c r="LYZ105" s="44"/>
      <c r="LZA105" s="44"/>
      <c r="LZB105" s="44"/>
      <c r="LZC105" s="44"/>
      <c r="LZD105" s="44"/>
      <c r="LZE105" s="44"/>
      <c r="LZF105" s="44"/>
      <c r="LZG105" s="44"/>
      <c r="LZH105" s="44"/>
      <c r="LZI105" s="44"/>
      <c r="LZJ105" s="44"/>
      <c r="LZK105" s="44"/>
      <c r="LZL105" s="44"/>
      <c r="LZM105" s="44"/>
      <c r="LZN105" s="44"/>
      <c r="LZO105" s="44"/>
      <c r="LZP105" s="44"/>
      <c r="LZQ105" s="44"/>
      <c r="LZR105" s="44"/>
      <c r="LZS105" s="44"/>
      <c r="LZT105" s="44"/>
      <c r="LZU105" s="44"/>
      <c r="LZV105" s="44"/>
      <c r="LZW105" s="44"/>
      <c r="LZX105" s="44"/>
      <c r="LZY105" s="44"/>
      <c r="LZZ105" s="44"/>
      <c r="MAA105" s="44"/>
      <c r="MAB105" s="44"/>
      <c r="MAC105" s="44"/>
      <c r="MAD105" s="44"/>
      <c r="MAE105" s="44"/>
      <c r="MAF105" s="44"/>
      <c r="MAG105" s="44"/>
      <c r="MAH105" s="44"/>
      <c r="MAI105" s="44"/>
      <c r="MAJ105" s="44"/>
      <c r="MAK105" s="44"/>
      <c r="MAL105" s="44"/>
      <c r="MAM105" s="44"/>
      <c r="MAN105" s="44"/>
      <c r="MAO105" s="44"/>
      <c r="MAP105" s="44"/>
      <c r="MAQ105" s="44"/>
      <c r="MAR105" s="44"/>
      <c r="MAS105" s="44"/>
      <c r="MAT105" s="44"/>
      <c r="MAU105" s="44"/>
      <c r="MAV105" s="44"/>
      <c r="MAW105" s="44"/>
      <c r="MAX105" s="44"/>
      <c r="MAY105" s="44"/>
      <c r="MAZ105" s="44"/>
      <c r="MBA105" s="44"/>
      <c r="MBB105" s="44"/>
      <c r="MBC105" s="44"/>
      <c r="MBD105" s="44"/>
      <c r="MBE105" s="44"/>
      <c r="MBF105" s="44"/>
      <c r="MBG105" s="44"/>
      <c r="MBH105" s="44"/>
      <c r="MBI105" s="44"/>
      <c r="MBJ105" s="44"/>
      <c r="MBK105" s="44"/>
      <c r="MBL105" s="44"/>
      <c r="MBM105" s="44"/>
      <c r="MBN105" s="44"/>
      <c r="MBO105" s="44"/>
      <c r="MBP105" s="44"/>
      <c r="MBQ105" s="44"/>
      <c r="MBR105" s="44"/>
      <c r="MBS105" s="44"/>
      <c r="MBT105" s="44"/>
      <c r="MBU105" s="44"/>
      <c r="MBV105" s="44"/>
      <c r="MBW105" s="44"/>
      <c r="MBX105" s="44"/>
      <c r="MBY105" s="44"/>
      <c r="MBZ105" s="44"/>
      <c r="MCA105" s="44"/>
      <c r="MCB105" s="44"/>
      <c r="MCC105" s="44"/>
      <c r="MCD105" s="44"/>
      <c r="MCE105" s="44"/>
      <c r="MCF105" s="44"/>
      <c r="MCG105" s="44"/>
      <c r="MCH105" s="44"/>
      <c r="MCI105" s="44"/>
      <c r="MCJ105" s="44"/>
      <c r="MCK105" s="44"/>
      <c r="MCL105" s="44"/>
      <c r="MCM105" s="44"/>
      <c r="MCN105" s="44"/>
      <c r="MCO105" s="44"/>
      <c r="MCP105" s="44"/>
      <c r="MCQ105" s="44"/>
      <c r="MCR105" s="44"/>
      <c r="MCS105" s="44"/>
      <c r="MCT105" s="44"/>
      <c r="MCU105" s="44"/>
      <c r="MCV105" s="44"/>
      <c r="MCW105" s="44"/>
      <c r="MCX105" s="44"/>
      <c r="MCY105" s="44"/>
      <c r="MCZ105" s="44"/>
      <c r="MDA105" s="44"/>
      <c r="MDB105" s="44"/>
      <c r="MDC105" s="44"/>
      <c r="MDD105" s="44"/>
      <c r="MDE105" s="44"/>
      <c r="MDF105" s="44"/>
      <c r="MDG105" s="44"/>
      <c r="MDH105" s="44"/>
      <c r="MDI105" s="44"/>
      <c r="MDJ105" s="44"/>
      <c r="MDK105" s="44"/>
      <c r="MDL105" s="44"/>
      <c r="MDM105" s="44"/>
      <c r="MDN105" s="44"/>
      <c r="MDO105" s="44"/>
      <c r="MDP105" s="44"/>
      <c r="MDQ105" s="44"/>
      <c r="MDR105" s="44"/>
      <c r="MDS105" s="44"/>
      <c r="MDT105" s="44"/>
      <c r="MDU105" s="44"/>
      <c r="MDV105" s="44"/>
      <c r="MDW105" s="44"/>
      <c r="MDX105" s="44"/>
      <c r="MDY105" s="44"/>
      <c r="MDZ105" s="44"/>
      <c r="MEA105" s="44"/>
      <c r="MEB105" s="44"/>
      <c r="MEC105" s="44"/>
      <c r="MED105" s="44"/>
      <c r="MEE105" s="44"/>
      <c r="MEF105" s="44"/>
      <c r="MEG105" s="44"/>
      <c r="MEH105" s="44"/>
      <c r="MEI105" s="44"/>
      <c r="MEJ105" s="44"/>
      <c r="MEK105" s="44"/>
      <c r="MEL105" s="44"/>
      <c r="MEM105" s="44"/>
      <c r="MEN105" s="44"/>
      <c r="MEO105" s="44"/>
      <c r="MEP105" s="44"/>
      <c r="MEQ105" s="44"/>
      <c r="MER105" s="44"/>
      <c r="MES105" s="44"/>
      <c r="MET105" s="44"/>
      <c r="MEU105" s="44"/>
      <c r="MEV105" s="44"/>
      <c r="MEW105" s="44"/>
      <c r="MEX105" s="44"/>
      <c r="MEY105" s="44"/>
      <c r="MEZ105" s="44"/>
      <c r="MFA105" s="44"/>
      <c r="MFB105" s="44"/>
      <c r="MFC105" s="44"/>
      <c r="MFD105" s="44"/>
      <c r="MFE105" s="44"/>
      <c r="MFF105" s="44"/>
      <c r="MFG105" s="44"/>
      <c r="MFH105" s="44"/>
      <c r="MFI105" s="44"/>
      <c r="MFJ105" s="44"/>
      <c r="MFK105" s="44"/>
      <c r="MFL105" s="44"/>
      <c r="MFM105" s="44"/>
      <c r="MFN105" s="44"/>
      <c r="MFO105" s="44"/>
      <c r="MFP105" s="44"/>
      <c r="MFQ105" s="44"/>
      <c r="MFR105" s="44"/>
      <c r="MFS105" s="44"/>
      <c r="MFT105" s="44"/>
      <c r="MFU105" s="44"/>
      <c r="MFV105" s="44"/>
      <c r="MFW105" s="44"/>
      <c r="MFX105" s="44"/>
      <c r="MFY105" s="44"/>
      <c r="MFZ105" s="44"/>
      <c r="MGA105" s="44"/>
      <c r="MGB105" s="44"/>
      <c r="MGC105" s="44"/>
      <c r="MGD105" s="44"/>
      <c r="MGE105" s="44"/>
      <c r="MGF105" s="44"/>
      <c r="MGG105" s="44"/>
      <c r="MGH105" s="44"/>
      <c r="MGI105" s="44"/>
      <c r="MGJ105" s="44"/>
      <c r="MGK105" s="44"/>
      <c r="MGL105" s="44"/>
      <c r="MGM105" s="44"/>
      <c r="MGN105" s="44"/>
      <c r="MGO105" s="44"/>
      <c r="MGP105" s="44"/>
      <c r="MGQ105" s="44"/>
      <c r="MGR105" s="44"/>
      <c r="MGS105" s="44"/>
      <c r="MGT105" s="44"/>
      <c r="MGU105" s="44"/>
      <c r="MGV105" s="44"/>
      <c r="MGW105" s="44"/>
      <c r="MGX105" s="44"/>
      <c r="MGY105" s="44"/>
      <c r="MGZ105" s="44"/>
      <c r="MHA105" s="44"/>
      <c r="MHB105" s="44"/>
      <c r="MHC105" s="44"/>
      <c r="MHD105" s="44"/>
      <c r="MHE105" s="44"/>
      <c r="MHF105" s="44"/>
      <c r="MHG105" s="44"/>
      <c r="MHH105" s="44"/>
      <c r="MHI105" s="44"/>
      <c r="MHJ105" s="44"/>
      <c r="MHK105" s="44"/>
      <c r="MHL105" s="44"/>
      <c r="MHM105" s="44"/>
      <c r="MHN105" s="44"/>
      <c r="MHO105" s="44"/>
      <c r="MHP105" s="44"/>
      <c r="MHQ105" s="44"/>
      <c r="MHR105" s="44"/>
      <c r="MHS105" s="44"/>
      <c r="MHT105" s="44"/>
      <c r="MHU105" s="44"/>
      <c r="MHV105" s="44"/>
      <c r="MHW105" s="44"/>
      <c r="MHX105" s="44"/>
      <c r="MHY105" s="44"/>
      <c r="MHZ105" s="44"/>
      <c r="MIA105" s="44"/>
      <c r="MIB105" s="44"/>
      <c r="MIC105" s="44"/>
      <c r="MID105" s="44"/>
      <c r="MIE105" s="44"/>
      <c r="MIF105" s="44"/>
      <c r="MIG105" s="44"/>
      <c r="MIH105" s="44"/>
      <c r="MII105" s="44"/>
      <c r="MIJ105" s="44"/>
      <c r="MIK105" s="44"/>
      <c r="MIL105" s="44"/>
      <c r="MIM105" s="44"/>
      <c r="MIN105" s="44"/>
      <c r="MIO105" s="44"/>
      <c r="MIP105" s="44"/>
      <c r="MIQ105" s="44"/>
      <c r="MIR105" s="44"/>
      <c r="MIS105" s="44"/>
      <c r="MIT105" s="44"/>
      <c r="MIU105" s="44"/>
      <c r="MIV105" s="44"/>
      <c r="MIW105" s="44"/>
      <c r="MIX105" s="44"/>
      <c r="MIY105" s="44"/>
      <c r="MIZ105" s="44"/>
      <c r="MJA105" s="44"/>
      <c r="MJB105" s="44"/>
      <c r="MJC105" s="44"/>
      <c r="MJD105" s="44"/>
      <c r="MJE105" s="44"/>
      <c r="MJF105" s="44"/>
      <c r="MJG105" s="44"/>
      <c r="MJH105" s="44"/>
      <c r="MJI105" s="44"/>
      <c r="MJJ105" s="44"/>
      <c r="MJK105" s="44"/>
      <c r="MJL105" s="44"/>
      <c r="MJM105" s="44"/>
      <c r="MJN105" s="44"/>
      <c r="MJO105" s="44"/>
      <c r="MJP105" s="44"/>
      <c r="MJQ105" s="44"/>
      <c r="MJR105" s="44"/>
      <c r="MJS105" s="44"/>
      <c r="MJT105" s="44"/>
      <c r="MJU105" s="44"/>
      <c r="MJV105" s="44"/>
      <c r="MJW105" s="44"/>
      <c r="MJX105" s="44"/>
      <c r="MJY105" s="44"/>
      <c r="MJZ105" s="44"/>
      <c r="MKA105" s="44"/>
      <c r="MKB105" s="44"/>
      <c r="MKC105" s="44"/>
      <c r="MKD105" s="44"/>
      <c r="MKE105" s="44"/>
      <c r="MKF105" s="44"/>
      <c r="MKG105" s="44"/>
      <c r="MKH105" s="44"/>
      <c r="MKI105" s="44"/>
      <c r="MKJ105" s="44"/>
      <c r="MKK105" s="44"/>
      <c r="MKL105" s="44"/>
      <c r="MKM105" s="44"/>
      <c r="MKN105" s="44"/>
      <c r="MKO105" s="44"/>
      <c r="MKP105" s="44"/>
      <c r="MKQ105" s="44"/>
      <c r="MKR105" s="44"/>
      <c r="MKS105" s="44"/>
      <c r="MKT105" s="44"/>
      <c r="MKU105" s="44"/>
      <c r="MKV105" s="44"/>
      <c r="MKW105" s="44"/>
      <c r="MKX105" s="44"/>
      <c r="MKY105" s="44"/>
      <c r="MKZ105" s="44"/>
      <c r="MLA105" s="44"/>
      <c r="MLB105" s="44"/>
      <c r="MLC105" s="44"/>
      <c r="MLD105" s="44"/>
      <c r="MLE105" s="44"/>
      <c r="MLF105" s="44"/>
      <c r="MLG105" s="44"/>
      <c r="MLH105" s="44"/>
      <c r="MLI105" s="44"/>
      <c r="MLJ105" s="44"/>
      <c r="MLK105" s="44"/>
      <c r="MLL105" s="44"/>
      <c r="MLM105" s="44"/>
      <c r="MLN105" s="44"/>
      <c r="MLO105" s="44"/>
      <c r="MLP105" s="44"/>
      <c r="MLQ105" s="44"/>
      <c r="MLR105" s="44"/>
      <c r="MLS105" s="44"/>
      <c r="MLT105" s="44"/>
      <c r="MLU105" s="44"/>
      <c r="MLV105" s="44"/>
      <c r="MLW105" s="44"/>
      <c r="MLX105" s="44"/>
      <c r="MLY105" s="44"/>
      <c r="MLZ105" s="44"/>
      <c r="MMA105" s="44"/>
      <c r="MMB105" s="44"/>
      <c r="MMC105" s="44"/>
      <c r="MMD105" s="44"/>
      <c r="MME105" s="44"/>
      <c r="MMF105" s="44"/>
      <c r="MMG105" s="44"/>
      <c r="MMH105" s="44"/>
      <c r="MMI105" s="44"/>
      <c r="MMJ105" s="44"/>
      <c r="MMK105" s="44"/>
      <c r="MML105" s="44"/>
      <c r="MMM105" s="44"/>
      <c r="MMN105" s="44"/>
      <c r="MMO105" s="44"/>
      <c r="MMP105" s="44"/>
      <c r="MMQ105" s="44"/>
      <c r="MMR105" s="44"/>
      <c r="MMS105" s="44"/>
      <c r="MMT105" s="44"/>
      <c r="MMU105" s="44"/>
      <c r="MMV105" s="44"/>
      <c r="MMW105" s="44"/>
      <c r="MMX105" s="44"/>
      <c r="MMY105" s="44"/>
      <c r="MMZ105" s="44"/>
      <c r="MNA105" s="44"/>
      <c r="MNB105" s="44"/>
      <c r="MNC105" s="44"/>
      <c r="MND105" s="44"/>
      <c r="MNE105" s="44"/>
      <c r="MNF105" s="44"/>
      <c r="MNG105" s="44"/>
      <c r="MNH105" s="44"/>
      <c r="MNI105" s="44"/>
      <c r="MNJ105" s="44"/>
      <c r="MNK105" s="44"/>
      <c r="MNL105" s="44"/>
      <c r="MNM105" s="44"/>
      <c r="MNN105" s="44"/>
      <c r="MNO105" s="44"/>
      <c r="MNP105" s="44"/>
      <c r="MNQ105" s="44"/>
      <c r="MNR105" s="44"/>
      <c r="MNS105" s="44"/>
      <c r="MNT105" s="44"/>
      <c r="MNU105" s="44"/>
      <c r="MNV105" s="44"/>
      <c r="MNW105" s="44"/>
      <c r="MNX105" s="44"/>
      <c r="MNY105" s="44"/>
      <c r="MNZ105" s="44"/>
      <c r="MOA105" s="44"/>
      <c r="MOB105" s="44"/>
      <c r="MOC105" s="44"/>
      <c r="MOD105" s="44"/>
      <c r="MOE105" s="44"/>
      <c r="MOF105" s="44"/>
      <c r="MOG105" s="44"/>
      <c r="MOH105" s="44"/>
      <c r="MOI105" s="44"/>
      <c r="MOJ105" s="44"/>
      <c r="MOK105" s="44"/>
      <c r="MOL105" s="44"/>
      <c r="MOM105" s="44"/>
      <c r="MON105" s="44"/>
      <c r="MOO105" s="44"/>
      <c r="MOP105" s="44"/>
      <c r="MOQ105" s="44"/>
      <c r="MOR105" s="44"/>
      <c r="MOS105" s="44"/>
      <c r="MOT105" s="44"/>
      <c r="MOU105" s="44"/>
      <c r="MOV105" s="44"/>
      <c r="MOW105" s="44"/>
      <c r="MOX105" s="44"/>
      <c r="MOY105" s="44"/>
      <c r="MOZ105" s="44"/>
      <c r="MPA105" s="44"/>
      <c r="MPB105" s="44"/>
      <c r="MPC105" s="44"/>
      <c r="MPD105" s="44"/>
      <c r="MPE105" s="44"/>
      <c r="MPF105" s="44"/>
      <c r="MPG105" s="44"/>
      <c r="MPH105" s="44"/>
      <c r="MPI105" s="44"/>
      <c r="MPJ105" s="44"/>
      <c r="MPK105" s="44"/>
      <c r="MPL105" s="44"/>
      <c r="MPM105" s="44"/>
      <c r="MPN105" s="44"/>
      <c r="MPO105" s="44"/>
      <c r="MPP105" s="44"/>
      <c r="MPQ105" s="44"/>
      <c r="MPR105" s="44"/>
      <c r="MPS105" s="44"/>
      <c r="MPT105" s="44"/>
      <c r="MPU105" s="44"/>
      <c r="MPV105" s="44"/>
      <c r="MPW105" s="44"/>
      <c r="MPX105" s="44"/>
      <c r="MPY105" s="44"/>
      <c r="MPZ105" s="44"/>
      <c r="MQA105" s="44"/>
      <c r="MQB105" s="44"/>
      <c r="MQC105" s="44"/>
      <c r="MQD105" s="44"/>
      <c r="MQE105" s="44"/>
      <c r="MQF105" s="44"/>
      <c r="MQG105" s="44"/>
      <c r="MQH105" s="44"/>
      <c r="MQI105" s="44"/>
      <c r="MQJ105" s="44"/>
      <c r="MQK105" s="44"/>
      <c r="MQL105" s="44"/>
      <c r="MQM105" s="44"/>
      <c r="MQN105" s="44"/>
      <c r="MQO105" s="44"/>
      <c r="MQP105" s="44"/>
      <c r="MQQ105" s="44"/>
      <c r="MQR105" s="44"/>
      <c r="MQS105" s="44"/>
      <c r="MQT105" s="44"/>
      <c r="MQU105" s="44"/>
      <c r="MQV105" s="44"/>
      <c r="MQW105" s="44"/>
      <c r="MQX105" s="44"/>
      <c r="MQY105" s="44"/>
      <c r="MQZ105" s="44"/>
      <c r="MRA105" s="44"/>
      <c r="MRB105" s="44"/>
      <c r="MRC105" s="44"/>
      <c r="MRD105" s="44"/>
      <c r="MRE105" s="44"/>
      <c r="MRF105" s="44"/>
      <c r="MRG105" s="44"/>
      <c r="MRH105" s="44"/>
      <c r="MRI105" s="44"/>
      <c r="MRJ105" s="44"/>
      <c r="MRK105" s="44"/>
      <c r="MRL105" s="44"/>
      <c r="MRM105" s="44"/>
      <c r="MRN105" s="44"/>
      <c r="MRO105" s="44"/>
      <c r="MRP105" s="44"/>
      <c r="MRQ105" s="44"/>
      <c r="MRR105" s="44"/>
      <c r="MRS105" s="44"/>
      <c r="MRT105" s="44"/>
      <c r="MRU105" s="44"/>
      <c r="MRV105" s="44"/>
      <c r="MRW105" s="44"/>
      <c r="MRX105" s="44"/>
      <c r="MRY105" s="44"/>
      <c r="MRZ105" s="44"/>
      <c r="MSA105" s="44"/>
      <c r="MSB105" s="44"/>
      <c r="MSC105" s="44"/>
      <c r="MSD105" s="44"/>
      <c r="MSE105" s="44"/>
      <c r="MSF105" s="44"/>
      <c r="MSG105" s="44"/>
      <c r="MSH105" s="44"/>
      <c r="MSI105" s="44"/>
      <c r="MSJ105" s="44"/>
      <c r="MSK105" s="44"/>
      <c r="MSL105" s="44"/>
      <c r="MSM105" s="44"/>
      <c r="MSN105" s="44"/>
      <c r="MSO105" s="44"/>
      <c r="MSP105" s="44"/>
      <c r="MSQ105" s="44"/>
      <c r="MSR105" s="44"/>
      <c r="MSS105" s="44"/>
      <c r="MST105" s="44"/>
      <c r="MSU105" s="44"/>
      <c r="MSV105" s="44"/>
      <c r="MSW105" s="44"/>
      <c r="MSX105" s="44"/>
      <c r="MSY105" s="44"/>
      <c r="MSZ105" s="44"/>
      <c r="MTA105" s="44"/>
      <c r="MTB105" s="44"/>
      <c r="MTC105" s="44"/>
      <c r="MTD105" s="44"/>
      <c r="MTE105" s="44"/>
      <c r="MTF105" s="44"/>
      <c r="MTG105" s="44"/>
      <c r="MTH105" s="44"/>
      <c r="MTI105" s="44"/>
      <c r="MTJ105" s="44"/>
      <c r="MTK105" s="44"/>
      <c r="MTL105" s="44"/>
      <c r="MTM105" s="44"/>
      <c r="MTN105" s="44"/>
      <c r="MTO105" s="44"/>
      <c r="MTP105" s="44"/>
      <c r="MTQ105" s="44"/>
      <c r="MTR105" s="44"/>
      <c r="MTS105" s="44"/>
      <c r="MTT105" s="44"/>
      <c r="MTU105" s="44"/>
      <c r="MTV105" s="44"/>
      <c r="MTW105" s="44"/>
      <c r="MTX105" s="44"/>
      <c r="MTY105" s="44"/>
      <c r="MTZ105" s="44"/>
      <c r="MUA105" s="44"/>
      <c r="MUB105" s="44"/>
      <c r="MUC105" s="44"/>
      <c r="MUD105" s="44"/>
      <c r="MUE105" s="44"/>
      <c r="MUF105" s="44"/>
      <c r="MUG105" s="44"/>
      <c r="MUH105" s="44"/>
      <c r="MUI105" s="44"/>
      <c r="MUJ105" s="44"/>
      <c r="MUK105" s="44"/>
      <c r="MUL105" s="44"/>
      <c r="MUM105" s="44"/>
      <c r="MUN105" s="44"/>
      <c r="MUO105" s="44"/>
      <c r="MUP105" s="44"/>
      <c r="MUQ105" s="44"/>
      <c r="MUR105" s="44"/>
      <c r="MUS105" s="44"/>
      <c r="MUT105" s="44"/>
      <c r="MUU105" s="44"/>
      <c r="MUV105" s="44"/>
      <c r="MUW105" s="44"/>
      <c r="MUX105" s="44"/>
      <c r="MUY105" s="44"/>
      <c r="MUZ105" s="44"/>
      <c r="MVA105" s="44"/>
      <c r="MVB105" s="44"/>
      <c r="MVC105" s="44"/>
      <c r="MVD105" s="44"/>
      <c r="MVE105" s="44"/>
      <c r="MVF105" s="44"/>
      <c r="MVG105" s="44"/>
      <c r="MVH105" s="44"/>
      <c r="MVI105" s="44"/>
      <c r="MVJ105" s="44"/>
      <c r="MVK105" s="44"/>
      <c r="MVL105" s="44"/>
      <c r="MVM105" s="44"/>
      <c r="MVN105" s="44"/>
      <c r="MVO105" s="44"/>
      <c r="MVP105" s="44"/>
      <c r="MVQ105" s="44"/>
      <c r="MVR105" s="44"/>
      <c r="MVS105" s="44"/>
      <c r="MVT105" s="44"/>
      <c r="MVU105" s="44"/>
      <c r="MVV105" s="44"/>
      <c r="MVW105" s="44"/>
      <c r="MVX105" s="44"/>
      <c r="MVY105" s="44"/>
      <c r="MVZ105" s="44"/>
      <c r="MWA105" s="44"/>
      <c r="MWB105" s="44"/>
      <c r="MWC105" s="44"/>
      <c r="MWD105" s="44"/>
      <c r="MWE105" s="44"/>
      <c r="MWF105" s="44"/>
      <c r="MWG105" s="44"/>
      <c r="MWH105" s="44"/>
      <c r="MWI105" s="44"/>
      <c r="MWJ105" s="44"/>
      <c r="MWK105" s="44"/>
      <c r="MWL105" s="44"/>
      <c r="MWM105" s="44"/>
      <c r="MWN105" s="44"/>
      <c r="MWO105" s="44"/>
      <c r="MWP105" s="44"/>
      <c r="MWQ105" s="44"/>
      <c r="MWR105" s="44"/>
      <c r="MWS105" s="44"/>
      <c r="MWT105" s="44"/>
      <c r="MWU105" s="44"/>
      <c r="MWV105" s="44"/>
      <c r="MWW105" s="44"/>
      <c r="MWX105" s="44"/>
      <c r="MWY105" s="44"/>
      <c r="MWZ105" s="44"/>
      <c r="MXA105" s="44"/>
      <c r="MXB105" s="44"/>
      <c r="MXC105" s="44"/>
      <c r="MXD105" s="44"/>
      <c r="MXE105" s="44"/>
      <c r="MXF105" s="44"/>
      <c r="MXG105" s="44"/>
      <c r="MXH105" s="44"/>
      <c r="MXI105" s="44"/>
      <c r="MXJ105" s="44"/>
      <c r="MXK105" s="44"/>
      <c r="MXL105" s="44"/>
      <c r="MXM105" s="44"/>
      <c r="MXN105" s="44"/>
      <c r="MXO105" s="44"/>
      <c r="MXP105" s="44"/>
      <c r="MXQ105" s="44"/>
      <c r="MXR105" s="44"/>
      <c r="MXS105" s="44"/>
      <c r="MXT105" s="44"/>
      <c r="MXU105" s="44"/>
      <c r="MXV105" s="44"/>
      <c r="MXW105" s="44"/>
      <c r="MXX105" s="44"/>
      <c r="MXY105" s="44"/>
      <c r="MXZ105" s="44"/>
      <c r="MYA105" s="44"/>
      <c r="MYB105" s="44"/>
      <c r="MYC105" s="44"/>
      <c r="MYD105" s="44"/>
      <c r="MYE105" s="44"/>
      <c r="MYF105" s="44"/>
      <c r="MYG105" s="44"/>
      <c r="MYH105" s="44"/>
      <c r="MYI105" s="44"/>
      <c r="MYJ105" s="44"/>
      <c r="MYK105" s="44"/>
      <c r="MYL105" s="44"/>
      <c r="MYM105" s="44"/>
      <c r="MYN105" s="44"/>
      <c r="MYO105" s="44"/>
      <c r="MYP105" s="44"/>
      <c r="MYQ105" s="44"/>
      <c r="MYR105" s="44"/>
      <c r="MYS105" s="44"/>
      <c r="MYT105" s="44"/>
      <c r="MYU105" s="44"/>
      <c r="MYV105" s="44"/>
      <c r="MYW105" s="44"/>
      <c r="MYX105" s="44"/>
      <c r="MYY105" s="44"/>
      <c r="MYZ105" s="44"/>
      <c r="MZA105" s="44"/>
      <c r="MZB105" s="44"/>
      <c r="MZC105" s="44"/>
      <c r="MZD105" s="44"/>
      <c r="MZE105" s="44"/>
      <c r="MZF105" s="44"/>
      <c r="MZG105" s="44"/>
      <c r="MZH105" s="44"/>
      <c r="MZI105" s="44"/>
      <c r="MZJ105" s="44"/>
      <c r="MZK105" s="44"/>
      <c r="MZL105" s="44"/>
      <c r="MZM105" s="44"/>
      <c r="MZN105" s="44"/>
      <c r="MZO105" s="44"/>
      <c r="MZP105" s="44"/>
      <c r="MZQ105" s="44"/>
      <c r="MZR105" s="44"/>
      <c r="MZS105" s="44"/>
      <c r="MZT105" s="44"/>
      <c r="MZU105" s="44"/>
      <c r="MZV105" s="44"/>
      <c r="MZW105" s="44"/>
      <c r="MZX105" s="44"/>
      <c r="MZY105" s="44"/>
      <c r="MZZ105" s="44"/>
      <c r="NAA105" s="44"/>
      <c r="NAB105" s="44"/>
      <c r="NAC105" s="44"/>
      <c r="NAD105" s="44"/>
      <c r="NAE105" s="44"/>
      <c r="NAF105" s="44"/>
      <c r="NAG105" s="44"/>
      <c r="NAH105" s="44"/>
      <c r="NAI105" s="44"/>
      <c r="NAJ105" s="44"/>
      <c r="NAK105" s="44"/>
      <c r="NAL105" s="44"/>
      <c r="NAM105" s="44"/>
      <c r="NAN105" s="44"/>
      <c r="NAO105" s="44"/>
      <c r="NAP105" s="44"/>
      <c r="NAQ105" s="44"/>
      <c r="NAR105" s="44"/>
      <c r="NAS105" s="44"/>
      <c r="NAT105" s="44"/>
      <c r="NAU105" s="44"/>
      <c r="NAV105" s="44"/>
      <c r="NAW105" s="44"/>
      <c r="NAX105" s="44"/>
      <c r="NAY105" s="44"/>
      <c r="NAZ105" s="44"/>
      <c r="NBA105" s="44"/>
      <c r="NBB105" s="44"/>
      <c r="NBC105" s="44"/>
      <c r="NBD105" s="44"/>
      <c r="NBE105" s="44"/>
      <c r="NBF105" s="44"/>
      <c r="NBG105" s="44"/>
      <c r="NBH105" s="44"/>
      <c r="NBI105" s="44"/>
      <c r="NBJ105" s="44"/>
      <c r="NBK105" s="44"/>
      <c r="NBL105" s="44"/>
      <c r="NBM105" s="44"/>
      <c r="NBN105" s="44"/>
      <c r="NBO105" s="44"/>
      <c r="NBP105" s="44"/>
      <c r="NBQ105" s="44"/>
      <c r="NBR105" s="44"/>
      <c r="NBS105" s="44"/>
      <c r="NBT105" s="44"/>
      <c r="NBU105" s="44"/>
      <c r="NBV105" s="44"/>
      <c r="NBW105" s="44"/>
      <c r="NBX105" s="44"/>
      <c r="NBY105" s="44"/>
      <c r="NBZ105" s="44"/>
      <c r="NCA105" s="44"/>
      <c r="NCB105" s="44"/>
      <c r="NCC105" s="44"/>
      <c r="NCD105" s="44"/>
      <c r="NCE105" s="44"/>
      <c r="NCF105" s="44"/>
      <c r="NCG105" s="44"/>
      <c r="NCH105" s="44"/>
      <c r="NCI105" s="44"/>
      <c r="NCJ105" s="44"/>
      <c r="NCK105" s="44"/>
      <c r="NCL105" s="44"/>
      <c r="NCM105" s="44"/>
      <c r="NCN105" s="44"/>
      <c r="NCO105" s="44"/>
      <c r="NCP105" s="44"/>
      <c r="NCQ105" s="44"/>
      <c r="NCR105" s="44"/>
      <c r="NCS105" s="44"/>
      <c r="NCT105" s="44"/>
      <c r="NCU105" s="44"/>
      <c r="NCV105" s="44"/>
      <c r="NCW105" s="44"/>
      <c r="NCX105" s="44"/>
      <c r="NCY105" s="44"/>
      <c r="NCZ105" s="44"/>
      <c r="NDA105" s="44"/>
      <c r="NDB105" s="44"/>
      <c r="NDC105" s="44"/>
      <c r="NDD105" s="44"/>
      <c r="NDE105" s="44"/>
      <c r="NDF105" s="44"/>
      <c r="NDG105" s="44"/>
      <c r="NDH105" s="44"/>
      <c r="NDI105" s="44"/>
      <c r="NDJ105" s="44"/>
      <c r="NDK105" s="44"/>
      <c r="NDL105" s="44"/>
      <c r="NDM105" s="44"/>
      <c r="NDN105" s="44"/>
      <c r="NDO105" s="44"/>
      <c r="NDP105" s="44"/>
      <c r="NDQ105" s="44"/>
      <c r="NDR105" s="44"/>
      <c r="NDS105" s="44"/>
      <c r="NDT105" s="44"/>
      <c r="NDU105" s="44"/>
      <c r="NDV105" s="44"/>
      <c r="NDW105" s="44"/>
      <c r="NDX105" s="44"/>
      <c r="NDY105" s="44"/>
      <c r="NDZ105" s="44"/>
      <c r="NEA105" s="44"/>
      <c r="NEB105" s="44"/>
      <c r="NEC105" s="44"/>
      <c r="NED105" s="44"/>
      <c r="NEE105" s="44"/>
      <c r="NEF105" s="44"/>
      <c r="NEG105" s="44"/>
      <c r="NEH105" s="44"/>
      <c r="NEI105" s="44"/>
      <c r="NEJ105" s="44"/>
      <c r="NEK105" s="44"/>
      <c r="NEL105" s="44"/>
      <c r="NEM105" s="44"/>
      <c r="NEN105" s="44"/>
      <c r="NEO105" s="44"/>
      <c r="NEP105" s="44"/>
      <c r="NEQ105" s="44"/>
      <c r="NER105" s="44"/>
      <c r="NES105" s="44"/>
      <c r="NET105" s="44"/>
      <c r="NEU105" s="44"/>
      <c r="NEV105" s="44"/>
      <c r="NEW105" s="44"/>
      <c r="NEX105" s="44"/>
      <c r="NEY105" s="44"/>
      <c r="NEZ105" s="44"/>
      <c r="NFA105" s="44"/>
      <c r="NFB105" s="44"/>
      <c r="NFC105" s="44"/>
      <c r="NFD105" s="44"/>
      <c r="NFE105" s="44"/>
      <c r="NFF105" s="44"/>
      <c r="NFG105" s="44"/>
      <c r="NFH105" s="44"/>
      <c r="NFI105" s="44"/>
      <c r="NFJ105" s="44"/>
      <c r="NFK105" s="44"/>
      <c r="NFL105" s="44"/>
      <c r="NFM105" s="44"/>
      <c r="NFN105" s="44"/>
      <c r="NFO105" s="44"/>
      <c r="NFP105" s="44"/>
      <c r="NFQ105" s="44"/>
      <c r="NFR105" s="44"/>
      <c r="NFS105" s="44"/>
      <c r="NFT105" s="44"/>
      <c r="NFU105" s="44"/>
      <c r="NFV105" s="44"/>
      <c r="NFW105" s="44"/>
      <c r="NFX105" s="44"/>
      <c r="NFY105" s="44"/>
      <c r="NFZ105" s="44"/>
      <c r="NGA105" s="44"/>
      <c r="NGB105" s="44"/>
      <c r="NGC105" s="44"/>
      <c r="NGD105" s="44"/>
      <c r="NGE105" s="44"/>
      <c r="NGF105" s="44"/>
      <c r="NGG105" s="44"/>
      <c r="NGH105" s="44"/>
      <c r="NGI105" s="44"/>
      <c r="NGJ105" s="44"/>
      <c r="NGK105" s="44"/>
      <c r="NGL105" s="44"/>
      <c r="NGM105" s="44"/>
      <c r="NGN105" s="44"/>
      <c r="NGO105" s="44"/>
      <c r="NGP105" s="44"/>
      <c r="NGQ105" s="44"/>
      <c r="NGR105" s="44"/>
      <c r="NGS105" s="44"/>
      <c r="NGT105" s="44"/>
      <c r="NGU105" s="44"/>
      <c r="NGV105" s="44"/>
      <c r="NGW105" s="44"/>
      <c r="NGX105" s="44"/>
      <c r="NGY105" s="44"/>
      <c r="NGZ105" s="44"/>
      <c r="NHA105" s="44"/>
      <c r="NHB105" s="44"/>
      <c r="NHC105" s="44"/>
      <c r="NHD105" s="44"/>
      <c r="NHE105" s="44"/>
      <c r="NHF105" s="44"/>
      <c r="NHG105" s="44"/>
      <c r="NHH105" s="44"/>
      <c r="NHI105" s="44"/>
      <c r="NHJ105" s="44"/>
      <c r="NHK105" s="44"/>
      <c r="NHL105" s="44"/>
      <c r="NHM105" s="44"/>
      <c r="NHN105" s="44"/>
      <c r="NHO105" s="44"/>
      <c r="NHP105" s="44"/>
      <c r="NHQ105" s="44"/>
      <c r="NHR105" s="44"/>
      <c r="NHS105" s="44"/>
      <c r="NHT105" s="44"/>
      <c r="NHU105" s="44"/>
      <c r="NHV105" s="44"/>
      <c r="NHW105" s="44"/>
      <c r="NHX105" s="44"/>
      <c r="NHY105" s="44"/>
      <c r="NHZ105" s="44"/>
      <c r="NIA105" s="44"/>
      <c r="NIB105" s="44"/>
      <c r="NIC105" s="44"/>
      <c r="NID105" s="44"/>
      <c r="NIE105" s="44"/>
      <c r="NIF105" s="44"/>
      <c r="NIG105" s="44"/>
      <c r="NIH105" s="44"/>
      <c r="NII105" s="44"/>
      <c r="NIJ105" s="44"/>
      <c r="NIK105" s="44"/>
      <c r="NIL105" s="44"/>
      <c r="NIM105" s="44"/>
      <c r="NIN105" s="44"/>
      <c r="NIO105" s="44"/>
      <c r="NIP105" s="44"/>
      <c r="NIQ105" s="44"/>
      <c r="NIR105" s="44"/>
      <c r="NIS105" s="44"/>
      <c r="NIT105" s="44"/>
      <c r="NIU105" s="44"/>
      <c r="NIV105" s="44"/>
      <c r="NIW105" s="44"/>
      <c r="NIX105" s="44"/>
      <c r="NIY105" s="44"/>
      <c r="NIZ105" s="44"/>
      <c r="NJA105" s="44"/>
      <c r="NJB105" s="44"/>
      <c r="NJC105" s="44"/>
      <c r="NJD105" s="44"/>
      <c r="NJE105" s="44"/>
      <c r="NJF105" s="44"/>
      <c r="NJG105" s="44"/>
      <c r="NJH105" s="44"/>
      <c r="NJI105" s="44"/>
      <c r="NJJ105" s="44"/>
      <c r="NJK105" s="44"/>
      <c r="NJL105" s="44"/>
      <c r="NJM105" s="44"/>
      <c r="NJN105" s="44"/>
      <c r="NJO105" s="44"/>
      <c r="NJP105" s="44"/>
      <c r="NJQ105" s="44"/>
      <c r="NJR105" s="44"/>
      <c r="NJS105" s="44"/>
      <c r="NJT105" s="44"/>
      <c r="NJU105" s="44"/>
      <c r="NJV105" s="44"/>
      <c r="NJW105" s="44"/>
      <c r="NJX105" s="44"/>
      <c r="NJY105" s="44"/>
      <c r="NJZ105" s="44"/>
      <c r="NKA105" s="44"/>
      <c r="NKB105" s="44"/>
      <c r="NKC105" s="44"/>
      <c r="NKD105" s="44"/>
      <c r="NKE105" s="44"/>
      <c r="NKF105" s="44"/>
      <c r="NKG105" s="44"/>
      <c r="NKH105" s="44"/>
      <c r="NKI105" s="44"/>
      <c r="NKJ105" s="44"/>
      <c r="NKK105" s="44"/>
      <c r="NKL105" s="44"/>
      <c r="NKM105" s="44"/>
      <c r="NKN105" s="44"/>
      <c r="NKO105" s="44"/>
      <c r="NKP105" s="44"/>
      <c r="NKQ105" s="44"/>
      <c r="NKR105" s="44"/>
      <c r="NKS105" s="44"/>
      <c r="NKT105" s="44"/>
      <c r="NKU105" s="44"/>
      <c r="NKV105" s="44"/>
      <c r="NKW105" s="44"/>
      <c r="NKX105" s="44"/>
      <c r="NKY105" s="44"/>
      <c r="NKZ105" s="44"/>
      <c r="NLA105" s="44"/>
      <c r="NLB105" s="44"/>
      <c r="NLC105" s="44"/>
      <c r="NLD105" s="44"/>
      <c r="NLE105" s="44"/>
      <c r="NLF105" s="44"/>
      <c r="NLG105" s="44"/>
      <c r="NLH105" s="44"/>
      <c r="NLI105" s="44"/>
      <c r="NLJ105" s="44"/>
      <c r="NLK105" s="44"/>
      <c r="NLL105" s="44"/>
      <c r="NLM105" s="44"/>
      <c r="NLN105" s="44"/>
      <c r="NLO105" s="44"/>
      <c r="NLP105" s="44"/>
      <c r="NLQ105" s="44"/>
      <c r="NLR105" s="44"/>
      <c r="NLS105" s="44"/>
      <c r="NLT105" s="44"/>
      <c r="NLU105" s="44"/>
      <c r="NLV105" s="44"/>
      <c r="NLW105" s="44"/>
      <c r="NLX105" s="44"/>
      <c r="NLY105" s="44"/>
      <c r="NLZ105" s="44"/>
      <c r="NMA105" s="44"/>
      <c r="NMB105" s="44"/>
      <c r="NMC105" s="44"/>
      <c r="NMD105" s="44"/>
      <c r="NME105" s="44"/>
      <c r="NMF105" s="44"/>
      <c r="NMG105" s="44"/>
      <c r="NMH105" s="44"/>
      <c r="NMI105" s="44"/>
      <c r="NMJ105" s="44"/>
      <c r="NMK105" s="44"/>
      <c r="NML105" s="44"/>
      <c r="NMM105" s="44"/>
      <c r="NMN105" s="44"/>
      <c r="NMO105" s="44"/>
      <c r="NMP105" s="44"/>
      <c r="NMQ105" s="44"/>
      <c r="NMR105" s="44"/>
      <c r="NMS105" s="44"/>
      <c r="NMT105" s="44"/>
      <c r="NMU105" s="44"/>
      <c r="NMV105" s="44"/>
      <c r="NMW105" s="44"/>
      <c r="NMX105" s="44"/>
      <c r="NMY105" s="44"/>
      <c r="NMZ105" s="44"/>
      <c r="NNA105" s="44"/>
      <c r="NNB105" s="44"/>
      <c r="NNC105" s="44"/>
      <c r="NND105" s="44"/>
      <c r="NNE105" s="44"/>
      <c r="NNF105" s="44"/>
      <c r="NNG105" s="44"/>
      <c r="NNH105" s="44"/>
      <c r="NNI105" s="44"/>
      <c r="NNJ105" s="44"/>
      <c r="NNK105" s="44"/>
      <c r="NNL105" s="44"/>
      <c r="NNM105" s="44"/>
      <c r="NNN105" s="44"/>
      <c r="NNO105" s="44"/>
      <c r="NNP105" s="44"/>
      <c r="NNQ105" s="44"/>
      <c r="NNR105" s="44"/>
      <c r="NNS105" s="44"/>
      <c r="NNT105" s="44"/>
      <c r="NNU105" s="44"/>
      <c r="NNV105" s="44"/>
      <c r="NNW105" s="44"/>
      <c r="NNX105" s="44"/>
      <c r="NNY105" s="44"/>
      <c r="NNZ105" s="44"/>
      <c r="NOA105" s="44"/>
      <c r="NOB105" s="44"/>
      <c r="NOC105" s="44"/>
      <c r="NOD105" s="44"/>
      <c r="NOE105" s="44"/>
      <c r="NOF105" s="44"/>
      <c r="NOG105" s="44"/>
      <c r="NOH105" s="44"/>
      <c r="NOI105" s="44"/>
      <c r="NOJ105" s="44"/>
      <c r="NOK105" s="44"/>
      <c r="NOL105" s="44"/>
      <c r="NOM105" s="44"/>
      <c r="NON105" s="44"/>
      <c r="NOO105" s="44"/>
      <c r="NOP105" s="44"/>
      <c r="NOQ105" s="44"/>
      <c r="NOR105" s="44"/>
      <c r="NOS105" s="44"/>
      <c r="NOT105" s="44"/>
      <c r="NOU105" s="44"/>
      <c r="NOV105" s="44"/>
      <c r="NOW105" s="44"/>
      <c r="NOX105" s="44"/>
      <c r="NOY105" s="44"/>
      <c r="NOZ105" s="44"/>
      <c r="NPA105" s="44"/>
      <c r="NPB105" s="44"/>
      <c r="NPC105" s="44"/>
      <c r="NPD105" s="44"/>
      <c r="NPE105" s="44"/>
      <c r="NPF105" s="44"/>
      <c r="NPG105" s="44"/>
      <c r="NPH105" s="44"/>
      <c r="NPI105" s="44"/>
      <c r="NPJ105" s="44"/>
      <c r="NPK105" s="44"/>
      <c r="NPL105" s="44"/>
      <c r="NPM105" s="44"/>
      <c r="NPN105" s="44"/>
      <c r="NPO105" s="44"/>
      <c r="NPP105" s="44"/>
      <c r="NPQ105" s="44"/>
      <c r="NPR105" s="44"/>
      <c r="NPS105" s="44"/>
      <c r="NPT105" s="44"/>
      <c r="NPU105" s="44"/>
      <c r="NPV105" s="44"/>
      <c r="NPW105" s="44"/>
      <c r="NPX105" s="44"/>
      <c r="NPY105" s="44"/>
      <c r="NPZ105" s="44"/>
      <c r="NQA105" s="44"/>
      <c r="NQB105" s="44"/>
      <c r="NQC105" s="44"/>
      <c r="NQD105" s="44"/>
      <c r="NQE105" s="44"/>
      <c r="NQF105" s="44"/>
      <c r="NQG105" s="44"/>
      <c r="NQH105" s="44"/>
      <c r="NQI105" s="44"/>
      <c r="NQJ105" s="44"/>
      <c r="NQK105" s="44"/>
      <c r="NQL105" s="44"/>
      <c r="NQM105" s="44"/>
      <c r="NQN105" s="44"/>
      <c r="NQO105" s="44"/>
      <c r="NQP105" s="44"/>
      <c r="NQQ105" s="44"/>
      <c r="NQR105" s="44"/>
      <c r="NQS105" s="44"/>
      <c r="NQT105" s="44"/>
      <c r="NQU105" s="44"/>
      <c r="NQV105" s="44"/>
      <c r="NQW105" s="44"/>
      <c r="NQX105" s="44"/>
      <c r="NQY105" s="44"/>
      <c r="NQZ105" s="44"/>
      <c r="NRA105" s="44"/>
      <c r="NRB105" s="44"/>
      <c r="NRC105" s="44"/>
      <c r="NRD105" s="44"/>
      <c r="NRE105" s="44"/>
      <c r="NRF105" s="44"/>
      <c r="NRG105" s="44"/>
      <c r="NRH105" s="44"/>
      <c r="NRI105" s="44"/>
      <c r="NRJ105" s="44"/>
      <c r="NRK105" s="44"/>
      <c r="NRL105" s="44"/>
      <c r="NRM105" s="44"/>
      <c r="NRN105" s="44"/>
      <c r="NRO105" s="44"/>
      <c r="NRP105" s="44"/>
      <c r="NRQ105" s="44"/>
      <c r="NRR105" s="44"/>
      <c r="NRS105" s="44"/>
      <c r="NRT105" s="44"/>
      <c r="NRU105" s="44"/>
      <c r="NRV105" s="44"/>
      <c r="NRW105" s="44"/>
      <c r="NRX105" s="44"/>
      <c r="NRY105" s="44"/>
      <c r="NRZ105" s="44"/>
      <c r="NSA105" s="44"/>
      <c r="NSB105" s="44"/>
      <c r="NSC105" s="44"/>
      <c r="NSD105" s="44"/>
      <c r="NSE105" s="44"/>
      <c r="NSF105" s="44"/>
      <c r="NSG105" s="44"/>
      <c r="NSH105" s="44"/>
      <c r="NSI105" s="44"/>
      <c r="NSJ105" s="44"/>
      <c r="NSK105" s="44"/>
      <c r="NSL105" s="44"/>
      <c r="NSM105" s="44"/>
      <c r="NSN105" s="44"/>
      <c r="NSO105" s="44"/>
      <c r="NSP105" s="44"/>
      <c r="NSQ105" s="44"/>
      <c r="NSR105" s="44"/>
      <c r="NSS105" s="44"/>
      <c r="NST105" s="44"/>
      <c r="NSU105" s="44"/>
      <c r="NSV105" s="44"/>
      <c r="NSW105" s="44"/>
      <c r="NSX105" s="44"/>
      <c r="NSY105" s="44"/>
      <c r="NSZ105" s="44"/>
      <c r="NTA105" s="44"/>
      <c r="NTB105" s="44"/>
      <c r="NTC105" s="44"/>
      <c r="NTD105" s="44"/>
      <c r="NTE105" s="44"/>
      <c r="NTF105" s="44"/>
      <c r="NTG105" s="44"/>
      <c r="NTH105" s="44"/>
      <c r="NTI105" s="44"/>
      <c r="NTJ105" s="44"/>
      <c r="NTK105" s="44"/>
      <c r="NTL105" s="44"/>
      <c r="NTM105" s="44"/>
      <c r="NTN105" s="44"/>
      <c r="NTO105" s="44"/>
      <c r="NTP105" s="44"/>
      <c r="NTQ105" s="44"/>
      <c r="NTR105" s="44"/>
      <c r="NTS105" s="44"/>
      <c r="NTT105" s="44"/>
      <c r="NTU105" s="44"/>
      <c r="NTV105" s="44"/>
      <c r="NTW105" s="44"/>
      <c r="NTX105" s="44"/>
      <c r="NTY105" s="44"/>
      <c r="NTZ105" s="44"/>
      <c r="NUA105" s="44"/>
      <c r="NUB105" s="44"/>
      <c r="NUC105" s="44"/>
      <c r="NUD105" s="44"/>
      <c r="NUE105" s="44"/>
      <c r="NUF105" s="44"/>
      <c r="NUG105" s="44"/>
      <c r="NUH105" s="44"/>
      <c r="NUI105" s="44"/>
      <c r="NUJ105" s="44"/>
      <c r="NUK105" s="44"/>
      <c r="NUL105" s="44"/>
      <c r="NUM105" s="44"/>
      <c r="NUN105" s="44"/>
      <c r="NUO105" s="44"/>
      <c r="NUP105" s="44"/>
      <c r="NUQ105" s="44"/>
      <c r="NUR105" s="44"/>
      <c r="NUS105" s="44"/>
      <c r="NUT105" s="44"/>
      <c r="NUU105" s="44"/>
      <c r="NUV105" s="44"/>
      <c r="NUW105" s="44"/>
      <c r="NUX105" s="44"/>
      <c r="NUY105" s="44"/>
      <c r="NUZ105" s="44"/>
      <c r="NVA105" s="44"/>
      <c r="NVB105" s="44"/>
      <c r="NVC105" s="44"/>
      <c r="NVD105" s="44"/>
      <c r="NVE105" s="44"/>
      <c r="NVF105" s="44"/>
      <c r="NVG105" s="44"/>
      <c r="NVH105" s="44"/>
      <c r="NVI105" s="44"/>
      <c r="NVJ105" s="44"/>
      <c r="NVK105" s="44"/>
      <c r="NVL105" s="44"/>
      <c r="NVM105" s="44"/>
      <c r="NVN105" s="44"/>
      <c r="NVO105" s="44"/>
      <c r="NVP105" s="44"/>
      <c r="NVQ105" s="44"/>
      <c r="NVR105" s="44"/>
      <c r="NVS105" s="44"/>
      <c r="NVT105" s="44"/>
      <c r="NVU105" s="44"/>
      <c r="NVV105" s="44"/>
      <c r="NVW105" s="44"/>
      <c r="NVX105" s="44"/>
      <c r="NVY105" s="44"/>
      <c r="NVZ105" s="44"/>
      <c r="NWA105" s="44"/>
      <c r="NWB105" s="44"/>
      <c r="NWC105" s="44"/>
      <c r="NWD105" s="44"/>
      <c r="NWE105" s="44"/>
      <c r="NWF105" s="44"/>
      <c r="NWG105" s="44"/>
      <c r="NWH105" s="44"/>
      <c r="NWI105" s="44"/>
      <c r="NWJ105" s="44"/>
      <c r="NWK105" s="44"/>
      <c r="NWL105" s="44"/>
      <c r="NWM105" s="44"/>
      <c r="NWN105" s="44"/>
      <c r="NWO105" s="44"/>
      <c r="NWP105" s="44"/>
      <c r="NWQ105" s="44"/>
      <c r="NWR105" s="44"/>
      <c r="NWS105" s="44"/>
      <c r="NWT105" s="44"/>
      <c r="NWU105" s="44"/>
      <c r="NWV105" s="44"/>
      <c r="NWW105" s="44"/>
      <c r="NWX105" s="44"/>
      <c r="NWY105" s="44"/>
      <c r="NWZ105" s="44"/>
      <c r="NXA105" s="44"/>
      <c r="NXB105" s="44"/>
      <c r="NXC105" s="44"/>
      <c r="NXD105" s="44"/>
      <c r="NXE105" s="44"/>
      <c r="NXF105" s="44"/>
      <c r="NXG105" s="44"/>
      <c r="NXH105" s="44"/>
      <c r="NXI105" s="44"/>
      <c r="NXJ105" s="44"/>
      <c r="NXK105" s="44"/>
      <c r="NXL105" s="44"/>
      <c r="NXM105" s="44"/>
      <c r="NXN105" s="44"/>
      <c r="NXO105" s="44"/>
      <c r="NXP105" s="44"/>
      <c r="NXQ105" s="44"/>
      <c r="NXR105" s="44"/>
      <c r="NXS105" s="44"/>
      <c r="NXT105" s="44"/>
      <c r="NXU105" s="44"/>
      <c r="NXV105" s="44"/>
      <c r="NXW105" s="44"/>
      <c r="NXX105" s="44"/>
      <c r="NXY105" s="44"/>
      <c r="NXZ105" s="44"/>
      <c r="NYA105" s="44"/>
      <c r="NYB105" s="44"/>
      <c r="NYC105" s="44"/>
      <c r="NYD105" s="44"/>
      <c r="NYE105" s="44"/>
      <c r="NYF105" s="44"/>
      <c r="NYG105" s="44"/>
      <c r="NYH105" s="44"/>
      <c r="NYI105" s="44"/>
      <c r="NYJ105" s="44"/>
      <c r="NYK105" s="44"/>
      <c r="NYL105" s="44"/>
      <c r="NYM105" s="44"/>
      <c r="NYN105" s="44"/>
      <c r="NYO105" s="44"/>
      <c r="NYP105" s="44"/>
      <c r="NYQ105" s="44"/>
      <c r="NYR105" s="44"/>
      <c r="NYS105" s="44"/>
      <c r="NYT105" s="44"/>
      <c r="NYU105" s="44"/>
      <c r="NYV105" s="44"/>
      <c r="NYW105" s="44"/>
      <c r="NYX105" s="44"/>
      <c r="NYY105" s="44"/>
      <c r="NYZ105" s="44"/>
      <c r="NZA105" s="44"/>
      <c r="NZB105" s="44"/>
      <c r="NZC105" s="44"/>
      <c r="NZD105" s="44"/>
      <c r="NZE105" s="44"/>
      <c r="NZF105" s="44"/>
      <c r="NZG105" s="44"/>
      <c r="NZH105" s="44"/>
      <c r="NZI105" s="44"/>
      <c r="NZJ105" s="44"/>
      <c r="NZK105" s="44"/>
      <c r="NZL105" s="44"/>
      <c r="NZM105" s="44"/>
      <c r="NZN105" s="44"/>
      <c r="NZO105" s="44"/>
      <c r="NZP105" s="44"/>
      <c r="NZQ105" s="44"/>
      <c r="NZR105" s="44"/>
      <c r="NZS105" s="44"/>
      <c r="NZT105" s="44"/>
      <c r="NZU105" s="44"/>
      <c r="NZV105" s="44"/>
      <c r="NZW105" s="44"/>
      <c r="NZX105" s="44"/>
      <c r="NZY105" s="44"/>
      <c r="NZZ105" s="44"/>
      <c r="OAA105" s="44"/>
      <c r="OAB105" s="44"/>
      <c r="OAC105" s="44"/>
      <c r="OAD105" s="44"/>
      <c r="OAE105" s="44"/>
      <c r="OAF105" s="44"/>
      <c r="OAG105" s="44"/>
      <c r="OAH105" s="44"/>
      <c r="OAI105" s="44"/>
      <c r="OAJ105" s="44"/>
      <c r="OAK105" s="44"/>
      <c r="OAL105" s="44"/>
      <c r="OAM105" s="44"/>
      <c r="OAN105" s="44"/>
      <c r="OAO105" s="44"/>
      <c r="OAP105" s="44"/>
      <c r="OAQ105" s="44"/>
      <c r="OAR105" s="44"/>
      <c r="OAS105" s="44"/>
      <c r="OAT105" s="44"/>
      <c r="OAU105" s="44"/>
      <c r="OAV105" s="44"/>
      <c r="OAW105" s="44"/>
      <c r="OAX105" s="44"/>
      <c r="OAY105" s="44"/>
      <c r="OAZ105" s="44"/>
      <c r="OBA105" s="44"/>
      <c r="OBB105" s="44"/>
      <c r="OBC105" s="44"/>
      <c r="OBD105" s="44"/>
      <c r="OBE105" s="44"/>
      <c r="OBF105" s="44"/>
      <c r="OBG105" s="44"/>
      <c r="OBH105" s="44"/>
      <c r="OBI105" s="44"/>
      <c r="OBJ105" s="44"/>
      <c r="OBK105" s="44"/>
      <c r="OBL105" s="44"/>
      <c r="OBM105" s="44"/>
      <c r="OBN105" s="44"/>
      <c r="OBO105" s="44"/>
      <c r="OBP105" s="44"/>
      <c r="OBQ105" s="44"/>
      <c r="OBR105" s="44"/>
      <c r="OBS105" s="44"/>
      <c r="OBT105" s="44"/>
      <c r="OBU105" s="44"/>
      <c r="OBV105" s="44"/>
      <c r="OBW105" s="44"/>
      <c r="OBX105" s="44"/>
      <c r="OBY105" s="44"/>
      <c r="OBZ105" s="44"/>
      <c r="OCA105" s="44"/>
      <c r="OCB105" s="44"/>
      <c r="OCC105" s="44"/>
      <c r="OCD105" s="44"/>
      <c r="OCE105" s="44"/>
      <c r="OCF105" s="44"/>
      <c r="OCG105" s="44"/>
      <c r="OCH105" s="44"/>
      <c r="OCI105" s="44"/>
      <c r="OCJ105" s="44"/>
      <c r="OCK105" s="44"/>
      <c r="OCL105" s="44"/>
      <c r="OCM105" s="44"/>
      <c r="OCN105" s="44"/>
      <c r="OCO105" s="44"/>
      <c r="OCP105" s="44"/>
      <c r="OCQ105" s="44"/>
      <c r="OCR105" s="44"/>
      <c r="OCS105" s="44"/>
      <c r="OCT105" s="44"/>
      <c r="OCU105" s="44"/>
      <c r="OCV105" s="44"/>
      <c r="OCW105" s="44"/>
      <c r="OCX105" s="44"/>
      <c r="OCY105" s="44"/>
      <c r="OCZ105" s="44"/>
      <c r="ODA105" s="44"/>
      <c r="ODB105" s="44"/>
      <c r="ODC105" s="44"/>
      <c r="ODD105" s="44"/>
      <c r="ODE105" s="44"/>
      <c r="ODF105" s="44"/>
      <c r="ODG105" s="44"/>
      <c r="ODH105" s="44"/>
      <c r="ODI105" s="44"/>
      <c r="ODJ105" s="44"/>
      <c r="ODK105" s="44"/>
      <c r="ODL105" s="44"/>
      <c r="ODM105" s="44"/>
      <c r="ODN105" s="44"/>
      <c r="ODO105" s="44"/>
      <c r="ODP105" s="44"/>
      <c r="ODQ105" s="44"/>
      <c r="ODR105" s="44"/>
      <c r="ODS105" s="44"/>
      <c r="ODT105" s="44"/>
      <c r="ODU105" s="44"/>
      <c r="ODV105" s="44"/>
      <c r="ODW105" s="44"/>
      <c r="ODX105" s="44"/>
      <c r="ODY105" s="44"/>
      <c r="ODZ105" s="44"/>
      <c r="OEA105" s="44"/>
      <c r="OEB105" s="44"/>
      <c r="OEC105" s="44"/>
      <c r="OED105" s="44"/>
      <c r="OEE105" s="44"/>
      <c r="OEF105" s="44"/>
      <c r="OEG105" s="44"/>
      <c r="OEH105" s="44"/>
      <c r="OEI105" s="44"/>
      <c r="OEJ105" s="44"/>
      <c r="OEK105" s="44"/>
      <c r="OEL105" s="44"/>
      <c r="OEM105" s="44"/>
      <c r="OEN105" s="44"/>
      <c r="OEO105" s="44"/>
      <c r="OEP105" s="44"/>
      <c r="OEQ105" s="44"/>
      <c r="OER105" s="44"/>
      <c r="OES105" s="44"/>
      <c r="OET105" s="44"/>
      <c r="OEU105" s="44"/>
      <c r="OEV105" s="44"/>
      <c r="OEW105" s="44"/>
      <c r="OEX105" s="44"/>
      <c r="OEY105" s="44"/>
      <c r="OEZ105" s="44"/>
      <c r="OFA105" s="44"/>
      <c r="OFB105" s="44"/>
      <c r="OFC105" s="44"/>
      <c r="OFD105" s="44"/>
      <c r="OFE105" s="44"/>
      <c r="OFF105" s="44"/>
      <c r="OFG105" s="44"/>
      <c r="OFH105" s="44"/>
      <c r="OFI105" s="44"/>
      <c r="OFJ105" s="44"/>
      <c r="OFK105" s="44"/>
      <c r="OFL105" s="44"/>
      <c r="OFM105" s="44"/>
      <c r="OFN105" s="44"/>
      <c r="OFO105" s="44"/>
      <c r="OFP105" s="44"/>
      <c r="OFQ105" s="44"/>
      <c r="OFR105" s="44"/>
      <c r="OFS105" s="44"/>
      <c r="OFT105" s="44"/>
      <c r="OFU105" s="44"/>
      <c r="OFV105" s="44"/>
      <c r="OFW105" s="44"/>
      <c r="OFX105" s="44"/>
      <c r="OFY105" s="44"/>
      <c r="OFZ105" s="44"/>
      <c r="OGA105" s="44"/>
      <c r="OGB105" s="44"/>
      <c r="OGC105" s="44"/>
      <c r="OGD105" s="44"/>
      <c r="OGE105" s="44"/>
      <c r="OGF105" s="44"/>
      <c r="OGG105" s="44"/>
      <c r="OGH105" s="44"/>
      <c r="OGI105" s="44"/>
      <c r="OGJ105" s="44"/>
      <c r="OGK105" s="44"/>
      <c r="OGL105" s="44"/>
      <c r="OGM105" s="44"/>
      <c r="OGN105" s="44"/>
      <c r="OGO105" s="44"/>
      <c r="OGP105" s="44"/>
      <c r="OGQ105" s="44"/>
      <c r="OGR105" s="44"/>
      <c r="OGS105" s="44"/>
      <c r="OGT105" s="44"/>
      <c r="OGU105" s="44"/>
      <c r="OGV105" s="44"/>
      <c r="OGW105" s="44"/>
      <c r="OGX105" s="44"/>
      <c r="OGY105" s="44"/>
      <c r="OGZ105" s="44"/>
      <c r="OHA105" s="44"/>
      <c r="OHB105" s="44"/>
      <c r="OHC105" s="44"/>
      <c r="OHD105" s="44"/>
      <c r="OHE105" s="44"/>
      <c r="OHF105" s="44"/>
      <c r="OHG105" s="44"/>
      <c r="OHH105" s="44"/>
      <c r="OHI105" s="44"/>
      <c r="OHJ105" s="44"/>
      <c r="OHK105" s="44"/>
      <c r="OHL105" s="44"/>
      <c r="OHM105" s="44"/>
      <c r="OHN105" s="44"/>
      <c r="OHO105" s="44"/>
      <c r="OHP105" s="44"/>
      <c r="OHQ105" s="44"/>
      <c r="OHR105" s="44"/>
      <c r="OHS105" s="44"/>
      <c r="OHT105" s="44"/>
      <c r="OHU105" s="44"/>
      <c r="OHV105" s="44"/>
      <c r="OHW105" s="44"/>
      <c r="OHX105" s="44"/>
      <c r="OHY105" s="44"/>
      <c r="OHZ105" s="44"/>
      <c r="OIA105" s="44"/>
      <c r="OIB105" s="44"/>
      <c r="OIC105" s="44"/>
      <c r="OID105" s="44"/>
      <c r="OIE105" s="44"/>
      <c r="OIF105" s="44"/>
      <c r="OIG105" s="44"/>
      <c r="OIH105" s="44"/>
      <c r="OII105" s="44"/>
      <c r="OIJ105" s="44"/>
      <c r="OIK105" s="44"/>
      <c r="OIL105" s="44"/>
      <c r="OIM105" s="44"/>
      <c r="OIN105" s="44"/>
      <c r="OIO105" s="44"/>
      <c r="OIP105" s="44"/>
      <c r="OIQ105" s="44"/>
      <c r="OIR105" s="44"/>
      <c r="OIS105" s="44"/>
      <c r="OIT105" s="44"/>
      <c r="OIU105" s="44"/>
      <c r="OIV105" s="44"/>
      <c r="OIW105" s="44"/>
      <c r="OIX105" s="44"/>
      <c r="OIY105" s="44"/>
      <c r="OIZ105" s="44"/>
      <c r="OJA105" s="44"/>
      <c r="OJB105" s="44"/>
      <c r="OJC105" s="44"/>
      <c r="OJD105" s="44"/>
      <c r="OJE105" s="44"/>
      <c r="OJF105" s="44"/>
      <c r="OJG105" s="44"/>
      <c r="OJH105" s="44"/>
      <c r="OJI105" s="44"/>
      <c r="OJJ105" s="44"/>
      <c r="OJK105" s="44"/>
      <c r="OJL105" s="44"/>
      <c r="OJM105" s="44"/>
      <c r="OJN105" s="44"/>
      <c r="OJO105" s="44"/>
      <c r="OJP105" s="44"/>
      <c r="OJQ105" s="44"/>
      <c r="OJR105" s="44"/>
      <c r="OJS105" s="44"/>
      <c r="OJT105" s="44"/>
      <c r="OJU105" s="44"/>
      <c r="OJV105" s="44"/>
      <c r="OJW105" s="44"/>
      <c r="OJX105" s="44"/>
      <c r="OJY105" s="44"/>
      <c r="OJZ105" s="44"/>
      <c r="OKA105" s="44"/>
      <c r="OKB105" s="44"/>
      <c r="OKC105" s="44"/>
      <c r="OKD105" s="44"/>
      <c r="OKE105" s="44"/>
      <c r="OKF105" s="44"/>
      <c r="OKG105" s="44"/>
      <c r="OKH105" s="44"/>
      <c r="OKI105" s="44"/>
      <c r="OKJ105" s="44"/>
      <c r="OKK105" s="44"/>
      <c r="OKL105" s="44"/>
      <c r="OKM105" s="44"/>
      <c r="OKN105" s="44"/>
      <c r="OKO105" s="44"/>
      <c r="OKP105" s="44"/>
      <c r="OKQ105" s="44"/>
      <c r="OKR105" s="44"/>
      <c r="OKS105" s="44"/>
      <c r="OKT105" s="44"/>
      <c r="OKU105" s="44"/>
      <c r="OKV105" s="44"/>
      <c r="OKW105" s="44"/>
      <c r="OKX105" s="44"/>
      <c r="OKY105" s="44"/>
      <c r="OKZ105" s="44"/>
      <c r="OLA105" s="44"/>
      <c r="OLB105" s="44"/>
      <c r="OLC105" s="44"/>
      <c r="OLD105" s="44"/>
      <c r="OLE105" s="44"/>
      <c r="OLF105" s="44"/>
      <c r="OLG105" s="44"/>
      <c r="OLH105" s="44"/>
      <c r="OLI105" s="44"/>
      <c r="OLJ105" s="44"/>
      <c r="OLK105" s="44"/>
      <c r="OLL105" s="44"/>
      <c r="OLM105" s="44"/>
      <c r="OLN105" s="44"/>
      <c r="OLO105" s="44"/>
      <c r="OLP105" s="44"/>
      <c r="OLQ105" s="44"/>
      <c r="OLR105" s="44"/>
      <c r="OLS105" s="44"/>
      <c r="OLT105" s="44"/>
      <c r="OLU105" s="44"/>
      <c r="OLV105" s="44"/>
      <c r="OLW105" s="44"/>
      <c r="OLX105" s="44"/>
      <c r="OLY105" s="44"/>
      <c r="OLZ105" s="44"/>
      <c r="OMA105" s="44"/>
      <c r="OMB105" s="44"/>
      <c r="OMC105" s="44"/>
      <c r="OMD105" s="44"/>
      <c r="OME105" s="44"/>
      <c r="OMF105" s="44"/>
      <c r="OMG105" s="44"/>
      <c r="OMH105" s="44"/>
      <c r="OMI105" s="44"/>
      <c r="OMJ105" s="44"/>
      <c r="OMK105" s="44"/>
      <c r="OML105" s="44"/>
      <c r="OMM105" s="44"/>
      <c r="OMN105" s="44"/>
      <c r="OMO105" s="44"/>
      <c r="OMP105" s="44"/>
      <c r="OMQ105" s="44"/>
      <c r="OMR105" s="44"/>
      <c r="OMS105" s="44"/>
      <c r="OMT105" s="44"/>
      <c r="OMU105" s="44"/>
      <c r="OMV105" s="44"/>
      <c r="OMW105" s="44"/>
      <c r="OMX105" s="44"/>
      <c r="OMY105" s="44"/>
      <c r="OMZ105" s="44"/>
      <c r="ONA105" s="44"/>
      <c r="ONB105" s="44"/>
      <c r="ONC105" s="44"/>
      <c r="OND105" s="44"/>
      <c r="ONE105" s="44"/>
      <c r="ONF105" s="44"/>
      <c r="ONG105" s="44"/>
      <c r="ONH105" s="44"/>
      <c r="ONI105" s="44"/>
      <c r="ONJ105" s="44"/>
      <c r="ONK105" s="44"/>
      <c r="ONL105" s="44"/>
      <c r="ONM105" s="44"/>
      <c r="ONN105" s="44"/>
      <c r="ONO105" s="44"/>
      <c r="ONP105" s="44"/>
      <c r="ONQ105" s="44"/>
      <c r="ONR105" s="44"/>
      <c r="ONS105" s="44"/>
      <c r="ONT105" s="44"/>
      <c r="ONU105" s="44"/>
      <c r="ONV105" s="44"/>
      <c r="ONW105" s="44"/>
      <c r="ONX105" s="44"/>
      <c r="ONY105" s="44"/>
      <c r="ONZ105" s="44"/>
      <c r="OOA105" s="44"/>
      <c r="OOB105" s="44"/>
      <c r="OOC105" s="44"/>
      <c r="OOD105" s="44"/>
      <c r="OOE105" s="44"/>
      <c r="OOF105" s="44"/>
      <c r="OOG105" s="44"/>
      <c r="OOH105" s="44"/>
      <c r="OOI105" s="44"/>
      <c r="OOJ105" s="44"/>
      <c r="OOK105" s="44"/>
      <c r="OOL105" s="44"/>
      <c r="OOM105" s="44"/>
      <c r="OON105" s="44"/>
      <c r="OOO105" s="44"/>
      <c r="OOP105" s="44"/>
      <c r="OOQ105" s="44"/>
      <c r="OOR105" s="44"/>
      <c r="OOS105" s="44"/>
      <c r="OOT105" s="44"/>
      <c r="OOU105" s="44"/>
      <c r="OOV105" s="44"/>
      <c r="OOW105" s="44"/>
      <c r="OOX105" s="44"/>
      <c r="OOY105" s="44"/>
      <c r="OOZ105" s="44"/>
      <c r="OPA105" s="44"/>
      <c r="OPB105" s="44"/>
      <c r="OPC105" s="44"/>
      <c r="OPD105" s="44"/>
      <c r="OPE105" s="44"/>
      <c r="OPF105" s="44"/>
      <c r="OPG105" s="44"/>
      <c r="OPH105" s="44"/>
      <c r="OPI105" s="44"/>
      <c r="OPJ105" s="44"/>
      <c r="OPK105" s="44"/>
      <c r="OPL105" s="44"/>
      <c r="OPM105" s="44"/>
      <c r="OPN105" s="44"/>
      <c r="OPO105" s="44"/>
      <c r="OPP105" s="44"/>
      <c r="OPQ105" s="44"/>
      <c r="OPR105" s="44"/>
      <c r="OPS105" s="44"/>
      <c r="OPT105" s="44"/>
      <c r="OPU105" s="44"/>
      <c r="OPV105" s="44"/>
      <c r="OPW105" s="44"/>
      <c r="OPX105" s="44"/>
      <c r="OPY105" s="44"/>
      <c r="OPZ105" s="44"/>
      <c r="OQA105" s="44"/>
      <c r="OQB105" s="44"/>
      <c r="OQC105" s="44"/>
      <c r="OQD105" s="44"/>
      <c r="OQE105" s="44"/>
      <c r="OQF105" s="44"/>
      <c r="OQG105" s="44"/>
      <c r="OQH105" s="44"/>
      <c r="OQI105" s="44"/>
      <c r="OQJ105" s="44"/>
      <c r="OQK105" s="44"/>
      <c r="OQL105" s="44"/>
      <c r="OQM105" s="44"/>
      <c r="OQN105" s="44"/>
      <c r="OQO105" s="44"/>
      <c r="OQP105" s="44"/>
      <c r="OQQ105" s="44"/>
      <c r="OQR105" s="44"/>
      <c r="OQS105" s="44"/>
      <c r="OQT105" s="44"/>
      <c r="OQU105" s="44"/>
      <c r="OQV105" s="44"/>
      <c r="OQW105" s="44"/>
      <c r="OQX105" s="44"/>
      <c r="OQY105" s="44"/>
      <c r="OQZ105" s="44"/>
      <c r="ORA105" s="44"/>
      <c r="ORB105" s="44"/>
      <c r="ORC105" s="44"/>
      <c r="ORD105" s="44"/>
      <c r="ORE105" s="44"/>
      <c r="ORF105" s="44"/>
      <c r="ORG105" s="44"/>
      <c r="ORH105" s="44"/>
      <c r="ORI105" s="44"/>
      <c r="ORJ105" s="44"/>
      <c r="ORK105" s="44"/>
      <c r="ORL105" s="44"/>
      <c r="ORM105" s="44"/>
      <c r="ORN105" s="44"/>
      <c r="ORO105" s="44"/>
      <c r="ORP105" s="44"/>
      <c r="ORQ105" s="44"/>
      <c r="ORR105" s="44"/>
      <c r="ORS105" s="44"/>
      <c r="ORT105" s="44"/>
      <c r="ORU105" s="44"/>
      <c r="ORV105" s="44"/>
      <c r="ORW105" s="44"/>
      <c r="ORX105" s="44"/>
      <c r="ORY105" s="44"/>
      <c r="ORZ105" s="44"/>
      <c r="OSA105" s="44"/>
      <c r="OSB105" s="44"/>
      <c r="OSC105" s="44"/>
      <c r="OSD105" s="44"/>
      <c r="OSE105" s="44"/>
      <c r="OSF105" s="44"/>
      <c r="OSG105" s="44"/>
      <c r="OSH105" s="44"/>
      <c r="OSI105" s="44"/>
      <c r="OSJ105" s="44"/>
      <c r="OSK105" s="44"/>
      <c r="OSL105" s="44"/>
      <c r="OSM105" s="44"/>
      <c r="OSN105" s="44"/>
      <c r="OSO105" s="44"/>
      <c r="OSP105" s="44"/>
      <c r="OSQ105" s="44"/>
      <c r="OSR105" s="44"/>
      <c r="OSS105" s="44"/>
      <c r="OST105" s="44"/>
      <c r="OSU105" s="44"/>
      <c r="OSV105" s="44"/>
      <c r="OSW105" s="44"/>
      <c r="OSX105" s="44"/>
      <c r="OSY105" s="44"/>
      <c r="OSZ105" s="44"/>
      <c r="OTA105" s="44"/>
      <c r="OTB105" s="44"/>
      <c r="OTC105" s="44"/>
      <c r="OTD105" s="44"/>
      <c r="OTE105" s="44"/>
      <c r="OTF105" s="44"/>
      <c r="OTG105" s="44"/>
      <c r="OTH105" s="44"/>
      <c r="OTI105" s="44"/>
      <c r="OTJ105" s="44"/>
      <c r="OTK105" s="44"/>
      <c r="OTL105" s="44"/>
      <c r="OTM105" s="44"/>
      <c r="OTN105" s="44"/>
      <c r="OTO105" s="44"/>
      <c r="OTP105" s="44"/>
      <c r="OTQ105" s="44"/>
      <c r="OTR105" s="44"/>
      <c r="OTS105" s="44"/>
      <c r="OTT105" s="44"/>
      <c r="OTU105" s="44"/>
      <c r="OTV105" s="44"/>
      <c r="OTW105" s="44"/>
      <c r="OTX105" s="44"/>
      <c r="OTY105" s="44"/>
      <c r="OTZ105" s="44"/>
      <c r="OUA105" s="44"/>
      <c r="OUB105" s="44"/>
      <c r="OUC105" s="44"/>
      <c r="OUD105" s="44"/>
      <c r="OUE105" s="44"/>
      <c r="OUF105" s="44"/>
      <c r="OUG105" s="44"/>
      <c r="OUH105" s="44"/>
      <c r="OUI105" s="44"/>
      <c r="OUJ105" s="44"/>
      <c r="OUK105" s="44"/>
      <c r="OUL105" s="44"/>
      <c r="OUM105" s="44"/>
      <c r="OUN105" s="44"/>
      <c r="OUO105" s="44"/>
      <c r="OUP105" s="44"/>
      <c r="OUQ105" s="44"/>
      <c r="OUR105" s="44"/>
      <c r="OUS105" s="44"/>
      <c r="OUT105" s="44"/>
      <c r="OUU105" s="44"/>
      <c r="OUV105" s="44"/>
      <c r="OUW105" s="44"/>
      <c r="OUX105" s="44"/>
      <c r="OUY105" s="44"/>
      <c r="OUZ105" s="44"/>
      <c r="OVA105" s="44"/>
      <c r="OVB105" s="44"/>
      <c r="OVC105" s="44"/>
      <c r="OVD105" s="44"/>
      <c r="OVE105" s="44"/>
      <c r="OVF105" s="44"/>
      <c r="OVG105" s="44"/>
      <c r="OVH105" s="44"/>
      <c r="OVI105" s="44"/>
      <c r="OVJ105" s="44"/>
      <c r="OVK105" s="44"/>
      <c r="OVL105" s="44"/>
      <c r="OVM105" s="44"/>
      <c r="OVN105" s="44"/>
      <c r="OVO105" s="44"/>
      <c r="OVP105" s="44"/>
      <c r="OVQ105" s="44"/>
      <c r="OVR105" s="44"/>
      <c r="OVS105" s="44"/>
      <c r="OVT105" s="44"/>
      <c r="OVU105" s="44"/>
      <c r="OVV105" s="44"/>
      <c r="OVW105" s="44"/>
      <c r="OVX105" s="44"/>
      <c r="OVY105" s="44"/>
      <c r="OVZ105" s="44"/>
      <c r="OWA105" s="44"/>
      <c r="OWB105" s="44"/>
      <c r="OWC105" s="44"/>
      <c r="OWD105" s="44"/>
      <c r="OWE105" s="44"/>
      <c r="OWF105" s="44"/>
      <c r="OWG105" s="44"/>
      <c r="OWH105" s="44"/>
      <c r="OWI105" s="44"/>
      <c r="OWJ105" s="44"/>
      <c r="OWK105" s="44"/>
      <c r="OWL105" s="44"/>
      <c r="OWM105" s="44"/>
      <c r="OWN105" s="44"/>
      <c r="OWO105" s="44"/>
      <c r="OWP105" s="44"/>
      <c r="OWQ105" s="44"/>
      <c r="OWR105" s="44"/>
      <c r="OWS105" s="44"/>
      <c r="OWT105" s="44"/>
      <c r="OWU105" s="44"/>
      <c r="OWV105" s="44"/>
      <c r="OWW105" s="44"/>
      <c r="OWX105" s="44"/>
      <c r="OWY105" s="44"/>
      <c r="OWZ105" s="44"/>
      <c r="OXA105" s="44"/>
      <c r="OXB105" s="44"/>
      <c r="OXC105" s="44"/>
      <c r="OXD105" s="44"/>
      <c r="OXE105" s="44"/>
      <c r="OXF105" s="44"/>
      <c r="OXG105" s="44"/>
      <c r="OXH105" s="44"/>
      <c r="OXI105" s="44"/>
      <c r="OXJ105" s="44"/>
      <c r="OXK105" s="44"/>
      <c r="OXL105" s="44"/>
      <c r="OXM105" s="44"/>
      <c r="OXN105" s="44"/>
      <c r="OXO105" s="44"/>
      <c r="OXP105" s="44"/>
      <c r="OXQ105" s="44"/>
      <c r="OXR105" s="44"/>
      <c r="OXS105" s="44"/>
      <c r="OXT105" s="44"/>
      <c r="OXU105" s="44"/>
      <c r="OXV105" s="44"/>
      <c r="OXW105" s="44"/>
      <c r="OXX105" s="44"/>
      <c r="OXY105" s="44"/>
      <c r="OXZ105" s="44"/>
      <c r="OYA105" s="44"/>
      <c r="OYB105" s="44"/>
      <c r="OYC105" s="44"/>
      <c r="OYD105" s="44"/>
      <c r="OYE105" s="44"/>
      <c r="OYF105" s="44"/>
      <c r="OYG105" s="44"/>
      <c r="OYH105" s="44"/>
      <c r="OYI105" s="44"/>
      <c r="OYJ105" s="44"/>
      <c r="OYK105" s="44"/>
      <c r="OYL105" s="44"/>
      <c r="OYM105" s="44"/>
      <c r="OYN105" s="44"/>
      <c r="OYO105" s="44"/>
      <c r="OYP105" s="44"/>
      <c r="OYQ105" s="44"/>
      <c r="OYR105" s="44"/>
      <c r="OYS105" s="44"/>
      <c r="OYT105" s="44"/>
      <c r="OYU105" s="44"/>
      <c r="OYV105" s="44"/>
      <c r="OYW105" s="44"/>
      <c r="OYX105" s="44"/>
      <c r="OYY105" s="44"/>
      <c r="OYZ105" s="44"/>
      <c r="OZA105" s="44"/>
      <c r="OZB105" s="44"/>
      <c r="OZC105" s="44"/>
      <c r="OZD105" s="44"/>
      <c r="OZE105" s="44"/>
      <c r="OZF105" s="44"/>
      <c r="OZG105" s="44"/>
      <c r="OZH105" s="44"/>
      <c r="OZI105" s="44"/>
      <c r="OZJ105" s="44"/>
      <c r="OZK105" s="44"/>
      <c r="OZL105" s="44"/>
      <c r="OZM105" s="44"/>
      <c r="OZN105" s="44"/>
      <c r="OZO105" s="44"/>
      <c r="OZP105" s="44"/>
      <c r="OZQ105" s="44"/>
      <c r="OZR105" s="44"/>
      <c r="OZS105" s="44"/>
      <c r="OZT105" s="44"/>
      <c r="OZU105" s="44"/>
      <c r="OZV105" s="44"/>
      <c r="OZW105" s="44"/>
      <c r="OZX105" s="44"/>
      <c r="OZY105" s="44"/>
      <c r="OZZ105" s="44"/>
      <c r="PAA105" s="44"/>
      <c r="PAB105" s="44"/>
      <c r="PAC105" s="44"/>
      <c r="PAD105" s="44"/>
      <c r="PAE105" s="44"/>
      <c r="PAF105" s="44"/>
      <c r="PAG105" s="44"/>
      <c r="PAH105" s="44"/>
      <c r="PAI105" s="44"/>
      <c r="PAJ105" s="44"/>
      <c r="PAK105" s="44"/>
      <c r="PAL105" s="44"/>
      <c r="PAM105" s="44"/>
      <c r="PAN105" s="44"/>
      <c r="PAO105" s="44"/>
      <c r="PAP105" s="44"/>
      <c r="PAQ105" s="44"/>
      <c r="PAR105" s="44"/>
      <c r="PAS105" s="44"/>
      <c r="PAT105" s="44"/>
      <c r="PAU105" s="44"/>
      <c r="PAV105" s="44"/>
      <c r="PAW105" s="44"/>
      <c r="PAX105" s="44"/>
      <c r="PAY105" s="44"/>
      <c r="PAZ105" s="44"/>
      <c r="PBA105" s="44"/>
      <c r="PBB105" s="44"/>
      <c r="PBC105" s="44"/>
      <c r="PBD105" s="44"/>
      <c r="PBE105" s="44"/>
      <c r="PBF105" s="44"/>
      <c r="PBG105" s="44"/>
      <c r="PBH105" s="44"/>
      <c r="PBI105" s="44"/>
      <c r="PBJ105" s="44"/>
      <c r="PBK105" s="44"/>
      <c r="PBL105" s="44"/>
      <c r="PBM105" s="44"/>
      <c r="PBN105" s="44"/>
      <c r="PBO105" s="44"/>
      <c r="PBP105" s="44"/>
      <c r="PBQ105" s="44"/>
      <c r="PBR105" s="44"/>
      <c r="PBS105" s="44"/>
      <c r="PBT105" s="44"/>
      <c r="PBU105" s="44"/>
      <c r="PBV105" s="44"/>
      <c r="PBW105" s="44"/>
      <c r="PBX105" s="44"/>
      <c r="PBY105" s="44"/>
      <c r="PBZ105" s="44"/>
      <c r="PCA105" s="44"/>
      <c r="PCB105" s="44"/>
      <c r="PCC105" s="44"/>
      <c r="PCD105" s="44"/>
      <c r="PCE105" s="44"/>
      <c r="PCF105" s="44"/>
      <c r="PCG105" s="44"/>
      <c r="PCH105" s="44"/>
      <c r="PCI105" s="44"/>
      <c r="PCJ105" s="44"/>
      <c r="PCK105" s="44"/>
      <c r="PCL105" s="44"/>
      <c r="PCM105" s="44"/>
      <c r="PCN105" s="44"/>
      <c r="PCO105" s="44"/>
      <c r="PCP105" s="44"/>
      <c r="PCQ105" s="44"/>
      <c r="PCR105" s="44"/>
      <c r="PCS105" s="44"/>
      <c r="PCT105" s="44"/>
      <c r="PCU105" s="44"/>
      <c r="PCV105" s="44"/>
      <c r="PCW105" s="44"/>
      <c r="PCX105" s="44"/>
      <c r="PCY105" s="44"/>
      <c r="PCZ105" s="44"/>
      <c r="PDA105" s="44"/>
      <c r="PDB105" s="44"/>
      <c r="PDC105" s="44"/>
      <c r="PDD105" s="44"/>
      <c r="PDE105" s="44"/>
      <c r="PDF105" s="44"/>
      <c r="PDG105" s="44"/>
      <c r="PDH105" s="44"/>
      <c r="PDI105" s="44"/>
      <c r="PDJ105" s="44"/>
      <c r="PDK105" s="44"/>
      <c r="PDL105" s="44"/>
      <c r="PDM105" s="44"/>
      <c r="PDN105" s="44"/>
      <c r="PDO105" s="44"/>
      <c r="PDP105" s="44"/>
      <c r="PDQ105" s="44"/>
      <c r="PDR105" s="44"/>
      <c r="PDS105" s="44"/>
      <c r="PDT105" s="44"/>
      <c r="PDU105" s="44"/>
      <c r="PDV105" s="44"/>
      <c r="PDW105" s="44"/>
      <c r="PDX105" s="44"/>
      <c r="PDY105" s="44"/>
      <c r="PDZ105" s="44"/>
      <c r="PEA105" s="44"/>
      <c r="PEB105" s="44"/>
      <c r="PEC105" s="44"/>
      <c r="PED105" s="44"/>
      <c r="PEE105" s="44"/>
      <c r="PEF105" s="44"/>
      <c r="PEG105" s="44"/>
      <c r="PEH105" s="44"/>
      <c r="PEI105" s="44"/>
      <c r="PEJ105" s="44"/>
      <c r="PEK105" s="44"/>
      <c r="PEL105" s="44"/>
      <c r="PEM105" s="44"/>
      <c r="PEN105" s="44"/>
      <c r="PEO105" s="44"/>
      <c r="PEP105" s="44"/>
      <c r="PEQ105" s="44"/>
      <c r="PER105" s="44"/>
      <c r="PES105" s="44"/>
      <c r="PET105" s="44"/>
      <c r="PEU105" s="44"/>
      <c r="PEV105" s="44"/>
      <c r="PEW105" s="44"/>
      <c r="PEX105" s="44"/>
      <c r="PEY105" s="44"/>
      <c r="PEZ105" s="44"/>
      <c r="PFA105" s="44"/>
      <c r="PFB105" s="44"/>
      <c r="PFC105" s="44"/>
      <c r="PFD105" s="44"/>
      <c r="PFE105" s="44"/>
      <c r="PFF105" s="44"/>
      <c r="PFG105" s="44"/>
      <c r="PFH105" s="44"/>
      <c r="PFI105" s="44"/>
      <c r="PFJ105" s="44"/>
      <c r="PFK105" s="44"/>
      <c r="PFL105" s="44"/>
      <c r="PFM105" s="44"/>
      <c r="PFN105" s="44"/>
      <c r="PFO105" s="44"/>
      <c r="PFP105" s="44"/>
      <c r="PFQ105" s="44"/>
      <c r="PFR105" s="44"/>
      <c r="PFS105" s="44"/>
      <c r="PFT105" s="44"/>
      <c r="PFU105" s="44"/>
      <c r="PFV105" s="44"/>
      <c r="PFW105" s="44"/>
      <c r="PFX105" s="44"/>
      <c r="PFY105" s="44"/>
      <c r="PFZ105" s="44"/>
      <c r="PGA105" s="44"/>
      <c r="PGB105" s="44"/>
      <c r="PGC105" s="44"/>
      <c r="PGD105" s="44"/>
      <c r="PGE105" s="44"/>
      <c r="PGF105" s="44"/>
      <c r="PGG105" s="44"/>
      <c r="PGH105" s="44"/>
      <c r="PGI105" s="44"/>
      <c r="PGJ105" s="44"/>
      <c r="PGK105" s="44"/>
      <c r="PGL105" s="44"/>
      <c r="PGM105" s="44"/>
      <c r="PGN105" s="44"/>
      <c r="PGO105" s="44"/>
      <c r="PGP105" s="44"/>
      <c r="PGQ105" s="44"/>
      <c r="PGR105" s="44"/>
      <c r="PGS105" s="44"/>
      <c r="PGT105" s="44"/>
      <c r="PGU105" s="44"/>
      <c r="PGV105" s="44"/>
      <c r="PGW105" s="44"/>
      <c r="PGX105" s="44"/>
      <c r="PGY105" s="44"/>
      <c r="PGZ105" s="44"/>
      <c r="PHA105" s="44"/>
      <c r="PHB105" s="44"/>
      <c r="PHC105" s="44"/>
      <c r="PHD105" s="44"/>
      <c r="PHE105" s="44"/>
      <c r="PHF105" s="44"/>
      <c r="PHG105" s="44"/>
      <c r="PHH105" s="44"/>
      <c r="PHI105" s="44"/>
      <c r="PHJ105" s="44"/>
      <c r="PHK105" s="44"/>
      <c r="PHL105" s="44"/>
      <c r="PHM105" s="44"/>
      <c r="PHN105" s="44"/>
      <c r="PHO105" s="44"/>
      <c r="PHP105" s="44"/>
      <c r="PHQ105" s="44"/>
      <c r="PHR105" s="44"/>
      <c r="PHS105" s="44"/>
      <c r="PHT105" s="44"/>
      <c r="PHU105" s="44"/>
      <c r="PHV105" s="44"/>
      <c r="PHW105" s="44"/>
      <c r="PHX105" s="44"/>
      <c r="PHY105" s="44"/>
      <c r="PHZ105" s="44"/>
      <c r="PIA105" s="44"/>
      <c r="PIB105" s="44"/>
      <c r="PIC105" s="44"/>
      <c r="PID105" s="44"/>
      <c r="PIE105" s="44"/>
      <c r="PIF105" s="44"/>
      <c r="PIG105" s="44"/>
      <c r="PIH105" s="44"/>
      <c r="PII105" s="44"/>
      <c r="PIJ105" s="44"/>
      <c r="PIK105" s="44"/>
      <c r="PIL105" s="44"/>
      <c r="PIM105" s="44"/>
      <c r="PIN105" s="44"/>
      <c r="PIO105" s="44"/>
      <c r="PIP105" s="44"/>
      <c r="PIQ105" s="44"/>
      <c r="PIR105" s="44"/>
      <c r="PIS105" s="44"/>
      <c r="PIT105" s="44"/>
      <c r="PIU105" s="44"/>
      <c r="PIV105" s="44"/>
      <c r="PIW105" s="44"/>
      <c r="PIX105" s="44"/>
      <c r="PIY105" s="44"/>
      <c r="PIZ105" s="44"/>
      <c r="PJA105" s="44"/>
      <c r="PJB105" s="44"/>
      <c r="PJC105" s="44"/>
      <c r="PJD105" s="44"/>
      <c r="PJE105" s="44"/>
      <c r="PJF105" s="44"/>
      <c r="PJG105" s="44"/>
      <c r="PJH105" s="44"/>
      <c r="PJI105" s="44"/>
      <c r="PJJ105" s="44"/>
      <c r="PJK105" s="44"/>
      <c r="PJL105" s="44"/>
      <c r="PJM105" s="44"/>
      <c r="PJN105" s="44"/>
      <c r="PJO105" s="44"/>
      <c r="PJP105" s="44"/>
      <c r="PJQ105" s="44"/>
      <c r="PJR105" s="44"/>
      <c r="PJS105" s="44"/>
      <c r="PJT105" s="44"/>
      <c r="PJU105" s="44"/>
      <c r="PJV105" s="44"/>
      <c r="PJW105" s="44"/>
      <c r="PJX105" s="44"/>
      <c r="PJY105" s="44"/>
      <c r="PJZ105" s="44"/>
      <c r="PKA105" s="44"/>
      <c r="PKB105" s="44"/>
      <c r="PKC105" s="44"/>
      <c r="PKD105" s="44"/>
      <c r="PKE105" s="44"/>
      <c r="PKF105" s="44"/>
      <c r="PKG105" s="44"/>
      <c r="PKH105" s="44"/>
      <c r="PKI105" s="44"/>
      <c r="PKJ105" s="44"/>
      <c r="PKK105" s="44"/>
      <c r="PKL105" s="44"/>
      <c r="PKM105" s="44"/>
      <c r="PKN105" s="44"/>
      <c r="PKO105" s="44"/>
      <c r="PKP105" s="44"/>
      <c r="PKQ105" s="44"/>
      <c r="PKR105" s="44"/>
      <c r="PKS105" s="44"/>
      <c r="PKT105" s="44"/>
      <c r="PKU105" s="44"/>
      <c r="PKV105" s="44"/>
      <c r="PKW105" s="44"/>
      <c r="PKX105" s="44"/>
      <c r="PKY105" s="44"/>
      <c r="PKZ105" s="44"/>
      <c r="PLA105" s="44"/>
      <c r="PLB105" s="44"/>
      <c r="PLC105" s="44"/>
      <c r="PLD105" s="44"/>
      <c r="PLE105" s="44"/>
      <c r="PLF105" s="44"/>
      <c r="PLG105" s="44"/>
      <c r="PLH105" s="44"/>
      <c r="PLI105" s="44"/>
      <c r="PLJ105" s="44"/>
      <c r="PLK105" s="44"/>
      <c r="PLL105" s="44"/>
      <c r="PLM105" s="44"/>
      <c r="PLN105" s="44"/>
      <c r="PLO105" s="44"/>
      <c r="PLP105" s="44"/>
      <c r="PLQ105" s="44"/>
      <c r="PLR105" s="44"/>
      <c r="PLS105" s="44"/>
      <c r="PLT105" s="44"/>
      <c r="PLU105" s="44"/>
      <c r="PLV105" s="44"/>
      <c r="PLW105" s="44"/>
      <c r="PLX105" s="44"/>
      <c r="PLY105" s="44"/>
      <c r="PLZ105" s="44"/>
      <c r="PMA105" s="44"/>
      <c r="PMB105" s="44"/>
      <c r="PMC105" s="44"/>
      <c r="PMD105" s="44"/>
      <c r="PME105" s="44"/>
      <c r="PMF105" s="44"/>
      <c r="PMG105" s="44"/>
      <c r="PMH105" s="44"/>
      <c r="PMI105" s="44"/>
      <c r="PMJ105" s="44"/>
      <c r="PMK105" s="44"/>
      <c r="PML105" s="44"/>
      <c r="PMM105" s="44"/>
      <c r="PMN105" s="44"/>
      <c r="PMO105" s="44"/>
      <c r="PMP105" s="44"/>
      <c r="PMQ105" s="44"/>
      <c r="PMR105" s="44"/>
      <c r="PMS105" s="44"/>
      <c r="PMT105" s="44"/>
      <c r="PMU105" s="44"/>
      <c r="PMV105" s="44"/>
      <c r="PMW105" s="44"/>
      <c r="PMX105" s="44"/>
      <c r="PMY105" s="44"/>
      <c r="PMZ105" s="44"/>
      <c r="PNA105" s="44"/>
      <c r="PNB105" s="44"/>
      <c r="PNC105" s="44"/>
      <c r="PND105" s="44"/>
      <c r="PNE105" s="44"/>
      <c r="PNF105" s="44"/>
      <c r="PNG105" s="44"/>
      <c r="PNH105" s="44"/>
      <c r="PNI105" s="44"/>
      <c r="PNJ105" s="44"/>
      <c r="PNK105" s="44"/>
      <c r="PNL105" s="44"/>
      <c r="PNM105" s="44"/>
      <c r="PNN105" s="44"/>
      <c r="PNO105" s="44"/>
      <c r="PNP105" s="44"/>
      <c r="PNQ105" s="44"/>
      <c r="PNR105" s="44"/>
      <c r="PNS105" s="44"/>
      <c r="PNT105" s="44"/>
      <c r="PNU105" s="44"/>
      <c r="PNV105" s="44"/>
      <c r="PNW105" s="44"/>
      <c r="PNX105" s="44"/>
      <c r="PNY105" s="44"/>
      <c r="PNZ105" s="44"/>
      <c r="POA105" s="44"/>
      <c r="POB105" s="44"/>
      <c r="POC105" s="44"/>
      <c r="POD105" s="44"/>
      <c r="POE105" s="44"/>
      <c r="POF105" s="44"/>
      <c r="POG105" s="44"/>
      <c r="POH105" s="44"/>
      <c r="POI105" s="44"/>
      <c r="POJ105" s="44"/>
      <c r="POK105" s="44"/>
      <c r="POL105" s="44"/>
      <c r="POM105" s="44"/>
      <c r="PON105" s="44"/>
      <c r="POO105" s="44"/>
      <c r="POP105" s="44"/>
      <c r="POQ105" s="44"/>
      <c r="POR105" s="44"/>
      <c r="POS105" s="44"/>
      <c r="POT105" s="44"/>
      <c r="POU105" s="44"/>
      <c r="POV105" s="44"/>
      <c r="POW105" s="44"/>
      <c r="POX105" s="44"/>
      <c r="POY105" s="44"/>
      <c r="POZ105" s="44"/>
      <c r="PPA105" s="44"/>
      <c r="PPB105" s="44"/>
      <c r="PPC105" s="44"/>
      <c r="PPD105" s="44"/>
      <c r="PPE105" s="44"/>
      <c r="PPF105" s="44"/>
      <c r="PPG105" s="44"/>
      <c r="PPH105" s="44"/>
      <c r="PPI105" s="44"/>
      <c r="PPJ105" s="44"/>
      <c r="PPK105" s="44"/>
      <c r="PPL105" s="44"/>
      <c r="PPM105" s="44"/>
      <c r="PPN105" s="44"/>
      <c r="PPO105" s="44"/>
      <c r="PPP105" s="44"/>
      <c r="PPQ105" s="44"/>
      <c r="PPR105" s="44"/>
      <c r="PPS105" s="44"/>
      <c r="PPT105" s="44"/>
      <c r="PPU105" s="44"/>
      <c r="PPV105" s="44"/>
      <c r="PPW105" s="44"/>
      <c r="PPX105" s="44"/>
      <c r="PPY105" s="44"/>
      <c r="PPZ105" s="44"/>
      <c r="PQA105" s="44"/>
      <c r="PQB105" s="44"/>
      <c r="PQC105" s="44"/>
      <c r="PQD105" s="44"/>
      <c r="PQE105" s="44"/>
      <c r="PQF105" s="44"/>
      <c r="PQG105" s="44"/>
      <c r="PQH105" s="44"/>
      <c r="PQI105" s="44"/>
      <c r="PQJ105" s="44"/>
      <c r="PQK105" s="44"/>
      <c r="PQL105" s="44"/>
      <c r="PQM105" s="44"/>
      <c r="PQN105" s="44"/>
      <c r="PQO105" s="44"/>
      <c r="PQP105" s="44"/>
      <c r="PQQ105" s="44"/>
      <c r="PQR105" s="44"/>
      <c r="PQS105" s="44"/>
      <c r="PQT105" s="44"/>
      <c r="PQU105" s="44"/>
      <c r="PQV105" s="44"/>
      <c r="PQW105" s="44"/>
      <c r="PQX105" s="44"/>
      <c r="PQY105" s="44"/>
      <c r="PQZ105" s="44"/>
      <c r="PRA105" s="44"/>
      <c r="PRB105" s="44"/>
      <c r="PRC105" s="44"/>
      <c r="PRD105" s="44"/>
      <c r="PRE105" s="44"/>
      <c r="PRF105" s="44"/>
      <c r="PRG105" s="44"/>
      <c r="PRH105" s="44"/>
      <c r="PRI105" s="44"/>
      <c r="PRJ105" s="44"/>
      <c r="PRK105" s="44"/>
      <c r="PRL105" s="44"/>
      <c r="PRM105" s="44"/>
      <c r="PRN105" s="44"/>
      <c r="PRO105" s="44"/>
      <c r="PRP105" s="44"/>
      <c r="PRQ105" s="44"/>
      <c r="PRR105" s="44"/>
      <c r="PRS105" s="44"/>
      <c r="PRT105" s="44"/>
      <c r="PRU105" s="44"/>
      <c r="PRV105" s="44"/>
      <c r="PRW105" s="44"/>
      <c r="PRX105" s="44"/>
      <c r="PRY105" s="44"/>
      <c r="PRZ105" s="44"/>
      <c r="PSA105" s="44"/>
      <c r="PSB105" s="44"/>
      <c r="PSC105" s="44"/>
      <c r="PSD105" s="44"/>
      <c r="PSE105" s="44"/>
      <c r="PSF105" s="44"/>
      <c r="PSG105" s="44"/>
      <c r="PSH105" s="44"/>
      <c r="PSI105" s="44"/>
      <c r="PSJ105" s="44"/>
      <c r="PSK105" s="44"/>
      <c r="PSL105" s="44"/>
      <c r="PSM105" s="44"/>
      <c r="PSN105" s="44"/>
      <c r="PSO105" s="44"/>
      <c r="PSP105" s="44"/>
      <c r="PSQ105" s="44"/>
      <c r="PSR105" s="44"/>
      <c r="PSS105" s="44"/>
      <c r="PST105" s="44"/>
      <c r="PSU105" s="44"/>
      <c r="PSV105" s="44"/>
      <c r="PSW105" s="44"/>
      <c r="PSX105" s="44"/>
      <c r="PSY105" s="44"/>
      <c r="PSZ105" s="44"/>
      <c r="PTA105" s="44"/>
      <c r="PTB105" s="44"/>
      <c r="PTC105" s="44"/>
      <c r="PTD105" s="44"/>
      <c r="PTE105" s="44"/>
      <c r="PTF105" s="44"/>
      <c r="PTG105" s="44"/>
      <c r="PTH105" s="44"/>
      <c r="PTI105" s="44"/>
      <c r="PTJ105" s="44"/>
      <c r="PTK105" s="44"/>
      <c r="PTL105" s="44"/>
      <c r="PTM105" s="44"/>
      <c r="PTN105" s="44"/>
      <c r="PTO105" s="44"/>
      <c r="PTP105" s="44"/>
      <c r="PTQ105" s="44"/>
      <c r="PTR105" s="44"/>
      <c r="PTS105" s="44"/>
      <c r="PTT105" s="44"/>
      <c r="PTU105" s="44"/>
      <c r="PTV105" s="44"/>
      <c r="PTW105" s="44"/>
      <c r="PTX105" s="44"/>
      <c r="PTY105" s="44"/>
      <c r="PTZ105" s="44"/>
      <c r="PUA105" s="44"/>
      <c r="PUB105" s="44"/>
      <c r="PUC105" s="44"/>
      <c r="PUD105" s="44"/>
      <c r="PUE105" s="44"/>
      <c r="PUF105" s="44"/>
      <c r="PUG105" s="44"/>
      <c r="PUH105" s="44"/>
      <c r="PUI105" s="44"/>
      <c r="PUJ105" s="44"/>
      <c r="PUK105" s="44"/>
      <c r="PUL105" s="44"/>
      <c r="PUM105" s="44"/>
      <c r="PUN105" s="44"/>
      <c r="PUO105" s="44"/>
      <c r="PUP105" s="44"/>
      <c r="PUQ105" s="44"/>
      <c r="PUR105" s="44"/>
      <c r="PUS105" s="44"/>
      <c r="PUT105" s="44"/>
      <c r="PUU105" s="44"/>
      <c r="PUV105" s="44"/>
      <c r="PUW105" s="44"/>
      <c r="PUX105" s="44"/>
      <c r="PUY105" s="44"/>
      <c r="PUZ105" s="44"/>
      <c r="PVA105" s="44"/>
      <c r="PVB105" s="44"/>
      <c r="PVC105" s="44"/>
      <c r="PVD105" s="44"/>
      <c r="PVE105" s="44"/>
      <c r="PVF105" s="44"/>
      <c r="PVG105" s="44"/>
      <c r="PVH105" s="44"/>
      <c r="PVI105" s="44"/>
      <c r="PVJ105" s="44"/>
      <c r="PVK105" s="44"/>
      <c r="PVL105" s="44"/>
      <c r="PVM105" s="44"/>
      <c r="PVN105" s="44"/>
      <c r="PVO105" s="44"/>
      <c r="PVP105" s="44"/>
      <c r="PVQ105" s="44"/>
      <c r="PVR105" s="44"/>
      <c r="PVS105" s="44"/>
      <c r="PVT105" s="44"/>
      <c r="PVU105" s="44"/>
      <c r="PVV105" s="44"/>
      <c r="PVW105" s="44"/>
      <c r="PVX105" s="44"/>
      <c r="PVY105" s="44"/>
      <c r="PVZ105" s="44"/>
      <c r="PWA105" s="44"/>
      <c r="PWB105" s="44"/>
      <c r="PWC105" s="44"/>
      <c r="PWD105" s="44"/>
      <c r="PWE105" s="44"/>
      <c r="PWF105" s="44"/>
      <c r="PWG105" s="44"/>
      <c r="PWH105" s="44"/>
      <c r="PWI105" s="44"/>
      <c r="PWJ105" s="44"/>
      <c r="PWK105" s="44"/>
      <c r="PWL105" s="44"/>
      <c r="PWM105" s="44"/>
      <c r="PWN105" s="44"/>
      <c r="PWO105" s="44"/>
      <c r="PWP105" s="44"/>
      <c r="PWQ105" s="44"/>
      <c r="PWR105" s="44"/>
      <c r="PWS105" s="44"/>
      <c r="PWT105" s="44"/>
      <c r="PWU105" s="44"/>
      <c r="PWV105" s="44"/>
      <c r="PWW105" s="44"/>
      <c r="PWX105" s="44"/>
      <c r="PWY105" s="44"/>
      <c r="PWZ105" s="44"/>
      <c r="PXA105" s="44"/>
      <c r="PXB105" s="44"/>
      <c r="PXC105" s="44"/>
      <c r="PXD105" s="44"/>
      <c r="PXE105" s="44"/>
      <c r="PXF105" s="44"/>
      <c r="PXG105" s="44"/>
      <c r="PXH105" s="44"/>
      <c r="PXI105" s="44"/>
      <c r="PXJ105" s="44"/>
      <c r="PXK105" s="44"/>
      <c r="PXL105" s="44"/>
      <c r="PXM105" s="44"/>
      <c r="PXN105" s="44"/>
      <c r="PXO105" s="44"/>
      <c r="PXP105" s="44"/>
      <c r="PXQ105" s="44"/>
      <c r="PXR105" s="44"/>
      <c r="PXS105" s="44"/>
      <c r="PXT105" s="44"/>
      <c r="PXU105" s="44"/>
      <c r="PXV105" s="44"/>
      <c r="PXW105" s="44"/>
      <c r="PXX105" s="44"/>
      <c r="PXY105" s="44"/>
      <c r="PXZ105" s="44"/>
      <c r="PYA105" s="44"/>
      <c r="PYB105" s="44"/>
      <c r="PYC105" s="44"/>
      <c r="PYD105" s="44"/>
      <c r="PYE105" s="44"/>
      <c r="PYF105" s="44"/>
      <c r="PYG105" s="44"/>
      <c r="PYH105" s="44"/>
      <c r="PYI105" s="44"/>
      <c r="PYJ105" s="44"/>
      <c r="PYK105" s="44"/>
      <c r="PYL105" s="44"/>
      <c r="PYM105" s="44"/>
      <c r="PYN105" s="44"/>
      <c r="PYO105" s="44"/>
      <c r="PYP105" s="44"/>
      <c r="PYQ105" s="44"/>
      <c r="PYR105" s="44"/>
      <c r="PYS105" s="44"/>
      <c r="PYT105" s="44"/>
      <c r="PYU105" s="44"/>
      <c r="PYV105" s="44"/>
      <c r="PYW105" s="44"/>
      <c r="PYX105" s="44"/>
      <c r="PYY105" s="44"/>
      <c r="PYZ105" s="44"/>
      <c r="PZA105" s="44"/>
      <c r="PZB105" s="44"/>
      <c r="PZC105" s="44"/>
      <c r="PZD105" s="44"/>
      <c r="PZE105" s="44"/>
      <c r="PZF105" s="44"/>
      <c r="PZG105" s="44"/>
      <c r="PZH105" s="44"/>
      <c r="PZI105" s="44"/>
      <c r="PZJ105" s="44"/>
      <c r="PZK105" s="44"/>
      <c r="PZL105" s="44"/>
      <c r="PZM105" s="44"/>
      <c r="PZN105" s="44"/>
      <c r="PZO105" s="44"/>
      <c r="PZP105" s="44"/>
      <c r="PZQ105" s="44"/>
      <c r="PZR105" s="44"/>
      <c r="PZS105" s="44"/>
      <c r="PZT105" s="44"/>
      <c r="PZU105" s="44"/>
      <c r="PZV105" s="44"/>
      <c r="PZW105" s="44"/>
      <c r="PZX105" s="44"/>
      <c r="PZY105" s="44"/>
      <c r="PZZ105" s="44"/>
      <c r="QAA105" s="44"/>
      <c r="QAB105" s="44"/>
      <c r="QAC105" s="44"/>
      <c r="QAD105" s="44"/>
      <c r="QAE105" s="44"/>
      <c r="QAF105" s="44"/>
      <c r="QAG105" s="44"/>
      <c r="QAH105" s="44"/>
      <c r="QAI105" s="44"/>
      <c r="QAJ105" s="44"/>
      <c r="QAK105" s="44"/>
      <c r="QAL105" s="44"/>
      <c r="QAM105" s="44"/>
      <c r="QAN105" s="44"/>
      <c r="QAO105" s="44"/>
      <c r="QAP105" s="44"/>
      <c r="QAQ105" s="44"/>
      <c r="QAR105" s="44"/>
      <c r="QAS105" s="44"/>
      <c r="QAT105" s="44"/>
      <c r="QAU105" s="44"/>
      <c r="QAV105" s="44"/>
      <c r="QAW105" s="44"/>
      <c r="QAX105" s="44"/>
      <c r="QAY105" s="44"/>
      <c r="QAZ105" s="44"/>
      <c r="QBA105" s="44"/>
      <c r="QBB105" s="44"/>
      <c r="QBC105" s="44"/>
      <c r="QBD105" s="44"/>
      <c r="QBE105" s="44"/>
      <c r="QBF105" s="44"/>
      <c r="QBG105" s="44"/>
      <c r="QBH105" s="44"/>
      <c r="QBI105" s="44"/>
      <c r="QBJ105" s="44"/>
      <c r="QBK105" s="44"/>
      <c r="QBL105" s="44"/>
      <c r="QBM105" s="44"/>
      <c r="QBN105" s="44"/>
      <c r="QBO105" s="44"/>
      <c r="QBP105" s="44"/>
      <c r="QBQ105" s="44"/>
      <c r="QBR105" s="44"/>
      <c r="QBS105" s="44"/>
      <c r="QBT105" s="44"/>
      <c r="QBU105" s="44"/>
      <c r="QBV105" s="44"/>
      <c r="QBW105" s="44"/>
      <c r="QBX105" s="44"/>
      <c r="QBY105" s="44"/>
      <c r="QBZ105" s="44"/>
      <c r="QCA105" s="44"/>
      <c r="QCB105" s="44"/>
      <c r="QCC105" s="44"/>
      <c r="QCD105" s="44"/>
      <c r="QCE105" s="44"/>
      <c r="QCF105" s="44"/>
      <c r="QCG105" s="44"/>
      <c r="QCH105" s="44"/>
      <c r="QCI105" s="44"/>
      <c r="QCJ105" s="44"/>
      <c r="QCK105" s="44"/>
      <c r="QCL105" s="44"/>
      <c r="QCM105" s="44"/>
      <c r="QCN105" s="44"/>
      <c r="QCO105" s="44"/>
      <c r="QCP105" s="44"/>
      <c r="QCQ105" s="44"/>
      <c r="QCR105" s="44"/>
      <c r="QCS105" s="44"/>
      <c r="QCT105" s="44"/>
      <c r="QCU105" s="44"/>
      <c r="QCV105" s="44"/>
      <c r="QCW105" s="44"/>
      <c r="QCX105" s="44"/>
      <c r="QCY105" s="44"/>
      <c r="QCZ105" s="44"/>
      <c r="QDA105" s="44"/>
      <c r="QDB105" s="44"/>
      <c r="QDC105" s="44"/>
      <c r="QDD105" s="44"/>
      <c r="QDE105" s="44"/>
      <c r="QDF105" s="44"/>
      <c r="QDG105" s="44"/>
      <c r="QDH105" s="44"/>
      <c r="QDI105" s="44"/>
      <c r="QDJ105" s="44"/>
      <c r="QDK105" s="44"/>
      <c r="QDL105" s="44"/>
      <c r="QDM105" s="44"/>
      <c r="QDN105" s="44"/>
      <c r="QDO105" s="44"/>
      <c r="QDP105" s="44"/>
      <c r="QDQ105" s="44"/>
      <c r="QDR105" s="44"/>
      <c r="QDS105" s="44"/>
      <c r="QDT105" s="44"/>
      <c r="QDU105" s="44"/>
      <c r="QDV105" s="44"/>
      <c r="QDW105" s="44"/>
      <c r="QDX105" s="44"/>
      <c r="QDY105" s="44"/>
      <c r="QDZ105" s="44"/>
      <c r="QEA105" s="44"/>
      <c r="QEB105" s="44"/>
      <c r="QEC105" s="44"/>
      <c r="QED105" s="44"/>
      <c r="QEE105" s="44"/>
      <c r="QEF105" s="44"/>
      <c r="QEG105" s="44"/>
      <c r="QEH105" s="44"/>
      <c r="QEI105" s="44"/>
      <c r="QEJ105" s="44"/>
      <c r="QEK105" s="44"/>
      <c r="QEL105" s="44"/>
      <c r="QEM105" s="44"/>
      <c r="QEN105" s="44"/>
      <c r="QEO105" s="44"/>
      <c r="QEP105" s="44"/>
      <c r="QEQ105" s="44"/>
      <c r="QER105" s="44"/>
      <c r="QES105" s="44"/>
      <c r="QET105" s="44"/>
      <c r="QEU105" s="44"/>
      <c r="QEV105" s="44"/>
      <c r="QEW105" s="44"/>
      <c r="QEX105" s="44"/>
      <c r="QEY105" s="44"/>
      <c r="QEZ105" s="44"/>
      <c r="QFA105" s="44"/>
      <c r="QFB105" s="44"/>
      <c r="QFC105" s="44"/>
      <c r="QFD105" s="44"/>
      <c r="QFE105" s="44"/>
      <c r="QFF105" s="44"/>
      <c r="QFG105" s="44"/>
      <c r="QFH105" s="44"/>
      <c r="QFI105" s="44"/>
      <c r="QFJ105" s="44"/>
      <c r="QFK105" s="44"/>
      <c r="QFL105" s="44"/>
      <c r="QFM105" s="44"/>
      <c r="QFN105" s="44"/>
      <c r="QFO105" s="44"/>
      <c r="QFP105" s="44"/>
      <c r="QFQ105" s="44"/>
      <c r="QFR105" s="44"/>
      <c r="QFS105" s="44"/>
      <c r="QFT105" s="44"/>
      <c r="QFU105" s="44"/>
      <c r="QFV105" s="44"/>
      <c r="QFW105" s="44"/>
      <c r="QFX105" s="44"/>
      <c r="QFY105" s="44"/>
      <c r="QFZ105" s="44"/>
      <c r="QGA105" s="44"/>
      <c r="QGB105" s="44"/>
      <c r="QGC105" s="44"/>
      <c r="QGD105" s="44"/>
      <c r="QGE105" s="44"/>
      <c r="QGF105" s="44"/>
      <c r="QGG105" s="44"/>
      <c r="QGH105" s="44"/>
      <c r="QGI105" s="44"/>
      <c r="QGJ105" s="44"/>
      <c r="QGK105" s="44"/>
      <c r="QGL105" s="44"/>
      <c r="QGM105" s="44"/>
      <c r="QGN105" s="44"/>
      <c r="QGO105" s="44"/>
      <c r="QGP105" s="44"/>
      <c r="QGQ105" s="44"/>
      <c r="QGR105" s="44"/>
      <c r="QGS105" s="44"/>
      <c r="QGT105" s="44"/>
      <c r="QGU105" s="44"/>
      <c r="QGV105" s="44"/>
      <c r="QGW105" s="44"/>
      <c r="QGX105" s="44"/>
      <c r="QGY105" s="44"/>
      <c r="QGZ105" s="44"/>
      <c r="QHA105" s="44"/>
      <c r="QHB105" s="44"/>
      <c r="QHC105" s="44"/>
      <c r="QHD105" s="44"/>
      <c r="QHE105" s="44"/>
      <c r="QHF105" s="44"/>
      <c r="QHG105" s="44"/>
      <c r="QHH105" s="44"/>
      <c r="QHI105" s="44"/>
      <c r="QHJ105" s="44"/>
      <c r="QHK105" s="44"/>
      <c r="QHL105" s="44"/>
      <c r="QHM105" s="44"/>
      <c r="QHN105" s="44"/>
      <c r="QHO105" s="44"/>
      <c r="QHP105" s="44"/>
      <c r="QHQ105" s="44"/>
      <c r="QHR105" s="44"/>
      <c r="QHS105" s="44"/>
      <c r="QHT105" s="44"/>
      <c r="QHU105" s="44"/>
      <c r="QHV105" s="44"/>
      <c r="QHW105" s="44"/>
      <c r="QHX105" s="44"/>
      <c r="QHY105" s="44"/>
      <c r="QHZ105" s="44"/>
      <c r="QIA105" s="44"/>
      <c r="QIB105" s="44"/>
      <c r="QIC105" s="44"/>
      <c r="QID105" s="44"/>
      <c r="QIE105" s="44"/>
      <c r="QIF105" s="44"/>
      <c r="QIG105" s="44"/>
      <c r="QIH105" s="44"/>
      <c r="QII105" s="44"/>
      <c r="QIJ105" s="44"/>
      <c r="QIK105" s="44"/>
      <c r="QIL105" s="44"/>
      <c r="QIM105" s="44"/>
      <c r="QIN105" s="44"/>
      <c r="QIO105" s="44"/>
      <c r="QIP105" s="44"/>
      <c r="QIQ105" s="44"/>
      <c r="QIR105" s="44"/>
      <c r="QIS105" s="44"/>
      <c r="QIT105" s="44"/>
      <c r="QIU105" s="44"/>
      <c r="QIV105" s="44"/>
      <c r="QIW105" s="44"/>
      <c r="QIX105" s="44"/>
      <c r="QIY105" s="44"/>
      <c r="QIZ105" s="44"/>
      <c r="QJA105" s="44"/>
      <c r="QJB105" s="44"/>
      <c r="QJC105" s="44"/>
      <c r="QJD105" s="44"/>
      <c r="QJE105" s="44"/>
      <c r="QJF105" s="44"/>
      <c r="QJG105" s="44"/>
      <c r="QJH105" s="44"/>
      <c r="QJI105" s="44"/>
      <c r="QJJ105" s="44"/>
      <c r="QJK105" s="44"/>
      <c r="QJL105" s="44"/>
      <c r="QJM105" s="44"/>
      <c r="QJN105" s="44"/>
      <c r="QJO105" s="44"/>
      <c r="QJP105" s="44"/>
      <c r="QJQ105" s="44"/>
      <c r="QJR105" s="44"/>
      <c r="QJS105" s="44"/>
      <c r="QJT105" s="44"/>
      <c r="QJU105" s="44"/>
      <c r="QJV105" s="44"/>
      <c r="QJW105" s="44"/>
      <c r="QJX105" s="44"/>
      <c r="QJY105" s="44"/>
      <c r="QJZ105" s="44"/>
      <c r="QKA105" s="44"/>
      <c r="QKB105" s="44"/>
      <c r="QKC105" s="44"/>
      <c r="QKD105" s="44"/>
      <c r="QKE105" s="44"/>
      <c r="QKF105" s="44"/>
      <c r="QKG105" s="44"/>
      <c r="QKH105" s="44"/>
      <c r="QKI105" s="44"/>
      <c r="QKJ105" s="44"/>
      <c r="QKK105" s="44"/>
      <c r="QKL105" s="44"/>
      <c r="QKM105" s="44"/>
      <c r="QKN105" s="44"/>
      <c r="QKO105" s="44"/>
      <c r="QKP105" s="44"/>
      <c r="QKQ105" s="44"/>
      <c r="QKR105" s="44"/>
      <c r="QKS105" s="44"/>
      <c r="QKT105" s="44"/>
      <c r="QKU105" s="44"/>
      <c r="QKV105" s="44"/>
      <c r="QKW105" s="44"/>
      <c r="QKX105" s="44"/>
      <c r="QKY105" s="44"/>
      <c r="QKZ105" s="44"/>
      <c r="QLA105" s="44"/>
      <c r="QLB105" s="44"/>
      <c r="QLC105" s="44"/>
      <c r="QLD105" s="44"/>
      <c r="QLE105" s="44"/>
      <c r="QLF105" s="44"/>
      <c r="QLG105" s="44"/>
      <c r="QLH105" s="44"/>
      <c r="QLI105" s="44"/>
      <c r="QLJ105" s="44"/>
      <c r="QLK105" s="44"/>
      <c r="QLL105" s="44"/>
      <c r="QLM105" s="44"/>
      <c r="QLN105" s="44"/>
      <c r="QLO105" s="44"/>
      <c r="QLP105" s="44"/>
      <c r="QLQ105" s="44"/>
      <c r="QLR105" s="44"/>
      <c r="QLS105" s="44"/>
      <c r="QLT105" s="44"/>
      <c r="QLU105" s="44"/>
      <c r="QLV105" s="44"/>
      <c r="QLW105" s="44"/>
      <c r="QLX105" s="44"/>
      <c r="QLY105" s="44"/>
      <c r="QLZ105" s="44"/>
      <c r="QMA105" s="44"/>
      <c r="QMB105" s="44"/>
      <c r="QMC105" s="44"/>
      <c r="QMD105" s="44"/>
      <c r="QME105" s="44"/>
      <c r="QMF105" s="44"/>
      <c r="QMG105" s="44"/>
      <c r="QMH105" s="44"/>
      <c r="QMI105" s="44"/>
      <c r="QMJ105" s="44"/>
      <c r="QMK105" s="44"/>
      <c r="QML105" s="44"/>
      <c r="QMM105" s="44"/>
      <c r="QMN105" s="44"/>
      <c r="QMO105" s="44"/>
      <c r="QMP105" s="44"/>
      <c r="QMQ105" s="44"/>
      <c r="QMR105" s="44"/>
      <c r="QMS105" s="44"/>
      <c r="QMT105" s="44"/>
      <c r="QMU105" s="44"/>
      <c r="QMV105" s="44"/>
      <c r="QMW105" s="44"/>
      <c r="QMX105" s="44"/>
      <c r="QMY105" s="44"/>
      <c r="QMZ105" s="44"/>
      <c r="QNA105" s="44"/>
      <c r="QNB105" s="44"/>
      <c r="QNC105" s="44"/>
      <c r="QND105" s="44"/>
      <c r="QNE105" s="44"/>
      <c r="QNF105" s="44"/>
      <c r="QNG105" s="44"/>
      <c r="QNH105" s="44"/>
      <c r="QNI105" s="44"/>
      <c r="QNJ105" s="44"/>
      <c r="QNK105" s="44"/>
      <c r="QNL105" s="44"/>
      <c r="QNM105" s="44"/>
      <c r="QNN105" s="44"/>
      <c r="QNO105" s="44"/>
      <c r="QNP105" s="44"/>
      <c r="QNQ105" s="44"/>
      <c r="QNR105" s="44"/>
      <c r="QNS105" s="44"/>
      <c r="QNT105" s="44"/>
      <c r="QNU105" s="44"/>
      <c r="QNV105" s="44"/>
      <c r="QNW105" s="44"/>
      <c r="QNX105" s="44"/>
      <c r="QNY105" s="44"/>
      <c r="QNZ105" s="44"/>
      <c r="QOA105" s="44"/>
      <c r="QOB105" s="44"/>
      <c r="QOC105" s="44"/>
      <c r="QOD105" s="44"/>
      <c r="QOE105" s="44"/>
      <c r="QOF105" s="44"/>
      <c r="QOG105" s="44"/>
      <c r="QOH105" s="44"/>
      <c r="QOI105" s="44"/>
      <c r="QOJ105" s="44"/>
      <c r="QOK105" s="44"/>
      <c r="QOL105" s="44"/>
      <c r="QOM105" s="44"/>
      <c r="QON105" s="44"/>
      <c r="QOO105" s="44"/>
      <c r="QOP105" s="44"/>
      <c r="QOQ105" s="44"/>
      <c r="QOR105" s="44"/>
      <c r="QOS105" s="44"/>
      <c r="QOT105" s="44"/>
      <c r="QOU105" s="44"/>
      <c r="QOV105" s="44"/>
      <c r="QOW105" s="44"/>
      <c r="QOX105" s="44"/>
      <c r="QOY105" s="44"/>
      <c r="QOZ105" s="44"/>
      <c r="QPA105" s="44"/>
      <c r="QPB105" s="44"/>
      <c r="QPC105" s="44"/>
      <c r="QPD105" s="44"/>
      <c r="QPE105" s="44"/>
      <c r="QPF105" s="44"/>
      <c r="QPG105" s="44"/>
      <c r="QPH105" s="44"/>
      <c r="QPI105" s="44"/>
      <c r="QPJ105" s="44"/>
      <c r="QPK105" s="44"/>
      <c r="QPL105" s="44"/>
      <c r="QPM105" s="44"/>
      <c r="QPN105" s="44"/>
      <c r="QPO105" s="44"/>
      <c r="QPP105" s="44"/>
      <c r="QPQ105" s="44"/>
      <c r="QPR105" s="44"/>
      <c r="QPS105" s="44"/>
      <c r="QPT105" s="44"/>
      <c r="QPU105" s="44"/>
      <c r="QPV105" s="44"/>
      <c r="QPW105" s="44"/>
      <c r="QPX105" s="44"/>
      <c r="QPY105" s="44"/>
      <c r="QPZ105" s="44"/>
      <c r="QQA105" s="44"/>
      <c r="QQB105" s="44"/>
      <c r="QQC105" s="44"/>
      <c r="QQD105" s="44"/>
      <c r="QQE105" s="44"/>
      <c r="QQF105" s="44"/>
      <c r="QQG105" s="44"/>
      <c r="QQH105" s="44"/>
      <c r="QQI105" s="44"/>
      <c r="QQJ105" s="44"/>
      <c r="QQK105" s="44"/>
      <c r="QQL105" s="44"/>
      <c r="QQM105" s="44"/>
      <c r="QQN105" s="44"/>
      <c r="QQO105" s="44"/>
      <c r="QQP105" s="44"/>
      <c r="QQQ105" s="44"/>
      <c r="QQR105" s="44"/>
      <c r="QQS105" s="44"/>
      <c r="QQT105" s="44"/>
      <c r="QQU105" s="44"/>
      <c r="QQV105" s="44"/>
      <c r="QQW105" s="44"/>
      <c r="QQX105" s="44"/>
      <c r="QQY105" s="44"/>
      <c r="QQZ105" s="44"/>
      <c r="QRA105" s="44"/>
      <c r="QRB105" s="44"/>
      <c r="QRC105" s="44"/>
      <c r="QRD105" s="44"/>
      <c r="QRE105" s="44"/>
      <c r="QRF105" s="44"/>
      <c r="QRG105" s="44"/>
      <c r="QRH105" s="44"/>
      <c r="QRI105" s="44"/>
      <c r="QRJ105" s="44"/>
      <c r="QRK105" s="44"/>
      <c r="QRL105" s="44"/>
      <c r="QRM105" s="44"/>
      <c r="QRN105" s="44"/>
      <c r="QRO105" s="44"/>
      <c r="QRP105" s="44"/>
      <c r="QRQ105" s="44"/>
      <c r="QRR105" s="44"/>
      <c r="QRS105" s="44"/>
      <c r="QRT105" s="44"/>
      <c r="QRU105" s="44"/>
      <c r="QRV105" s="44"/>
      <c r="QRW105" s="44"/>
      <c r="QRX105" s="44"/>
      <c r="QRY105" s="44"/>
      <c r="QRZ105" s="44"/>
      <c r="QSA105" s="44"/>
      <c r="QSB105" s="44"/>
      <c r="QSC105" s="44"/>
      <c r="QSD105" s="44"/>
      <c r="QSE105" s="44"/>
      <c r="QSF105" s="44"/>
      <c r="QSG105" s="44"/>
      <c r="QSH105" s="44"/>
      <c r="QSI105" s="44"/>
      <c r="QSJ105" s="44"/>
      <c r="QSK105" s="44"/>
      <c r="QSL105" s="44"/>
      <c r="QSM105" s="44"/>
      <c r="QSN105" s="44"/>
      <c r="QSO105" s="44"/>
      <c r="QSP105" s="44"/>
      <c r="QSQ105" s="44"/>
      <c r="QSR105" s="44"/>
      <c r="QSS105" s="44"/>
      <c r="QST105" s="44"/>
      <c r="QSU105" s="44"/>
      <c r="QSV105" s="44"/>
      <c r="QSW105" s="44"/>
      <c r="QSX105" s="44"/>
      <c r="QSY105" s="44"/>
      <c r="QSZ105" s="44"/>
      <c r="QTA105" s="44"/>
      <c r="QTB105" s="44"/>
      <c r="QTC105" s="44"/>
      <c r="QTD105" s="44"/>
      <c r="QTE105" s="44"/>
      <c r="QTF105" s="44"/>
      <c r="QTG105" s="44"/>
      <c r="QTH105" s="44"/>
      <c r="QTI105" s="44"/>
      <c r="QTJ105" s="44"/>
      <c r="QTK105" s="44"/>
      <c r="QTL105" s="44"/>
      <c r="QTM105" s="44"/>
      <c r="QTN105" s="44"/>
      <c r="QTO105" s="44"/>
      <c r="QTP105" s="44"/>
      <c r="QTQ105" s="44"/>
      <c r="QTR105" s="44"/>
      <c r="QTS105" s="44"/>
      <c r="QTT105" s="44"/>
      <c r="QTU105" s="44"/>
      <c r="QTV105" s="44"/>
      <c r="QTW105" s="44"/>
      <c r="QTX105" s="44"/>
      <c r="QTY105" s="44"/>
      <c r="QTZ105" s="44"/>
      <c r="QUA105" s="44"/>
      <c r="QUB105" s="44"/>
      <c r="QUC105" s="44"/>
      <c r="QUD105" s="44"/>
      <c r="QUE105" s="44"/>
      <c r="QUF105" s="44"/>
      <c r="QUG105" s="44"/>
      <c r="QUH105" s="44"/>
      <c r="QUI105" s="44"/>
      <c r="QUJ105" s="44"/>
      <c r="QUK105" s="44"/>
      <c r="QUL105" s="44"/>
      <c r="QUM105" s="44"/>
      <c r="QUN105" s="44"/>
      <c r="QUO105" s="44"/>
      <c r="QUP105" s="44"/>
      <c r="QUQ105" s="44"/>
      <c r="QUR105" s="44"/>
      <c r="QUS105" s="44"/>
      <c r="QUT105" s="44"/>
      <c r="QUU105" s="44"/>
      <c r="QUV105" s="44"/>
      <c r="QUW105" s="44"/>
      <c r="QUX105" s="44"/>
      <c r="QUY105" s="44"/>
      <c r="QUZ105" s="44"/>
      <c r="QVA105" s="44"/>
      <c r="QVB105" s="44"/>
      <c r="QVC105" s="44"/>
      <c r="QVD105" s="44"/>
      <c r="QVE105" s="44"/>
      <c r="QVF105" s="44"/>
      <c r="QVG105" s="44"/>
      <c r="QVH105" s="44"/>
      <c r="QVI105" s="44"/>
      <c r="QVJ105" s="44"/>
      <c r="QVK105" s="44"/>
      <c r="QVL105" s="44"/>
      <c r="QVM105" s="44"/>
      <c r="QVN105" s="44"/>
      <c r="QVO105" s="44"/>
      <c r="QVP105" s="44"/>
      <c r="QVQ105" s="44"/>
      <c r="QVR105" s="44"/>
      <c r="QVS105" s="44"/>
      <c r="QVT105" s="44"/>
      <c r="QVU105" s="44"/>
      <c r="QVV105" s="44"/>
      <c r="QVW105" s="44"/>
      <c r="QVX105" s="44"/>
      <c r="QVY105" s="44"/>
      <c r="QVZ105" s="44"/>
      <c r="QWA105" s="44"/>
      <c r="QWB105" s="44"/>
      <c r="QWC105" s="44"/>
      <c r="QWD105" s="44"/>
      <c r="QWE105" s="44"/>
      <c r="QWF105" s="44"/>
      <c r="QWG105" s="44"/>
      <c r="QWH105" s="44"/>
      <c r="QWI105" s="44"/>
      <c r="QWJ105" s="44"/>
      <c r="QWK105" s="44"/>
      <c r="QWL105" s="44"/>
      <c r="QWM105" s="44"/>
      <c r="QWN105" s="44"/>
      <c r="QWO105" s="44"/>
      <c r="QWP105" s="44"/>
      <c r="QWQ105" s="44"/>
      <c r="QWR105" s="44"/>
      <c r="QWS105" s="44"/>
      <c r="QWT105" s="44"/>
      <c r="QWU105" s="44"/>
      <c r="QWV105" s="44"/>
      <c r="QWW105" s="44"/>
      <c r="QWX105" s="44"/>
      <c r="QWY105" s="44"/>
      <c r="QWZ105" s="44"/>
      <c r="QXA105" s="44"/>
      <c r="QXB105" s="44"/>
      <c r="QXC105" s="44"/>
      <c r="QXD105" s="44"/>
      <c r="QXE105" s="44"/>
      <c r="QXF105" s="44"/>
      <c r="QXG105" s="44"/>
      <c r="QXH105" s="44"/>
      <c r="QXI105" s="44"/>
      <c r="QXJ105" s="44"/>
      <c r="QXK105" s="44"/>
      <c r="QXL105" s="44"/>
      <c r="QXM105" s="44"/>
      <c r="QXN105" s="44"/>
      <c r="QXO105" s="44"/>
      <c r="QXP105" s="44"/>
      <c r="QXQ105" s="44"/>
      <c r="QXR105" s="44"/>
      <c r="QXS105" s="44"/>
      <c r="QXT105" s="44"/>
      <c r="QXU105" s="44"/>
      <c r="QXV105" s="44"/>
      <c r="QXW105" s="44"/>
      <c r="QXX105" s="44"/>
      <c r="QXY105" s="44"/>
      <c r="QXZ105" s="44"/>
      <c r="QYA105" s="44"/>
      <c r="QYB105" s="44"/>
      <c r="QYC105" s="44"/>
      <c r="QYD105" s="44"/>
      <c r="QYE105" s="44"/>
      <c r="QYF105" s="44"/>
      <c r="QYG105" s="44"/>
      <c r="QYH105" s="44"/>
      <c r="QYI105" s="44"/>
      <c r="QYJ105" s="44"/>
      <c r="QYK105" s="44"/>
      <c r="QYL105" s="44"/>
      <c r="QYM105" s="44"/>
      <c r="QYN105" s="44"/>
      <c r="QYO105" s="44"/>
      <c r="QYP105" s="44"/>
      <c r="QYQ105" s="44"/>
      <c r="QYR105" s="44"/>
      <c r="QYS105" s="44"/>
      <c r="QYT105" s="44"/>
      <c r="QYU105" s="44"/>
      <c r="QYV105" s="44"/>
      <c r="QYW105" s="44"/>
      <c r="QYX105" s="44"/>
      <c r="QYY105" s="44"/>
      <c r="QYZ105" s="44"/>
      <c r="QZA105" s="44"/>
      <c r="QZB105" s="44"/>
      <c r="QZC105" s="44"/>
      <c r="QZD105" s="44"/>
      <c r="QZE105" s="44"/>
      <c r="QZF105" s="44"/>
      <c r="QZG105" s="44"/>
      <c r="QZH105" s="44"/>
      <c r="QZI105" s="44"/>
      <c r="QZJ105" s="44"/>
      <c r="QZK105" s="44"/>
      <c r="QZL105" s="44"/>
      <c r="QZM105" s="44"/>
      <c r="QZN105" s="44"/>
      <c r="QZO105" s="44"/>
      <c r="QZP105" s="44"/>
      <c r="QZQ105" s="44"/>
      <c r="QZR105" s="44"/>
      <c r="QZS105" s="44"/>
      <c r="QZT105" s="44"/>
      <c r="QZU105" s="44"/>
      <c r="QZV105" s="44"/>
      <c r="QZW105" s="44"/>
      <c r="QZX105" s="44"/>
      <c r="QZY105" s="44"/>
      <c r="QZZ105" s="44"/>
      <c r="RAA105" s="44"/>
      <c r="RAB105" s="44"/>
      <c r="RAC105" s="44"/>
      <c r="RAD105" s="44"/>
      <c r="RAE105" s="44"/>
      <c r="RAF105" s="44"/>
      <c r="RAG105" s="44"/>
      <c r="RAH105" s="44"/>
      <c r="RAI105" s="44"/>
      <c r="RAJ105" s="44"/>
      <c r="RAK105" s="44"/>
      <c r="RAL105" s="44"/>
      <c r="RAM105" s="44"/>
      <c r="RAN105" s="44"/>
      <c r="RAO105" s="44"/>
      <c r="RAP105" s="44"/>
      <c r="RAQ105" s="44"/>
      <c r="RAR105" s="44"/>
      <c r="RAS105" s="44"/>
      <c r="RAT105" s="44"/>
      <c r="RAU105" s="44"/>
      <c r="RAV105" s="44"/>
      <c r="RAW105" s="44"/>
      <c r="RAX105" s="44"/>
      <c r="RAY105" s="44"/>
      <c r="RAZ105" s="44"/>
      <c r="RBA105" s="44"/>
      <c r="RBB105" s="44"/>
      <c r="RBC105" s="44"/>
      <c r="RBD105" s="44"/>
      <c r="RBE105" s="44"/>
      <c r="RBF105" s="44"/>
      <c r="RBG105" s="44"/>
      <c r="RBH105" s="44"/>
      <c r="RBI105" s="44"/>
      <c r="RBJ105" s="44"/>
      <c r="RBK105" s="44"/>
      <c r="RBL105" s="44"/>
      <c r="RBM105" s="44"/>
      <c r="RBN105" s="44"/>
      <c r="RBO105" s="44"/>
      <c r="RBP105" s="44"/>
      <c r="RBQ105" s="44"/>
      <c r="RBR105" s="44"/>
      <c r="RBS105" s="44"/>
      <c r="RBT105" s="44"/>
      <c r="RBU105" s="44"/>
      <c r="RBV105" s="44"/>
      <c r="RBW105" s="44"/>
      <c r="RBX105" s="44"/>
      <c r="RBY105" s="44"/>
      <c r="RBZ105" s="44"/>
      <c r="RCA105" s="44"/>
      <c r="RCB105" s="44"/>
      <c r="RCC105" s="44"/>
      <c r="RCD105" s="44"/>
      <c r="RCE105" s="44"/>
      <c r="RCF105" s="44"/>
      <c r="RCG105" s="44"/>
      <c r="RCH105" s="44"/>
      <c r="RCI105" s="44"/>
      <c r="RCJ105" s="44"/>
      <c r="RCK105" s="44"/>
      <c r="RCL105" s="44"/>
      <c r="RCM105" s="44"/>
      <c r="RCN105" s="44"/>
      <c r="RCO105" s="44"/>
      <c r="RCP105" s="44"/>
      <c r="RCQ105" s="44"/>
      <c r="RCR105" s="44"/>
      <c r="RCS105" s="44"/>
      <c r="RCT105" s="44"/>
      <c r="RCU105" s="44"/>
      <c r="RCV105" s="44"/>
      <c r="RCW105" s="44"/>
      <c r="RCX105" s="44"/>
      <c r="RCY105" s="44"/>
      <c r="RCZ105" s="44"/>
      <c r="RDA105" s="44"/>
      <c r="RDB105" s="44"/>
      <c r="RDC105" s="44"/>
      <c r="RDD105" s="44"/>
      <c r="RDE105" s="44"/>
      <c r="RDF105" s="44"/>
      <c r="RDG105" s="44"/>
      <c r="RDH105" s="44"/>
      <c r="RDI105" s="44"/>
      <c r="RDJ105" s="44"/>
      <c r="RDK105" s="44"/>
      <c r="RDL105" s="44"/>
      <c r="RDM105" s="44"/>
      <c r="RDN105" s="44"/>
      <c r="RDO105" s="44"/>
      <c r="RDP105" s="44"/>
      <c r="RDQ105" s="44"/>
      <c r="RDR105" s="44"/>
      <c r="RDS105" s="44"/>
      <c r="RDT105" s="44"/>
      <c r="RDU105" s="44"/>
      <c r="RDV105" s="44"/>
      <c r="RDW105" s="44"/>
      <c r="RDX105" s="44"/>
      <c r="RDY105" s="44"/>
      <c r="RDZ105" s="44"/>
      <c r="REA105" s="44"/>
      <c r="REB105" s="44"/>
      <c r="REC105" s="44"/>
      <c r="RED105" s="44"/>
      <c r="REE105" s="44"/>
      <c r="REF105" s="44"/>
      <c r="REG105" s="44"/>
      <c r="REH105" s="44"/>
      <c r="REI105" s="44"/>
      <c r="REJ105" s="44"/>
      <c r="REK105" s="44"/>
      <c r="REL105" s="44"/>
      <c r="REM105" s="44"/>
      <c r="REN105" s="44"/>
      <c r="REO105" s="44"/>
      <c r="REP105" s="44"/>
      <c r="REQ105" s="44"/>
      <c r="RER105" s="44"/>
      <c r="RES105" s="44"/>
      <c r="RET105" s="44"/>
      <c r="REU105" s="44"/>
      <c r="REV105" s="44"/>
      <c r="REW105" s="44"/>
      <c r="REX105" s="44"/>
      <c r="REY105" s="44"/>
      <c r="REZ105" s="44"/>
      <c r="RFA105" s="44"/>
      <c r="RFB105" s="44"/>
      <c r="RFC105" s="44"/>
      <c r="RFD105" s="44"/>
      <c r="RFE105" s="44"/>
      <c r="RFF105" s="44"/>
      <c r="RFG105" s="44"/>
      <c r="RFH105" s="44"/>
      <c r="RFI105" s="44"/>
      <c r="RFJ105" s="44"/>
      <c r="RFK105" s="44"/>
      <c r="RFL105" s="44"/>
      <c r="RFM105" s="44"/>
      <c r="RFN105" s="44"/>
      <c r="RFO105" s="44"/>
      <c r="RFP105" s="44"/>
      <c r="RFQ105" s="44"/>
      <c r="RFR105" s="44"/>
      <c r="RFS105" s="44"/>
      <c r="RFT105" s="44"/>
      <c r="RFU105" s="44"/>
      <c r="RFV105" s="44"/>
      <c r="RFW105" s="44"/>
      <c r="RFX105" s="44"/>
      <c r="RFY105" s="44"/>
      <c r="RFZ105" s="44"/>
      <c r="RGA105" s="44"/>
      <c r="RGB105" s="44"/>
      <c r="RGC105" s="44"/>
      <c r="RGD105" s="44"/>
      <c r="RGE105" s="44"/>
      <c r="RGF105" s="44"/>
      <c r="RGG105" s="44"/>
      <c r="RGH105" s="44"/>
      <c r="RGI105" s="44"/>
      <c r="RGJ105" s="44"/>
      <c r="RGK105" s="44"/>
      <c r="RGL105" s="44"/>
      <c r="RGM105" s="44"/>
      <c r="RGN105" s="44"/>
      <c r="RGO105" s="44"/>
      <c r="RGP105" s="44"/>
      <c r="RGQ105" s="44"/>
      <c r="RGR105" s="44"/>
      <c r="RGS105" s="44"/>
      <c r="RGT105" s="44"/>
      <c r="RGU105" s="44"/>
      <c r="RGV105" s="44"/>
      <c r="RGW105" s="44"/>
      <c r="RGX105" s="44"/>
      <c r="RGY105" s="44"/>
      <c r="RGZ105" s="44"/>
      <c r="RHA105" s="44"/>
      <c r="RHB105" s="44"/>
      <c r="RHC105" s="44"/>
      <c r="RHD105" s="44"/>
      <c r="RHE105" s="44"/>
      <c r="RHF105" s="44"/>
      <c r="RHG105" s="44"/>
      <c r="RHH105" s="44"/>
      <c r="RHI105" s="44"/>
      <c r="RHJ105" s="44"/>
      <c r="RHK105" s="44"/>
      <c r="RHL105" s="44"/>
      <c r="RHM105" s="44"/>
      <c r="RHN105" s="44"/>
      <c r="RHO105" s="44"/>
      <c r="RHP105" s="44"/>
      <c r="RHQ105" s="44"/>
      <c r="RHR105" s="44"/>
      <c r="RHS105" s="44"/>
      <c r="RHT105" s="44"/>
      <c r="RHU105" s="44"/>
      <c r="RHV105" s="44"/>
      <c r="RHW105" s="44"/>
      <c r="RHX105" s="44"/>
      <c r="RHY105" s="44"/>
      <c r="RHZ105" s="44"/>
      <c r="RIA105" s="44"/>
      <c r="RIB105" s="44"/>
      <c r="RIC105" s="44"/>
      <c r="RID105" s="44"/>
      <c r="RIE105" s="44"/>
      <c r="RIF105" s="44"/>
      <c r="RIG105" s="44"/>
      <c r="RIH105" s="44"/>
      <c r="RII105" s="44"/>
      <c r="RIJ105" s="44"/>
      <c r="RIK105" s="44"/>
      <c r="RIL105" s="44"/>
      <c r="RIM105" s="44"/>
      <c r="RIN105" s="44"/>
      <c r="RIO105" s="44"/>
      <c r="RIP105" s="44"/>
      <c r="RIQ105" s="44"/>
      <c r="RIR105" s="44"/>
      <c r="RIS105" s="44"/>
      <c r="RIT105" s="44"/>
      <c r="RIU105" s="44"/>
      <c r="RIV105" s="44"/>
      <c r="RIW105" s="44"/>
      <c r="RIX105" s="44"/>
      <c r="RIY105" s="44"/>
      <c r="RIZ105" s="44"/>
      <c r="RJA105" s="44"/>
      <c r="RJB105" s="44"/>
      <c r="RJC105" s="44"/>
      <c r="RJD105" s="44"/>
      <c r="RJE105" s="44"/>
      <c r="RJF105" s="44"/>
      <c r="RJG105" s="44"/>
      <c r="RJH105" s="44"/>
      <c r="RJI105" s="44"/>
      <c r="RJJ105" s="44"/>
      <c r="RJK105" s="44"/>
      <c r="RJL105" s="44"/>
      <c r="RJM105" s="44"/>
      <c r="RJN105" s="44"/>
      <c r="RJO105" s="44"/>
      <c r="RJP105" s="44"/>
      <c r="RJQ105" s="44"/>
      <c r="RJR105" s="44"/>
      <c r="RJS105" s="44"/>
      <c r="RJT105" s="44"/>
      <c r="RJU105" s="44"/>
      <c r="RJV105" s="44"/>
      <c r="RJW105" s="44"/>
      <c r="RJX105" s="44"/>
      <c r="RJY105" s="44"/>
      <c r="RJZ105" s="44"/>
      <c r="RKA105" s="44"/>
      <c r="RKB105" s="44"/>
      <c r="RKC105" s="44"/>
      <c r="RKD105" s="44"/>
      <c r="RKE105" s="44"/>
      <c r="RKF105" s="44"/>
      <c r="RKG105" s="44"/>
      <c r="RKH105" s="44"/>
      <c r="RKI105" s="44"/>
      <c r="RKJ105" s="44"/>
      <c r="RKK105" s="44"/>
      <c r="RKL105" s="44"/>
      <c r="RKM105" s="44"/>
      <c r="RKN105" s="44"/>
      <c r="RKO105" s="44"/>
      <c r="RKP105" s="44"/>
      <c r="RKQ105" s="44"/>
      <c r="RKR105" s="44"/>
      <c r="RKS105" s="44"/>
      <c r="RKT105" s="44"/>
      <c r="RKU105" s="44"/>
      <c r="RKV105" s="44"/>
      <c r="RKW105" s="44"/>
      <c r="RKX105" s="44"/>
      <c r="RKY105" s="44"/>
      <c r="RKZ105" s="44"/>
      <c r="RLA105" s="44"/>
      <c r="RLB105" s="44"/>
      <c r="RLC105" s="44"/>
      <c r="RLD105" s="44"/>
      <c r="RLE105" s="44"/>
      <c r="RLF105" s="44"/>
      <c r="RLG105" s="44"/>
      <c r="RLH105" s="44"/>
      <c r="RLI105" s="44"/>
      <c r="RLJ105" s="44"/>
      <c r="RLK105" s="44"/>
      <c r="RLL105" s="44"/>
      <c r="RLM105" s="44"/>
      <c r="RLN105" s="44"/>
      <c r="RLO105" s="44"/>
      <c r="RLP105" s="44"/>
      <c r="RLQ105" s="44"/>
      <c r="RLR105" s="44"/>
      <c r="RLS105" s="44"/>
      <c r="RLT105" s="44"/>
      <c r="RLU105" s="44"/>
      <c r="RLV105" s="44"/>
      <c r="RLW105" s="44"/>
      <c r="RLX105" s="44"/>
      <c r="RLY105" s="44"/>
      <c r="RLZ105" s="44"/>
      <c r="RMA105" s="44"/>
      <c r="RMB105" s="44"/>
      <c r="RMC105" s="44"/>
      <c r="RMD105" s="44"/>
      <c r="RME105" s="44"/>
      <c r="RMF105" s="44"/>
      <c r="RMG105" s="44"/>
      <c r="RMH105" s="44"/>
      <c r="RMI105" s="44"/>
      <c r="RMJ105" s="44"/>
      <c r="RMK105" s="44"/>
      <c r="RML105" s="44"/>
      <c r="RMM105" s="44"/>
      <c r="RMN105" s="44"/>
      <c r="RMO105" s="44"/>
      <c r="RMP105" s="44"/>
      <c r="RMQ105" s="44"/>
      <c r="RMR105" s="44"/>
      <c r="RMS105" s="44"/>
      <c r="RMT105" s="44"/>
      <c r="RMU105" s="44"/>
      <c r="RMV105" s="44"/>
      <c r="RMW105" s="44"/>
      <c r="RMX105" s="44"/>
      <c r="RMY105" s="44"/>
      <c r="RMZ105" s="44"/>
      <c r="RNA105" s="44"/>
      <c r="RNB105" s="44"/>
      <c r="RNC105" s="44"/>
      <c r="RND105" s="44"/>
      <c r="RNE105" s="44"/>
      <c r="RNF105" s="44"/>
      <c r="RNG105" s="44"/>
      <c r="RNH105" s="44"/>
      <c r="RNI105" s="44"/>
      <c r="RNJ105" s="44"/>
      <c r="RNK105" s="44"/>
      <c r="RNL105" s="44"/>
      <c r="RNM105" s="44"/>
      <c r="RNN105" s="44"/>
      <c r="RNO105" s="44"/>
      <c r="RNP105" s="44"/>
      <c r="RNQ105" s="44"/>
      <c r="RNR105" s="44"/>
      <c r="RNS105" s="44"/>
      <c r="RNT105" s="44"/>
      <c r="RNU105" s="44"/>
      <c r="RNV105" s="44"/>
      <c r="RNW105" s="44"/>
      <c r="RNX105" s="44"/>
      <c r="RNY105" s="44"/>
      <c r="RNZ105" s="44"/>
      <c r="ROA105" s="44"/>
      <c r="ROB105" s="44"/>
      <c r="ROC105" s="44"/>
      <c r="ROD105" s="44"/>
      <c r="ROE105" s="44"/>
      <c r="ROF105" s="44"/>
      <c r="ROG105" s="44"/>
      <c r="ROH105" s="44"/>
      <c r="ROI105" s="44"/>
      <c r="ROJ105" s="44"/>
      <c r="ROK105" s="44"/>
      <c r="ROL105" s="44"/>
      <c r="ROM105" s="44"/>
      <c r="RON105" s="44"/>
      <c r="ROO105" s="44"/>
      <c r="ROP105" s="44"/>
      <c r="ROQ105" s="44"/>
      <c r="ROR105" s="44"/>
      <c r="ROS105" s="44"/>
      <c r="ROT105" s="44"/>
      <c r="ROU105" s="44"/>
      <c r="ROV105" s="44"/>
      <c r="ROW105" s="44"/>
      <c r="ROX105" s="44"/>
      <c r="ROY105" s="44"/>
      <c r="ROZ105" s="44"/>
      <c r="RPA105" s="44"/>
      <c r="RPB105" s="44"/>
      <c r="RPC105" s="44"/>
      <c r="RPD105" s="44"/>
      <c r="RPE105" s="44"/>
      <c r="RPF105" s="44"/>
      <c r="RPG105" s="44"/>
      <c r="RPH105" s="44"/>
      <c r="RPI105" s="44"/>
      <c r="RPJ105" s="44"/>
      <c r="RPK105" s="44"/>
      <c r="RPL105" s="44"/>
      <c r="RPM105" s="44"/>
      <c r="RPN105" s="44"/>
      <c r="RPO105" s="44"/>
      <c r="RPP105" s="44"/>
      <c r="RPQ105" s="44"/>
      <c r="RPR105" s="44"/>
      <c r="RPS105" s="44"/>
      <c r="RPT105" s="44"/>
      <c r="RPU105" s="44"/>
      <c r="RPV105" s="44"/>
      <c r="RPW105" s="44"/>
      <c r="RPX105" s="44"/>
      <c r="RPY105" s="44"/>
      <c r="RPZ105" s="44"/>
      <c r="RQA105" s="44"/>
      <c r="RQB105" s="44"/>
      <c r="RQC105" s="44"/>
      <c r="RQD105" s="44"/>
      <c r="RQE105" s="44"/>
      <c r="RQF105" s="44"/>
      <c r="RQG105" s="44"/>
      <c r="RQH105" s="44"/>
      <c r="RQI105" s="44"/>
      <c r="RQJ105" s="44"/>
      <c r="RQK105" s="44"/>
      <c r="RQL105" s="44"/>
      <c r="RQM105" s="44"/>
      <c r="RQN105" s="44"/>
      <c r="RQO105" s="44"/>
      <c r="RQP105" s="44"/>
      <c r="RQQ105" s="44"/>
      <c r="RQR105" s="44"/>
      <c r="RQS105" s="44"/>
      <c r="RQT105" s="44"/>
      <c r="RQU105" s="44"/>
      <c r="RQV105" s="44"/>
      <c r="RQW105" s="44"/>
      <c r="RQX105" s="44"/>
      <c r="RQY105" s="44"/>
      <c r="RQZ105" s="44"/>
      <c r="RRA105" s="44"/>
      <c r="RRB105" s="44"/>
      <c r="RRC105" s="44"/>
      <c r="RRD105" s="44"/>
      <c r="RRE105" s="44"/>
      <c r="RRF105" s="44"/>
      <c r="RRG105" s="44"/>
      <c r="RRH105" s="44"/>
      <c r="RRI105" s="44"/>
      <c r="RRJ105" s="44"/>
      <c r="RRK105" s="44"/>
      <c r="RRL105" s="44"/>
      <c r="RRM105" s="44"/>
      <c r="RRN105" s="44"/>
      <c r="RRO105" s="44"/>
      <c r="RRP105" s="44"/>
      <c r="RRQ105" s="44"/>
      <c r="RRR105" s="44"/>
      <c r="RRS105" s="44"/>
      <c r="RRT105" s="44"/>
      <c r="RRU105" s="44"/>
      <c r="RRV105" s="44"/>
      <c r="RRW105" s="44"/>
      <c r="RRX105" s="44"/>
      <c r="RRY105" s="44"/>
      <c r="RRZ105" s="44"/>
      <c r="RSA105" s="44"/>
      <c r="RSB105" s="44"/>
      <c r="RSC105" s="44"/>
      <c r="RSD105" s="44"/>
      <c r="RSE105" s="44"/>
      <c r="RSF105" s="44"/>
      <c r="RSG105" s="44"/>
      <c r="RSH105" s="44"/>
      <c r="RSI105" s="44"/>
      <c r="RSJ105" s="44"/>
      <c r="RSK105" s="44"/>
      <c r="RSL105" s="44"/>
      <c r="RSM105" s="44"/>
      <c r="RSN105" s="44"/>
      <c r="RSO105" s="44"/>
      <c r="RSP105" s="44"/>
      <c r="RSQ105" s="44"/>
      <c r="RSR105" s="44"/>
      <c r="RSS105" s="44"/>
      <c r="RST105" s="44"/>
      <c r="RSU105" s="44"/>
      <c r="RSV105" s="44"/>
      <c r="RSW105" s="44"/>
      <c r="RSX105" s="44"/>
      <c r="RSY105" s="44"/>
      <c r="RSZ105" s="44"/>
      <c r="RTA105" s="44"/>
      <c r="RTB105" s="44"/>
      <c r="RTC105" s="44"/>
      <c r="RTD105" s="44"/>
      <c r="RTE105" s="44"/>
      <c r="RTF105" s="44"/>
      <c r="RTG105" s="44"/>
      <c r="RTH105" s="44"/>
      <c r="RTI105" s="44"/>
      <c r="RTJ105" s="44"/>
      <c r="RTK105" s="44"/>
      <c r="RTL105" s="44"/>
      <c r="RTM105" s="44"/>
      <c r="RTN105" s="44"/>
      <c r="RTO105" s="44"/>
      <c r="RTP105" s="44"/>
      <c r="RTQ105" s="44"/>
      <c r="RTR105" s="44"/>
      <c r="RTS105" s="44"/>
      <c r="RTT105" s="44"/>
      <c r="RTU105" s="44"/>
      <c r="RTV105" s="44"/>
      <c r="RTW105" s="44"/>
      <c r="RTX105" s="44"/>
      <c r="RTY105" s="44"/>
      <c r="RTZ105" s="44"/>
      <c r="RUA105" s="44"/>
      <c r="RUB105" s="44"/>
      <c r="RUC105" s="44"/>
      <c r="RUD105" s="44"/>
      <c r="RUE105" s="44"/>
      <c r="RUF105" s="44"/>
      <c r="RUG105" s="44"/>
      <c r="RUH105" s="44"/>
      <c r="RUI105" s="44"/>
      <c r="RUJ105" s="44"/>
      <c r="RUK105" s="44"/>
      <c r="RUL105" s="44"/>
      <c r="RUM105" s="44"/>
      <c r="RUN105" s="44"/>
      <c r="RUO105" s="44"/>
      <c r="RUP105" s="44"/>
      <c r="RUQ105" s="44"/>
      <c r="RUR105" s="44"/>
      <c r="RUS105" s="44"/>
      <c r="RUT105" s="44"/>
      <c r="RUU105" s="44"/>
      <c r="RUV105" s="44"/>
      <c r="RUW105" s="44"/>
      <c r="RUX105" s="44"/>
      <c r="RUY105" s="44"/>
      <c r="RUZ105" s="44"/>
      <c r="RVA105" s="44"/>
      <c r="RVB105" s="44"/>
      <c r="RVC105" s="44"/>
      <c r="RVD105" s="44"/>
      <c r="RVE105" s="44"/>
      <c r="RVF105" s="44"/>
      <c r="RVG105" s="44"/>
      <c r="RVH105" s="44"/>
      <c r="RVI105" s="44"/>
      <c r="RVJ105" s="44"/>
      <c r="RVK105" s="44"/>
      <c r="RVL105" s="44"/>
      <c r="RVM105" s="44"/>
      <c r="RVN105" s="44"/>
      <c r="RVO105" s="44"/>
      <c r="RVP105" s="44"/>
      <c r="RVQ105" s="44"/>
      <c r="RVR105" s="44"/>
      <c r="RVS105" s="44"/>
      <c r="RVT105" s="44"/>
      <c r="RVU105" s="44"/>
      <c r="RVV105" s="44"/>
      <c r="RVW105" s="44"/>
      <c r="RVX105" s="44"/>
      <c r="RVY105" s="44"/>
      <c r="RVZ105" s="44"/>
      <c r="RWA105" s="44"/>
      <c r="RWB105" s="44"/>
      <c r="RWC105" s="44"/>
      <c r="RWD105" s="44"/>
      <c r="RWE105" s="44"/>
      <c r="RWF105" s="44"/>
      <c r="RWG105" s="44"/>
      <c r="RWH105" s="44"/>
      <c r="RWI105" s="44"/>
      <c r="RWJ105" s="44"/>
      <c r="RWK105" s="44"/>
      <c r="RWL105" s="44"/>
      <c r="RWM105" s="44"/>
      <c r="RWN105" s="44"/>
      <c r="RWO105" s="44"/>
      <c r="RWP105" s="44"/>
      <c r="RWQ105" s="44"/>
      <c r="RWR105" s="44"/>
      <c r="RWS105" s="44"/>
      <c r="RWT105" s="44"/>
      <c r="RWU105" s="44"/>
      <c r="RWV105" s="44"/>
      <c r="RWW105" s="44"/>
      <c r="RWX105" s="44"/>
      <c r="RWY105" s="44"/>
      <c r="RWZ105" s="44"/>
      <c r="RXA105" s="44"/>
      <c r="RXB105" s="44"/>
      <c r="RXC105" s="44"/>
      <c r="RXD105" s="44"/>
      <c r="RXE105" s="44"/>
      <c r="RXF105" s="44"/>
      <c r="RXG105" s="44"/>
      <c r="RXH105" s="44"/>
      <c r="RXI105" s="44"/>
      <c r="RXJ105" s="44"/>
      <c r="RXK105" s="44"/>
      <c r="RXL105" s="44"/>
      <c r="RXM105" s="44"/>
      <c r="RXN105" s="44"/>
      <c r="RXO105" s="44"/>
      <c r="RXP105" s="44"/>
      <c r="RXQ105" s="44"/>
      <c r="RXR105" s="44"/>
      <c r="RXS105" s="44"/>
      <c r="RXT105" s="44"/>
      <c r="RXU105" s="44"/>
      <c r="RXV105" s="44"/>
      <c r="RXW105" s="44"/>
      <c r="RXX105" s="44"/>
      <c r="RXY105" s="44"/>
      <c r="RXZ105" s="44"/>
      <c r="RYA105" s="44"/>
      <c r="RYB105" s="44"/>
      <c r="RYC105" s="44"/>
      <c r="RYD105" s="44"/>
      <c r="RYE105" s="44"/>
      <c r="RYF105" s="44"/>
      <c r="RYG105" s="44"/>
      <c r="RYH105" s="44"/>
      <c r="RYI105" s="44"/>
      <c r="RYJ105" s="44"/>
      <c r="RYK105" s="44"/>
      <c r="RYL105" s="44"/>
      <c r="RYM105" s="44"/>
      <c r="RYN105" s="44"/>
      <c r="RYO105" s="44"/>
      <c r="RYP105" s="44"/>
      <c r="RYQ105" s="44"/>
      <c r="RYR105" s="44"/>
      <c r="RYS105" s="44"/>
      <c r="RYT105" s="44"/>
      <c r="RYU105" s="44"/>
      <c r="RYV105" s="44"/>
      <c r="RYW105" s="44"/>
      <c r="RYX105" s="44"/>
      <c r="RYY105" s="44"/>
      <c r="RYZ105" s="44"/>
      <c r="RZA105" s="44"/>
      <c r="RZB105" s="44"/>
      <c r="RZC105" s="44"/>
      <c r="RZD105" s="44"/>
      <c r="RZE105" s="44"/>
      <c r="RZF105" s="44"/>
      <c r="RZG105" s="44"/>
      <c r="RZH105" s="44"/>
      <c r="RZI105" s="44"/>
      <c r="RZJ105" s="44"/>
      <c r="RZK105" s="44"/>
      <c r="RZL105" s="44"/>
      <c r="RZM105" s="44"/>
      <c r="RZN105" s="44"/>
      <c r="RZO105" s="44"/>
      <c r="RZP105" s="44"/>
      <c r="RZQ105" s="44"/>
      <c r="RZR105" s="44"/>
      <c r="RZS105" s="44"/>
      <c r="RZT105" s="44"/>
      <c r="RZU105" s="44"/>
      <c r="RZV105" s="44"/>
      <c r="RZW105" s="44"/>
      <c r="RZX105" s="44"/>
      <c r="RZY105" s="44"/>
      <c r="RZZ105" s="44"/>
      <c r="SAA105" s="44"/>
      <c r="SAB105" s="44"/>
      <c r="SAC105" s="44"/>
      <c r="SAD105" s="44"/>
      <c r="SAE105" s="44"/>
      <c r="SAF105" s="44"/>
      <c r="SAG105" s="44"/>
      <c r="SAH105" s="44"/>
      <c r="SAI105" s="44"/>
      <c r="SAJ105" s="44"/>
      <c r="SAK105" s="44"/>
      <c r="SAL105" s="44"/>
      <c r="SAM105" s="44"/>
      <c r="SAN105" s="44"/>
      <c r="SAO105" s="44"/>
      <c r="SAP105" s="44"/>
      <c r="SAQ105" s="44"/>
      <c r="SAR105" s="44"/>
      <c r="SAS105" s="44"/>
      <c r="SAT105" s="44"/>
      <c r="SAU105" s="44"/>
      <c r="SAV105" s="44"/>
      <c r="SAW105" s="44"/>
      <c r="SAX105" s="44"/>
      <c r="SAY105" s="44"/>
      <c r="SAZ105" s="44"/>
      <c r="SBA105" s="44"/>
      <c r="SBB105" s="44"/>
      <c r="SBC105" s="44"/>
      <c r="SBD105" s="44"/>
      <c r="SBE105" s="44"/>
      <c r="SBF105" s="44"/>
      <c r="SBG105" s="44"/>
      <c r="SBH105" s="44"/>
      <c r="SBI105" s="44"/>
      <c r="SBJ105" s="44"/>
      <c r="SBK105" s="44"/>
      <c r="SBL105" s="44"/>
      <c r="SBM105" s="44"/>
      <c r="SBN105" s="44"/>
      <c r="SBO105" s="44"/>
      <c r="SBP105" s="44"/>
      <c r="SBQ105" s="44"/>
      <c r="SBR105" s="44"/>
      <c r="SBS105" s="44"/>
      <c r="SBT105" s="44"/>
      <c r="SBU105" s="44"/>
      <c r="SBV105" s="44"/>
      <c r="SBW105" s="44"/>
      <c r="SBX105" s="44"/>
      <c r="SBY105" s="44"/>
      <c r="SBZ105" s="44"/>
      <c r="SCA105" s="44"/>
      <c r="SCB105" s="44"/>
      <c r="SCC105" s="44"/>
      <c r="SCD105" s="44"/>
      <c r="SCE105" s="44"/>
      <c r="SCF105" s="44"/>
      <c r="SCG105" s="44"/>
      <c r="SCH105" s="44"/>
      <c r="SCI105" s="44"/>
      <c r="SCJ105" s="44"/>
      <c r="SCK105" s="44"/>
      <c r="SCL105" s="44"/>
      <c r="SCM105" s="44"/>
      <c r="SCN105" s="44"/>
      <c r="SCO105" s="44"/>
      <c r="SCP105" s="44"/>
      <c r="SCQ105" s="44"/>
      <c r="SCR105" s="44"/>
      <c r="SCS105" s="44"/>
      <c r="SCT105" s="44"/>
      <c r="SCU105" s="44"/>
      <c r="SCV105" s="44"/>
      <c r="SCW105" s="44"/>
      <c r="SCX105" s="44"/>
      <c r="SCY105" s="44"/>
      <c r="SCZ105" s="44"/>
      <c r="SDA105" s="44"/>
      <c r="SDB105" s="44"/>
      <c r="SDC105" s="44"/>
      <c r="SDD105" s="44"/>
      <c r="SDE105" s="44"/>
      <c r="SDF105" s="44"/>
      <c r="SDG105" s="44"/>
      <c r="SDH105" s="44"/>
      <c r="SDI105" s="44"/>
      <c r="SDJ105" s="44"/>
      <c r="SDK105" s="44"/>
      <c r="SDL105" s="44"/>
      <c r="SDM105" s="44"/>
      <c r="SDN105" s="44"/>
      <c r="SDO105" s="44"/>
      <c r="SDP105" s="44"/>
      <c r="SDQ105" s="44"/>
      <c r="SDR105" s="44"/>
      <c r="SDS105" s="44"/>
      <c r="SDT105" s="44"/>
      <c r="SDU105" s="44"/>
      <c r="SDV105" s="44"/>
      <c r="SDW105" s="44"/>
      <c r="SDX105" s="44"/>
      <c r="SDY105" s="44"/>
      <c r="SDZ105" s="44"/>
      <c r="SEA105" s="44"/>
      <c r="SEB105" s="44"/>
      <c r="SEC105" s="44"/>
      <c r="SED105" s="44"/>
      <c r="SEE105" s="44"/>
      <c r="SEF105" s="44"/>
      <c r="SEG105" s="44"/>
      <c r="SEH105" s="44"/>
      <c r="SEI105" s="44"/>
      <c r="SEJ105" s="44"/>
      <c r="SEK105" s="44"/>
      <c r="SEL105" s="44"/>
      <c r="SEM105" s="44"/>
      <c r="SEN105" s="44"/>
      <c r="SEO105" s="44"/>
      <c r="SEP105" s="44"/>
      <c r="SEQ105" s="44"/>
      <c r="SER105" s="44"/>
      <c r="SES105" s="44"/>
      <c r="SET105" s="44"/>
      <c r="SEU105" s="44"/>
      <c r="SEV105" s="44"/>
      <c r="SEW105" s="44"/>
      <c r="SEX105" s="44"/>
      <c r="SEY105" s="44"/>
      <c r="SEZ105" s="44"/>
      <c r="SFA105" s="44"/>
      <c r="SFB105" s="44"/>
      <c r="SFC105" s="44"/>
      <c r="SFD105" s="44"/>
      <c r="SFE105" s="44"/>
      <c r="SFF105" s="44"/>
      <c r="SFG105" s="44"/>
      <c r="SFH105" s="44"/>
      <c r="SFI105" s="44"/>
      <c r="SFJ105" s="44"/>
      <c r="SFK105" s="44"/>
      <c r="SFL105" s="44"/>
      <c r="SFM105" s="44"/>
      <c r="SFN105" s="44"/>
      <c r="SFO105" s="44"/>
      <c r="SFP105" s="44"/>
      <c r="SFQ105" s="44"/>
      <c r="SFR105" s="44"/>
      <c r="SFS105" s="44"/>
      <c r="SFT105" s="44"/>
      <c r="SFU105" s="44"/>
      <c r="SFV105" s="44"/>
      <c r="SFW105" s="44"/>
      <c r="SFX105" s="44"/>
      <c r="SFY105" s="44"/>
      <c r="SFZ105" s="44"/>
      <c r="SGA105" s="44"/>
      <c r="SGB105" s="44"/>
      <c r="SGC105" s="44"/>
      <c r="SGD105" s="44"/>
      <c r="SGE105" s="44"/>
      <c r="SGF105" s="44"/>
      <c r="SGG105" s="44"/>
      <c r="SGH105" s="44"/>
      <c r="SGI105" s="44"/>
      <c r="SGJ105" s="44"/>
      <c r="SGK105" s="44"/>
      <c r="SGL105" s="44"/>
      <c r="SGM105" s="44"/>
      <c r="SGN105" s="44"/>
      <c r="SGO105" s="44"/>
      <c r="SGP105" s="44"/>
      <c r="SGQ105" s="44"/>
      <c r="SGR105" s="44"/>
      <c r="SGS105" s="44"/>
      <c r="SGT105" s="44"/>
      <c r="SGU105" s="44"/>
      <c r="SGV105" s="44"/>
      <c r="SGW105" s="44"/>
      <c r="SGX105" s="44"/>
      <c r="SGY105" s="44"/>
      <c r="SGZ105" s="44"/>
      <c r="SHA105" s="44"/>
      <c r="SHB105" s="44"/>
      <c r="SHC105" s="44"/>
      <c r="SHD105" s="44"/>
      <c r="SHE105" s="44"/>
      <c r="SHF105" s="44"/>
      <c r="SHG105" s="44"/>
      <c r="SHH105" s="44"/>
      <c r="SHI105" s="44"/>
      <c r="SHJ105" s="44"/>
      <c r="SHK105" s="44"/>
      <c r="SHL105" s="44"/>
      <c r="SHM105" s="44"/>
      <c r="SHN105" s="44"/>
      <c r="SHO105" s="44"/>
      <c r="SHP105" s="44"/>
      <c r="SHQ105" s="44"/>
      <c r="SHR105" s="44"/>
      <c r="SHS105" s="44"/>
      <c r="SHT105" s="44"/>
      <c r="SHU105" s="44"/>
      <c r="SHV105" s="44"/>
      <c r="SHW105" s="44"/>
      <c r="SHX105" s="44"/>
      <c r="SHY105" s="44"/>
      <c r="SHZ105" s="44"/>
      <c r="SIA105" s="44"/>
      <c r="SIB105" s="44"/>
      <c r="SIC105" s="44"/>
      <c r="SID105" s="44"/>
      <c r="SIE105" s="44"/>
      <c r="SIF105" s="44"/>
      <c r="SIG105" s="44"/>
      <c r="SIH105" s="44"/>
      <c r="SII105" s="44"/>
      <c r="SIJ105" s="44"/>
      <c r="SIK105" s="44"/>
      <c r="SIL105" s="44"/>
      <c r="SIM105" s="44"/>
      <c r="SIN105" s="44"/>
      <c r="SIO105" s="44"/>
      <c r="SIP105" s="44"/>
      <c r="SIQ105" s="44"/>
      <c r="SIR105" s="44"/>
      <c r="SIS105" s="44"/>
      <c r="SIT105" s="44"/>
      <c r="SIU105" s="44"/>
      <c r="SIV105" s="44"/>
      <c r="SIW105" s="44"/>
      <c r="SIX105" s="44"/>
      <c r="SIY105" s="44"/>
      <c r="SIZ105" s="44"/>
      <c r="SJA105" s="44"/>
      <c r="SJB105" s="44"/>
      <c r="SJC105" s="44"/>
      <c r="SJD105" s="44"/>
      <c r="SJE105" s="44"/>
      <c r="SJF105" s="44"/>
      <c r="SJG105" s="44"/>
      <c r="SJH105" s="44"/>
      <c r="SJI105" s="44"/>
      <c r="SJJ105" s="44"/>
      <c r="SJK105" s="44"/>
      <c r="SJL105" s="44"/>
      <c r="SJM105" s="44"/>
      <c r="SJN105" s="44"/>
      <c r="SJO105" s="44"/>
      <c r="SJP105" s="44"/>
      <c r="SJQ105" s="44"/>
      <c r="SJR105" s="44"/>
      <c r="SJS105" s="44"/>
      <c r="SJT105" s="44"/>
      <c r="SJU105" s="44"/>
      <c r="SJV105" s="44"/>
      <c r="SJW105" s="44"/>
      <c r="SJX105" s="44"/>
      <c r="SJY105" s="44"/>
      <c r="SJZ105" s="44"/>
      <c r="SKA105" s="44"/>
      <c r="SKB105" s="44"/>
      <c r="SKC105" s="44"/>
      <c r="SKD105" s="44"/>
      <c r="SKE105" s="44"/>
      <c r="SKF105" s="44"/>
      <c r="SKG105" s="44"/>
      <c r="SKH105" s="44"/>
      <c r="SKI105" s="44"/>
      <c r="SKJ105" s="44"/>
      <c r="SKK105" s="44"/>
      <c r="SKL105" s="44"/>
      <c r="SKM105" s="44"/>
      <c r="SKN105" s="44"/>
      <c r="SKO105" s="44"/>
      <c r="SKP105" s="44"/>
      <c r="SKQ105" s="44"/>
      <c r="SKR105" s="44"/>
      <c r="SKS105" s="44"/>
      <c r="SKT105" s="44"/>
      <c r="SKU105" s="44"/>
      <c r="SKV105" s="44"/>
      <c r="SKW105" s="44"/>
      <c r="SKX105" s="44"/>
      <c r="SKY105" s="44"/>
      <c r="SKZ105" s="44"/>
      <c r="SLA105" s="44"/>
      <c r="SLB105" s="44"/>
      <c r="SLC105" s="44"/>
      <c r="SLD105" s="44"/>
      <c r="SLE105" s="44"/>
      <c r="SLF105" s="44"/>
      <c r="SLG105" s="44"/>
      <c r="SLH105" s="44"/>
      <c r="SLI105" s="44"/>
      <c r="SLJ105" s="44"/>
      <c r="SLK105" s="44"/>
      <c r="SLL105" s="44"/>
      <c r="SLM105" s="44"/>
      <c r="SLN105" s="44"/>
      <c r="SLO105" s="44"/>
      <c r="SLP105" s="44"/>
      <c r="SLQ105" s="44"/>
      <c r="SLR105" s="44"/>
      <c r="SLS105" s="44"/>
      <c r="SLT105" s="44"/>
      <c r="SLU105" s="44"/>
      <c r="SLV105" s="44"/>
      <c r="SLW105" s="44"/>
      <c r="SLX105" s="44"/>
      <c r="SLY105" s="44"/>
      <c r="SLZ105" s="44"/>
      <c r="SMA105" s="44"/>
      <c r="SMB105" s="44"/>
      <c r="SMC105" s="44"/>
      <c r="SMD105" s="44"/>
      <c r="SME105" s="44"/>
      <c r="SMF105" s="44"/>
      <c r="SMG105" s="44"/>
      <c r="SMH105" s="44"/>
      <c r="SMI105" s="44"/>
      <c r="SMJ105" s="44"/>
      <c r="SMK105" s="44"/>
      <c r="SML105" s="44"/>
      <c r="SMM105" s="44"/>
      <c r="SMN105" s="44"/>
      <c r="SMO105" s="44"/>
      <c r="SMP105" s="44"/>
      <c r="SMQ105" s="44"/>
      <c r="SMR105" s="44"/>
      <c r="SMS105" s="44"/>
      <c r="SMT105" s="44"/>
      <c r="SMU105" s="44"/>
      <c r="SMV105" s="44"/>
      <c r="SMW105" s="44"/>
      <c r="SMX105" s="44"/>
      <c r="SMY105" s="44"/>
      <c r="SMZ105" s="44"/>
      <c r="SNA105" s="44"/>
      <c r="SNB105" s="44"/>
      <c r="SNC105" s="44"/>
      <c r="SND105" s="44"/>
      <c r="SNE105" s="44"/>
      <c r="SNF105" s="44"/>
      <c r="SNG105" s="44"/>
      <c r="SNH105" s="44"/>
      <c r="SNI105" s="44"/>
      <c r="SNJ105" s="44"/>
      <c r="SNK105" s="44"/>
      <c r="SNL105" s="44"/>
      <c r="SNM105" s="44"/>
      <c r="SNN105" s="44"/>
      <c r="SNO105" s="44"/>
      <c r="SNP105" s="44"/>
      <c r="SNQ105" s="44"/>
      <c r="SNR105" s="44"/>
      <c r="SNS105" s="44"/>
      <c r="SNT105" s="44"/>
      <c r="SNU105" s="44"/>
      <c r="SNV105" s="44"/>
      <c r="SNW105" s="44"/>
      <c r="SNX105" s="44"/>
      <c r="SNY105" s="44"/>
      <c r="SNZ105" s="44"/>
      <c r="SOA105" s="44"/>
      <c r="SOB105" s="44"/>
      <c r="SOC105" s="44"/>
      <c r="SOD105" s="44"/>
      <c r="SOE105" s="44"/>
      <c r="SOF105" s="44"/>
      <c r="SOG105" s="44"/>
      <c r="SOH105" s="44"/>
      <c r="SOI105" s="44"/>
      <c r="SOJ105" s="44"/>
      <c r="SOK105" s="44"/>
      <c r="SOL105" s="44"/>
      <c r="SOM105" s="44"/>
      <c r="SON105" s="44"/>
      <c r="SOO105" s="44"/>
      <c r="SOP105" s="44"/>
      <c r="SOQ105" s="44"/>
      <c r="SOR105" s="44"/>
      <c r="SOS105" s="44"/>
      <c r="SOT105" s="44"/>
      <c r="SOU105" s="44"/>
      <c r="SOV105" s="44"/>
      <c r="SOW105" s="44"/>
      <c r="SOX105" s="44"/>
      <c r="SOY105" s="44"/>
      <c r="SOZ105" s="44"/>
      <c r="SPA105" s="44"/>
      <c r="SPB105" s="44"/>
      <c r="SPC105" s="44"/>
      <c r="SPD105" s="44"/>
      <c r="SPE105" s="44"/>
      <c r="SPF105" s="44"/>
      <c r="SPG105" s="44"/>
      <c r="SPH105" s="44"/>
      <c r="SPI105" s="44"/>
      <c r="SPJ105" s="44"/>
      <c r="SPK105" s="44"/>
      <c r="SPL105" s="44"/>
      <c r="SPM105" s="44"/>
      <c r="SPN105" s="44"/>
      <c r="SPO105" s="44"/>
      <c r="SPP105" s="44"/>
      <c r="SPQ105" s="44"/>
      <c r="SPR105" s="44"/>
      <c r="SPS105" s="44"/>
      <c r="SPT105" s="44"/>
      <c r="SPU105" s="44"/>
      <c r="SPV105" s="44"/>
      <c r="SPW105" s="44"/>
      <c r="SPX105" s="44"/>
      <c r="SPY105" s="44"/>
      <c r="SPZ105" s="44"/>
      <c r="SQA105" s="44"/>
      <c r="SQB105" s="44"/>
      <c r="SQC105" s="44"/>
      <c r="SQD105" s="44"/>
      <c r="SQE105" s="44"/>
      <c r="SQF105" s="44"/>
      <c r="SQG105" s="44"/>
      <c r="SQH105" s="44"/>
      <c r="SQI105" s="44"/>
      <c r="SQJ105" s="44"/>
      <c r="SQK105" s="44"/>
      <c r="SQL105" s="44"/>
      <c r="SQM105" s="44"/>
      <c r="SQN105" s="44"/>
      <c r="SQO105" s="44"/>
      <c r="SQP105" s="44"/>
      <c r="SQQ105" s="44"/>
      <c r="SQR105" s="44"/>
      <c r="SQS105" s="44"/>
      <c r="SQT105" s="44"/>
      <c r="SQU105" s="44"/>
      <c r="SQV105" s="44"/>
      <c r="SQW105" s="44"/>
      <c r="SQX105" s="44"/>
      <c r="SQY105" s="44"/>
      <c r="SQZ105" s="44"/>
      <c r="SRA105" s="44"/>
      <c r="SRB105" s="44"/>
      <c r="SRC105" s="44"/>
      <c r="SRD105" s="44"/>
      <c r="SRE105" s="44"/>
      <c r="SRF105" s="44"/>
      <c r="SRG105" s="44"/>
      <c r="SRH105" s="44"/>
      <c r="SRI105" s="44"/>
      <c r="SRJ105" s="44"/>
      <c r="SRK105" s="44"/>
      <c r="SRL105" s="44"/>
      <c r="SRM105" s="44"/>
      <c r="SRN105" s="44"/>
      <c r="SRO105" s="44"/>
      <c r="SRP105" s="44"/>
      <c r="SRQ105" s="44"/>
      <c r="SRR105" s="44"/>
      <c r="SRS105" s="44"/>
      <c r="SRT105" s="44"/>
      <c r="SRU105" s="44"/>
      <c r="SRV105" s="44"/>
      <c r="SRW105" s="44"/>
      <c r="SRX105" s="44"/>
      <c r="SRY105" s="44"/>
      <c r="SRZ105" s="44"/>
      <c r="SSA105" s="44"/>
      <c r="SSB105" s="44"/>
      <c r="SSC105" s="44"/>
      <c r="SSD105" s="44"/>
      <c r="SSE105" s="44"/>
      <c r="SSF105" s="44"/>
      <c r="SSG105" s="44"/>
      <c r="SSH105" s="44"/>
      <c r="SSI105" s="44"/>
      <c r="SSJ105" s="44"/>
      <c r="SSK105" s="44"/>
      <c r="SSL105" s="44"/>
      <c r="SSM105" s="44"/>
      <c r="SSN105" s="44"/>
      <c r="SSO105" s="44"/>
      <c r="SSP105" s="44"/>
      <c r="SSQ105" s="44"/>
      <c r="SSR105" s="44"/>
      <c r="SSS105" s="44"/>
      <c r="SST105" s="44"/>
      <c r="SSU105" s="44"/>
      <c r="SSV105" s="44"/>
      <c r="SSW105" s="44"/>
      <c r="SSX105" s="44"/>
      <c r="SSY105" s="44"/>
      <c r="SSZ105" s="44"/>
      <c r="STA105" s="44"/>
      <c r="STB105" s="44"/>
      <c r="STC105" s="44"/>
      <c r="STD105" s="44"/>
      <c r="STE105" s="44"/>
      <c r="STF105" s="44"/>
      <c r="STG105" s="44"/>
      <c r="STH105" s="44"/>
      <c r="STI105" s="44"/>
      <c r="STJ105" s="44"/>
      <c r="STK105" s="44"/>
      <c r="STL105" s="44"/>
      <c r="STM105" s="44"/>
      <c r="STN105" s="44"/>
      <c r="STO105" s="44"/>
      <c r="STP105" s="44"/>
      <c r="STQ105" s="44"/>
      <c r="STR105" s="44"/>
      <c r="STS105" s="44"/>
      <c r="STT105" s="44"/>
      <c r="STU105" s="44"/>
      <c r="STV105" s="44"/>
      <c r="STW105" s="44"/>
      <c r="STX105" s="44"/>
      <c r="STY105" s="44"/>
      <c r="STZ105" s="44"/>
      <c r="SUA105" s="44"/>
      <c r="SUB105" s="44"/>
      <c r="SUC105" s="44"/>
      <c r="SUD105" s="44"/>
      <c r="SUE105" s="44"/>
      <c r="SUF105" s="44"/>
      <c r="SUG105" s="44"/>
      <c r="SUH105" s="44"/>
      <c r="SUI105" s="44"/>
      <c r="SUJ105" s="44"/>
      <c r="SUK105" s="44"/>
      <c r="SUL105" s="44"/>
      <c r="SUM105" s="44"/>
      <c r="SUN105" s="44"/>
      <c r="SUO105" s="44"/>
      <c r="SUP105" s="44"/>
      <c r="SUQ105" s="44"/>
      <c r="SUR105" s="44"/>
      <c r="SUS105" s="44"/>
      <c r="SUT105" s="44"/>
      <c r="SUU105" s="44"/>
      <c r="SUV105" s="44"/>
      <c r="SUW105" s="44"/>
      <c r="SUX105" s="44"/>
      <c r="SUY105" s="44"/>
      <c r="SUZ105" s="44"/>
      <c r="SVA105" s="44"/>
      <c r="SVB105" s="44"/>
      <c r="SVC105" s="44"/>
      <c r="SVD105" s="44"/>
      <c r="SVE105" s="44"/>
      <c r="SVF105" s="44"/>
      <c r="SVG105" s="44"/>
      <c r="SVH105" s="44"/>
      <c r="SVI105" s="44"/>
      <c r="SVJ105" s="44"/>
      <c r="SVK105" s="44"/>
      <c r="SVL105" s="44"/>
      <c r="SVM105" s="44"/>
      <c r="SVN105" s="44"/>
      <c r="SVO105" s="44"/>
      <c r="SVP105" s="44"/>
      <c r="SVQ105" s="44"/>
      <c r="SVR105" s="44"/>
      <c r="SVS105" s="44"/>
      <c r="SVT105" s="44"/>
      <c r="SVU105" s="44"/>
      <c r="SVV105" s="44"/>
      <c r="SVW105" s="44"/>
      <c r="SVX105" s="44"/>
      <c r="SVY105" s="44"/>
      <c r="SVZ105" s="44"/>
      <c r="SWA105" s="44"/>
      <c r="SWB105" s="44"/>
      <c r="SWC105" s="44"/>
      <c r="SWD105" s="44"/>
      <c r="SWE105" s="44"/>
      <c r="SWF105" s="44"/>
      <c r="SWG105" s="44"/>
      <c r="SWH105" s="44"/>
      <c r="SWI105" s="44"/>
      <c r="SWJ105" s="44"/>
      <c r="SWK105" s="44"/>
      <c r="SWL105" s="44"/>
      <c r="SWM105" s="44"/>
      <c r="SWN105" s="44"/>
      <c r="SWO105" s="44"/>
      <c r="SWP105" s="44"/>
      <c r="SWQ105" s="44"/>
      <c r="SWR105" s="44"/>
      <c r="SWS105" s="44"/>
      <c r="SWT105" s="44"/>
      <c r="SWU105" s="44"/>
      <c r="SWV105" s="44"/>
      <c r="SWW105" s="44"/>
      <c r="SWX105" s="44"/>
      <c r="SWY105" s="44"/>
      <c r="SWZ105" s="44"/>
      <c r="SXA105" s="44"/>
      <c r="SXB105" s="44"/>
      <c r="SXC105" s="44"/>
      <c r="SXD105" s="44"/>
      <c r="SXE105" s="44"/>
      <c r="SXF105" s="44"/>
      <c r="SXG105" s="44"/>
      <c r="SXH105" s="44"/>
      <c r="SXI105" s="44"/>
      <c r="SXJ105" s="44"/>
      <c r="SXK105" s="44"/>
      <c r="SXL105" s="44"/>
      <c r="SXM105" s="44"/>
      <c r="SXN105" s="44"/>
      <c r="SXO105" s="44"/>
      <c r="SXP105" s="44"/>
      <c r="SXQ105" s="44"/>
      <c r="SXR105" s="44"/>
      <c r="SXS105" s="44"/>
      <c r="SXT105" s="44"/>
      <c r="SXU105" s="44"/>
      <c r="SXV105" s="44"/>
      <c r="SXW105" s="44"/>
      <c r="SXX105" s="44"/>
      <c r="SXY105" s="44"/>
      <c r="SXZ105" s="44"/>
      <c r="SYA105" s="44"/>
      <c r="SYB105" s="44"/>
      <c r="SYC105" s="44"/>
      <c r="SYD105" s="44"/>
      <c r="SYE105" s="44"/>
      <c r="SYF105" s="44"/>
      <c r="SYG105" s="44"/>
      <c r="SYH105" s="44"/>
      <c r="SYI105" s="44"/>
      <c r="SYJ105" s="44"/>
      <c r="SYK105" s="44"/>
      <c r="SYL105" s="44"/>
      <c r="SYM105" s="44"/>
      <c r="SYN105" s="44"/>
      <c r="SYO105" s="44"/>
      <c r="SYP105" s="44"/>
      <c r="SYQ105" s="44"/>
      <c r="SYR105" s="44"/>
      <c r="SYS105" s="44"/>
      <c r="SYT105" s="44"/>
      <c r="SYU105" s="44"/>
      <c r="SYV105" s="44"/>
      <c r="SYW105" s="44"/>
      <c r="SYX105" s="44"/>
      <c r="SYY105" s="44"/>
      <c r="SYZ105" s="44"/>
      <c r="SZA105" s="44"/>
      <c r="SZB105" s="44"/>
      <c r="SZC105" s="44"/>
      <c r="SZD105" s="44"/>
      <c r="SZE105" s="44"/>
      <c r="SZF105" s="44"/>
      <c r="SZG105" s="44"/>
      <c r="SZH105" s="44"/>
      <c r="SZI105" s="44"/>
      <c r="SZJ105" s="44"/>
      <c r="SZK105" s="44"/>
      <c r="SZL105" s="44"/>
      <c r="SZM105" s="44"/>
      <c r="SZN105" s="44"/>
      <c r="SZO105" s="44"/>
      <c r="SZP105" s="44"/>
      <c r="SZQ105" s="44"/>
      <c r="SZR105" s="44"/>
      <c r="SZS105" s="44"/>
      <c r="SZT105" s="44"/>
      <c r="SZU105" s="44"/>
      <c r="SZV105" s="44"/>
      <c r="SZW105" s="44"/>
      <c r="SZX105" s="44"/>
      <c r="SZY105" s="44"/>
      <c r="SZZ105" s="44"/>
      <c r="TAA105" s="44"/>
      <c r="TAB105" s="44"/>
      <c r="TAC105" s="44"/>
      <c r="TAD105" s="44"/>
      <c r="TAE105" s="44"/>
      <c r="TAF105" s="44"/>
      <c r="TAG105" s="44"/>
      <c r="TAH105" s="44"/>
      <c r="TAI105" s="44"/>
      <c r="TAJ105" s="44"/>
      <c r="TAK105" s="44"/>
      <c r="TAL105" s="44"/>
      <c r="TAM105" s="44"/>
      <c r="TAN105" s="44"/>
      <c r="TAO105" s="44"/>
      <c r="TAP105" s="44"/>
      <c r="TAQ105" s="44"/>
      <c r="TAR105" s="44"/>
      <c r="TAS105" s="44"/>
      <c r="TAT105" s="44"/>
      <c r="TAU105" s="44"/>
      <c r="TAV105" s="44"/>
      <c r="TAW105" s="44"/>
      <c r="TAX105" s="44"/>
      <c r="TAY105" s="44"/>
      <c r="TAZ105" s="44"/>
      <c r="TBA105" s="44"/>
      <c r="TBB105" s="44"/>
      <c r="TBC105" s="44"/>
      <c r="TBD105" s="44"/>
      <c r="TBE105" s="44"/>
      <c r="TBF105" s="44"/>
      <c r="TBG105" s="44"/>
      <c r="TBH105" s="44"/>
      <c r="TBI105" s="44"/>
      <c r="TBJ105" s="44"/>
      <c r="TBK105" s="44"/>
      <c r="TBL105" s="44"/>
      <c r="TBM105" s="44"/>
      <c r="TBN105" s="44"/>
      <c r="TBO105" s="44"/>
      <c r="TBP105" s="44"/>
      <c r="TBQ105" s="44"/>
      <c r="TBR105" s="44"/>
      <c r="TBS105" s="44"/>
      <c r="TBT105" s="44"/>
      <c r="TBU105" s="44"/>
      <c r="TBV105" s="44"/>
      <c r="TBW105" s="44"/>
      <c r="TBX105" s="44"/>
      <c r="TBY105" s="44"/>
      <c r="TBZ105" s="44"/>
      <c r="TCA105" s="44"/>
      <c r="TCB105" s="44"/>
      <c r="TCC105" s="44"/>
      <c r="TCD105" s="44"/>
      <c r="TCE105" s="44"/>
      <c r="TCF105" s="44"/>
      <c r="TCG105" s="44"/>
      <c r="TCH105" s="44"/>
      <c r="TCI105" s="44"/>
      <c r="TCJ105" s="44"/>
      <c r="TCK105" s="44"/>
      <c r="TCL105" s="44"/>
      <c r="TCM105" s="44"/>
      <c r="TCN105" s="44"/>
      <c r="TCO105" s="44"/>
      <c r="TCP105" s="44"/>
      <c r="TCQ105" s="44"/>
      <c r="TCR105" s="44"/>
      <c r="TCS105" s="44"/>
      <c r="TCT105" s="44"/>
      <c r="TCU105" s="44"/>
      <c r="TCV105" s="44"/>
      <c r="TCW105" s="44"/>
      <c r="TCX105" s="44"/>
      <c r="TCY105" s="44"/>
      <c r="TCZ105" s="44"/>
      <c r="TDA105" s="44"/>
      <c r="TDB105" s="44"/>
      <c r="TDC105" s="44"/>
      <c r="TDD105" s="44"/>
      <c r="TDE105" s="44"/>
      <c r="TDF105" s="44"/>
      <c r="TDG105" s="44"/>
      <c r="TDH105" s="44"/>
      <c r="TDI105" s="44"/>
      <c r="TDJ105" s="44"/>
      <c r="TDK105" s="44"/>
      <c r="TDL105" s="44"/>
      <c r="TDM105" s="44"/>
      <c r="TDN105" s="44"/>
      <c r="TDO105" s="44"/>
      <c r="TDP105" s="44"/>
      <c r="TDQ105" s="44"/>
      <c r="TDR105" s="44"/>
      <c r="TDS105" s="44"/>
      <c r="TDT105" s="44"/>
      <c r="TDU105" s="44"/>
      <c r="TDV105" s="44"/>
      <c r="TDW105" s="44"/>
      <c r="TDX105" s="44"/>
      <c r="TDY105" s="44"/>
      <c r="TDZ105" s="44"/>
      <c r="TEA105" s="44"/>
      <c r="TEB105" s="44"/>
      <c r="TEC105" s="44"/>
      <c r="TED105" s="44"/>
      <c r="TEE105" s="44"/>
      <c r="TEF105" s="44"/>
      <c r="TEG105" s="44"/>
      <c r="TEH105" s="44"/>
      <c r="TEI105" s="44"/>
      <c r="TEJ105" s="44"/>
      <c r="TEK105" s="44"/>
      <c r="TEL105" s="44"/>
      <c r="TEM105" s="44"/>
      <c r="TEN105" s="44"/>
      <c r="TEO105" s="44"/>
      <c r="TEP105" s="44"/>
      <c r="TEQ105" s="44"/>
      <c r="TER105" s="44"/>
      <c r="TES105" s="44"/>
      <c r="TET105" s="44"/>
      <c r="TEU105" s="44"/>
      <c r="TEV105" s="44"/>
      <c r="TEW105" s="44"/>
      <c r="TEX105" s="44"/>
      <c r="TEY105" s="44"/>
      <c r="TEZ105" s="44"/>
      <c r="TFA105" s="44"/>
      <c r="TFB105" s="44"/>
      <c r="TFC105" s="44"/>
      <c r="TFD105" s="44"/>
      <c r="TFE105" s="44"/>
      <c r="TFF105" s="44"/>
      <c r="TFG105" s="44"/>
      <c r="TFH105" s="44"/>
      <c r="TFI105" s="44"/>
      <c r="TFJ105" s="44"/>
      <c r="TFK105" s="44"/>
      <c r="TFL105" s="44"/>
      <c r="TFM105" s="44"/>
      <c r="TFN105" s="44"/>
      <c r="TFO105" s="44"/>
      <c r="TFP105" s="44"/>
      <c r="TFQ105" s="44"/>
      <c r="TFR105" s="44"/>
      <c r="TFS105" s="44"/>
      <c r="TFT105" s="44"/>
      <c r="TFU105" s="44"/>
      <c r="TFV105" s="44"/>
      <c r="TFW105" s="44"/>
      <c r="TFX105" s="44"/>
      <c r="TFY105" s="44"/>
      <c r="TFZ105" s="44"/>
      <c r="TGA105" s="44"/>
      <c r="TGB105" s="44"/>
      <c r="TGC105" s="44"/>
      <c r="TGD105" s="44"/>
      <c r="TGE105" s="44"/>
      <c r="TGF105" s="44"/>
      <c r="TGG105" s="44"/>
      <c r="TGH105" s="44"/>
      <c r="TGI105" s="44"/>
      <c r="TGJ105" s="44"/>
      <c r="TGK105" s="44"/>
      <c r="TGL105" s="44"/>
      <c r="TGM105" s="44"/>
      <c r="TGN105" s="44"/>
      <c r="TGO105" s="44"/>
      <c r="TGP105" s="44"/>
      <c r="TGQ105" s="44"/>
      <c r="TGR105" s="44"/>
      <c r="TGS105" s="44"/>
      <c r="TGT105" s="44"/>
      <c r="TGU105" s="44"/>
      <c r="TGV105" s="44"/>
      <c r="TGW105" s="44"/>
      <c r="TGX105" s="44"/>
      <c r="TGY105" s="44"/>
      <c r="TGZ105" s="44"/>
      <c r="THA105" s="44"/>
      <c r="THB105" s="44"/>
      <c r="THC105" s="44"/>
      <c r="THD105" s="44"/>
      <c r="THE105" s="44"/>
      <c r="THF105" s="44"/>
      <c r="THG105" s="44"/>
      <c r="THH105" s="44"/>
      <c r="THI105" s="44"/>
      <c r="THJ105" s="44"/>
      <c r="THK105" s="44"/>
      <c r="THL105" s="44"/>
      <c r="THM105" s="44"/>
      <c r="THN105" s="44"/>
      <c r="THO105" s="44"/>
      <c r="THP105" s="44"/>
      <c r="THQ105" s="44"/>
      <c r="THR105" s="44"/>
      <c r="THS105" s="44"/>
      <c r="THT105" s="44"/>
      <c r="THU105" s="44"/>
      <c r="THV105" s="44"/>
      <c r="THW105" s="44"/>
      <c r="THX105" s="44"/>
      <c r="THY105" s="44"/>
      <c r="THZ105" s="44"/>
      <c r="TIA105" s="44"/>
      <c r="TIB105" s="44"/>
      <c r="TIC105" s="44"/>
      <c r="TID105" s="44"/>
      <c r="TIE105" s="44"/>
      <c r="TIF105" s="44"/>
      <c r="TIG105" s="44"/>
      <c r="TIH105" s="44"/>
      <c r="TII105" s="44"/>
      <c r="TIJ105" s="44"/>
      <c r="TIK105" s="44"/>
      <c r="TIL105" s="44"/>
      <c r="TIM105" s="44"/>
      <c r="TIN105" s="44"/>
      <c r="TIO105" s="44"/>
      <c r="TIP105" s="44"/>
      <c r="TIQ105" s="44"/>
      <c r="TIR105" s="44"/>
      <c r="TIS105" s="44"/>
      <c r="TIT105" s="44"/>
      <c r="TIU105" s="44"/>
      <c r="TIV105" s="44"/>
      <c r="TIW105" s="44"/>
      <c r="TIX105" s="44"/>
      <c r="TIY105" s="44"/>
      <c r="TIZ105" s="44"/>
      <c r="TJA105" s="44"/>
      <c r="TJB105" s="44"/>
      <c r="TJC105" s="44"/>
      <c r="TJD105" s="44"/>
      <c r="TJE105" s="44"/>
      <c r="TJF105" s="44"/>
      <c r="TJG105" s="44"/>
      <c r="TJH105" s="44"/>
      <c r="TJI105" s="44"/>
      <c r="TJJ105" s="44"/>
      <c r="TJK105" s="44"/>
      <c r="TJL105" s="44"/>
      <c r="TJM105" s="44"/>
      <c r="TJN105" s="44"/>
      <c r="TJO105" s="44"/>
      <c r="TJP105" s="44"/>
      <c r="TJQ105" s="44"/>
      <c r="TJR105" s="44"/>
      <c r="TJS105" s="44"/>
      <c r="TJT105" s="44"/>
      <c r="TJU105" s="44"/>
      <c r="TJV105" s="44"/>
      <c r="TJW105" s="44"/>
      <c r="TJX105" s="44"/>
      <c r="TJY105" s="44"/>
      <c r="TJZ105" s="44"/>
      <c r="TKA105" s="44"/>
      <c r="TKB105" s="44"/>
      <c r="TKC105" s="44"/>
      <c r="TKD105" s="44"/>
      <c r="TKE105" s="44"/>
      <c r="TKF105" s="44"/>
      <c r="TKG105" s="44"/>
      <c r="TKH105" s="44"/>
      <c r="TKI105" s="44"/>
      <c r="TKJ105" s="44"/>
      <c r="TKK105" s="44"/>
      <c r="TKL105" s="44"/>
      <c r="TKM105" s="44"/>
      <c r="TKN105" s="44"/>
      <c r="TKO105" s="44"/>
      <c r="TKP105" s="44"/>
      <c r="TKQ105" s="44"/>
      <c r="TKR105" s="44"/>
      <c r="TKS105" s="44"/>
      <c r="TKT105" s="44"/>
      <c r="TKU105" s="44"/>
      <c r="TKV105" s="44"/>
      <c r="TKW105" s="44"/>
      <c r="TKX105" s="44"/>
      <c r="TKY105" s="44"/>
      <c r="TKZ105" s="44"/>
      <c r="TLA105" s="44"/>
      <c r="TLB105" s="44"/>
      <c r="TLC105" s="44"/>
      <c r="TLD105" s="44"/>
      <c r="TLE105" s="44"/>
      <c r="TLF105" s="44"/>
      <c r="TLG105" s="44"/>
      <c r="TLH105" s="44"/>
      <c r="TLI105" s="44"/>
      <c r="TLJ105" s="44"/>
      <c r="TLK105" s="44"/>
      <c r="TLL105" s="44"/>
      <c r="TLM105" s="44"/>
      <c r="TLN105" s="44"/>
      <c r="TLO105" s="44"/>
      <c r="TLP105" s="44"/>
      <c r="TLQ105" s="44"/>
      <c r="TLR105" s="44"/>
      <c r="TLS105" s="44"/>
      <c r="TLT105" s="44"/>
      <c r="TLU105" s="44"/>
      <c r="TLV105" s="44"/>
      <c r="TLW105" s="44"/>
      <c r="TLX105" s="44"/>
      <c r="TLY105" s="44"/>
      <c r="TLZ105" s="44"/>
      <c r="TMA105" s="44"/>
      <c r="TMB105" s="44"/>
      <c r="TMC105" s="44"/>
      <c r="TMD105" s="44"/>
      <c r="TME105" s="44"/>
      <c r="TMF105" s="44"/>
      <c r="TMG105" s="44"/>
      <c r="TMH105" s="44"/>
      <c r="TMI105" s="44"/>
      <c r="TMJ105" s="44"/>
      <c r="TMK105" s="44"/>
      <c r="TML105" s="44"/>
      <c r="TMM105" s="44"/>
      <c r="TMN105" s="44"/>
      <c r="TMO105" s="44"/>
      <c r="TMP105" s="44"/>
      <c r="TMQ105" s="44"/>
      <c r="TMR105" s="44"/>
      <c r="TMS105" s="44"/>
      <c r="TMT105" s="44"/>
      <c r="TMU105" s="44"/>
      <c r="TMV105" s="44"/>
      <c r="TMW105" s="44"/>
      <c r="TMX105" s="44"/>
      <c r="TMY105" s="44"/>
      <c r="TMZ105" s="44"/>
      <c r="TNA105" s="44"/>
      <c r="TNB105" s="44"/>
      <c r="TNC105" s="44"/>
      <c r="TND105" s="44"/>
      <c r="TNE105" s="44"/>
      <c r="TNF105" s="44"/>
      <c r="TNG105" s="44"/>
      <c r="TNH105" s="44"/>
      <c r="TNI105" s="44"/>
      <c r="TNJ105" s="44"/>
      <c r="TNK105" s="44"/>
      <c r="TNL105" s="44"/>
      <c r="TNM105" s="44"/>
      <c r="TNN105" s="44"/>
      <c r="TNO105" s="44"/>
      <c r="TNP105" s="44"/>
      <c r="TNQ105" s="44"/>
      <c r="TNR105" s="44"/>
      <c r="TNS105" s="44"/>
      <c r="TNT105" s="44"/>
      <c r="TNU105" s="44"/>
      <c r="TNV105" s="44"/>
      <c r="TNW105" s="44"/>
      <c r="TNX105" s="44"/>
      <c r="TNY105" s="44"/>
      <c r="TNZ105" s="44"/>
      <c r="TOA105" s="44"/>
      <c r="TOB105" s="44"/>
      <c r="TOC105" s="44"/>
      <c r="TOD105" s="44"/>
      <c r="TOE105" s="44"/>
      <c r="TOF105" s="44"/>
      <c r="TOG105" s="44"/>
      <c r="TOH105" s="44"/>
      <c r="TOI105" s="44"/>
      <c r="TOJ105" s="44"/>
      <c r="TOK105" s="44"/>
      <c r="TOL105" s="44"/>
      <c r="TOM105" s="44"/>
      <c r="TON105" s="44"/>
      <c r="TOO105" s="44"/>
      <c r="TOP105" s="44"/>
      <c r="TOQ105" s="44"/>
      <c r="TOR105" s="44"/>
      <c r="TOS105" s="44"/>
      <c r="TOT105" s="44"/>
      <c r="TOU105" s="44"/>
      <c r="TOV105" s="44"/>
      <c r="TOW105" s="44"/>
      <c r="TOX105" s="44"/>
      <c r="TOY105" s="44"/>
      <c r="TOZ105" s="44"/>
      <c r="TPA105" s="44"/>
      <c r="TPB105" s="44"/>
      <c r="TPC105" s="44"/>
      <c r="TPD105" s="44"/>
      <c r="TPE105" s="44"/>
      <c r="TPF105" s="44"/>
      <c r="TPG105" s="44"/>
      <c r="TPH105" s="44"/>
      <c r="TPI105" s="44"/>
      <c r="TPJ105" s="44"/>
      <c r="TPK105" s="44"/>
      <c r="TPL105" s="44"/>
      <c r="TPM105" s="44"/>
      <c r="TPN105" s="44"/>
      <c r="TPO105" s="44"/>
      <c r="TPP105" s="44"/>
      <c r="TPQ105" s="44"/>
      <c r="TPR105" s="44"/>
      <c r="TPS105" s="44"/>
      <c r="TPT105" s="44"/>
      <c r="TPU105" s="44"/>
      <c r="TPV105" s="44"/>
      <c r="TPW105" s="44"/>
      <c r="TPX105" s="44"/>
      <c r="TPY105" s="44"/>
      <c r="TPZ105" s="44"/>
      <c r="TQA105" s="44"/>
      <c r="TQB105" s="44"/>
      <c r="TQC105" s="44"/>
      <c r="TQD105" s="44"/>
      <c r="TQE105" s="44"/>
      <c r="TQF105" s="44"/>
      <c r="TQG105" s="44"/>
      <c r="TQH105" s="44"/>
      <c r="TQI105" s="44"/>
      <c r="TQJ105" s="44"/>
      <c r="TQK105" s="44"/>
      <c r="TQL105" s="44"/>
      <c r="TQM105" s="44"/>
      <c r="TQN105" s="44"/>
      <c r="TQO105" s="44"/>
      <c r="TQP105" s="44"/>
      <c r="TQQ105" s="44"/>
      <c r="TQR105" s="44"/>
      <c r="TQS105" s="44"/>
      <c r="TQT105" s="44"/>
      <c r="TQU105" s="44"/>
      <c r="TQV105" s="44"/>
      <c r="TQW105" s="44"/>
      <c r="TQX105" s="44"/>
      <c r="TQY105" s="44"/>
      <c r="TQZ105" s="44"/>
      <c r="TRA105" s="44"/>
      <c r="TRB105" s="44"/>
      <c r="TRC105" s="44"/>
      <c r="TRD105" s="44"/>
      <c r="TRE105" s="44"/>
      <c r="TRF105" s="44"/>
      <c r="TRG105" s="44"/>
      <c r="TRH105" s="44"/>
      <c r="TRI105" s="44"/>
      <c r="TRJ105" s="44"/>
      <c r="TRK105" s="44"/>
      <c r="TRL105" s="44"/>
      <c r="TRM105" s="44"/>
      <c r="TRN105" s="44"/>
      <c r="TRO105" s="44"/>
      <c r="TRP105" s="44"/>
      <c r="TRQ105" s="44"/>
      <c r="TRR105" s="44"/>
      <c r="TRS105" s="44"/>
      <c r="TRT105" s="44"/>
      <c r="TRU105" s="44"/>
      <c r="TRV105" s="44"/>
      <c r="TRW105" s="44"/>
      <c r="TRX105" s="44"/>
      <c r="TRY105" s="44"/>
      <c r="TRZ105" s="44"/>
      <c r="TSA105" s="44"/>
      <c r="TSB105" s="44"/>
      <c r="TSC105" s="44"/>
      <c r="TSD105" s="44"/>
      <c r="TSE105" s="44"/>
      <c r="TSF105" s="44"/>
      <c r="TSG105" s="44"/>
      <c r="TSH105" s="44"/>
      <c r="TSI105" s="44"/>
      <c r="TSJ105" s="44"/>
      <c r="TSK105" s="44"/>
      <c r="TSL105" s="44"/>
      <c r="TSM105" s="44"/>
      <c r="TSN105" s="44"/>
      <c r="TSO105" s="44"/>
      <c r="TSP105" s="44"/>
      <c r="TSQ105" s="44"/>
      <c r="TSR105" s="44"/>
      <c r="TSS105" s="44"/>
      <c r="TST105" s="44"/>
      <c r="TSU105" s="44"/>
      <c r="TSV105" s="44"/>
      <c r="TSW105" s="44"/>
      <c r="TSX105" s="44"/>
      <c r="TSY105" s="44"/>
      <c r="TSZ105" s="44"/>
      <c r="TTA105" s="44"/>
      <c r="TTB105" s="44"/>
      <c r="TTC105" s="44"/>
      <c r="TTD105" s="44"/>
      <c r="TTE105" s="44"/>
      <c r="TTF105" s="44"/>
      <c r="TTG105" s="44"/>
      <c r="TTH105" s="44"/>
      <c r="TTI105" s="44"/>
      <c r="TTJ105" s="44"/>
      <c r="TTK105" s="44"/>
      <c r="TTL105" s="44"/>
      <c r="TTM105" s="44"/>
      <c r="TTN105" s="44"/>
      <c r="TTO105" s="44"/>
      <c r="TTP105" s="44"/>
      <c r="TTQ105" s="44"/>
      <c r="TTR105" s="44"/>
      <c r="TTS105" s="44"/>
      <c r="TTT105" s="44"/>
      <c r="TTU105" s="44"/>
      <c r="TTV105" s="44"/>
      <c r="TTW105" s="44"/>
      <c r="TTX105" s="44"/>
      <c r="TTY105" s="44"/>
      <c r="TTZ105" s="44"/>
      <c r="TUA105" s="44"/>
      <c r="TUB105" s="44"/>
      <c r="TUC105" s="44"/>
      <c r="TUD105" s="44"/>
      <c r="TUE105" s="44"/>
      <c r="TUF105" s="44"/>
      <c r="TUG105" s="44"/>
      <c r="TUH105" s="44"/>
      <c r="TUI105" s="44"/>
      <c r="TUJ105" s="44"/>
      <c r="TUK105" s="44"/>
      <c r="TUL105" s="44"/>
      <c r="TUM105" s="44"/>
      <c r="TUN105" s="44"/>
      <c r="TUO105" s="44"/>
      <c r="TUP105" s="44"/>
      <c r="TUQ105" s="44"/>
      <c r="TUR105" s="44"/>
      <c r="TUS105" s="44"/>
      <c r="TUT105" s="44"/>
      <c r="TUU105" s="44"/>
      <c r="TUV105" s="44"/>
      <c r="TUW105" s="44"/>
      <c r="TUX105" s="44"/>
      <c r="TUY105" s="44"/>
      <c r="TUZ105" s="44"/>
      <c r="TVA105" s="44"/>
      <c r="TVB105" s="44"/>
      <c r="TVC105" s="44"/>
      <c r="TVD105" s="44"/>
      <c r="TVE105" s="44"/>
      <c r="TVF105" s="44"/>
      <c r="TVG105" s="44"/>
      <c r="TVH105" s="44"/>
      <c r="TVI105" s="44"/>
      <c r="TVJ105" s="44"/>
      <c r="TVK105" s="44"/>
      <c r="TVL105" s="44"/>
      <c r="TVM105" s="44"/>
      <c r="TVN105" s="44"/>
      <c r="TVO105" s="44"/>
      <c r="TVP105" s="44"/>
      <c r="TVQ105" s="44"/>
      <c r="TVR105" s="44"/>
      <c r="TVS105" s="44"/>
      <c r="TVT105" s="44"/>
      <c r="TVU105" s="44"/>
      <c r="TVV105" s="44"/>
      <c r="TVW105" s="44"/>
      <c r="TVX105" s="44"/>
      <c r="TVY105" s="44"/>
      <c r="TVZ105" s="44"/>
      <c r="TWA105" s="44"/>
      <c r="TWB105" s="44"/>
      <c r="TWC105" s="44"/>
      <c r="TWD105" s="44"/>
      <c r="TWE105" s="44"/>
      <c r="TWF105" s="44"/>
      <c r="TWG105" s="44"/>
      <c r="TWH105" s="44"/>
      <c r="TWI105" s="44"/>
      <c r="TWJ105" s="44"/>
      <c r="TWK105" s="44"/>
      <c r="TWL105" s="44"/>
      <c r="TWM105" s="44"/>
      <c r="TWN105" s="44"/>
      <c r="TWO105" s="44"/>
      <c r="TWP105" s="44"/>
      <c r="TWQ105" s="44"/>
      <c r="TWR105" s="44"/>
      <c r="TWS105" s="44"/>
      <c r="TWT105" s="44"/>
      <c r="TWU105" s="44"/>
      <c r="TWV105" s="44"/>
      <c r="TWW105" s="44"/>
      <c r="TWX105" s="44"/>
      <c r="TWY105" s="44"/>
      <c r="TWZ105" s="44"/>
      <c r="TXA105" s="44"/>
      <c r="TXB105" s="44"/>
      <c r="TXC105" s="44"/>
      <c r="TXD105" s="44"/>
      <c r="TXE105" s="44"/>
      <c r="TXF105" s="44"/>
      <c r="TXG105" s="44"/>
      <c r="TXH105" s="44"/>
      <c r="TXI105" s="44"/>
      <c r="TXJ105" s="44"/>
      <c r="TXK105" s="44"/>
      <c r="TXL105" s="44"/>
      <c r="TXM105" s="44"/>
      <c r="TXN105" s="44"/>
      <c r="TXO105" s="44"/>
      <c r="TXP105" s="44"/>
      <c r="TXQ105" s="44"/>
      <c r="TXR105" s="44"/>
      <c r="TXS105" s="44"/>
      <c r="TXT105" s="44"/>
      <c r="TXU105" s="44"/>
      <c r="TXV105" s="44"/>
      <c r="TXW105" s="44"/>
      <c r="TXX105" s="44"/>
      <c r="TXY105" s="44"/>
      <c r="TXZ105" s="44"/>
      <c r="TYA105" s="44"/>
      <c r="TYB105" s="44"/>
      <c r="TYC105" s="44"/>
      <c r="TYD105" s="44"/>
      <c r="TYE105" s="44"/>
      <c r="TYF105" s="44"/>
      <c r="TYG105" s="44"/>
      <c r="TYH105" s="44"/>
      <c r="TYI105" s="44"/>
      <c r="TYJ105" s="44"/>
      <c r="TYK105" s="44"/>
      <c r="TYL105" s="44"/>
      <c r="TYM105" s="44"/>
      <c r="TYN105" s="44"/>
      <c r="TYO105" s="44"/>
      <c r="TYP105" s="44"/>
      <c r="TYQ105" s="44"/>
      <c r="TYR105" s="44"/>
      <c r="TYS105" s="44"/>
      <c r="TYT105" s="44"/>
      <c r="TYU105" s="44"/>
      <c r="TYV105" s="44"/>
      <c r="TYW105" s="44"/>
      <c r="TYX105" s="44"/>
      <c r="TYY105" s="44"/>
      <c r="TYZ105" s="44"/>
      <c r="TZA105" s="44"/>
      <c r="TZB105" s="44"/>
      <c r="TZC105" s="44"/>
      <c r="TZD105" s="44"/>
      <c r="TZE105" s="44"/>
      <c r="TZF105" s="44"/>
      <c r="TZG105" s="44"/>
      <c r="TZH105" s="44"/>
      <c r="TZI105" s="44"/>
      <c r="TZJ105" s="44"/>
      <c r="TZK105" s="44"/>
      <c r="TZL105" s="44"/>
      <c r="TZM105" s="44"/>
      <c r="TZN105" s="44"/>
      <c r="TZO105" s="44"/>
      <c r="TZP105" s="44"/>
      <c r="TZQ105" s="44"/>
      <c r="TZR105" s="44"/>
      <c r="TZS105" s="44"/>
      <c r="TZT105" s="44"/>
      <c r="TZU105" s="44"/>
      <c r="TZV105" s="44"/>
      <c r="TZW105" s="44"/>
      <c r="TZX105" s="44"/>
      <c r="TZY105" s="44"/>
      <c r="TZZ105" s="44"/>
      <c r="UAA105" s="44"/>
      <c r="UAB105" s="44"/>
      <c r="UAC105" s="44"/>
      <c r="UAD105" s="44"/>
      <c r="UAE105" s="44"/>
      <c r="UAF105" s="44"/>
      <c r="UAG105" s="44"/>
      <c r="UAH105" s="44"/>
      <c r="UAI105" s="44"/>
      <c r="UAJ105" s="44"/>
      <c r="UAK105" s="44"/>
      <c r="UAL105" s="44"/>
      <c r="UAM105" s="44"/>
      <c r="UAN105" s="44"/>
      <c r="UAO105" s="44"/>
      <c r="UAP105" s="44"/>
      <c r="UAQ105" s="44"/>
      <c r="UAR105" s="44"/>
      <c r="UAS105" s="44"/>
      <c r="UAT105" s="44"/>
      <c r="UAU105" s="44"/>
      <c r="UAV105" s="44"/>
      <c r="UAW105" s="44"/>
      <c r="UAX105" s="44"/>
      <c r="UAY105" s="44"/>
      <c r="UAZ105" s="44"/>
      <c r="UBA105" s="44"/>
      <c r="UBB105" s="44"/>
      <c r="UBC105" s="44"/>
      <c r="UBD105" s="44"/>
      <c r="UBE105" s="44"/>
      <c r="UBF105" s="44"/>
      <c r="UBG105" s="44"/>
      <c r="UBH105" s="44"/>
      <c r="UBI105" s="44"/>
      <c r="UBJ105" s="44"/>
      <c r="UBK105" s="44"/>
      <c r="UBL105" s="44"/>
      <c r="UBM105" s="44"/>
      <c r="UBN105" s="44"/>
      <c r="UBO105" s="44"/>
      <c r="UBP105" s="44"/>
      <c r="UBQ105" s="44"/>
      <c r="UBR105" s="44"/>
      <c r="UBS105" s="44"/>
      <c r="UBT105" s="44"/>
      <c r="UBU105" s="44"/>
      <c r="UBV105" s="44"/>
      <c r="UBW105" s="44"/>
      <c r="UBX105" s="44"/>
      <c r="UBY105" s="44"/>
      <c r="UBZ105" s="44"/>
      <c r="UCA105" s="44"/>
      <c r="UCB105" s="44"/>
      <c r="UCC105" s="44"/>
      <c r="UCD105" s="44"/>
      <c r="UCE105" s="44"/>
      <c r="UCF105" s="44"/>
      <c r="UCG105" s="44"/>
      <c r="UCH105" s="44"/>
      <c r="UCI105" s="44"/>
      <c r="UCJ105" s="44"/>
      <c r="UCK105" s="44"/>
      <c r="UCL105" s="44"/>
      <c r="UCM105" s="44"/>
      <c r="UCN105" s="44"/>
      <c r="UCO105" s="44"/>
      <c r="UCP105" s="44"/>
      <c r="UCQ105" s="44"/>
      <c r="UCR105" s="44"/>
      <c r="UCS105" s="44"/>
      <c r="UCT105" s="44"/>
      <c r="UCU105" s="44"/>
      <c r="UCV105" s="44"/>
      <c r="UCW105" s="44"/>
      <c r="UCX105" s="44"/>
      <c r="UCY105" s="44"/>
      <c r="UCZ105" s="44"/>
      <c r="UDA105" s="44"/>
      <c r="UDB105" s="44"/>
      <c r="UDC105" s="44"/>
      <c r="UDD105" s="44"/>
      <c r="UDE105" s="44"/>
      <c r="UDF105" s="44"/>
      <c r="UDG105" s="44"/>
      <c r="UDH105" s="44"/>
      <c r="UDI105" s="44"/>
      <c r="UDJ105" s="44"/>
      <c r="UDK105" s="44"/>
      <c r="UDL105" s="44"/>
      <c r="UDM105" s="44"/>
      <c r="UDN105" s="44"/>
      <c r="UDO105" s="44"/>
      <c r="UDP105" s="44"/>
      <c r="UDQ105" s="44"/>
      <c r="UDR105" s="44"/>
      <c r="UDS105" s="44"/>
      <c r="UDT105" s="44"/>
      <c r="UDU105" s="44"/>
      <c r="UDV105" s="44"/>
      <c r="UDW105" s="44"/>
      <c r="UDX105" s="44"/>
      <c r="UDY105" s="44"/>
      <c r="UDZ105" s="44"/>
      <c r="UEA105" s="44"/>
      <c r="UEB105" s="44"/>
      <c r="UEC105" s="44"/>
      <c r="UED105" s="44"/>
      <c r="UEE105" s="44"/>
      <c r="UEF105" s="44"/>
      <c r="UEG105" s="44"/>
      <c r="UEH105" s="44"/>
      <c r="UEI105" s="44"/>
      <c r="UEJ105" s="44"/>
      <c r="UEK105" s="44"/>
      <c r="UEL105" s="44"/>
      <c r="UEM105" s="44"/>
      <c r="UEN105" s="44"/>
      <c r="UEO105" s="44"/>
      <c r="UEP105" s="44"/>
      <c r="UEQ105" s="44"/>
      <c r="UER105" s="44"/>
      <c r="UES105" s="44"/>
      <c r="UET105" s="44"/>
      <c r="UEU105" s="44"/>
      <c r="UEV105" s="44"/>
      <c r="UEW105" s="44"/>
      <c r="UEX105" s="44"/>
      <c r="UEY105" s="44"/>
      <c r="UEZ105" s="44"/>
      <c r="UFA105" s="44"/>
      <c r="UFB105" s="44"/>
      <c r="UFC105" s="44"/>
      <c r="UFD105" s="44"/>
      <c r="UFE105" s="44"/>
      <c r="UFF105" s="44"/>
      <c r="UFG105" s="44"/>
      <c r="UFH105" s="44"/>
      <c r="UFI105" s="44"/>
      <c r="UFJ105" s="44"/>
      <c r="UFK105" s="44"/>
      <c r="UFL105" s="44"/>
      <c r="UFM105" s="44"/>
      <c r="UFN105" s="44"/>
      <c r="UFO105" s="44"/>
      <c r="UFP105" s="44"/>
      <c r="UFQ105" s="44"/>
      <c r="UFR105" s="44"/>
      <c r="UFS105" s="44"/>
      <c r="UFT105" s="44"/>
      <c r="UFU105" s="44"/>
      <c r="UFV105" s="44"/>
      <c r="UFW105" s="44"/>
      <c r="UFX105" s="44"/>
      <c r="UFY105" s="44"/>
      <c r="UFZ105" s="44"/>
      <c r="UGA105" s="44"/>
      <c r="UGB105" s="44"/>
      <c r="UGC105" s="44"/>
      <c r="UGD105" s="44"/>
      <c r="UGE105" s="44"/>
      <c r="UGF105" s="44"/>
      <c r="UGG105" s="44"/>
      <c r="UGH105" s="44"/>
      <c r="UGI105" s="44"/>
      <c r="UGJ105" s="44"/>
      <c r="UGK105" s="44"/>
      <c r="UGL105" s="44"/>
      <c r="UGM105" s="44"/>
      <c r="UGN105" s="44"/>
      <c r="UGO105" s="44"/>
      <c r="UGP105" s="44"/>
      <c r="UGQ105" s="44"/>
      <c r="UGR105" s="44"/>
      <c r="UGS105" s="44"/>
      <c r="UGT105" s="44"/>
      <c r="UGU105" s="44"/>
      <c r="UGV105" s="44"/>
      <c r="UGW105" s="44"/>
      <c r="UGX105" s="44"/>
      <c r="UGY105" s="44"/>
      <c r="UGZ105" s="44"/>
      <c r="UHA105" s="44"/>
      <c r="UHB105" s="44"/>
      <c r="UHC105" s="44"/>
      <c r="UHD105" s="44"/>
      <c r="UHE105" s="44"/>
      <c r="UHF105" s="44"/>
      <c r="UHG105" s="44"/>
      <c r="UHH105" s="44"/>
      <c r="UHI105" s="44"/>
      <c r="UHJ105" s="44"/>
      <c r="UHK105" s="44"/>
      <c r="UHL105" s="44"/>
      <c r="UHM105" s="44"/>
      <c r="UHN105" s="44"/>
      <c r="UHO105" s="44"/>
      <c r="UHP105" s="44"/>
      <c r="UHQ105" s="44"/>
      <c r="UHR105" s="44"/>
      <c r="UHS105" s="44"/>
      <c r="UHT105" s="44"/>
      <c r="UHU105" s="44"/>
      <c r="UHV105" s="44"/>
      <c r="UHW105" s="44"/>
      <c r="UHX105" s="44"/>
      <c r="UHY105" s="44"/>
      <c r="UHZ105" s="44"/>
      <c r="UIA105" s="44"/>
      <c r="UIB105" s="44"/>
      <c r="UIC105" s="44"/>
      <c r="UID105" s="44"/>
      <c r="UIE105" s="44"/>
      <c r="UIF105" s="44"/>
      <c r="UIG105" s="44"/>
      <c r="UIH105" s="44"/>
      <c r="UII105" s="44"/>
      <c r="UIJ105" s="44"/>
      <c r="UIK105" s="44"/>
      <c r="UIL105" s="44"/>
      <c r="UIM105" s="44"/>
      <c r="UIN105" s="44"/>
      <c r="UIO105" s="44"/>
      <c r="UIP105" s="44"/>
      <c r="UIQ105" s="44"/>
      <c r="UIR105" s="44"/>
      <c r="UIS105" s="44"/>
      <c r="UIT105" s="44"/>
      <c r="UIU105" s="44"/>
      <c r="UIV105" s="44"/>
      <c r="UIW105" s="44"/>
      <c r="UIX105" s="44"/>
      <c r="UIY105" s="44"/>
      <c r="UIZ105" s="44"/>
      <c r="UJA105" s="44"/>
      <c r="UJB105" s="44"/>
      <c r="UJC105" s="44"/>
      <c r="UJD105" s="44"/>
      <c r="UJE105" s="44"/>
      <c r="UJF105" s="44"/>
      <c r="UJG105" s="44"/>
      <c r="UJH105" s="44"/>
      <c r="UJI105" s="44"/>
      <c r="UJJ105" s="44"/>
      <c r="UJK105" s="44"/>
      <c r="UJL105" s="44"/>
      <c r="UJM105" s="44"/>
      <c r="UJN105" s="44"/>
      <c r="UJO105" s="44"/>
      <c r="UJP105" s="44"/>
      <c r="UJQ105" s="44"/>
      <c r="UJR105" s="44"/>
      <c r="UJS105" s="44"/>
      <c r="UJT105" s="44"/>
      <c r="UJU105" s="44"/>
      <c r="UJV105" s="44"/>
      <c r="UJW105" s="44"/>
      <c r="UJX105" s="44"/>
      <c r="UJY105" s="44"/>
      <c r="UJZ105" s="44"/>
      <c r="UKA105" s="44"/>
      <c r="UKB105" s="44"/>
      <c r="UKC105" s="44"/>
      <c r="UKD105" s="44"/>
      <c r="UKE105" s="44"/>
      <c r="UKF105" s="44"/>
      <c r="UKG105" s="44"/>
      <c r="UKH105" s="44"/>
      <c r="UKI105" s="44"/>
      <c r="UKJ105" s="44"/>
      <c r="UKK105" s="44"/>
      <c r="UKL105" s="44"/>
      <c r="UKM105" s="44"/>
      <c r="UKN105" s="44"/>
      <c r="UKO105" s="44"/>
      <c r="UKP105" s="44"/>
      <c r="UKQ105" s="44"/>
      <c r="UKR105" s="44"/>
      <c r="UKS105" s="44"/>
      <c r="UKT105" s="44"/>
      <c r="UKU105" s="44"/>
      <c r="UKV105" s="44"/>
      <c r="UKW105" s="44"/>
      <c r="UKX105" s="44"/>
      <c r="UKY105" s="44"/>
      <c r="UKZ105" s="44"/>
      <c r="ULA105" s="44"/>
      <c r="ULB105" s="44"/>
      <c r="ULC105" s="44"/>
      <c r="ULD105" s="44"/>
      <c r="ULE105" s="44"/>
      <c r="ULF105" s="44"/>
      <c r="ULG105" s="44"/>
      <c r="ULH105" s="44"/>
      <c r="ULI105" s="44"/>
      <c r="ULJ105" s="44"/>
      <c r="ULK105" s="44"/>
      <c r="ULL105" s="44"/>
      <c r="ULM105" s="44"/>
      <c r="ULN105" s="44"/>
      <c r="ULO105" s="44"/>
      <c r="ULP105" s="44"/>
      <c r="ULQ105" s="44"/>
      <c r="ULR105" s="44"/>
      <c r="ULS105" s="44"/>
      <c r="ULT105" s="44"/>
      <c r="ULU105" s="44"/>
      <c r="ULV105" s="44"/>
      <c r="ULW105" s="44"/>
      <c r="ULX105" s="44"/>
      <c r="ULY105" s="44"/>
      <c r="ULZ105" s="44"/>
      <c r="UMA105" s="44"/>
      <c r="UMB105" s="44"/>
      <c r="UMC105" s="44"/>
      <c r="UMD105" s="44"/>
      <c r="UME105" s="44"/>
      <c r="UMF105" s="44"/>
      <c r="UMG105" s="44"/>
      <c r="UMH105" s="44"/>
      <c r="UMI105" s="44"/>
      <c r="UMJ105" s="44"/>
      <c r="UMK105" s="44"/>
      <c r="UML105" s="44"/>
      <c r="UMM105" s="44"/>
      <c r="UMN105" s="44"/>
      <c r="UMO105" s="44"/>
      <c r="UMP105" s="44"/>
      <c r="UMQ105" s="44"/>
      <c r="UMR105" s="44"/>
      <c r="UMS105" s="44"/>
      <c r="UMT105" s="44"/>
      <c r="UMU105" s="44"/>
      <c r="UMV105" s="44"/>
      <c r="UMW105" s="44"/>
      <c r="UMX105" s="44"/>
      <c r="UMY105" s="44"/>
      <c r="UMZ105" s="44"/>
      <c r="UNA105" s="44"/>
      <c r="UNB105" s="44"/>
      <c r="UNC105" s="44"/>
      <c r="UND105" s="44"/>
      <c r="UNE105" s="44"/>
      <c r="UNF105" s="44"/>
      <c r="UNG105" s="44"/>
      <c r="UNH105" s="44"/>
      <c r="UNI105" s="44"/>
      <c r="UNJ105" s="44"/>
      <c r="UNK105" s="44"/>
      <c r="UNL105" s="44"/>
      <c r="UNM105" s="44"/>
      <c r="UNN105" s="44"/>
      <c r="UNO105" s="44"/>
      <c r="UNP105" s="44"/>
      <c r="UNQ105" s="44"/>
      <c r="UNR105" s="44"/>
      <c r="UNS105" s="44"/>
      <c r="UNT105" s="44"/>
      <c r="UNU105" s="44"/>
      <c r="UNV105" s="44"/>
      <c r="UNW105" s="44"/>
      <c r="UNX105" s="44"/>
      <c r="UNY105" s="44"/>
      <c r="UNZ105" s="44"/>
      <c r="UOA105" s="44"/>
      <c r="UOB105" s="44"/>
      <c r="UOC105" s="44"/>
      <c r="UOD105" s="44"/>
      <c r="UOE105" s="44"/>
      <c r="UOF105" s="44"/>
      <c r="UOG105" s="44"/>
      <c r="UOH105" s="44"/>
      <c r="UOI105" s="44"/>
      <c r="UOJ105" s="44"/>
      <c r="UOK105" s="44"/>
      <c r="UOL105" s="44"/>
      <c r="UOM105" s="44"/>
      <c r="UON105" s="44"/>
      <c r="UOO105" s="44"/>
      <c r="UOP105" s="44"/>
      <c r="UOQ105" s="44"/>
      <c r="UOR105" s="44"/>
      <c r="UOS105" s="44"/>
      <c r="UOT105" s="44"/>
      <c r="UOU105" s="44"/>
      <c r="UOV105" s="44"/>
      <c r="UOW105" s="44"/>
      <c r="UOX105" s="44"/>
      <c r="UOY105" s="44"/>
      <c r="UOZ105" s="44"/>
      <c r="UPA105" s="44"/>
      <c r="UPB105" s="44"/>
      <c r="UPC105" s="44"/>
      <c r="UPD105" s="44"/>
      <c r="UPE105" s="44"/>
      <c r="UPF105" s="44"/>
      <c r="UPG105" s="44"/>
      <c r="UPH105" s="44"/>
      <c r="UPI105" s="44"/>
      <c r="UPJ105" s="44"/>
      <c r="UPK105" s="44"/>
      <c r="UPL105" s="44"/>
      <c r="UPM105" s="44"/>
      <c r="UPN105" s="44"/>
      <c r="UPO105" s="44"/>
      <c r="UPP105" s="44"/>
      <c r="UPQ105" s="44"/>
      <c r="UPR105" s="44"/>
      <c r="UPS105" s="44"/>
      <c r="UPT105" s="44"/>
      <c r="UPU105" s="44"/>
      <c r="UPV105" s="44"/>
      <c r="UPW105" s="44"/>
      <c r="UPX105" s="44"/>
      <c r="UPY105" s="44"/>
      <c r="UPZ105" s="44"/>
      <c r="UQA105" s="44"/>
      <c r="UQB105" s="44"/>
      <c r="UQC105" s="44"/>
      <c r="UQD105" s="44"/>
      <c r="UQE105" s="44"/>
      <c r="UQF105" s="44"/>
      <c r="UQG105" s="44"/>
      <c r="UQH105" s="44"/>
      <c r="UQI105" s="44"/>
      <c r="UQJ105" s="44"/>
      <c r="UQK105" s="44"/>
      <c r="UQL105" s="44"/>
      <c r="UQM105" s="44"/>
      <c r="UQN105" s="44"/>
      <c r="UQO105" s="44"/>
      <c r="UQP105" s="44"/>
      <c r="UQQ105" s="44"/>
      <c r="UQR105" s="44"/>
      <c r="UQS105" s="44"/>
      <c r="UQT105" s="44"/>
      <c r="UQU105" s="44"/>
      <c r="UQV105" s="44"/>
      <c r="UQW105" s="44"/>
      <c r="UQX105" s="44"/>
      <c r="UQY105" s="44"/>
      <c r="UQZ105" s="44"/>
      <c r="URA105" s="44"/>
      <c r="URB105" s="44"/>
      <c r="URC105" s="44"/>
      <c r="URD105" s="44"/>
      <c r="URE105" s="44"/>
      <c r="URF105" s="44"/>
      <c r="URG105" s="44"/>
      <c r="URH105" s="44"/>
      <c r="URI105" s="44"/>
      <c r="URJ105" s="44"/>
      <c r="URK105" s="44"/>
      <c r="URL105" s="44"/>
      <c r="URM105" s="44"/>
      <c r="URN105" s="44"/>
      <c r="URO105" s="44"/>
      <c r="URP105" s="44"/>
      <c r="URQ105" s="44"/>
      <c r="URR105" s="44"/>
      <c r="URS105" s="44"/>
      <c r="URT105" s="44"/>
      <c r="URU105" s="44"/>
      <c r="URV105" s="44"/>
      <c r="URW105" s="44"/>
      <c r="URX105" s="44"/>
      <c r="URY105" s="44"/>
      <c r="URZ105" s="44"/>
      <c r="USA105" s="44"/>
      <c r="USB105" s="44"/>
      <c r="USC105" s="44"/>
      <c r="USD105" s="44"/>
      <c r="USE105" s="44"/>
      <c r="USF105" s="44"/>
      <c r="USG105" s="44"/>
      <c r="USH105" s="44"/>
      <c r="USI105" s="44"/>
      <c r="USJ105" s="44"/>
      <c r="USK105" s="44"/>
      <c r="USL105" s="44"/>
      <c r="USM105" s="44"/>
      <c r="USN105" s="44"/>
      <c r="USO105" s="44"/>
      <c r="USP105" s="44"/>
      <c r="USQ105" s="44"/>
      <c r="USR105" s="44"/>
      <c r="USS105" s="44"/>
      <c r="UST105" s="44"/>
      <c r="USU105" s="44"/>
      <c r="USV105" s="44"/>
      <c r="USW105" s="44"/>
      <c r="USX105" s="44"/>
      <c r="USY105" s="44"/>
      <c r="USZ105" s="44"/>
      <c r="UTA105" s="44"/>
      <c r="UTB105" s="44"/>
      <c r="UTC105" s="44"/>
      <c r="UTD105" s="44"/>
      <c r="UTE105" s="44"/>
      <c r="UTF105" s="44"/>
      <c r="UTG105" s="44"/>
      <c r="UTH105" s="44"/>
      <c r="UTI105" s="44"/>
      <c r="UTJ105" s="44"/>
      <c r="UTK105" s="44"/>
      <c r="UTL105" s="44"/>
      <c r="UTM105" s="44"/>
      <c r="UTN105" s="44"/>
      <c r="UTO105" s="44"/>
      <c r="UTP105" s="44"/>
      <c r="UTQ105" s="44"/>
      <c r="UTR105" s="44"/>
      <c r="UTS105" s="44"/>
      <c r="UTT105" s="44"/>
      <c r="UTU105" s="44"/>
      <c r="UTV105" s="44"/>
      <c r="UTW105" s="44"/>
      <c r="UTX105" s="44"/>
      <c r="UTY105" s="44"/>
      <c r="UTZ105" s="44"/>
      <c r="UUA105" s="44"/>
      <c r="UUB105" s="44"/>
      <c r="UUC105" s="44"/>
      <c r="UUD105" s="44"/>
      <c r="UUE105" s="44"/>
      <c r="UUF105" s="44"/>
      <c r="UUG105" s="44"/>
      <c r="UUH105" s="44"/>
      <c r="UUI105" s="44"/>
      <c r="UUJ105" s="44"/>
      <c r="UUK105" s="44"/>
      <c r="UUL105" s="44"/>
      <c r="UUM105" s="44"/>
      <c r="UUN105" s="44"/>
      <c r="UUO105" s="44"/>
      <c r="UUP105" s="44"/>
      <c r="UUQ105" s="44"/>
      <c r="UUR105" s="44"/>
      <c r="UUS105" s="44"/>
      <c r="UUT105" s="44"/>
      <c r="UUU105" s="44"/>
      <c r="UUV105" s="44"/>
      <c r="UUW105" s="44"/>
      <c r="UUX105" s="44"/>
      <c r="UUY105" s="44"/>
      <c r="UUZ105" s="44"/>
      <c r="UVA105" s="44"/>
      <c r="UVB105" s="44"/>
      <c r="UVC105" s="44"/>
      <c r="UVD105" s="44"/>
      <c r="UVE105" s="44"/>
      <c r="UVF105" s="44"/>
      <c r="UVG105" s="44"/>
      <c r="UVH105" s="44"/>
      <c r="UVI105" s="44"/>
      <c r="UVJ105" s="44"/>
      <c r="UVK105" s="44"/>
      <c r="UVL105" s="44"/>
      <c r="UVM105" s="44"/>
      <c r="UVN105" s="44"/>
      <c r="UVO105" s="44"/>
      <c r="UVP105" s="44"/>
      <c r="UVQ105" s="44"/>
      <c r="UVR105" s="44"/>
      <c r="UVS105" s="44"/>
      <c r="UVT105" s="44"/>
      <c r="UVU105" s="44"/>
      <c r="UVV105" s="44"/>
      <c r="UVW105" s="44"/>
      <c r="UVX105" s="44"/>
      <c r="UVY105" s="44"/>
      <c r="UVZ105" s="44"/>
      <c r="UWA105" s="44"/>
      <c r="UWB105" s="44"/>
      <c r="UWC105" s="44"/>
      <c r="UWD105" s="44"/>
      <c r="UWE105" s="44"/>
      <c r="UWF105" s="44"/>
      <c r="UWG105" s="44"/>
      <c r="UWH105" s="44"/>
      <c r="UWI105" s="44"/>
      <c r="UWJ105" s="44"/>
      <c r="UWK105" s="44"/>
      <c r="UWL105" s="44"/>
      <c r="UWM105" s="44"/>
      <c r="UWN105" s="44"/>
      <c r="UWO105" s="44"/>
      <c r="UWP105" s="44"/>
      <c r="UWQ105" s="44"/>
      <c r="UWR105" s="44"/>
      <c r="UWS105" s="44"/>
      <c r="UWT105" s="44"/>
      <c r="UWU105" s="44"/>
      <c r="UWV105" s="44"/>
      <c r="UWW105" s="44"/>
      <c r="UWX105" s="44"/>
      <c r="UWY105" s="44"/>
      <c r="UWZ105" s="44"/>
      <c r="UXA105" s="44"/>
      <c r="UXB105" s="44"/>
      <c r="UXC105" s="44"/>
      <c r="UXD105" s="44"/>
      <c r="UXE105" s="44"/>
      <c r="UXF105" s="44"/>
      <c r="UXG105" s="44"/>
      <c r="UXH105" s="44"/>
      <c r="UXI105" s="44"/>
      <c r="UXJ105" s="44"/>
      <c r="UXK105" s="44"/>
      <c r="UXL105" s="44"/>
      <c r="UXM105" s="44"/>
      <c r="UXN105" s="44"/>
      <c r="UXO105" s="44"/>
      <c r="UXP105" s="44"/>
      <c r="UXQ105" s="44"/>
      <c r="UXR105" s="44"/>
      <c r="UXS105" s="44"/>
      <c r="UXT105" s="44"/>
      <c r="UXU105" s="44"/>
      <c r="UXV105" s="44"/>
      <c r="UXW105" s="44"/>
      <c r="UXX105" s="44"/>
      <c r="UXY105" s="44"/>
      <c r="UXZ105" s="44"/>
      <c r="UYA105" s="44"/>
      <c r="UYB105" s="44"/>
      <c r="UYC105" s="44"/>
      <c r="UYD105" s="44"/>
      <c r="UYE105" s="44"/>
      <c r="UYF105" s="44"/>
      <c r="UYG105" s="44"/>
      <c r="UYH105" s="44"/>
      <c r="UYI105" s="44"/>
      <c r="UYJ105" s="44"/>
      <c r="UYK105" s="44"/>
      <c r="UYL105" s="44"/>
      <c r="UYM105" s="44"/>
      <c r="UYN105" s="44"/>
      <c r="UYO105" s="44"/>
      <c r="UYP105" s="44"/>
      <c r="UYQ105" s="44"/>
      <c r="UYR105" s="44"/>
      <c r="UYS105" s="44"/>
      <c r="UYT105" s="44"/>
      <c r="UYU105" s="44"/>
      <c r="UYV105" s="44"/>
      <c r="UYW105" s="44"/>
      <c r="UYX105" s="44"/>
      <c r="UYY105" s="44"/>
      <c r="UYZ105" s="44"/>
      <c r="UZA105" s="44"/>
      <c r="UZB105" s="44"/>
      <c r="UZC105" s="44"/>
      <c r="UZD105" s="44"/>
      <c r="UZE105" s="44"/>
      <c r="UZF105" s="44"/>
      <c r="UZG105" s="44"/>
      <c r="UZH105" s="44"/>
      <c r="UZI105" s="44"/>
      <c r="UZJ105" s="44"/>
      <c r="UZK105" s="44"/>
      <c r="UZL105" s="44"/>
      <c r="UZM105" s="44"/>
      <c r="UZN105" s="44"/>
      <c r="UZO105" s="44"/>
      <c r="UZP105" s="44"/>
      <c r="UZQ105" s="44"/>
      <c r="UZR105" s="44"/>
      <c r="UZS105" s="44"/>
      <c r="UZT105" s="44"/>
      <c r="UZU105" s="44"/>
      <c r="UZV105" s="44"/>
      <c r="UZW105" s="44"/>
      <c r="UZX105" s="44"/>
      <c r="UZY105" s="44"/>
      <c r="UZZ105" s="44"/>
      <c r="VAA105" s="44"/>
      <c r="VAB105" s="44"/>
      <c r="VAC105" s="44"/>
      <c r="VAD105" s="44"/>
      <c r="VAE105" s="44"/>
      <c r="VAF105" s="44"/>
      <c r="VAG105" s="44"/>
      <c r="VAH105" s="44"/>
      <c r="VAI105" s="44"/>
      <c r="VAJ105" s="44"/>
      <c r="VAK105" s="44"/>
      <c r="VAL105" s="44"/>
      <c r="VAM105" s="44"/>
      <c r="VAN105" s="44"/>
      <c r="VAO105" s="44"/>
      <c r="VAP105" s="44"/>
      <c r="VAQ105" s="44"/>
      <c r="VAR105" s="44"/>
      <c r="VAS105" s="44"/>
      <c r="VAT105" s="44"/>
      <c r="VAU105" s="44"/>
      <c r="VAV105" s="44"/>
      <c r="VAW105" s="44"/>
      <c r="VAX105" s="44"/>
      <c r="VAY105" s="44"/>
      <c r="VAZ105" s="44"/>
      <c r="VBA105" s="44"/>
      <c r="VBB105" s="44"/>
      <c r="VBC105" s="44"/>
      <c r="VBD105" s="44"/>
      <c r="VBE105" s="44"/>
      <c r="VBF105" s="44"/>
      <c r="VBG105" s="44"/>
      <c r="VBH105" s="44"/>
      <c r="VBI105" s="44"/>
      <c r="VBJ105" s="44"/>
      <c r="VBK105" s="44"/>
      <c r="VBL105" s="44"/>
      <c r="VBM105" s="44"/>
      <c r="VBN105" s="44"/>
      <c r="VBO105" s="44"/>
      <c r="VBP105" s="44"/>
      <c r="VBQ105" s="44"/>
      <c r="VBR105" s="44"/>
      <c r="VBS105" s="44"/>
      <c r="VBT105" s="44"/>
      <c r="VBU105" s="44"/>
      <c r="VBV105" s="44"/>
      <c r="VBW105" s="44"/>
      <c r="VBX105" s="44"/>
      <c r="VBY105" s="44"/>
      <c r="VBZ105" s="44"/>
      <c r="VCA105" s="44"/>
      <c r="VCB105" s="44"/>
      <c r="VCC105" s="44"/>
      <c r="VCD105" s="44"/>
      <c r="VCE105" s="44"/>
      <c r="VCF105" s="44"/>
      <c r="VCG105" s="44"/>
      <c r="VCH105" s="44"/>
      <c r="VCI105" s="44"/>
      <c r="VCJ105" s="44"/>
      <c r="VCK105" s="44"/>
      <c r="VCL105" s="44"/>
      <c r="VCM105" s="44"/>
      <c r="VCN105" s="44"/>
      <c r="VCO105" s="44"/>
      <c r="VCP105" s="44"/>
      <c r="VCQ105" s="44"/>
      <c r="VCR105" s="44"/>
      <c r="VCS105" s="44"/>
      <c r="VCT105" s="44"/>
      <c r="VCU105" s="44"/>
      <c r="VCV105" s="44"/>
      <c r="VCW105" s="44"/>
      <c r="VCX105" s="44"/>
      <c r="VCY105" s="44"/>
      <c r="VCZ105" s="44"/>
      <c r="VDA105" s="44"/>
      <c r="VDB105" s="44"/>
      <c r="VDC105" s="44"/>
      <c r="VDD105" s="44"/>
      <c r="VDE105" s="44"/>
      <c r="VDF105" s="44"/>
      <c r="VDG105" s="44"/>
      <c r="VDH105" s="44"/>
      <c r="VDI105" s="44"/>
      <c r="VDJ105" s="44"/>
      <c r="VDK105" s="44"/>
      <c r="VDL105" s="44"/>
      <c r="VDM105" s="44"/>
      <c r="VDN105" s="44"/>
      <c r="VDO105" s="44"/>
      <c r="VDP105" s="44"/>
      <c r="VDQ105" s="44"/>
      <c r="VDR105" s="44"/>
      <c r="VDS105" s="44"/>
      <c r="VDT105" s="44"/>
      <c r="VDU105" s="44"/>
      <c r="VDV105" s="44"/>
      <c r="VDW105" s="44"/>
      <c r="VDX105" s="44"/>
      <c r="VDY105" s="44"/>
      <c r="VDZ105" s="44"/>
      <c r="VEA105" s="44"/>
      <c r="VEB105" s="44"/>
      <c r="VEC105" s="44"/>
      <c r="VED105" s="44"/>
      <c r="VEE105" s="44"/>
      <c r="VEF105" s="44"/>
      <c r="VEG105" s="44"/>
      <c r="VEH105" s="44"/>
      <c r="VEI105" s="44"/>
      <c r="VEJ105" s="44"/>
      <c r="VEK105" s="44"/>
      <c r="VEL105" s="44"/>
      <c r="VEM105" s="44"/>
      <c r="VEN105" s="44"/>
      <c r="VEO105" s="44"/>
      <c r="VEP105" s="44"/>
      <c r="VEQ105" s="44"/>
      <c r="VER105" s="44"/>
      <c r="VES105" s="44"/>
      <c r="VET105" s="44"/>
      <c r="VEU105" s="44"/>
      <c r="VEV105" s="44"/>
      <c r="VEW105" s="44"/>
      <c r="VEX105" s="44"/>
      <c r="VEY105" s="44"/>
      <c r="VEZ105" s="44"/>
      <c r="VFA105" s="44"/>
      <c r="VFB105" s="44"/>
      <c r="VFC105" s="44"/>
      <c r="VFD105" s="44"/>
      <c r="VFE105" s="44"/>
      <c r="VFF105" s="44"/>
      <c r="VFG105" s="44"/>
      <c r="VFH105" s="44"/>
      <c r="VFI105" s="44"/>
      <c r="VFJ105" s="44"/>
      <c r="VFK105" s="44"/>
      <c r="VFL105" s="44"/>
      <c r="VFM105" s="44"/>
      <c r="VFN105" s="44"/>
      <c r="VFO105" s="44"/>
      <c r="VFP105" s="44"/>
      <c r="VFQ105" s="44"/>
      <c r="VFR105" s="44"/>
      <c r="VFS105" s="44"/>
      <c r="VFT105" s="44"/>
      <c r="VFU105" s="44"/>
      <c r="VFV105" s="44"/>
      <c r="VFW105" s="44"/>
      <c r="VFX105" s="44"/>
      <c r="VFY105" s="44"/>
      <c r="VFZ105" s="44"/>
      <c r="VGA105" s="44"/>
      <c r="VGB105" s="44"/>
      <c r="VGC105" s="44"/>
      <c r="VGD105" s="44"/>
      <c r="VGE105" s="44"/>
      <c r="VGF105" s="44"/>
      <c r="VGG105" s="44"/>
      <c r="VGH105" s="44"/>
      <c r="VGI105" s="44"/>
      <c r="VGJ105" s="44"/>
      <c r="VGK105" s="44"/>
      <c r="VGL105" s="44"/>
      <c r="VGM105" s="44"/>
      <c r="VGN105" s="44"/>
      <c r="VGO105" s="44"/>
      <c r="VGP105" s="44"/>
      <c r="VGQ105" s="44"/>
      <c r="VGR105" s="44"/>
      <c r="VGS105" s="44"/>
      <c r="VGT105" s="44"/>
      <c r="VGU105" s="44"/>
      <c r="VGV105" s="44"/>
      <c r="VGW105" s="44"/>
      <c r="VGX105" s="44"/>
      <c r="VGY105" s="44"/>
      <c r="VGZ105" s="44"/>
      <c r="VHA105" s="44"/>
      <c r="VHB105" s="44"/>
      <c r="VHC105" s="44"/>
      <c r="VHD105" s="44"/>
      <c r="VHE105" s="44"/>
      <c r="VHF105" s="44"/>
      <c r="VHG105" s="44"/>
      <c r="VHH105" s="44"/>
      <c r="VHI105" s="44"/>
      <c r="VHJ105" s="44"/>
      <c r="VHK105" s="44"/>
      <c r="VHL105" s="44"/>
      <c r="VHM105" s="44"/>
      <c r="VHN105" s="44"/>
      <c r="VHO105" s="44"/>
      <c r="VHP105" s="44"/>
      <c r="VHQ105" s="44"/>
      <c r="VHR105" s="44"/>
      <c r="VHS105" s="44"/>
      <c r="VHT105" s="44"/>
      <c r="VHU105" s="44"/>
      <c r="VHV105" s="44"/>
      <c r="VHW105" s="44"/>
      <c r="VHX105" s="44"/>
      <c r="VHY105" s="44"/>
      <c r="VHZ105" s="44"/>
      <c r="VIA105" s="44"/>
      <c r="VIB105" s="44"/>
      <c r="VIC105" s="44"/>
      <c r="VID105" s="44"/>
      <c r="VIE105" s="44"/>
      <c r="VIF105" s="44"/>
      <c r="VIG105" s="44"/>
      <c r="VIH105" s="44"/>
      <c r="VII105" s="44"/>
      <c r="VIJ105" s="44"/>
      <c r="VIK105" s="44"/>
      <c r="VIL105" s="44"/>
      <c r="VIM105" s="44"/>
      <c r="VIN105" s="44"/>
      <c r="VIO105" s="44"/>
      <c r="VIP105" s="44"/>
      <c r="VIQ105" s="44"/>
      <c r="VIR105" s="44"/>
      <c r="VIS105" s="44"/>
      <c r="VIT105" s="44"/>
      <c r="VIU105" s="44"/>
      <c r="VIV105" s="44"/>
      <c r="VIW105" s="44"/>
      <c r="VIX105" s="44"/>
      <c r="VIY105" s="44"/>
      <c r="VIZ105" s="44"/>
      <c r="VJA105" s="44"/>
      <c r="VJB105" s="44"/>
      <c r="VJC105" s="44"/>
      <c r="VJD105" s="44"/>
      <c r="VJE105" s="44"/>
      <c r="VJF105" s="44"/>
      <c r="VJG105" s="44"/>
      <c r="VJH105" s="44"/>
      <c r="VJI105" s="44"/>
      <c r="VJJ105" s="44"/>
      <c r="VJK105" s="44"/>
      <c r="VJL105" s="44"/>
      <c r="VJM105" s="44"/>
      <c r="VJN105" s="44"/>
      <c r="VJO105" s="44"/>
      <c r="VJP105" s="44"/>
      <c r="VJQ105" s="44"/>
      <c r="VJR105" s="44"/>
      <c r="VJS105" s="44"/>
      <c r="VJT105" s="44"/>
      <c r="VJU105" s="44"/>
      <c r="VJV105" s="44"/>
      <c r="VJW105" s="44"/>
      <c r="VJX105" s="44"/>
      <c r="VJY105" s="44"/>
      <c r="VJZ105" s="44"/>
      <c r="VKA105" s="44"/>
      <c r="VKB105" s="44"/>
      <c r="VKC105" s="44"/>
      <c r="VKD105" s="44"/>
      <c r="VKE105" s="44"/>
      <c r="VKF105" s="44"/>
      <c r="VKG105" s="44"/>
      <c r="VKH105" s="44"/>
      <c r="VKI105" s="44"/>
      <c r="VKJ105" s="44"/>
      <c r="VKK105" s="44"/>
      <c r="VKL105" s="44"/>
      <c r="VKM105" s="44"/>
      <c r="VKN105" s="44"/>
      <c r="VKO105" s="44"/>
      <c r="VKP105" s="44"/>
      <c r="VKQ105" s="44"/>
      <c r="VKR105" s="44"/>
      <c r="VKS105" s="44"/>
      <c r="VKT105" s="44"/>
      <c r="VKU105" s="44"/>
      <c r="VKV105" s="44"/>
      <c r="VKW105" s="44"/>
      <c r="VKX105" s="44"/>
      <c r="VKY105" s="44"/>
      <c r="VKZ105" s="44"/>
      <c r="VLA105" s="44"/>
      <c r="VLB105" s="44"/>
      <c r="VLC105" s="44"/>
      <c r="VLD105" s="44"/>
      <c r="VLE105" s="44"/>
      <c r="VLF105" s="44"/>
      <c r="VLG105" s="44"/>
      <c r="VLH105" s="44"/>
      <c r="VLI105" s="44"/>
      <c r="VLJ105" s="44"/>
      <c r="VLK105" s="44"/>
      <c r="VLL105" s="44"/>
      <c r="VLM105" s="44"/>
      <c r="VLN105" s="44"/>
      <c r="VLO105" s="44"/>
      <c r="VLP105" s="44"/>
      <c r="VLQ105" s="44"/>
      <c r="VLR105" s="44"/>
      <c r="VLS105" s="44"/>
      <c r="VLT105" s="44"/>
      <c r="VLU105" s="44"/>
      <c r="VLV105" s="44"/>
      <c r="VLW105" s="44"/>
      <c r="VLX105" s="44"/>
      <c r="VLY105" s="44"/>
      <c r="VLZ105" s="44"/>
      <c r="VMA105" s="44"/>
      <c r="VMB105" s="44"/>
      <c r="VMC105" s="44"/>
      <c r="VMD105" s="44"/>
      <c r="VME105" s="44"/>
      <c r="VMF105" s="44"/>
      <c r="VMG105" s="44"/>
      <c r="VMH105" s="44"/>
      <c r="VMI105" s="44"/>
      <c r="VMJ105" s="44"/>
      <c r="VMK105" s="44"/>
      <c r="VML105" s="44"/>
      <c r="VMM105" s="44"/>
      <c r="VMN105" s="44"/>
      <c r="VMO105" s="44"/>
      <c r="VMP105" s="44"/>
      <c r="VMQ105" s="44"/>
      <c r="VMR105" s="44"/>
      <c r="VMS105" s="44"/>
      <c r="VMT105" s="44"/>
      <c r="VMU105" s="44"/>
      <c r="VMV105" s="44"/>
      <c r="VMW105" s="44"/>
      <c r="VMX105" s="44"/>
      <c r="VMY105" s="44"/>
      <c r="VMZ105" s="44"/>
      <c r="VNA105" s="44"/>
      <c r="VNB105" s="44"/>
      <c r="VNC105" s="44"/>
      <c r="VND105" s="44"/>
      <c r="VNE105" s="44"/>
      <c r="VNF105" s="44"/>
      <c r="VNG105" s="44"/>
      <c r="VNH105" s="44"/>
      <c r="VNI105" s="44"/>
      <c r="VNJ105" s="44"/>
      <c r="VNK105" s="44"/>
      <c r="VNL105" s="44"/>
      <c r="VNM105" s="44"/>
      <c r="VNN105" s="44"/>
      <c r="VNO105" s="44"/>
      <c r="VNP105" s="44"/>
      <c r="VNQ105" s="44"/>
      <c r="VNR105" s="44"/>
      <c r="VNS105" s="44"/>
      <c r="VNT105" s="44"/>
      <c r="VNU105" s="44"/>
      <c r="VNV105" s="44"/>
      <c r="VNW105" s="44"/>
      <c r="VNX105" s="44"/>
      <c r="VNY105" s="44"/>
      <c r="VNZ105" s="44"/>
      <c r="VOA105" s="44"/>
      <c r="VOB105" s="44"/>
      <c r="VOC105" s="44"/>
      <c r="VOD105" s="44"/>
      <c r="VOE105" s="44"/>
      <c r="VOF105" s="44"/>
      <c r="VOG105" s="44"/>
      <c r="VOH105" s="44"/>
      <c r="VOI105" s="44"/>
      <c r="VOJ105" s="44"/>
      <c r="VOK105" s="44"/>
      <c r="VOL105" s="44"/>
      <c r="VOM105" s="44"/>
      <c r="VON105" s="44"/>
      <c r="VOO105" s="44"/>
      <c r="VOP105" s="44"/>
      <c r="VOQ105" s="44"/>
      <c r="VOR105" s="44"/>
      <c r="VOS105" s="44"/>
      <c r="VOT105" s="44"/>
      <c r="VOU105" s="44"/>
      <c r="VOV105" s="44"/>
      <c r="VOW105" s="44"/>
      <c r="VOX105" s="44"/>
      <c r="VOY105" s="44"/>
      <c r="VOZ105" s="44"/>
      <c r="VPA105" s="44"/>
      <c r="VPB105" s="44"/>
      <c r="VPC105" s="44"/>
      <c r="VPD105" s="44"/>
      <c r="VPE105" s="44"/>
      <c r="VPF105" s="44"/>
      <c r="VPG105" s="44"/>
      <c r="VPH105" s="44"/>
      <c r="VPI105" s="44"/>
      <c r="VPJ105" s="44"/>
      <c r="VPK105" s="44"/>
      <c r="VPL105" s="44"/>
      <c r="VPM105" s="44"/>
      <c r="VPN105" s="44"/>
      <c r="VPO105" s="44"/>
      <c r="VPP105" s="44"/>
      <c r="VPQ105" s="44"/>
      <c r="VPR105" s="44"/>
      <c r="VPS105" s="44"/>
      <c r="VPT105" s="44"/>
      <c r="VPU105" s="44"/>
      <c r="VPV105" s="44"/>
      <c r="VPW105" s="44"/>
      <c r="VPX105" s="44"/>
      <c r="VPY105" s="44"/>
      <c r="VPZ105" s="44"/>
      <c r="VQA105" s="44"/>
      <c r="VQB105" s="44"/>
      <c r="VQC105" s="44"/>
      <c r="VQD105" s="44"/>
      <c r="VQE105" s="44"/>
      <c r="VQF105" s="44"/>
      <c r="VQG105" s="44"/>
      <c r="VQH105" s="44"/>
      <c r="VQI105" s="44"/>
      <c r="VQJ105" s="44"/>
      <c r="VQK105" s="44"/>
      <c r="VQL105" s="44"/>
      <c r="VQM105" s="44"/>
      <c r="VQN105" s="44"/>
      <c r="VQO105" s="44"/>
      <c r="VQP105" s="44"/>
      <c r="VQQ105" s="44"/>
      <c r="VQR105" s="44"/>
      <c r="VQS105" s="44"/>
      <c r="VQT105" s="44"/>
      <c r="VQU105" s="44"/>
      <c r="VQV105" s="44"/>
      <c r="VQW105" s="44"/>
      <c r="VQX105" s="44"/>
      <c r="VQY105" s="44"/>
      <c r="VQZ105" s="44"/>
      <c r="VRA105" s="44"/>
      <c r="VRB105" s="44"/>
      <c r="VRC105" s="44"/>
      <c r="VRD105" s="44"/>
      <c r="VRE105" s="44"/>
      <c r="VRF105" s="44"/>
      <c r="VRG105" s="44"/>
      <c r="VRH105" s="44"/>
      <c r="VRI105" s="44"/>
      <c r="VRJ105" s="44"/>
      <c r="VRK105" s="44"/>
      <c r="VRL105" s="44"/>
      <c r="VRM105" s="44"/>
      <c r="VRN105" s="44"/>
      <c r="VRO105" s="44"/>
      <c r="VRP105" s="44"/>
      <c r="VRQ105" s="44"/>
      <c r="VRR105" s="44"/>
      <c r="VRS105" s="44"/>
      <c r="VRT105" s="44"/>
      <c r="VRU105" s="44"/>
      <c r="VRV105" s="44"/>
      <c r="VRW105" s="44"/>
      <c r="VRX105" s="44"/>
      <c r="VRY105" s="44"/>
      <c r="VRZ105" s="44"/>
      <c r="VSA105" s="44"/>
      <c r="VSB105" s="44"/>
      <c r="VSC105" s="44"/>
      <c r="VSD105" s="44"/>
      <c r="VSE105" s="44"/>
      <c r="VSF105" s="44"/>
      <c r="VSG105" s="44"/>
      <c r="VSH105" s="44"/>
      <c r="VSI105" s="44"/>
      <c r="VSJ105" s="44"/>
      <c r="VSK105" s="44"/>
      <c r="VSL105" s="44"/>
      <c r="VSM105" s="44"/>
      <c r="VSN105" s="44"/>
      <c r="VSO105" s="44"/>
      <c r="VSP105" s="44"/>
      <c r="VSQ105" s="44"/>
      <c r="VSR105" s="44"/>
      <c r="VSS105" s="44"/>
      <c r="VST105" s="44"/>
      <c r="VSU105" s="44"/>
      <c r="VSV105" s="44"/>
      <c r="VSW105" s="44"/>
      <c r="VSX105" s="44"/>
      <c r="VSY105" s="44"/>
      <c r="VSZ105" s="44"/>
      <c r="VTA105" s="44"/>
      <c r="VTB105" s="44"/>
      <c r="VTC105" s="44"/>
      <c r="VTD105" s="44"/>
      <c r="VTE105" s="44"/>
      <c r="VTF105" s="44"/>
      <c r="VTG105" s="44"/>
      <c r="VTH105" s="44"/>
      <c r="VTI105" s="44"/>
      <c r="VTJ105" s="44"/>
      <c r="VTK105" s="44"/>
      <c r="VTL105" s="44"/>
      <c r="VTM105" s="44"/>
      <c r="VTN105" s="44"/>
      <c r="VTO105" s="44"/>
      <c r="VTP105" s="44"/>
      <c r="VTQ105" s="44"/>
      <c r="VTR105" s="44"/>
      <c r="VTS105" s="44"/>
      <c r="VTT105" s="44"/>
      <c r="VTU105" s="44"/>
      <c r="VTV105" s="44"/>
      <c r="VTW105" s="44"/>
      <c r="VTX105" s="44"/>
      <c r="VTY105" s="44"/>
      <c r="VTZ105" s="44"/>
      <c r="VUA105" s="44"/>
      <c r="VUB105" s="44"/>
      <c r="VUC105" s="44"/>
      <c r="VUD105" s="44"/>
      <c r="VUE105" s="44"/>
      <c r="VUF105" s="44"/>
      <c r="VUG105" s="44"/>
      <c r="VUH105" s="44"/>
      <c r="VUI105" s="44"/>
      <c r="VUJ105" s="44"/>
      <c r="VUK105" s="44"/>
      <c r="VUL105" s="44"/>
      <c r="VUM105" s="44"/>
      <c r="VUN105" s="44"/>
      <c r="VUO105" s="44"/>
      <c r="VUP105" s="44"/>
      <c r="VUQ105" s="44"/>
      <c r="VUR105" s="44"/>
      <c r="VUS105" s="44"/>
      <c r="VUT105" s="44"/>
      <c r="VUU105" s="44"/>
      <c r="VUV105" s="44"/>
      <c r="VUW105" s="44"/>
      <c r="VUX105" s="44"/>
      <c r="VUY105" s="44"/>
      <c r="VUZ105" s="44"/>
      <c r="VVA105" s="44"/>
      <c r="VVB105" s="44"/>
      <c r="VVC105" s="44"/>
      <c r="VVD105" s="44"/>
      <c r="VVE105" s="44"/>
      <c r="VVF105" s="44"/>
      <c r="VVG105" s="44"/>
      <c r="VVH105" s="44"/>
      <c r="VVI105" s="44"/>
      <c r="VVJ105" s="44"/>
      <c r="VVK105" s="44"/>
      <c r="VVL105" s="44"/>
      <c r="VVM105" s="44"/>
      <c r="VVN105" s="44"/>
      <c r="VVO105" s="44"/>
      <c r="VVP105" s="44"/>
      <c r="VVQ105" s="44"/>
      <c r="VVR105" s="44"/>
      <c r="VVS105" s="44"/>
      <c r="VVT105" s="44"/>
      <c r="VVU105" s="44"/>
      <c r="VVV105" s="44"/>
      <c r="VVW105" s="44"/>
      <c r="VVX105" s="44"/>
      <c r="VVY105" s="44"/>
      <c r="VVZ105" s="44"/>
      <c r="VWA105" s="44"/>
      <c r="VWB105" s="44"/>
      <c r="VWC105" s="44"/>
      <c r="VWD105" s="44"/>
      <c r="VWE105" s="44"/>
      <c r="VWF105" s="44"/>
      <c r="VWG105" s="44"/>
      <c r="VWH105" s="44"/>
      <c r="VWI105" s="44"/>
      <c r="VWJ105" s="44"/>
      <c r="VWK105" s="44"/>
      <c r="VWL105" s="44"/>
      <c r="VWM105" s="44"/>
      <c r="VWN105" s="44"/>
      <c r="VWO105" s="44"/>
      <c r="VWP105" s="44"/>
      <c r="VWQ105" s="44"/>
      <c r="VWR105" s="44"/>
      <c r="VWS105" s="44"/>
      <c r="VWT105" s="44"/>
      <c r="VWU105" s="44"/>
      <c r="VWV105" s="44"/>
      <c r="VWW105" s="44"/>
      <c r="VWX105" s="44"/>
      <c r="VWY105" s="44"/>
      <c r="VWZ105" s="44"/>
      <c r="VXA105" s="44"/>
      <c r="VXB105" s="44"/>
      <c r="VXC105" s="44"/>
      <c r="VXD105" s="44"/>
      <c r="VXE105" s="44"/>
      <c r="VXF105" s="44"/>
      <c r="VXG105" s="44"/>
      <c r="VXH105" s="44"/>
      <c r="VXI105" s="44"/>
      <c r="VXJ105" s="44"/>
      <c r="VXK105" s="44"/>
      <c r="VXL105" s="44"/>
      <c r="VXM105" s="44"/>
      <c r="VXN105" s="44"/>
      <c r="VXO105" s="44"/>
      <c r="VXP105" s="44"/>
      <c r="VXQ105" s="44"/>
      <c r="VXR105" s="44"/>
      <c r="VXS105" s="44"/>
      <c r="VXT105" s="44"/>
      <c r="VXU105" s="44"/>
      <c r="VXV105" s="44"/>
      <c r="VXW105" s="44"/>
      <c r="VXX105" s="44"/>
      <c r="VXY105" s="44"/>
      <c r="VXZ105" s="44"/>
      <c r="VYA105" s="44"/>
      <c r="VYB105" s="44"/>
      <c r="VYC105" s="44"/>
      <c r="VYD105" s="44"/>
      <c r="VYE105" s="44"/>
      <c r="VYF105" s="44"/>
      <c r="VYG105" s="44"/>
      <c r="VYH105" s="44"/>
      <c r="VYI105" s="44"/>
      <c r="VYJ105" s="44"/>
      <c r="VYK105" s="44"/>
      <c r="VYL105" s="44"/>
      <c r="VYM105" s="44"/>
      <c r="VYN105" s="44"/>
      <c r="VYO105" s="44"/>
      <c r="VYP105" s="44"/>
      <c r="VYQ105" s="44"/>
      <c r="VYR105" s="44"/>
      <c r="VYS105" s="44"/>
      <c r="VYT105" s="44"/>
      <c r="VYU105" s="44"/>
      <c r="VYV105" s="44"/>
      <c r="VYW105" s="44"/>
      <c r="VYX105" s="44"/>
      <c r="VYY105" s="44"/>
      <c r="VYZ105" s="44"/>
      <c r="VZA105" s="44"/>
      <c r="VZB105" s="44"/>
      <c r="VZC105" s="44"/>
      <c r="VZD105" s="44"/>
      <c r="VZE105" s="44"/>
      <c r="VZF105" s="44"/>
      <c r="VZG105" s="44"/>
      <c r="VZH105" s="44"/>
      <c r="VZI105" s="44"/>
      <c r="VZJ105" s="44"/>
      <c r="VZK105" s="44"/>
      <c r="VZL105" s="44"/>
      <c r="VZM105" s="44"/>
      <c r="VZN105" s="44"/>
      <c r="VZO105" s="44"/>
      <c r="VZP105" s="44"/>
      <c r="VZQ105" s="44"/>
      <c r="VZR105" s="44"/>
      <c r="VZS105" s="44"/>
      <c r="VZT105" s="44"/>
      <c r="VZU105" s="44"/>
      <c r="VZV105" s="44"/>
      <c r="VZW105" s="44"/>
      <c r="VZX105" s="44"/>
      <c r="VZY105" s="44"/>
      <c r="VZZ105" s="44"/>
      <c r="WAA105" s="44"/>
      <c r="WAB105" s="44"/>
      <c r="WAC105" s="44"/>
      <c r="WAD105" s="44"/>
      <c r="WAE105" s="44"/>
      <c r="WAF105" s="44"/>
      <c r="WAG105" s="44"/>
      <c r="WAH105" s="44"/>
      <c r="WAI105" s="44"/>
      <c r="WAJ105" s="44"/>
      <c r="WAK105" s="44"/>
      <c r="WAL105" s="44"/>
      <c r="WAM105" s="44"/>
      <c r="WAN105" s="44"/>
      <c r="WAO105" s="44"/>
      <c r="WAP105" s="44"/>
      <c r="WAQ105" s="44"/>
      <c r="WAR105" s="44"/>
      <c r="WAS105" s="44"/>
      <c r="WAT105" s="44"/>
      <c r="WAU105" s="44"/>
      <c r="WAV105" s="44"/>
      <c r="WAW105" s="44"/>
      <c r="WAX105" s="44"/>
      <c r="WAY105" s="44"/>
      <c r="WAZ105" s="44"/>
      <c r="WBA105" s="44"/>
      <c r="WBB105" s="44"/>
      <c r="WBC105" s="44"/>
      <c r="WBD105" s="44"/>
      <c r="WBE105" s="44"/>
      <c r="WBF105" s="44"/>
      <c r="WBG105" s="44"/>
      <c r="WBH105" s="44"/>
      <c r="WBI105" s="44"/>
      <c r="WBJ105" s="44"/>
      <c r="WBK105" s="44"/>
      <c r="WBL105" s="44"/>
      <c r="WBM105" s="44"/>
      <c r="WBN105" s="44"/>
      <c r="WBO105" s="44"/>
      <c r="WBP105" s="44"/>
      <c r="WBQ105" s="44"/>
      <c r="WBR105" s="44"/>
      <c r="WBS105" s="44"/>
      <c r="WBT105" s="44"/>
      <c r="WBU105" s="44"/>
      <c r="WBV105" s="44"/>
      <c r="WBW105" s="44"/>
      <c r="WBX105" s="44"/>
      <c r="WBY105" s="44"/>
      <c r="WBZ105" s="44"/>
      <c r="WCA105" s="44"/>
      <c r="WCB105" s="44"/>
      <c r="WCC105" s="44"/>
      <c r="WCD105" s="44"/>
      <c r="WCE105" s="44"/>
      <c r="WCF105" s="44"/>
      <c r="WCG105" s="44"/>
      <c r="WCH105" s="44"/>
      <c r="WCI105" s="44"/>
      <c r="WCJ105" s="44"/>
      <c r="WCK105" s="44"/>
      <c r="WCL105" s="44"/>
      <c r="WCM105" s="44"/>
      <c r="WCN105" s="44"/>
      <c r="WCO105" s="44"/>
      <c r="WCP105" s="44"/>
      <c r="WCQ105" s="44"/>
      <c r="WCR105" s="44"/>
      <c r="WCS105" s="44"/>
      <c r="WCT105" s="44"/>
      <c r="WCU105" s="44"/>
      <c r="WCV105" s="44"/>
      <c r="WCW105" s="44"/>
      <c r="WCX105" s="44"/>
      <c r="WCY105" s="44"/>
      <c r="WCZ105" s="44"/>
      <c r="WDA105" s="44"/>
      <c r="WDB105" s="44"/>
      <c r="WDC105" s="44"/>
      <c r="WDD105" s="44"/>
      <c r="WDE105" s="44"/>
      <c r="WDF105" s="44"/>
      <c r="WDG105" s="44"/>
      <c r="WDH105" s="44"/>
      <c r="WDI105" s="44"/>
      <c r="WDJ105" s="44"/>
      <c r="WDK105" s="44"/>
      <c r="WDL105" s="44"/>
      <c r="WDM105" s="44"/>
      <c r="WDN105" s="44"/>
      <c r="WDO105" s="44"/>
      <c r="WDP105" s="44"/>
      <c r="WDQ105" s="44"/>
      <c r="WDR105" s="44"/>
      <c r="WDS105" s="44"/>
      <c r="WDT105" s="44"/>
      <c r="WDU105" s="44"/>
      <c r="WDV105" s="44"/>
      <c r="WDW105" s="44"/>
      <c r="WDX105" s="44"/>
      <c r="WDY105" s="44"/>
      <c r="WDZ105" s="44"/>
      <c r="WEA105" s="44"/>
      <c r="WEB105" s="44"/>
      <c r="WEC105" s="44"/>
      <c r="WED105" s="44"/>
      <c r="WEE105" s="44"/>
      <c r="WEF105" s="44"/>
      <c r="WEG105" s="44"/>
      <c r="WEH105" s="44"/>
      <c r="WEI105" s="44"/>
      <c r="WEJ105" s="44"/>
      <c r="WEK105" s="44"/>
      <c r="WEL105" s="44"/>
      <c r="WEM105" s="44"/>
      <c r="WEN105" s="44"/>
      <c r="WEO105" s="44"/>
      <c r="WEP105" s="44"/>
      <c r="WEQ105" s="44"/>
      <c r="WER105" s="44"/>
      <c r="WES105" s="44"/>
      <c r="WET105" s="44"/>
      <c r="WEU105" s="44"/>
      <c r="WEV105" s="44"/>
      <c r="WEW105" s="44"/>
      <c r="WEX105" s="44"/>
      <c r="WEY105" s="44"/>
      <c r="WEZ105" s="44"/>
      <c r="WFA105" s="44"/>
      <c r="WFB105" s="44"/>
      <c r="WFC105" s="44"/>
      <c r="WFD105" s="44"/>
      <c r="WFE105" s="44"/>
      <c r="WFF105" s="44"/>
      <c r="WFG105" s="44"/>
      <c r="WFH105" s="44"/>
      <c r="WFI105" s="44"/>
      <c r="WFJ105" s="44"/>
      <c r="WFK105" s="44"/>
      <c r="WFL105" s="44"/>
      <c r="WFM105" s="44"/>
      <c r="WFN105" s="44"/>
      <c r="WFO105" s="44"/>
      <c r="WFP105" s="44"/>
      <c r="WFQ105" s="44"/>
      <c r="WFR105" s="44"/>
      <c r="WFS105" s="44"/>
      <c r="WFT105" s="44"/>
      <c r="WFU105" s="44"/>
      <c r="WFV105" s="44"/>
      <c r="WFW105" s="44"/>
      <c r="WFX105" s="44"/>
      <c r="WFY105" s="44"/>
      <c r="WFZ105" s="44"/>
      <c r="WGA105" s="44"/>
      <c r="WGB105" s="44"/>
      <c r="WGC105" s="44"/>
      <c r="WGD105" s="44"/>
      <c r="WGE105" s="44"/>
      <c r="WGF105" s="44"/>
      <c r="WGG105" s="44"/>
      <c r="WGH105" s="44"/>
      <c r="WGI105" s="44"/>
      <c r="WGJ105" s="44"/>
      <c r="WGK105" s="44"/>
      <c r="WGL105" s="44"/>
      <c r="WGM105" s="44"/>
      <c r="WGN105" s="44"/>
      <c r="WGO105" s="44"/>
      <c r="WGP105" s="44"/>
      <c r="WGQ105" s="44"/>
      <c r="WGR105" s="44"/>
      <c r="WGS105" s="44"/>
      <c r="WGT105" s="44"/>
      <c r="WGU105" s="44"/>
      <c r="WGV105" s="44"/>
      <c r="WGW105" s="44"/>
      <c r="WGX105" s="44"/>
      <c r="WGY105" s="44"/>
      <c r="WGZ105" s="44"/>
      <c r="WHA105" s="44"/>
      <c r="WHB105" s="44"/>
      <c r="WHC105" s="44"/>
      <c r="WHD105" s="44"/>
      <c r="WHE105" s="44"/>
      <c r="WHF105" s="44"/>
      <c r="WHG105" s="44"/>
      <c r="WHH105" s="44"/>
      <c r="WHI105" s="44"/>
      <c r="WHJ105" s="44"/>
      <c r="WHK105" s="44"/>
      <c r="WHL105" s="44"/>
      <c r="WHM105" s="44"/>
      <c r="WHN105" s="44"/>
      <c r="WHO105" s="44"/>
      <c r="WHP105" s="44"/>
      <c r="WHQ105" s="44"/>
      <c r="WHR105" s="44"/>
      <c r="WHS105" s="44"/>
      <c r="WHT105" s="44"/>
      <c r="WHU105" s="44"/>
      <c r="WHV105" s="44"/>
      <c r="WHW105" s="44"/>
      <c r="WHX105" s="44"/>
      <c r="WHY105" s="44"/>
      <c r="WHZ105" s="44"/>
      <c r="WIA105" s="44"/>
      <c r="WIB105" s="44"/>
      <c r="WIC105" s="44"/>
      <c r="WID105" s="44"/>
      <c r="WIE105" s="44"/>
      <c r="WIF105" s="44"/>
      <c r="WIG105" s="44"/>
      <c r="WIH105" s="44"/>
      <c r="WII105" s="44"/>
      <c r="WIJ105" s="44"/>
      <c r="WIK105" s="44"/>
      <c r="WIL105" s="44"/>
      <c r="WIM105" s="44"/>
      <c r="WIN105" s="44"/>
      <c r="WIO105" s="44"/>
      <c r="WIP105" s="44"/>
      <c r="WIQ105" s="44"/>
      <c r="WIR105" s="44"/>
      <c r="WIS105" s="44"/>
      <c r="WIT105" s="44"/>
      <c r="WIU105" s="44"/>
      <c r="WIV105" s="44"/>
      <c r="WIW105" s="44"/>
      <c r="WIX105" s="44"/>
      <c r="WIY105" s="44"/>
      <c r="WIZ105" s="44"/>
      <c r="WJA105" s="44"/>
      <c r="WJB105" s="44"/>
      <c r="WJC105" s="44"/>
      <c r="WJD105" s="44"/>
      <c r="WJE105" s="44"/>
      <c r="WJF105" s="44"/>
      <c r="WJG105" s="44"/>
      <c r="WJH105" s="44"/>
      <c r="WJI105" s="44"/>
      <c r="WJJ105" s="44"/>
      <c r="WJK105" s="44"/>
      <c r="WJL105" s="44"/>
      <c r="WJM105" s="44"/>
      <c r="WJN105" s="44"/>
      <c r="WJO105" s="44"/>
      <c r="WJP105" s="44"/>
      <c r="WJQ105" s="44"/>
      <c r="WJR105" s="44"/>
      <c r="WJS105" s="44"/>
      <c r="WJT105" s="44"/>
      <c r="WJU105" s="44"/>
      <c r="WJV105" s="44"/>
      <c r="WJW105" s="44"/>
      <c r="WJX105" s="44"/>
      <c r="WJY105" s="44"/>
      <c r="WJZ105" s="44"/>
      <c r="WKA105" s="44"/>
      <c r="WKB105" s="44"/>
      <c r="WKC105" s="44"/>
      <c r="WKD105" s="44"/>
      <c r="WKE105" s="44"/>
      <c r="WKF105" s="44"/>
      <c r="WKG105" s="44"/>
      <c r="WKH105" s="44"/>
      <c r="WKI105" s="44"/>
      <c r="WKJ105" s="44"/>
      <c r="WKK105" s="44"/>
      <c r="WKL105" s="44"/>
      <c r="WKM105" s="44"/>
      <c r="WKN105" s="44"/>
      <c r="WKO105" s="44"/>
      <c r="WKP105" s="44"/>
      <c r="WKQ105" s="44"/>
      <c r="WKR105" s="44"/>
      <c r="WKS105" s="44"/>
      <c r="WKT105" s="44"/>
      <c r="WKU105" s="44"/>
      <c r="WKV105" s="44"/>
      <c r="WKW105" s="44"/>
      <c r="WKX105" s="44"/>
      <c r="WKY105" s="44"/>
      <c r="WKZ105" s="44"/>
      <c r="WLA105" s="44"/>
      <c r="WLB105" s="44"/>
      <c r="WLC105" s="44"/>
      <c r="WLD105" s="44"/>
      <c r="WLE105" s="44"/>
      <c r="WLF105" s="44"/>
      <c r="WLG105" s="44"/>
      <c r="WLH105" s="44"/>
      <c r="WLI105" s="44"/>
      <c r="WLJ105" s="44"/>
      <c r="WLK105" s="44"/>
      <c r="WLL105" s="44"/>
      <c r="WLM105" s="44"/>
      <c r="WLN105" s="44"/>
      <c r="WLO105" s="44"/>
      <c r="WLP105" s="44"/>
      <c r="WLQ105" s="44"/>
      <c r="WLR105" s="44"/>
      <c r="WLS105" s="44"/>
      <c r="WLT105" s="44"/>
      <c r="WLU105" s="44"/>
      <c r="WLV105" s="44"/>
      <c r="WLW105" s="44"/>
      <c r="WLX105" s="44"/>
      <c r="WLY105" s="44"/>
      <c r="WLZ105" s="44"/>
      <c r="WMA105" s="44"/>
      <c r="WMB105" s="44"/>
      <c r="WMC105" s="44"/>
      <c r="WMD105" s="44"/>
      <c r="WME105" s="44"/>
      <c r="WMF105" s="44"/>
      <c r="WMG105" s="44"/>
      <c r="WMH105" s="44"/>
      <c r="WMI105" s="44"/>
      <c r="WMJ105" s="44"/>
      <c r="WMK105" s="44"/>
      <c r="WML105" s="44"/>
      <c r="WMM105" s="44"/>
      <c r="WMN105" s="44"/>
      <c r="WMO105" s="44"/>
      <c r="WMP105" s="44"/>
      <c r="WMQ105" s="44"/>
      <c r="WMR105" s="44"/>
      <c r="WMS105" s="44"/>
      <c r="WMT105" s="44"/>
      <c r="WMU105" s="44"/>
      <c r="WMV105" s="44"/>
      <c r="WMW105" s="44"/>
      <c r="WMX105" s="44"/>
      <c r="WMY105" s="44"/>
      <c r="WMZ105" s="44"/>
      <c r="WNA105" s="44"/>
      <c r="WNB105" s="44"/>
      <c r="WNC105" s="44"/>
      <c r="WND105" s="44"/>
      <c r="WNE105" s="44"/>
      <c r="WNF105" s="44"/>
      <c r="WNG105" s="44"/>
      <c r="WNH105" s="44"/>
      <c r="WNI105" s="44"/>
      <c r="WNJ105" s="44"/>
      <c r="WNK105" s="44"/>
      <c r="WNL105" s="44"/>
      <c r="WNM105" s="44"/>
      <c r="WNN105" s="44"/>
      <c r="WNO105" s="44"/>
      <c r="WNP105" s="44"/>
      <c r="WNQ105" s="44"/>
      <c r="WNR105" s="44"/>
      <c r="WNS105" s="44"/>
      <c r="WNT105" s="44"/>
      <c r="WNU105" s="44"/>
      <c r="WNV105" s="44"/>
      <c r="WNW105" s="44"/>
      <c r="WNX105" s="44"/>
      <c r="WNY105" s="44"/>
      <c r="WNZ105" s="44"/>
      <c r="WOA105" s="44"/>
      <c r="WOB105" s="44"/>
      <c r="WOC105" s="44"/>
      <c r="WOD105" s="44"/>
      <c r="WOE105" s="44"/>
      <c r="WOF105" s="44"/>
      <c r="WOG105" s="44"/>
      <c r="WOH105" s="44"/>
      <c r="WOI105" s="44"/>
      <c r="WOJ105" s="44"/>
      <c r="WOK105" s="44"/>
      <c r="WOL105" s="44"/>
      <c r="WOM105" s="44"/>
      <c r="WON105" s="44"/>
      <c r="WOO105" s="44"/>
      <c r="WOP105" s="44"/>
      <c r="WOQ105" s="44"/>
      <c r="WOR105" s="44"/>
      <c r="WOS105" s="44"/>
      <c r="WOT105" s="44"/>
      <c r="WOU105" s="44"/>
      <c r="WOV105" s="44"/>
      <c r="WOW105" s="44"/>
      <c r="WOX105" s="44"/>
      <c r="WOY105" s="44"/>
      <c r="WOZ105" s="44"/>
      <c r="WPA105" s="44"/>
      <c r="WPB105" s="44"/>
      <c r="WPC105" s="44"/>
      <c r="WPD105" s="44"/>
      <c r="WPE105" s="44"/>
      <c r="WPF105" s="44"/>
      <c r="WPG105" s="44"/>
      <c r="WPH105" s="44"/>
      <c r="WPI105" s="44"/>
      <c r="WPJ105" s="44"/>
      <c r="WPK105" s="44"/>
      <c r="WPL105" s="44"/>
      <c r="WPM105" s="44"/>
      <c r="WPN105" s="44"/>
      <c r="WPO105" s="44"/>
      <c r="WPP105" s="44"/>
      <c r="WPQ105" s="44"/>
      <c r="WPR105" s="44"/>
      <c r="WPS105" s="44"/>
      <c r="WPT105" s="44"/>
      <c r="WPU105" s="44"/>
      <c r="WPV105" s="44"/>
      <c r="WPW105" s="44"/>
      <c r="WPX105" s="44"/>
      <c r="WPY105" s="44"/>
      <c r="WPZ105" s="44"/>
      <c r="WQA105" s="44"/>
      <c r="WQB105" s="44"/>
      <c r="WQC105" s="44"/>
      <c r="WQD105" s="44"/>
      <c r="WQE105" s="44"/>
      <c r="WQF105" s="44"/>
      <c r="WQG105" s="44"/>
      <c r="WQH105" s="44"/>
      <c r="WQI105" s="44"/>
      <c r="WQJ105" s="44"/>
      <c r="WQK105" s="44"/>
      <c r="WQL105" s="44"/>
      <c r="WQM105" s="44"/>
      <c r="WQN105" s="44"/>
      <c r="WQO105" s="44"/>
      <c r="WQP105" s="44"/>
      <c r="WQQ105" s="44"/>
      <c r="WQR105" s="44"/>
      <c r="WQS105" s="44"/>
      <c r="WQT105" s="44"/>
      <c r="WQU105" s="44"/>
      <c r="WQV105" s="44"/>
      <c r="WQW105" s="44"/>
      <c r="WQX105" s="44"/>
      <c r="WQY105" s="44"/>
      <c r="WQZ105" s="44"/>
      <c r="WRA105" s="44"/>
      <c r="WRB105" s="44"/>
      <c r="WRC105" s="44"/>
      <c r="WRD105" s="44"/>
      <c r="WRE105" s="44"/>
      <c r="WRF105" s="44"/>
      <c r="WRG105" s="44"/>
      <c r="WRH105" s="44"/>
      <c r="WRI105" s="44"/>
      <c r="WRJ105" s="44"/>
      <c r="WRK105" s="44"/>
      <c r="WRL105" s="44"/>
      <c r="WRM105" s="44"/>
      <c r="WRN105" s="44"/>
      <c r="WRO105" s="44"/>
      <c r="WRP105" s="44"/>
      <c r="WRQ105" s="44"/>
      <c r="WRR105" s="44"/>
      <c r="WRS105" s="44"/>
      <c r="WRT105" s="44"/>
      <c r="WRU105" s="44"/>
      <c r="WRV105" s="44"/>
      <c r="WRW105" s="44"/>
      <c r="WRX105" s="44"/>
      <c r="WRY105" s="44"/>
      <c r="WRZ105" s="44"/>
      <c r="WSA105" s="44"/>
      <c r="WSB105" s="44"/>
      <c r="WSC105" s="44"/>
      <c r="WSD105" s="44"/>
      <c r="WSE105" s="44"/>
      <c r="WSF105" s="44"/>
      <c r="WSG105" s="44"/>
      <c r="WSH105" s="44"/>
      <c r="WSI105" s="44"/>
      <c r="WSJ105" s="44"/>
      <c r="WSK105" s="44"/>
      <c r="WSL105" s="44"/>
      <c r="WSM105" s="44"/>
      <c r="WSN105" s="44"/>
      <c r="WSO105" s="44"/>
      <c r="WSP105" s="44"/>
      <c r="WSQ105" s="44"/>
      <c r="WSR105" s="44"/>
      <c r="WSS105" s="44"/>
      <c r="WST105" s="44"/>
      <c r="WSU105" s="44"/>
      <c r="WSV105" s="44"/>
      <c r="WSW105" s="44"/>
      <c r="WSX105" s="44"/>
      <c r="WSY105" s="44"/>
      <c r="WSZ105" s="44"/>
      <c r="WTA105" s="44"/>
      <c r="WTB105" s="44"/>
      <c r="WTC105" s="44"/>
      <c r="WTD105" s="44"/>
      <c r="WTE105" s="44"/>
      <c r="WTF105" s="44"/>
      <c r="WTG105" s="44"/>
      <c r="WTH105" s="44"/>
      <c r="WTI105" s="44"/>
      <c r="WTJ105" s="44"/>
      <c r="WTK105" s="44"/>
      <c r="WTL105" s="44"/>
      <c r="WTM105" s="44"/>
      <c r="WTN105" s="44"/>
      <c r="WTO105" s="44"/>
      <c r="WTP105" s="44"/>
      <c r="WTQ105" s="44"/>
      <c r="WTR105" s="44"/>
      <c r="WTS105" s="44"/>
      <c r="WTT105" s="44"/>
      <c r="WTU105" s="44"/>
      <c r="WTV105" s="44"/>
      <c r="WTW105" s="44"/>
      <c r="WTX105" s="44"/>
      <c r="WTY105" s="44"/>
      <c r="WTZ105" s="44"/>
      <c r="WUA105" s="44"/>
      <c r="WUB105" s="44"/>
      <c r="WUC105" s="44"/>
      <c r="WUD105" s="44"/>
      <c r="WUE105" s="44"/>
      <c r="WUF105" s="44"/>
      <c r="WUG105" s="44"/>
      <c r="WUH105" s="44"/>
      <c r="WUI105" s="44"/>
      <c r="WUJ105" s="44"/>
      <c r="WUK105" s="44"/>
      <c r="WUL105" s="44"/>
      <c r="WUM105" s="44"/>
      <c r="WUN105" s="44"/>
      <c r="WUO105" s="44"/>
      <c r="WUP105" s="44"/>
      <c r="WUQ105" s="44"/>
      <c r="WUR105" s="44"/>
      <c r="WUS105" s="44"/>
      <c r="WUT105" s="44"/>
      <c r="WUU105" s="44"/>
      <c r="WUV105" s="44"/>
      <c r="WUW105" s="44"/>
      <c r="WUX105" s="44"/>
      <c r="WUY105" s="44"/>
      <c r="WUZ105" s="44"/>
      <c r="WVA105" s="44"/>
      <c r="WVB105" s="44"/>
      <c r="WVC105" s="44"/>
      <c r="WVD105" s="44"/>
      <c r="WVE105" s="44"/>
      <c r="WVF105" s="44"/>
      <c r="WVG105" s="44"/>
      <c r="WVH105" s="44"/>
      <c r="WVI105" s="44"/>
      <c r="WVJ105" s="44"/>
      <c r="WVK105" s="44"/>
      <c r="WVL105" s="44"/>
      <c r="WVM105" s="44"/>
      <c r="WVN105" s="44"/>
      <c r="WVO105" s="44"/>
      <c r="WVP105" s="44"/>
      <c r="WVQ105" s="44"/>
      <c r="WVR105" s="44"/>
      <c r="WVS105" s="44"/>
      <c r="WVT105" s="44"/>
      <c r="WVU105" s="44"/>
      <c r="WVV105" s="44"/>
      <c r="WVW105" s="44"/>
      <c r="WVX105" s="44"/>
      <c r="WVY105" s="44"/>
      <c r="WVZ105" s="44"/>
      <c r="WWA105" s="44"/>
      <c r="WWB105" s="44"/>
      <c r="WWC105" s="44"/>
      <c r="WWD105" s="44"/>
      <c r="WWE105" s="44"/>
      <c r="WWF105" s="44"/>
      <c r="WWG105" s="44"/>
      <c r="WWH105" s="44"/>
      <c r="WWI105" s="44"/>
      <c r="WWJ105" s="44"/>
      <c r="WWK105" s="44"/>
      <c r="WWL105" s="44"/>
      <c r="WWM105" s="44"/>
      <c r="WWN105" s="44"/>
      <c r="WWO105" s="44"/>
      <c r="WWP105" s="44"/>
      <c r="WWQ105" s="44"/>
      <c r="WWR105" s="44"/>
      <c r="WWS105" s="44"/>
      <c r="WWT105" s="44"/>
      <c r="WWU105" s="44"/>
      <c r="WWV105" s="44"/>
      <c r="WWW105" s="44"/>
      <c r="WWX105" s="44"/>
      <c r="WWY105" s="44"/>
      <c r="WWZ105" s="44"/>
      <c r="WXA105" s="44"/>
      <c r="WXB105" s="44"/>
      <c r="WXC105" s="44"/>
      <c r="WXD105" s="44"/>
      <c r="WXE105" s="44"/>
      <c r="WXF105" s="44"/>
      <c r="WXG105" s="44"/>
      <c r="WXH105" s="44"/>
      <c r="WXI105" s="44"/>
      <c r="WXJ105" s="44"/>
      <c r="WXK105" s="44"/>
      <c r="WXL105" s="44"/>
      <c r="WXM105" s="44"/>
      <c r="WXN105" s="44"/>
      <c r="WXO105" s="44"/>
      <c r="WXP105" s="44"/>
      <c r="WXQ105" s="44"/>
      <c r="WXR105" s="44"/>
      <c r="WXS105" s="44"/>
      <c r="WXT105" s="44"/>
      <c r="WXU105" s="44"/>
      <c r="WXV105" s="44"/>
      <c r="WXW105" s="44"/>
      <c r="WXX105" s="44"/>
      <c r="WXY105" s="44"/>
      <c r="WXZ105" s="44"/>
      <c r="WYA105" s="44"/>
      <c r="WYB105" s="44"/>
      <c r="WYC105" s="44"/>
      <c r="WYD105" s="44"/>
      <c r="WYE105" s="44"/>
      <c r="WYF105" s="44"/>
      <c r="WYG105" s="44"/>
      <c r="WYH105" s="44"/>
      <c r="WYI105" s="44"/>
      <c r="WYJ105" s="44"/>
      <c r="WYK105" s="44"/>
      <c r="WYL105" s="44"/>
      <c r="WYM105" s="44"/>
      <c r="WYN105" s="44"/>
      <c r="WYO105" s="44"/>
      <c r="WYP105" s="44"/>
      <c r="WYQ105" s="44"/>
      <c r="WYR105" s="44"/>
      <c r="WYS105" s="44"/>
      <c r="WYT105" s="44"/>
      <c r="WYU105" s="44"/>
      <c r="WYV105" s="44"/>
      <c r="WYW105" s="44"/>
      <c r="WYX105" s="44"/>
      <c r="WYY105" s="44"/>
      <c r="WYZ105" s="44"/>
      <c r="WZA105" s="44"/>
      <c r="WZB105" s="44"/>
      <c r="WZC105" s="44"/>
      <c r="WZD105" s="44"/>
      <c r="WZE105" s="44"/>
      <c r="WZF105" s="44"/>
      <c r="WZG105" s="44"/>
      <c r="WZH105" s="44"/>
      <c r="WZI105" s="44"/>
      <c r="WZJ105" s="44"/>
      <c r="WZK105" s="44"/>
      <c r="WZL105" s="44"/>
      <c r="WZM105" s="44"/>
      <c r="WZN105" s="44"/>
      <c r="WZO105" s="44"/>
      <c r="WZP105" s="44"/>
      <c r="WZQ105" s="44"/>
      <c r="WZR105" s="44"/>
      <c r="WZS105" s="44"/>
      <c r="WZT105" s="44"/>
      <c r="WZU105" s="44"/>
      <c r="WZV105" s="44"/>
      <c r="WZW105" s="44"/>
      <c r="WZX105" s="44"/>
      <c r="WZY105" s="44"/>
      <c r="WZZ105" s="44"/>
      <c r="XAA105" s="44"/>
      <c r="XAB105" s="44"/>
      <c r="XAC105" s="44"/>
      <c r="XAD105" s="44"/>
      <c r="XAE105" s="44"/>
      <c r="XAF105" s="44"/>
      <c r="XAG105" s="44"/>
      <c r="XAH105" s="44"/>
      <c r="XAI105" s="44"/>
      <c r="XAJ105" s="44"/>
      <c r="XAK105" s="44"/>
      <c r="XAL105" s="44"/>
      <c r="XAM105" s="44"/>
      <c r="XAN105" s="44"/>
      <c r="XAO105" s="44"/>
      <c r="XAP105" s="44"/>
      <c r="XAQ105" s="44"/>
      <c r="XAR105" s="44"/>
      <c r="XAS105" s="44"/>
      <c r="XAT105" s="44"/>
      <c r="XAU105" s="44"/>
      <c r="XAV105" s="44"/>
      <c r="XAW105" s="44"/>
      <c r="XAX105" s="44"/>
      <c r="XAY105" s="44"/>
      <c r="XAZ105" s="44"/>
      <c r="XBA105" s="44"/>
      <c r="XBB105" s="44"/>
      <c r="XBC105" s="44"/>
      <c r="XBD105" s="44"/>
      <c r="XBE105" s="44"/>
      <c r="XBF105" s="44"/>
      <c r="XBG105" s="44"/>
      <c r="XBH105" s="44"/>
      <c r="XBI105" s="44"/>
      <c r="XBJ105" s="44"/>
      <c r="XBK105" s="44"/>
      <c r="XBL105" s="44"/>
      <c r="XBM105" s="44"/>
      <c r="XBN105" s="44"/>
      <c r="XBO105" s="44"/>
      <c r="XBP105" s="44"/>
      <c r="XBQ105" s="44"/>
      <c r="XBR105" s="44"/>
      <c r="XBS105" s="44"/>
      <c r="XBT105" s="44"/>
      <c r="XBU105" s="44"/>
      <c r="XBV105" s="44"/>
      <c r="XBW105" s="44"/>
      <c r="XBX105" s="44"/>
      <c r="XBY105" s="44"/>
      <c r="XBZ105" s="44"/>
      <c r="XCA105" s="44"/>
      <c r="XCB105" s="44"/>
      <c r="XCC105" s="44"/>
      <c r="XCD105" s="44"/>
      <c r="XCE105" s="44"/>
      <c r="XCF105" s="44"/>
      <c r="XCG105" s="44"/>
      <c r="XCH105" s="44"/>
      <c r="XCI105" s="44"/>
      <c r="XCJ105" s="44"/>
      <c r="XCK105" s="44"/>
      <c r="XCL105" s="44"/>
      <c r="XCM105" s="44"/>
      <c r="XCN105" s="44"/>
      <c r="XCO105" s="44"/>
      <c r="XCP105" s="44"/>
      <c r="XCQ105" s="44"/>
      <c r="XCR105" s="44"/>
      <c r="XCS105" s="44"/>
      <c r="XCT105" s="44"/>
      <c r="XCU105" s="44"/>
      <c r="XCV105" s="44"/>
      <c r="XCW105" s="44"/>
      <c r="XCX105" s="44"/>
      <c r="XCY105" s="44"/>
      <c r="XCZ105" s="44"/>
      <c r="XDA105" s="44"/>
      <c r="XDB105" s="44"/>
      <c r="XDC105" s="44"/>
      <c r="XDD105" s="44"/>
      <c r="XDE105" s="44"/>
      <c r="XDF105" s="44"/>
      <c r="XDG105" s="44"/>
      <c r="XDH105" s="44"/>
      <c r="XDI105" s="44"/>
      <c r="XDJ105" s="44"/>
      <c r="XDK105" s="44"/>
      <c r="XDL105" s="44"/>
      <c r="XDM105" s="44"/>
      <c r="XDN105" s="44"/>
      <c r="XDO105" s="44"/>
      <c r="XDP105" s="44"/>
      <c r="XDQ105" s="44"/>
      <c r="XDR105" s="44"/>
      <c r="XDS105" s="44"/>
      <c r="XDT105" s="44"/>
      <c r="XDU105" s="44"/>
      <c r="XDV105" s="44"/>
      <c r="XDW105" s="44"/>
      <c r="XDX105" s="44"/>
      <c r="XDY105" s="44"/>
      <c r="XDZ105" s="44"/>
      <c r="XEA105" s="44"/>
      <c r="XEB105" s="44"/>
      <c r="XEC105" s="44"/>
      <c r="XED105" s="44"/>
      <c r="XEE105" s="44"/>
      <c r="XEF105" s="44"/>
      <c r="XEG105" s="44"/>
      <c r="XEH105" s="44"/>
      <c r="XEI105" s="44"/>
      <c r="XEJ105" s="44"/>
      <c r="XEK105" s="44"/>
      <c r="XEL105" s="44"/>
      <c r="XEM105" s="44"/>
      <c r="XEN105" s="44"/>
      <c r="XEO105" s="44"/>
      <c r="XEP105" s="44"/>
      <c r="XEQ105" s="44"/>
      <c r="XER105" s="44"/>
      <c r="XES105" s="44"/>
      <c r="XET105" s="44"/>
      <c r="XEU105" s="44"/>
      <c r="XEV105" s="44"/>
      <c r="XEW105" s="44"/>
      <c r="XEX105" s="44"/>
      <c r="XEY105" s="44"/>
    </row>
    <row r="106" spans="1:16379" ht="21.75" customHeight="1">
      <c r="A106" s="75" t="s">
        <v>79</v>
      </c>
      <c r="B106" s="76"/>
      <c r="C106" s="42"/>
      <c r="D106" s="42">
        <v>85</v>
      </c>
      <c r="E106" s="77"/>
      <c r="F106" s="78"/>
      <c r="G106" s="154" t="str">
        <f>_xll.DBRA(Server&amp;$AL$25,$A106,$H$18)</f>
        <v>Balance sheet control</v>
      </c>
      <c r="H106" s="155"/>
      <c r="I106" s="156">
        <f t="shared" ref="I106:P106" si="26">I96+I99+I105</f>
        <v>0</v>
      </c>
      <c r="J106" s="156">
        <f t="shared" si="26"/>
        <v>0</v>
      </c>
      <c r="K106" s="156">
        <f t="shared" si="26"/>
        <v>0</v>
      </c>
      <c r="L106" s="156">
        <f t="shared" si="26"/>
        <v>0</v>
      </c>
      <c r="M106" s="156">
        <f t="shared" si="26"/>
        <v>0</v>
      </c>
      <c r="N106" s="156">
        <f t="shared" si="26"/>
        <v>0</v>
      </c>
      <c r="O106" s="156">
        <f t="shared" si="26"/>
        <v>0</v>
      </c>
      <c r="P106" s="156">
        <f t="shared" si="26"/>
        <v>0</v>
      </c>
      <c r="Q106" s="138"/>
      <c r="R106" s="138"/>
      <c r="S106" s="156">
        <f t="shared" ref="S106:Z106" si="27">S96+S99+S105</f>
        <v>0</v>
      </c>
      <c r="T106" s="156">
        <f t="shared" si="27"/>
        <v>0</v>
      </c>
      <c r="U106" s="156">
        <f t="shared" si="27"/>
        <v>0</v>
      </c>
      <c r="V106" s="156">
        <f t="shared" si="27"/>
        <v>0</v>
      </c>
      <c r="W106" s="156">
        <f t="shared" si="27"/>
        <v>0</v>
      </c>
      <c r="X106" s="156">
        <f t="shared" si="27"/>
        <v>0</v>
      </c>
      <c r="Y106" s="156">
        <f t="shared" si="27"/>
        <v>0</v>
      </c>
      <c r="Z106" s="156">
        <f t="shared" si="27"/>
        <v>0</v>
      </c>
      <c r="AA106" s="138"/>
      <c r="AB106" s="156"/>
      <c r="AC106" s="156"/>
      <c r="AD106" s="156"/>
      <c r="AE106" s="156"/>
      <c r="AF106" s="156"/>
      <c r="AG106" s="156"/>
      <c r="AH106" s="156"/>
      <c r="AI106" s="156"/>
      <c r="AJ106" s="44"/>
      <c r="AU106" s="54"/>
    </row>
    <row r="107" spans="1:16379" ht="24.75" customHeight="1">
      <c r="A107" s="52"/>
      <c r="B107" s="42"/>
      <c r="C107" s="42"/>
      <c r="D107" s="42">
        <v>86</v>
      </c>
      <c r="G107" s="157"/>
      <c r="H107" s="157"/>
      <c r="I107" s="158"/>
      <c r="J107" s="127"/>
      <c r="K107" s="127"/>
      <c r="L107" s="159"/>
      <c r="M107" s="127"/>
      <c r="N107" s="126"/>
      <c r="O107" s="126"/>
      <c r="P107" s="126"/>
      <c r="Q107" s="138"/>
      <c r="R107" s="138"/>
      <c r="S107" s="158"/>
      <c r="T107" s="127"/>
      <c r="U107" s="127"/>
      <c r="V107" s="159"/>
      <c r="W107" s="127"/>
      <c r="X107" s="126"/>
      <c r="Y107" s="126"/>
      <c r="Z107" s="126"/>
      <c r="AA107" s="138"/>
      <c r="AB107" s="158"/>
      <c r="AC107" s="127"/>
      <c r="AD107" s="127"/>
      <c r="AE107" s="159"/>
      <c r="AF107" s="127"/>
      <c r="AG107" s="126"/>
      <c r="AH107" s="126"/>
      <c r="AI107" s="126"/>
      <c r="AR107" s="44"/>
      <c r="AS107" s="44"/>
      <c r="AU107" s="46"/>
      <c r="AW107" s="44"/>
    </row>
    <row r="108" spans="1:16379" s="126" customFormat="1" ht="27.75" customHeight="1">
      <c r="A108" s="177"/>
      <c r="B108" s="121"/>
      <c r="C108" s="121"/>
      <c r="D108" s="121">
        <v>87</v>
      </c>
      <c r="E108" s="122"/>
      <c r="F108" s="123"/>
      <c r="G108" s="205" t="str">
        <f>IF($H$18="English","IV - OPERATIONAL INVESTMENTS","IV - INVESTISSEMENTS OPERATIONNELS")</f>
        <v>IV - OPERATIONAL INVESTMENTS</v>
      </c>
      <c r="H108" s="205"/>
      <c r="I108" s="128" t="str">
        <f>I$21</f>
        <v xml:space="preserve"> 2020</v>
      </c>
      <c r="J108" s="128" t="str">
        <f t="shared" ref="J108:P108" si="28">J$21</f>
        <v xml:space="preserve"> 2021</v>
      </c>
      <c r="K108" s="128" t="str">
        <f t="shared" si="28"/>
        <v xml:space="preserve"> 2022</v>
      </c>
      <c r="L108" s="128" t="str">
        <f t="shared" si="28"/>
        <v xml:space="preserve"> 2023</v>
      </c>
      <c r="M108" s="128" t="str">
        <f t="shared" si="28"/>
        <v xml:space="preserve"> 2024</v>
      </c>
      <c r="N108" s="128" t="str">
        <f t="shared" si="28"/>
        <v xml:space="preserve"> 2025</v>
      </c>
      <c r="O108" s="128" t="str">
        <f t="shared" si="28"/>
        <v xml:space="preserve"> 2026</v>
      </c>
      <c r="P108" s="128" t="str">
        <f t="shared" si="28"/>
        <v xml:space="preserve"> 2027</v>
      </c>
      <c r="Q108" s="138"/>
      <c r="R108" s="138"/>
      <c r="S108" s="128" t="str">
        <f>S$21</f>
        <v xml:space="preserve"> 2018</v>
      </c>
      <c r="T108" s="128" t="str">
        <f t="shared" ref="T108:Z108" si="29">T$21</f>
        <v xml:space="preserve"> 2019</v>
      </c>
      <c r="U108" s="128" t="str">
        <f t="shared" si="29"/>
        <v xml:space="preserve"> 2020</v>
      </c>
      <c r="V108" s="128" t="str">
        <f t="shared" si="29"/>
        <v xml:space="preserve"> 2021</v>
      </c>
      <c r="W108" s="128" t="str">
        <f t="shared" si="29"/>
        <v xml:space="preserve"> 2022</v>
      </c>
      <c r="X108" s="128" t="str">
        <f t="shared" si="29"/>
        <v xml:space="preserve"> 2023</v>
      </c>
      <c r="Y108" s="128" t="str">
        <f t="shared" si="29"/>
        <v xml:space="preserve"> 2024</v>
      </c>
      <c r="Z108" s="128" t="str">
        <f t="shared" si="29"/>
        <v xml:space="preserve"> 2025</v>
      </c>
      <c r="AA108" s="138"/>
      <c r="AB108" s="128" t="str">
        <f>I108</f>
        <v xml:space="preserve"> 2020</v>
      </c>
      <c r="AC108" s="128" t="str">
        <f t="shared" ref="AC108:AI108" si="30">J108</f>
        <v xml:space="preserve"> 2021</v>
      </c>
      <c r="AD108" s="128" t="str">
        <f t="shared" si="30"/>
        <v xml:space="preserve"> 2022</v>
      </c>
      <c r="AE108" s="128" t="str">
        <f t="shared" si="30"/>
        <v xml:space="preserve"> 2023</v>
      </c>
      <c r="AF108" s="128" t="str">
        <f t="shared" si="30"/>
        <v xml:space="preserve"> 2024</v>
      </c>
      <c r="AG108" s="128" t="str">
        <f t="shared" si="30"/>
        <v xml:space="preserve"> 2025</v>
      </c>
      <c r="AH108" s="128" t="str">
        <f t="shared" si="30"/>
        <v xml:space="preserve"> 2026</v>
      </c>
      <c r="AI108" s="128" t="str">
        <f t="shared" si="30"/>
        <v xml:space="preserve"> 2027</v>
      </c>
      <c r="AJ108" s="124"/>
      <c r="AK108" s="124"/>
      <c r="AL108" s="124"/>
      <c r="AM108" s="124"/>
      <c r="AN108" s="124"/>
      <c r="AO108" s="124"/>
      <c r="AP108" s="124"/>
      <c r="AQ108" s="124"/>
      <c r="AU108" s="127"/>
    </row>
    <row r="109" spans="1:16379" ht="5.25" customHeight="1" thickBot="1">
      <c r="B109" s="42"/>
      <c r="C109" s="42"/>
      <c r="D109" s="42">
        <v>88</v>
      </c>
      <c r="G109" s="130"/>
      <c r="H109" s="131"/>
      <c r="I109" s="132"/>
      <c r="J109" s="132"/>
      <c r="K109" s="132"/>
      <c r="L109" s="132"/>
      <c r="M109" s="132"/>
      <c r="N109" s="132"/>
      <c r="O109" s="132"/>
      <c r="P109" s="132"/>
      <c r="Q109" s="138"/>
      <c r="R109" s="138"/>
      <c r="S109" s="132"/>
      <c r="T109" s="132"/>
      <c r="U109" s="132"/>
      <c r="V109" s="132"/>
      <c r="W109" s="132"/>
      <c r="X109" s="132"/>
      <c r="Y109" s="132"/>
      <c r="Z109" s="132"/>
      <c r="AA109" s="138"/>
      <c r="AB109" s="132"/>
      <c r="AC109" s="132"/>
      <c r="AD109" s="132"/>
      <c r="AE109" s="132"/>
      <c r="AF109" s="132"/>
      <c r="AG109" s="132"/>
      <c r="AH109" s="132"/>
      <c r="AI109" s="132"/>
      <c r="AR109" s="44"/>
      <c r="AS109" s="44"/>
      <c r="AU109" s="46"/>
      <c r="AW109" s="44"/>
    </row>
    <row r="110" spans="1:16379" ht="26">
      <c r="A110" s="52" t="s">
        <v>156</v>
      </c>
      <c r="B110" s="67" t="s">
        <v>147</v>
      </c>
      <c r="C110" s="42"/>
      <c r="D110" s="42">
        <v>89</v>
      </c>
      <c r="G110" s="201" t="str">
        <f>_xll.DBRA(Server&amp;$A$21,$A110,$H$18)</f>
        <v>Gross Industrial CAPEX</v>
      </c>
      <c r="H110" s="202"/>
      <c r="I110" s="133">
        <f>_xll.DBRW($G$3,$H$15,$H$17,$H$13,$H$16,$H$14,I$2,$H$12,$B110)+_xll.DBRW($G$3,$H$15,$H$17,$H$13,$H$16,$H$14,I$2,$H$12,$A110)</f>
        <v>0</v>
      </c>
      <c r="J110" s="133">
        <f>_xll.DBRW($G$3,$H$15,$H$17,$H$13,$H$16,$H$14,J$2,$H$12,$B110)+_xll.DBRW($G$3,$H$15,$H$17,$H$13,$H$16,$H$14,J$2,$H$12,$A110)</f>
        <v>0</v>
      </c>
      <c r="K110" s="133">
        <f>_xll.DBRW($G$3,$H$15,$H$17,$H$13,$H$16,$H$14,K$2,$H$12,$B110)+_xll.DBRW($G$3,$H$15,$H$17,$H$13,$H$16,$H$14,K$2,$H$12,$A110)</f>
        <v>0</v>
      </c>
      <c r="L110" s="133">
        <f>_xll.DBRW($G$3,$H$15,$H$17,$H$13,$H$16,$H$14,L$2,$H$12,$B110)+_xll.DBRW($G$3,$H$15,$H$17,$H$13,$H$16,$H$14,L$2,$H$12,$A110)</f>
        <v>0</v>
      </c>
      <c r="M110" s="133">
        <f>_xll.DBRW($G$3,$H$15,$H$17,$H$13,$H$16,$H$14,M$2,$H$12,$B110)+_xll.DBRW($G$3,$H$15,$H$17,$H$13,$H$16,$H$14,M$2,$H$12,$A110)</f>
        <v>0</v>
      </c>
      <c r="N110" s="133">
        <f>_xll.DBRW($G$3,$H$15,$H$17,$H$13,$H$16,$H$14,N$2,$H$12,$B110)+_xll.DBRW($G$3,$H$15,$H$17,$H$13,$H$16,$H$14,N$2,$H$12,$A110)</f>
        <v>0</v>
      </c>
      <c r="O110" s="133">
        <f>_xll.DBRW($G$3,$H$15,$H$17,$H$13,$H$16,$H$14,O$2,$H$12,$B110)+_xll.DBRW($G$3,$H$15,$H$17,$H$13,$H$16,$H$14,O$2,$H$12,$A110)</f>
        <v>0</v>
      </c>
      <c r="P110" s="133">
        <f>_xll.DBRW($G$3,$H$15,$H$17,$H$13,$H$16,$H$14,P$2,$H$12,$B110)+_xll.DBRW($G$3,$H$15,$H$17,$H$13,$H$16,$H$14,P$2,$H$12,$A110)</f>
        <v>0</v>
      </c>
      <c r="Q110" s="138"/>
      <c r="R110" s="138"/>
      <c r="S110" s="133">
        <f>_xll.DBRW($G$3,$U$15,$H$17,$U$13,$U$16,$U$14,S$2,$U$12,$B110)+_xll.DBRW($G$3,$U$15,$H$17,$U$13,$U$16,$U$14,S$2,$U$12,$A110)</f>
        <v>0</v>
      </c>
      <c r="T110" s="133">
        <f>_xll.DBRW($G$3,$U$15,$H$17,$U$13,$U$16,$U$14,T$2,$U$12,$B110)+_xll.DBRW($G$3,$U$15,$H$17,$U$13,$U$16,$U$14,T$2,$U$12,$A110)</f>
        <v>0</v>
      </c>
      <c r="U110" s="133">
        <f>_xll.DBRW($G$3,$U$15,$H$17,$U$13,$U$16,$U$14,U$2,$U$12,$B110)+_xll.DBRW($G$3,$U$15,$H$17,$U$13,$U$16,$U$14,U$2,$U$12,$A110)</f>
        <v>0</v>
      </c>
      <c r="V110" s="133">
        <f>_xll.DBRW($G$3,$U$15,$H$17,$U$13,$U$16,$U$14,V$2,$U$12,$B110)+_xll.DBRW($G$3,$U$15,$H$17,$U$13,$U$16,$U$14,V$2,$U$12,$A110)</f>
        <v>0</v>
      </c>
      <c r="W110" s="133">
        <f>_xll.DBRW($G$3,$U$15,$H$17,$U$13,$U$16,$U$14,W$2,$U$12,$B110)+_xll.DBRW($G$3,$U$15,$H$17,$U$13,$U$16,$U$14,W$2,$U$12,$A110)</f>
        <v>0</v>
      </c>
      <c r="X110" s="133">
        <f>_xll.DBRW($G$3,$U$15,$H$17,$U$13,$U$16,$U$14,X$2,$U$12,$B110)+_xll.DBRW($G$3,$U$15,$H$17,$U$13,$U$16,$U$14,X$2,$U$12,$A110)</f>
        <v>0</v>
      </c>
      <c r="Y110" s="133">
        <f>_xll.DBRW($G$3,$U$15,$H$17,$U$13,$U$16,$U$14,Y$2,$U$12,$B110)+_xll.DBRW($G$3,$U$15,$H$17,$U$13,$U$16,$U$14,Y$2,$U$12,$A110)</f>
        <v>0</v>
      </c>
      <c r="Z110" s="133">
        <f>_xll.DBRW($G$3,$U$15,$H$17,$U$13,$U$16,$U$14,Z$2,$U$12,$B110)+_xll.DBRW($G$3,$U$15,$H$17,$U$13,$U$16,$U$14,Z$2,$U$12,$A110)</f>
        <v>0</v>
      </c>
      <c r="AA110" s="138"/>
      <c r="AB110" s="133" t="str">
        <f t="shared" ref="AB110:AI113" si="31">IF(OR(AND(IFERROR(HLOOKUP(AB$21,$S$22:$Z$189,$D110,FALSE)=0,"VRAI"),IFERROR(HLOOKUP(AB$21,$I$22:$P$189,$D110,FALSE)=0,"VRAI")),AND(IFERROR(HLOOKUP(AB$21,$S$22:$Z$189,$D110,FALSE)="","VRAI"),IFERROR(HLOOKUP(AB$21,$I$22:$P$188,$D110,FALSE)="","VRAI"))),"",IFERROR(HLOOKUP(AB$21,$I$22:$P$189,$D110,FALSE)-HLOOKUP(AB$21,$S$22:$Z$189,$D110,FALSE),""))</f>
        <v/>
      </c>
      <c r="AC110" s="134" t="str">
        <f t="shared" si="31"/>
        <v/>
      </c>
      <c r="AD110" s="134" t="str">
        <f t="shared" si="31"/>
        <v/>
      </c>
      <c r="AE110" s="134" t="str">
        <f t="shared" si="31"/>
        <v/>
      </c>
      <c r="AF110" s="134" t="str">
        <f t="shared" si="31"/>
        <v/>
      </c>
      <c r="AG110" s="134" t="str">
        <f t="shared" si="31"/>
        <v/>
      </c>
      <c r="AH110" s="134" t="str">
        <f t="shared" si="31"/>
        <v/>
      </c>
      <c r="AI110" s="135" t="str">
        <f t="shared" si="31"/>
        <v/>
      </c>
      <c r="AR110" s="44"/>
      <c r="AS110" s="44"/>
      <c r="AU110" s="46"/>
      <c r="AW110" s="44"/>
    </row>
    <row r="111" spans="1:16379" ht="21.75" customHeight="1">
      <c r="A111" s="52" t="s">
        <v>134</v>
      </c>
      <c r="B111" s="67"/>
      <c r="C111" s="42"/>
      <c r="D111" s="42">
        <v>90</v>
      </c>
      <c r="G111" s="201" t="str">
        <f>_xll.DBRA(Server&amp;$A$21,$A111,$H$18)</f>
        <v>New Operating financial assets - IFRIC 12 bifurcated IFRS16</v>
      </c>
      <c r="H111" s="202"/>
      <c r="I111" s="160">
        <f>_xll.DBRW($G$3,$H$15,$H$17,$H$13,$H$16,$H$14,I$2,$H$12,$A111)</f>
        <v>0</v>
      </c>
      <c r="J111" s="160">
        <f>_xll.DBRW($G$3,$H$15,$H$17,$H$13,$H$16,$H$14,J$2,$H$12,$A111)</f>
        <v>0</v>
      </c>
      <c r="K111" s="160">
        <f>_xll.DBRW($G$3,$H$15,$H$17,$H$13,$H$16,$H$14,K$2,$H$12,$A111)</f>
        <v>0</v>
      </c>
      <c r="L111" s="160">
        <f>_xll.DBRW($G$3,$H$15,$H$17,$H$13,$H$16,$H$14,L$2,$H$12,$A111)</f>
        <v>0</v>
      </c>
      <c r="M111" s="160">
        <f>_xll.DBRW($G$3,$H$15,$H$17,$H$13,$H$16,$H$14,M$2,$H$12,$A111)</f>
        <v>0</v>
      </c>
      <c r="N111" s="160">
        <f>_xll.DBRW($G$3,$H$15,$H$17,$H$13,$H$16,$H$14,N$2,$H$12,$A111)</f>
        <v>0</v>
      </c>
      <c r="O111" s="160">
        <f>_xll.DBRW($G$3,$H$15,$H$17,$H$13,$H$16,$H$14,O$2,$H$12,$A111)</f>
        <v>0</v>
      </c>
      <c r="P111" s="160">
        <f>_xll.DBRW($G$3,$H$15,$H$17,$H$13,$H$16,$H$14,P$2,$H$12,$A111)</f>
        <v>0</v>
      </c>
      <c r="Q111" s="138"/>
      <c r="R111" s="138"/>
      <c r="S111" s="160">
        <f>_xll.DBRW($G$3,$U$15,$H$17,$U$13,$U$16,$U$14,S$2,$U$12,$A111)</f>
        <v>0</v>
      </c>
      <c r="T111" s="160">
        <f>_xll.DBRW($G$3,$U$15,$H$17,$U$13,$U$16,$U$14,T$2,$U$12,$A111)</f>
        <v>0</v>
      </c>
      <c r="U111" s="160">
        <f>_xll.DBRW($G$3,$U$15,$H$17,$U$13,$U$16,$U$14,U$2,$U$12,$A111)</f>
        <v>0</v>
      </c>
      <c r="V111" s="160">
        <f>_xll.DBRW($G$3,$U$15,$H$17,$U$13,$U$16,$U$14,V$2,$U$12,$A111)</f>
        <v>0</v>
      </c>
      <c r="W111" s="160">
        <f>_xll.DBRW($G$3,$U$15,$H$17,$U$13,$U$16,$U$14,W$2,$U$12,$A111)</f>
        <v>0</v>
      </c>
      <c r="X111" s="160">
        <f>_xll.DBRW($G$3,$U$15,$H$17,$U$13,$U$16,$U$14,X$2,$U$12,$A111)</f>
        <v>0</v>
      </c>
      <c r="Y111" s="160">
        <f>_xll.DBRW($G$3,$U$15,$H$17,$U$13,$U$16,$U$14,Y$2,$U$12,$A111)</f>
        <v>0</v>
      </c>
      <c r="Z111" s="160">
        <f>_xll.DBRW($G$3,$U$15,$H$17,$U$13,$U$16,$U$14,Z$2,$U$12,$A111)</f>
        <v>0</v>
      </c>
      <c r="AA111" s="138"/>
      <c r="AB111" s="160" t="str">
        <f t="shared" si="31"/>
        <v/>
      </c>
      <c r="AC111" s="160" t="str">
        <f t="shared" si="31"/>
        <v/>
      </c>
      <c r="AD111" s="160" t="str">
        <f t="shared" si="31"/>
        <v/>
      </c>
      <c r="AE111" s="160" t="str">
        <f t="shared" si="31"/>
        <v/>
      </c>
      <c r="AF111" s="160" t="str">
        <f t="shared" si="31"/>
        <v/>
      </c>
      <c r="AG111" s="160" t="str">
        <f t="shared" si="31"/>
        <v/>
      </c>
      <c r="AH111" s="160" t="str">
        <f t="shared" si="31"/>
        <v/>
      </c>
      <c r="AI111" s="160" t="str">
        <f t="shared" si="31"/>
        <v/>
      </c>
      <c r="AR111" s="44"/>
      <c r="AS111" s="44"/>
      <c r="AU111" s="46"/>
      <c r="AW111" s="44"/>
    </row>
    <row r="112" spans="1:16379" ht="21.75" customHeight="1" thickBot="1">
      <c r="A112" s="52" t="s">
        <v>133</v>
      </c>
      <c r="B112" s="67"/>
      <c r="C112" s="42"/>
      <c r="D112" s="42">
        <v>91</v>
      </c>
      <c r="G112" s="201" t="str">
        <f>_xll.DBRA(Server&amp;$A$21,$A112,$H$18)</f>
        <v>New Operating financial assets - IFRIC 12 Off Balance sheet</v>
      </c>
      <c r="H112" s="202"/>
      <c r="I112" s="160">
        <f>_xll.DBRW($G$3,$H$15,$H$17,$H$13,$H$16,$H$14,I$2,$H$12,$A112)</f>
        <v>0</v>
      </c>
      <c r="J112" s="160">
        <f>_xll.DBRW($G$3,$H$15,$H$17,$H$13,$H$16,$H$14,J$2,$H$12,$A112)</f>
        <v>0</v>
      </c>
      <c r="K112" s="160">
        <f>_xll.DBRW($G$3,$H$15,$H$17,$H$13,$H$16,$H$14,K$2,$H$12,$A112)</f>
        <v>0</v>
      </c>
      <c r="L112" s="160">
        <f>_xll.DBRW($G$3,$H$15,$H$17,$H$13,$H$16,$H$14,L$2,$H$12,$A112)</f>
        <v>0</v>
      </c>
      <c r="M112" s="160">
        <f>_xll.DBRW($G$3,$H$15,$H$17,$H$13,$H$16,$H$14,M$2,$H$12,$A112)</f>
        <v>0</v>
      </c>
      <c r="N112" s="160">
        <f>_xll.DBRW($G$3,$H$15,$H$17,$H$13,$H$16,$H$14,N$2,$H$12,$A112)</f>
        <v>0</v>
      </c>
      <c r="O112" s="160">
        <f>_xll.DBRW($G$3,$H$15,$H$17,$H$13,$H$16,$H$14,O$2,$H$12,$A112)</f>
        <v>0</v>
      </c>
      <c r="P112" s="160">
        <f>_xll.DBRW($G$3,$H$15,$H$17,$H$13,$H$16,$H$14,P$2,$H$12,$A112)</f>
        <v>0</v>
      </c>
      <c r="Q112" s="138"/>
      <c r="R112" s="138"/>
      <c r="S112" s="160">
        <f>_xll.DBRW($G$3,$U$15,$H$17,$U$13,$U$16,$U$14,S$2,$U$12,$A112)</f>
        <v>0</v>
      </c>
      <c r="T112" s="160">
        <f>_xll.DBRW($G$3,$U$15,$H$17,$U$13,$U$16,$U$14,T$2,$U$12,$A112)</f>
        <v>0</v>
      </c>
      <c r="U112" s="160">
        <f>_xll.DBRW($G$3,$U$15,$H$17,$U$13,$U$16,$U$14,U$2,$U$12,$A112)</f>
        <v>0</v>
      </c>
      <c r="V112" s="160">
        <f>_xll.DBRW($G$3,$U$15,$H$17,$U$13,$U$16,$U$14,V$2,$U$12,$A112)</f>
        <v>0</v>
      </c>
      <c r="W112" s="160">
        <f>_xll.DBRW($G$3,$U$15,$H$17,$U$13,$U$16,$U$14,W$2,$U$12,$A112)</f>
        <v>0</v>
      </c>
      <c r="X112" s="160">
        <f>_xll.DBRW($G$3,$U$15,$H$17,$U$13,$U$16,$U$14,X$2,$U$12,$A112)</f>
        <v>0</v>
      </c>
      <c r="Y112" s="160">
        <f>_xll.DBRW($G$3,$U$15,$H$17,$U$13,$U$16,$U$14,Y$2,$U$12,$A112)</f>
        <v>0</v>
      </c>
      <c r="Z112" s="160">
        <f>_xll.DBRW($G$3,$U$15,$H$17,$U$13,$U$16,$U$14,Z$2,$U$12,$A112)</f>
        <v>0</v>
      </c>
      <c r="AA112" s="138"/>
      <c r="AB112" s="160" t="str">
        <f t="shared" si="31"/>
        <v/>
      </c>
      <c r="AC112" s="160" t="str">
        <f t="shared" si="31"/>
        <v/>
      </c>
      <c r="AD112" s="160" t="str">
        <f t="shared" si="31"/>
        <v/>
      </c>
      <c r="AE112" s="160" t="str">
        <f t="shared" si="31"/>
        <v/>
      </c>
      <c r="AF112" s="160" t="str">
        <f t="shared" si="31"/>
        <v/>
      </c>
      <c r="AG112" s="160" t="str">
        <f t="shared" si="31"/>
        <v/>
      </c>
      <c r="AH112" s="160" t="str">
        <f t="shared" si="31"/>
        <v/>
      </c>
      <c r="AI112" s="160" t="str">
        <f t="shared" si="31"/>
        <v/>
      </c>
      <c r="AR112" s="44"/>
      <c r="AS112" s="44"/>
      <c r="AU112" s="46"/>
      <c r="AW112" s="44"/>
    </row>
    <row r="113" spans="1:49" ht="21.75" customHeight="1" thickBot="1">
      <c r="A113" s="52"/>
      <c r="B113" s="67"/>
      <c r="C113" s="42"/>
      <c r="D113" s="42">
        <v>92</v>
      </c>
      <c r="G113" s="203" t="str">
        <f>IF($H$18="English","Total Gross Investments (all financing modes)","Total des Investissements bruts (tout mode de financement)")</f>
        <v>Total Gross Investments (all financing modes)</v>
      </c>
      <c r="H113" s="203"/>
      <c r="I113" s="141">
        <f t="shared" ref="I113:P113" si="32">SUM(I110:I112)</f>
        <v>0</v>
      </c>
      <c r="J113" s="141">
        <f t="shared" si="32"/>
        <v>0</v>
      </c>
      <c r="K113" s="141">
        <f t="shared" si="32"/>
        <v>0</v>
      </c>
      <c r="L113" s="141">
        <f t="shared" si="32"/>
        <v>0</v>
      </c>
      <c r="M113" s="141">
        <f t="shared" si="32"/>
        <v>0</v>
      </c>
      <c r="N113" s="141">
        <f t="shared" si="32"/>
        <v>0</v>
      </c>
      <c r="O113" s="141">
        <f t="shared" si="32"/>
        <v>0</v>
      </c>
      <c r="P113" s="141">
        <f t="shared" si="32"/>
        <v>0</v>
      </c>
      <c r="Q113" s="138"/>
      <c r="R113" s="138"/>
      <c r="S113" s="141">
        <f t="shared" ref="S113:Z113" si="33">SUM(S110:S112)</f>
        <v>0</v>
      </c>
      <c r="T113" s="141">
        <f t="shared" si="33"/>
        <v>0</v>
      </c>
      <c r="U113" s="141">
        <f t="shared" si="33"/>
        <v>0</v>
      </c>
      <c r="V113" s="141">
        <f t="shared" si="33"/>
        <v>0</v>
      </c>
      <c r="W113" s="141">
        <f t="shared" si="33"/>
        <v>0</v>
      </c>
      <c r="X113" s="141">
        <f t="shared" si="33"/>
        <v>0</v>
      </c>
      <c r="Y113" s="141">
        <f t="shared" si="33"/>
        <v>0</v>
      </c>
      <c r="Z113" s="141">
        <f t="shared" si="33"/>
        <v>0</v>
      </c>
      <c r="AA113" s="138"/>
      <c r="AB113" s="141" t="str">
        <f t="shared" si="31"/>
        <v/>
      </c>
      <c r="AC113" s="141" t="str">
        <f t="shared" si="31"/>
        <v/>
      </c>
      <c r="AD113" s="141" t="str">
        <f t="shared" si="31"/>
        <v/>
      </c>
      <c r="AE113" s="141" t="str">
        <f t="shared" si="31"/>
        <v/>
      </c>
      <c r="AF113" s="141" t="str">
        <f t="shared" si="31"/>
        <v/>
      </c>
      <c r="AG113" s="141" t="str">
        <f t="shared" si="31"/>
        <v/>
      </c>
      <c r="AH113" s="141" t="str">
        <f t="shared" si="31"/>
        <v/>
      </c>
      <c r="AI113" s="141" t="str">
        <f t="shared" si="31"/>
        <v/>
      </c>
      <c r="AR113" s="44"/>
      <c r="AS113" s="44"/>
      <c r="AU113" s="46"/>
      <c r="AW113" s="44"/>
    </row>
    <row r="114" spans="1:49" ht="24.75" customHeight="1">
      <c r="A114" s="52"/>
      <c r="B114" s="67"/>
      <c r="C114" s="42"/>
      <c r="D114" s="42">
        <v>93</v>
      </c>
      <c r="G114" s="161"/>
      <c r="H114" s="162"/>
      <c r="I114" s="160"/>
      <c r="J114" s="160"/>
      <c r="K114" s="160"/>
      <c r="L114" s="160"/>
      <c r="M114" s="160"/>
      <c r="N114" s="160"/>
      <c r="O114" s="160"/>
      <c r="P114" s="160"/>
      <c r="Q114" s="138"/>
      <c r="R114" s="138"/>
      <c r="S114" s="160"/>
      <c r="T114" s="160"/>
      <c r="U114" s="160"/>
      <c r="V114" s="160"/>
      <c r="W114" s="160"/>
      <c r="X114" s="160"/>
      <c r="Y114" s="160"/>
      <c r="Z114" s="160"/>
      <c r="AA114" s="138"/>
      <c r="AB114" s="160"/>
      <c r="AC114" s="160"/>
      <c r="AD114" s="160"/>
      <c r="AE114" s="160"/>
      <c r="AF114" s="160"/>
      <c r="AG114" s="160"/>
      <c r="AH114" s="160"/>
      <c r="AI114" s="160"/>
      <c r="AR114" s="44"/>
      <c r="AS114" s="44"/>
      <c r="AU114" s="46"/>
      <c r="AW114" s="44"/>
    </row>
    <row r="115" spans="1:49" s="126" customFormat="1" ht="27.75" customHeight="1">
      <c r="A115" s="177"/>
      <c r="B115" s="178"/>
      <c r="C115" s="121"/>
      <c r="D115" s="121">
        <v>94</v>
      </c>
      <c r="E115" s="122"/>
      <c r="F115" s="123"/>
      <c r="G115" s="205" t="s">
        <v>164</v>
      </c>
      <c r="H115" s="205"/>
      <c r="I115" s="128" t="str">
        <f>I$21</f>
        <v xml:space="preserve"> 2020</v>
      </c>
      <c r="J115" s="128" t="str">
        <f t="shared" ref="J115:P115" si="34">J$21</f>
        <v xml:space="preserve"> 2021</v>
      </c>
      <c r="K115" s="128" t="str">
        <f t="shared" si="34"/>
        <v xml:space="preserve"> 2022</v>
      </c>
      <c r="L115" s="128" t="str">
        <f t="shared" si="34"/>
        <v xml:space="preserve"> 2023</v>
      </c>
      <c r="M115" s="128" t="str">
        <f t="shared" si="34"/>
        <v xml:space="preserve"> 2024</v>
      </c>
      <c r="N115" s="128" t="str">
        <f t="shared" si="34"/>
        <v xml:space="preserve"> 2025</v>
      </c>
      <c r="O115" s="128" t="str">
        <f t="shared" si="34"/>
        <v xml:space="preserve"> 2026</v>
      </c>
      <c r="P115" s="128" t="str">
        <f t="shared" si="34"/>
        <v xml:space="preserve"> 2027</v>
      </c>
      <c r="Q115" s="138"/>
      <c r="R115" s="138"/>
      <c r="S115" s="128" t="str">
        <f>S$21</f>
        <v xml:space="preserve"> 2018</v>
      </c>
      <c r="T115" s="128" t="str">
        <f t="shared" ref="T115:Z115" si="35">T$21</f>
        <v xml:space="preserve"> 2019</v>
      </c>
      <c r="U115" s="128" t="str">
        <f t="shared" si="35"/>
        <v xml:space="preserve"> 2020</v>
      </c>
      <c r="V115" s="128" t="str">
        <f t="shared" si="35"/>
        <v xml:space="preserve"> 2021</v>
      </c>
      <c r="W115" s="128" t="str">
        <f t="shared" si="35"/>
        <v xml:space="preserve"> 2022</v>
      </c>
      <c r="X115" s="128" t="str">
        <f t="shared" si="35"/>
        <v xml:space="preserve"> 2023</v>
      </c>
      <c r="Y115" s="128" t="str">
        <f t="shared" si="35"/>
        <v xml:space="preserve"> 2024</v>
      </c>
      <c r="Z115" s="128" t="str">
        <f t="shared" si="35"/>
        <v xml:space="preserve"> 2025</v>
      </c>
      <c r="AA115" s="138"/>
      <c r="AB115" s="184"/>
      <c r="AC115" s="184"/>
      <c r="AD115" s="184"/>
      <c r="AE115" s="184"/>
      <c r="AF115" s="184"/>
      <c r="AG115" s="184"/>
      <c r="AH115" s="184"/>
      <c r="AI115" s="184"/>
      <c r="AJ115" s="124"/>
      <c r="AK115" s="124"/>
      <c r="AL115" s="124"/>
      <c r="AM115" s="124"/>
      <c r="AN115" s="124"/>
      <c r="AO115" s="124"/>
      <c r="AP115" s="124"/>
      <c r="AQ115" s="124"/>
      <c r="AU115" s="127"/>
    </row>
    <row r="116" spans="1:49" ht="5.25" customHeight="1" thickBot="1">
      <c r="A116" s="52"/>
      <c r="B116" s="67"/>
      <c r="C116" s="42"/>
      <c r="D116" s="42">
        <v>95</v>
      </c>
      <c r="G116" s="130"/>
      <c r="H116" s="131"/>
      <c r="I116" s="132"/>
      <c r="J116" s="132"/>
      <c r="K116" s="132"/>
      <c r="L116" s="132"/>
      <c r="M116" s="132"/>
      <c r="N116" s="132"/>
      <c r="O116" s="132"/>
      <c r="P116" s="132"/>
      <c r="Q116" s="138"/>
      <c r="R116" s="138"/>
      <c r="S116" s="132"/>
      <c r="T116" s="132"/>
      <c r="U116" s="132"/>
      <c r="V116" s="132"/>
      <c r="W116" s="132"/>
      <c r="X116" s="132"/>
      <c r="Y116" s="132"/>
      <c r="Z116" s="132"/>
      <c r="AA116" s="138"/>
      <c r="AB116" s="182"/>
      <c r="AC116" s="182"/>
      <c r="AD116" s="182"/>
      <c r="AE116" s="182"/>
      <c r="AF116" s="182"/>
      <c r="AG116" s="182"/>
      <c r="AH116" s="182"/>
      <c r="AI116" s="182"/>
      <c r="AR116" s="44"/>
      <c r="AS116" s="44"/>
      <c r="AU116" s="46"/>
      <c r="AW116" s="44"/>
    </row>
    <row r="117" spans="1:49" s="97" customFormat="1" ht="21.75" customHeight="1">
      <c r="A117" s="52"/>
      <c r="B117" s="67"/>
      <c r="C117" s="42"/>
      <c r="D117" s="42">
        <v>96</v>
      </c>
      <c r="E117" s="95"/>
      <c r="F117" s="96"/>
      <c r="G117" s="163" t="str">
        <f>IF($H$18="English","Amortization /Revenue","Amortissements / Chiffre d'affaires")</f>
        <v>Amortization /Revenue</v>
      </c>
      <c r="H117" s="163"/>
      <c r="I117" s="164" t="str">
        <f t="shared" ref="I117:P117" si="36">IFERROR(I51/I24,"")</f>
        <v/>
      </c>
      <c r="J117" s="164" t="str">
        <f t="shared" si="36"/>
        <v/>
      </c>
      <c r="K117" s="164" t="str">
        <f t="shared" si="36"/>
        <v/>
      </c>
      <c r="L117" s="164" t="str">
        <f t="shared" si="36"/>
        <v/>
      </c>
      <c r="M117" s="164" t="str">
        <f t="shared" si="36"/>
        <v/>
      </c>
      <c r="N117" s="164" t="str">
        <f t="shared" si="36"/>
        <v/>
      </c>
      <c r="O117" s="164" t="str">
        <f t="shared" si="36"/>
        <v/>
      </c>
      <c r="P117" s="164" t="str">
        <f t="shared" si="36"/>
        <v/>
      </c>
      <c r="Q117" s="138"/>
      <c r="R117" s="138"/>
      <c r="S117" s="164" t="str">
        <f t="shared" ref="S117:Z117" si="37">IFERROR(S51/S24,"")</f>
        <v/>
      </c>
      <c r="T117" s="164" t="str">
        <f t="shared" si="37"/>
        <v/>
      </c>
      <c r="U117" s="164" t="str">
        <f t="shared" si="37"/>
        <v/>
      </c>
      <c r="V117" s="164" t="str">
        <f t="shared" si="37"/>
        <v/>
      </c>
      <c r="W117" s="164" t="str">
        <f t="shared" si="37"/>
        <v/>
      </c>
      <c r="X117" s="164" t="str">
        <f t="shared" si="37"/>
        <v/>
      </c>
      <c r="Y117" s="164" t="str">
        <f t="shared" si="37"/>
        <v/>
      </c>
      <c r="Z117" s="164" t="str">
        <f t="shared" si="37"/>
        <v/>
      </c>
      <c r="AA117" s="138"/>
      <c r="AB117" s="164"/>
      <c r="AC117" s="164"/>
      <c r="AD117" s="164"/>
      <c r="AE117" s="164"/>
      <c r="AF117" s="164"/>
      <c r="AG117" s="164"/>
      <c r="AH117" s="164"/>
      <c r="AI117" s="164"/>
      <c r="AU117" s="105"/>
    </row>
    <row r="118" spans="1:49" s="97" customFormat="1" ht="21.75" customHeight="1">
      <c r="A118" s="52"/>
      <c r="B118" s="67"/>
      <c r="C118" s="42"/>
      <c r="D118" s="42">
        <v>97</v>
      </c>
      <c r="E118" s="109"/>
      <c r="F118" s="96"/>
      <c r="G118" s="165" t="str">
        <f>IF($H$18="English","ROCE after theoritical MF &amp; Tax excl. IFRIC12","ROCE après MF et Impot théoriques et avant IFRIC12")</f>
        <v>ROCE after theoritical MF &amp; Tax excl. IFRIC12</v>
      </c>
      <c r="H118" s="166"/>
      <c r="I118" s="167" t="s">
        <v>165</v>
      </c>
      <c r="J118" s="164" t="str">
        <f>IFERROR(J132,"-")</f>
        <v>-</v>
      </c>
      <c r="K118" s="164" t="str">
        <f t="shared" ref="K118:P118" si="38">IFERROR(K132,"-")</f>
        <v>-</v>
      </c>
      <c r="L118" s="164" t="str">
        <f t="shared" si="38"/>
        <v>-</v>
      </c>
      <c r="M118" s="164" t="str">
        <f t="shared" si="38"/>
        <v>-</v>
      </c>
      <c r="N118" s="164" t="str">
        <f t="shared" si="38"/>
        <v>-</v>
      </c>
      <c r="O118" s="164" t="str">
        <f t="shared" si="38"/>
        <v>-</v>
      </c>
      <c r="P118" s="164" t="str">
        <f t="shared" si="38"/>
        <v>-</v>
      </c>
      <c r="Q118" s="129"/>
      <c r="R118" s="129"/>
      <c r="S118" s="167" t="s">
        <v>165</v>
      </c>
      <c r="T118" s="164" t="str">
        <f>IFERROR(T132,"-")</f>
        <v>-</v>
      </c>
      <c r="U118" s="164" t="str">
        <f t="shared" ref="U118:Z118" si="39">IFERROR(U132,"-")</f>
        <v>-</v>
      </c>
      <c r="V118" s="164" t="str">
        <f t="shared" si="39"/>
        <v>-</v>
      </c>
      <c r="W118" s="164" t="str">
        <f t="shared" si="39"/>
        <v>-</v>
      </c>
      <c r="X118" s="164" t="str">
        <f t="shared" si="39"/>
        <v>-</v>
      </c>
      <c r="Y118" s="164" t="str">
        <f t="shared" si="39"/>
        <v>-</v>
      </c>
      <c r="Z118" s="164" t="str">
        <f t="shared" si="39"/>
        <v>-</v>
      </c>
      <c r="AA118" s="129"/>
      <c r="AB118" s="167"/>
      <c r="AC118" s="164"/>
      <c r="AD118" s="164"/>
      <c r="AE118" s="164"/>
      <c r="AF118" s="164"/>
      <c r="AG118" s="164"/>
      <c r="AH118" s="164"/>
      <c r="AI118" s="164"/>
      <c r="AN118" s="119"/>
      <c r="AU118" s="105"/>
    </row>
    <row r="119" spans="1:49" s="97" customFormat="1" ht="21.75" customHeight="1">
      <c r="A119" s="52"/>
      <c r="B119" s="67"/>
      <c r="C119" s="42"/>
      <c r="D119" s="42">
        <v>98</v>
      </c>
      <c r="E119" s="109"/>
      <c r="F119" s="96"/>
      <c r="G119" s="165" t="str">
        <f>IF($H$18="English","Implicit interest rate","Taux d'intérêt implicite")</f>
        <v>Implicit interest rate</v>
      </c>
      <c r="H119" s="166"/>
      <c r="I119" s="167" t="s">
        <v>165</v>
      </c>
      <c r="J119" s="164" t="str">
        <f t="shared" ref="J119:K119" si="40">IFERROR(J38/AVERAGE(I97:J97),"-")</f>
        <v>-</v>
      </c>
      <c r="K119" s="164" t="str">
        <f t="shared" si="40"/>
        <v>-</v>
      </c>
      <c r="L119" s="164" t="str">
        <f>IFERROR(L38/AVERAGE(K97:L97),"-")</f>
        <v>-</v>
      </c>
      <c r="M119" s="164" t="str">
        <f t="shared" ref="M119:P119" si="41">IFERROR(M38/AVERAGE(L97:M97),"-")</f>
        <v>-</v>
      </c>
      <c r="N119" s="164" t="str">
        <f t="shared" si="41"/>
        <v>-</v>
      </c>
      <c r="O119" s="164" t="str">
        <f t="shared" si="41"/>
        <v>-</v>
      </c>
      <c r="P119" s="164" t="str">
        <f t="shared" si="41"/>
        <v>-</v>
      </c>
      <c r="Q119" s="129"/>
      <c r="R119" s="129"/>
      <c r="S119" s="167" t="s">
        <v>165</v>
      </c>
      <c r="T119" s="164" t="str">
        <f t="shared" ref="T119" si="42">IFERROR(T38/AVERAGE(S97:T97),"-")</f>
        <v>-</v>
      </c>
      <c r="U119" s="164" t="str">
        <f t="shared" ref="U119" si="43">IFERROR(U38/AVERAGE(T97:U97),"-")</f>
        <v>-</v>
      </c>
      <c r="V119" s="164" t="str">
        <f>IFERROR(V38/AVERAGE(U97:V97),"-")</f>
        <v>-</v>
      </c>
      <c r="W119" s="164" t="str">
        <f t="shared" ref="W119" si="44">IFERROR(W38/AVERAGE(V97:W97),"-")</f>
        <v>-</v>
      </c>
      <c r="X119" s="164" t="str">
        <f t="shared" ref="X119" si="45">IFERROR(X38/AVERAGE(W97:X97),"-")</f>
        <v>-</v>
      </c>
      <c r="Y119" s="164" t="str">
        <f t="shared" ref="Y119" si="46">IFERROR(Y38/AVERAGE(X97:Y97),"-")</f>
        <v>-</v>
      </c>
      <c r="Z119" s="164" t="str">
        <f t="shared" ref="Z119" si="47">IFERROR(Z38/AVERAGE(Y97:Z97),"-")</f>
        <v>-</v>
      </c>
      <c r="AA119" s="129"/>
      <c r="AB119" s="167"/>
      <c r="AC119" s="164"/>
      <c r="AD119" s="164"/>
      <c r="AE119" s="164"/>
      <c r="AF119" s="164"/>
      <c r="AG119" s="164"/>
      <c r="AH119" s="164"/>
      <c r="AI119" s="164"/>
      <c r="AP119" s="119"/>
      <c r="AW119" s="105"/>
    </row>
    <row r="120" spans="1:49" s="97" customFormat="1" ht="21.75" customHeight="1">
      <c r="A120" s="52"/>
      <c r="B120" s="67"/>
      <c r="C120" s="42"/>
      <c r="D120" s="42">
        <v>98</v>
      </c>
      <c r="E120" s="109"/>
      <c r="F120" s="96"/>
      <c r="G120" s="165" t="str">
        <f>IF($H$18="English","Effective tax rate","Taux d'impôt effectif")</f>
        <v>Effective tax rate</v>
      </c>
      <c r="H120" s="166"/>
      <c r="I120" s="167" t="str">
        <f>IFERROR(-I41/I40,"-")</f>
        <v>-</v>
      </c>
      <c r="J120" s="167" t="str">
        <f t="shared" ref="J120:P120" si="48">IFERROR(-J41/J40,"-")</f>
        <v>-</v>
      </c>
      <c r="K120" s="167" t="str">
        <f t="shared" si="48"/>
        <v>-</v>
      </c>
      <c r="L120" s="167" t="str">
        <f t="shared" si="48"/>
        <v>-</v>
      </c>
      <c r="M120" s="167" t="str">
        <f t="shared" si="48"/>
        <v>-</v>
      </c>
      <c r="N120" s="167" t="str">
        <f t="shared" si="48"/>
        <v>-</v>
      </c>
      <c r="O120" s="167" t="str">
        <f t="shared" si="48"/>
        <v>-</v>
      </c>
      <c r="P120" s="167" t="str">
        <f t="shared" si="48"/>
        <v>-</v>
      </c>
      <c r="Q120" s="129"/>
      <c r="R120" s="129"/>
      <c r="S120" s="167" t="str">
        <f t="shared" ref="S120:Z120" si="49">IFERROR(-S41/S40,"-")</f>
        <v>-</v>
      </c>
      <c r="T120" s="167" t="str">
        <f t="shared" si="49"/>
        <v>-</v>
      </c>
      <c r="U120" s="167" t="str">
        <f t="shared" si="49"/>
        <v>-</v>
      </c>
      <c r="V120" s="167" t="str">
        <f t="shared" si="49"/>
        <v>-</v>
      </c>
      <c r="W120" s="167" t="str">
        <f t="shared" si="49"/>
        <v>-</v>
      </c>
      <c r="X120" s="167" t="str">
        <f t="shared" si="49"/>
        <v>-</v>
      </c>
      <c r="Y120" s="167" t="str">
        <f t="shared" si="49"/>
        <v>-</v>
      </c>
      <c r="Z120" s="167" t="str">
        <f t="shared" si="49"/>
        <v>-</v>
      </c>
      <c r="AA120" s="129"/>
      <c r="AB120" s="167"/>
      <c r="AC120" s="164"/>
      <c r="AD120" s="164"/>
      <c r="AE120" s="164"/>
      <c r="AF120" s="164"/>
      <c r="AG120" s="164"/>
      <c r="AH120" s="164"/>
      <c r="AI120" s="164"/>
      <c r="AP120" s="119"/>
      <c r="AW120" s="105"/>
    </row>
    <row r="121" spans="1:49" ht="21.75" hidden="1" customHeight="1" outlineLevel="1">
      <c r="AB121" s="44"/>
      <c r="AC121" s="44"/>
      <c r="AD121" s="44"/>
      <c r="AE121" s="44"/>
      <c r="AF121" s="44"/>
      <c r="AG121" s="44"/>
      <c r="AJ121" s="44"/>
      <c r="AP121" s="120"/>
    </row>
    <row r="122" spans="1:49" ht="21.75" hidden="1" customHeight="1" outlineLevel="1">
      <c r="Q122" s="82"/>
      <c r="R122" s="82"/>
      <c r="AA122" s="82"/>
      <c r="AB122" s="82"/>
      <c r="AC122" s="82"/>
      <c r="AD122" s="82"/>
      <c r="AE122" s="82"/>
      <c r="AF122" s="82"/>
      <c r="AG122" s="82"/>
      <c r="AJ122" s="44"/>
      <c r="AP122" s="120"/>
    </row>
    <row r="123" spans="1:49" ht="21.75" hidden="1" customHeight="1" outlineLevel="1">
      <c r="G123" s="198" t="s">
        <v>166</v>
      </c>
      <c r="H123" s="198"/>
      <c r="AJ123" s="44"/>
      <c r="AP123" s="120"/>
    </row>
    <row r="124" spans="1:49" ht="21.75" hidden="1" customHeight="1" outlineLevel="1">
      <c r="G124" s="114" t="str">
        <f>IF(_xll.DBRW(xServer&amp;":}ElementAttributes_Legal_Organization",ctx_legal_Context,"Country_Entity")="","Corporate",_xll.DBRW(xServer&amp;":}ElementAttributes_Legal_Organization",ctx_legal_Context,"Country_Entity"))</f>
        <v>Corporate</v>
      </c>
      <c r="H124" s="114" t="str">
        <f>IF(MID(H12,5,4)&gt;"2019",H12,"LTP_2021_VC")</f>
        <v>LTP_2021_VC</v>
      </c>
      <c r="AJ124" s="44"/>
    </row>
    <row r="125" spans="1:49" ht="21.75" hidden="1" customHeight="1" outlineLevel="1">
      <c r="G125" s="115" t="s">
        <v>167</v>
      </c>
      <c r="H125" s="116">
        <f>_xll.DBR("tango_core_model:ST_LTP_TAXES_INTERESTS_RATES",$H$124,$P$2,$G$124,"Theoretical_tax_rate")</f>
        <v>0.25800000000000001</v>
      </c>
      <c r="I125" s="111"/>
      <c r="J125" s="110"/>
      <c r="K125" s="110"/>
      <c r="L125" s="110"/>
      <c r="M125" s="110"/>
      <c r="N125" s="110"/>
      <c r="O125" s="110"/>
      <c r="S125" s="111"/>
      <c r="T125" s="110"/>
      <c r="U125" s="110"/>
      <c r="V125" s="110"/>
      <c r="W125" s="110"/>
      <c r="X125" s="110"/>
      <c r="Y125" s="110"/>
      <c r="AJ125" s="44"/>
      <c r="AS125" s="27"/>
      <c r="AT125" s="26"/>
    </row>
    <row r="126" spans="1:49" ht="21.75" hidden="1" customHeight="1" outlineLevel="1">
      <c r="G126" s="115" t="s">
        <v>168</v>
      </c>
      <c r="H126" s="116">
        <v>8.9999999999999993E-3</v>
      </c>
      <c r="I126" s="111"/>
      <c r="J126" s="110"/>
      <c r="K126" s="110"/>
      <c r="L126" s="110"/>
      <c r="M126" s="110"/>
      <c r="N126" s="110"/>
      <c r="O126" s="110"/>
      <c r="S126" s="111"/>
      <c r="T126" s="110"/>
      <c r="U126" s="110"/>
      <c r="V126" s="110"/>
      <c r="W126" s="110"/>
      <c r="X126" s="110"/>
      <c r="Y126" s="110"/>
      <c r="AJ126" s="44"/>
      <c r="AS126" s="27"/>
      <c r="AT126" s="26"/>
    </row>
    <row r="127" spans="1:49" ht="21.75" hidden="1" customHeight="1" outlineLevel="1">
      <c r="G127" s="43" t="s">
        <v>169</v>
      </c>
      <c r="H127" s="111"/>
      <c r="I127" s="53">
        <f>(I33-I25)</f>
        <v>0</v>
      </c>
      <c r="J127" s="53">
        <f t="shared" ref="J127:P127" si="50">(J33-J25)</f>
        <v>0</v>
      </c>
      <c r="K127" s="53">
        <f t="shared" si="50"/>
        <v>0</v>
      </c>
      <c r="L127" s="53">
        <f t="shared" si="50"/>
        <v>0</v>
      </c>
      <c r="M127" s="53">
        <f t="shared" si="50"/>
        <v>0</v>
      </c>
      <c r="N127" s="53">
        <f t="shared" si="50"/>
        <v>0</v>
      </c>
      <c r="O127" s="53">
        <f t="shared" si="50"/>
        <v>0</v>
      </c>
      <c r="P127" s="53">
        <f t="shared" si="50"/>
        <v>0</v>
      </c>
      <c r="S127" s="53">
        <f>(S33-S25)</f>
        <v>0</v>
      </c>
      <c r="T127" s="53">
        <f t="shared" ref="T127:Z127" si="51">(T33-T25)</f>
        <v>0</v>
      </c>
      <c r="U127" s="53">
        <f t="shared" si="51"/>
        <v>0</v>
      </c>
      <c r="V127" s="53">
        <f t="shared" si="51"/>
        <v>0</v>
      </c>
      <c r="W127" s="53">
        <f t="shared" si="51"/>
        <v>0</v>
      </c>
      <c r="X127" s="53">
        <f t="shared" si="51"/>
        <v>0</v>
      </c>
      <c r="Y127" s="53">
        <f t="shared" si="51"/>
        <v>0</v>
      </c>
      <c r="Z127" s="53">
        <f t="shared" si="51"/>
        <v>0</v>
      </c>
      <c r="AJ127" s="44"/>
      <c r="AS127" s="27"/>
      <c r="AT127" s="26"/>
    </row>
    <row r="128" spans="1:49" ht="21.75" hidden="1" customHeight="1" outlineLevel="1">
      <c r="G128" s="43" t="s">
        <v>170</v>
      </c>
      <c r="H128" s="111"/>
      <c r="I128" s="53">
        <f>IF($G$124="Corporate",0,-$H$126*I24)</f>
        <v>0</v>
      </c>
      <c r="J128" s="53">
        <f t="shared" ref="J128:P128" si="52">IF($G$124="Corporate",0,-$H$126*J24)</f>
        <v>0</v>
      </c>
      <c r="K128" s="53">
        <f t="shared" si="52"/>
        <v>0</v>
      </c>
      <c r="L128" s="53">
        <f t="shared" si="52"/>
        <v>0</v>
      </c>
      <c r="M128" s="53">
        <f t="shared" si="52"/>
        <v>0</v>
      </c>
      <c r="N128" s="53">
        <f t="shared" si="52"/>
        <v>0</v>
      </c>
      <c r="O128" s="53">
        <f t="shared" si="52"/>
        <v>0</v>
      </c>
      <c r="P128" s="53">
        <f t="shared" si="52"/>
        <v>0</v>
      </c>
      <c r="S128" s="53">
        <f>IF($G$124="Corporate",0,-$H$126*S24)</f>
        <v>0</v>
      </c>
      <c r="T128" s="53">
        <f t="shared" ref="T128:Z128" si="53">IF($G$124="Corporate",0,-$H$126*T24)</f>
        <v>0</v>
      </c>
      <c r="U128" s="53">
        <f t="shared" si="53"/>
        <v>0</v>
      </c>
      <c r="V128" s="53">
        <f t="shared" si="53"/>
        <v>0</v>
      </c>
      <c r="W128" s="53">
        <f t="shared" si="53"/>
        <v>0</v>
      </c>
      <c r="X128" s="53">
        <f t="shared" si="53"/>
        <v>0</v>
      </c>
      <c r="Y128" s="53">
        <f t="shared" si="53"/>
        <v>0</v>
      </c>
      <c r="Z128" s="53">
        <f t="shared" si="53"/>
        <v>0</v>
      </c>
      <c r="AJ128" s="44"/>
      <c r="AS128" s="27"/>
      <c r="AT128" s="26"/>
    </row>
    <row r="129" spans="7:46" ht="21.75" hidden="1" customHeight="1" outlineLevel="1">
      <c r="G129" s="43" t="s">
        <v>171</v>
      </c>
      <c r="H129" s="112"/>
      <c r="I129" s="53">
        <f>SUM(I127:I128)</f>
        <v>0</v>
      </c>
      <c r="J129" s="53">
        <f t="shared" ref="J129:P129" si="54">SUM(J127:J128)</f>
        <v>0</v>
      </c>
      <c r="K129" s="53">
        <f t="shared" si="54"/>
        <v>0</v>
      </c>
      <c r="L129" s="53">
        <f t="shared" si="54"/>
        <v>0</v>
      </c>
      <c r="M129" s="53">
        <f t="shared" si="54"/>
        <v>0</v>
      </c>
      <c r="N129" s="53">
        <f t="shared" si="54"/>
        <v>0</v>
      </c>
      <c r="O129" s="53">
        <f t="shared" si="54"/>
        <v>0</v>
      </c>
      <c r="P129" s="53">
        <f t="shared" si="54"/>
        <v>0</v>
      </c>
      <c r="S129" s="53">
        <f>SUM(S127:S128)</f>
        <v>0</v>
      </c>
      <c r="T129" s="53">
        <f t="shared" ref="T129:Z129" si="55">SUM(T127:T128)</f>
        <v>0</v>
      </c>
      <c r="U129" s="53">
        <f t="shared" si="55"/>
        <v>0</v>
      </c>
      <c r="V129" s="53">
        <f t="shared" si="55"/>
        <v>0</v>
      </c>
      <c r="W129" s="53">
        <f t="shared" si="55"/>
        <v>0</v>
      </c>
      <c r="X129" s="53">
        <f t="shared" si="55"/>
        <v>0</v>
      </c>
      <c r="Y129" s="53">
        <f t="shared" si="55"/>
        <v>0</v>
      </c>
      <c r="Z129" s="53">
        <f t="shared" si="55"/>
        <v>0</v>
      </c>
      <c r="AJ129" s="44"/>
      <c r="AS129" s="27"/>
      <c r="AT129" s="26"/>
    </row>
    <row r="130" spans="7:46" ht="21.75" hidden="1" customHeight="1" outlineLevel="1">
      <c r="G130" s="43" t="s">
        <v>167</v>
      </c>
      <c r="H130" s="112"/>
      <c r="I130" s="53">
        <f>I129*-$H$125</f>
        <v>0</v>
      </c>
      <c r="J130" s="53">
        <f t="shared" ref="J130:P130" si="56">J129*-$H$125</f>
        <v>0</v>
      </c>
      <c r="K130" s="53">
        <f t="shared" si="56"/>
        <v>0</v>
      </c>
      <c r="L130" s="53">
        <f t="shared" si="56"/>
        <v>0</v>
      </c>
      <c r="M130" s="53">
        <f t="shared" si="56"/>
        <v>0</v>
      </c>
      <c r="N130" s="53">
        <f t="shared" si="56"/>
        <v>0</v>
      </c>
      <c r="O130" s="53">
        <f t="shared" si="56"/>
        <v>0</v>
      </c>
      <c r="P130" s="53">
        <f t="shared" si="56"/>
        <v>0</v>
      </c>
      <c r="S130" s="53">
        <f>S129*-$H$125</f>
        <v>0</v>
      </c>
      <c r="T130" s="53">
        <f t="shared" ref="T130:Z130" si="57">T129*-$H$125</f>
        <v>0</v>
      </c>
      <c r="U130" s="53">
        <f t="shared" si="57"/>
        <v>0</v>
      </c>
      <c r="V130" s="53">
        <f t="shared" si="57"/>
        <v>0</v>
      </c>
      <c r="W130" s="53">
        <f t="shared" si="57"/>
        <v>0</v>
      </c>
      <c r="X130" s="53">
        <f t="shared" si="57"/>
        <v>0</v>
      </c>
      <c r="Y130" s="53">
        <f t="shared" si="57"/>
        <v>0</v>
      </c>
      <c r="Z130" s="53">
        <f t="shared" si="57"/>
        <v>0</v>
      </c>
      <c r="AJ130" s="44"/>
      <c r="AS130" s="27"/>
      <c r="AT130" s="26"/>
    </row>
    <row r="131" spans="7:46" ht="21.75" hidden="1" customHeight="1" outlineLevel="1">
      <c r="G131" s="79" t="s">
        <v>172</v>
      </c>
      <c r="H131" s="117"/>
      <c r="I131" s="118">
        <f>SUM(I129:I130)</f>
        <v>0</v>
      </c>
      <c r="J131" s="118">
        <f t="shared" ref="J131:P131" si="58">SUM(J129:J130)</f>
        <v>0</v>
      </c>
      <c r="K131" s="118">
        <f t="shared" si="58"/>
        <v>0</v>
      </c>
      <c r="L131" s="118">
        <f t="shared" si="58"/>
        <v>0</v>
      </c>
      <c r="M131" s="118">
        <f t="shared" si="58"/>
        <v>0</v>
      </c>
      <c r="N131" s="118">
        <f t="shared" si="58"/>
        <v>0</v>
      </c>
      <c r="O131" s="118">
        <f t="shared" si="58"/>
        <v>0</v>
      </c>
      <c r="P131" s="118">
        <f t="shared" si="58"/>
        <v>0</v>
      </c>
      <c r="S131" s="118">
        <f>SUM(S129:S130)</f>
        <v>0</v>
      </c>
      <c r="T131" s="118">
        <f t="shared" ref="T131:Z131" si="59">SUM(T129:T130)</f>
        <v>0</v>
      </c>
      <c r="U131" s="118">
        <f t="shared" si="59"/>
        <v>0</v>
      </c>
      <c r="V131" s="118">
        <f t="shared" si="59"/>
        <v>0</v>
      </c>
      <c r="W131" s="118">
        <f t="shared" si="59"/>
        <v>0</v>
      </c>
      <c r="X131" s="118">
        <f t="shared" si="59"/>
        <v>0</v>
      </c>
      <c r="Y131" s="118">
        <f t="shared" si="59"/>
        <v>0</v>
      </c>
      <c r="Z131" s="118">
        <f t="shared" si="59"/>
        <v>0</v>
      </c>
      <c r="AJ131" s="44"/>
      <c r="AS131" s="27"/>
      <c r="AT131" s="26"/>
    </row>
    <row r="132" spans="7:46" ht="23.5" hidden="1" outlineLevel="1">
      <c r="G132" s="97" t="s">
        <v>173</v>
      </c>
      <c r="H132" s="97"/>
      <c r="I132" s="108"/>
      <c r="J132" s="108" t="e">
        <f>J131/AVERAGE(I94:J94)</f>
        <v>#DIV/0!</v>
      </c>
      <c r="K132" s="108" t="e">
        <f t="shared" ref="K132:P132" si="60">K131/AVERAGE(J94:K94)</f>
        <v>#DIV/0!</v>
      </c>
      <c r="L132" s="108" t="e">
        <f t="shared" si="60"/>
        <v>#DIV/0!</v>
      </c>
      <c r="M132" s="108" t="e">
        <f t="shared" si="60"/>
        <v>#DIV/0!</v>
      </c>
      <c r="N132" s="108" t="e">
        <f t="shared" si="60"/>
        <v>#DIV/0!</v>
      </c>
      <c r="O132" s="108" t="e">
        <f t="shared" si="60"/>
        <v>#DIV/0!</v>
      </c>
      <c r="P132" s="108" t="e">
        <f t="shared" si="60"/>
        <v>#DIV/0!</v>
      </c>
      <c r="S132" s="108"/>
      <c r="T132" s="108" t="e">
        <f>T131/AVERAGE(S94:T94)</f>
        <v>#DIV/0!</v>
      </c>
      <c r="U132" s="108" t="e">
        <f t="shared" ref="U132:Z132" si="61">U131/AVERAGE(T94:U94)</f>
        <v>#DIV/0!</v>
      </c>
      <c r="V132" s="108" t="e">
        <f t="shared" si="61"/>
        <v>#DIV/0!</v>
      </c>
      <c r="W132" s="108" t="e">
        <f t="shared" si="61"/>
        <v>#DIV/0!</v>
      </c>
      <c r="X132" s="108" t="e">
        <f t="shared" si="61"/>
        <v>#DIV/0!</v>
      </c>
      <c r="Y132" s="108" t="e">
        <f t="shared" si="61"/>
        <v>#DIV/0!</v>
      </c>
      <c r="Z132" s="108" t="e">
        <f t="shared" si="61"/>
        <v>#DIV/0!</v>
      </c>
    </row>
    <row r="133" spans="7:46" ht="18" hidden="1" customHeight="1" outlineLevel="1">
      <c r="I133" s="113"/>
      <c r="J133" s="113"/>
      <c r="K133" s="113"/>
      <c r="L133" s="113"/>
      <c r="M133" s="113"/>
      <c r="N133" s="113"/>
      <c r="O133" s="113"/>
      <c r="P133" s="113"/>
      <c r="S133" s="113"/>
      <c r="T133" s="113"/>
      <c r="U133" s="113"/>
      <c r="V133" s="113"/>
      <c r="W133" s="113"/>
      <c r="X133" s="113"/>
      <c r="Y133" s="113"/>
      <c r="Z133" s="113"/>
    </row>
    <row r="134" spans="7:46" ht="18" customHeight="1" collapsed="1">
      <c r="J134" s="91"/>
      <c r="K134" s="91"/>
      <c r="L134" s="91"/>
      <c r="M134" s="91"/>
      <c r="N134" s="91"/>
      <c r="O134" s="91"/>
      <c r="P134" s="91"/>
      <c r="T134" s="91"/>
      <c r="U134" s="91"/>
      <c r="V134" s="91"/>
      <c r="W134" s="91"/>
      <c r="X134" s="91"/>
      <c r="Y134" s="91"/>
      <c r="Z134" s="91"/>
    </row>
  </sheetData>
  <sheetProtection algorithmName="SHA-512" hashValue="Oct8CO6suszWDdj9Z2XmDQyXNgo4mwC6fUqHjGv5hYNd9qTBg+XzQg0eNo+oDvYEkTkN+FtaTBnOn3ea3AtCgA==" saltValue="e1Ymbh+j5tgfHqc/avH81A==" spinCount="100000" sheet="1" objects="1" scenarios="1" formatColumns="0" formatRows="0"/>
  <protectedRanges>
    <protectedRange sqref="AA25:AG28 AB51:AI51 Q24:R28 AA24:AI24" name="Plage1_1_1"/>
  </protectedRanges>
  <mergeCells count="96">
    <mergeCell ref="G96:H96"/>
    <mergeCell ref="G98:H98"/>
    <mergeCell ref="G95:H95"/>
    <mergeCell ref="G97:H97"/>
    <mergeCell ref="G83:H83"/>
    <mergeCell ref="G91:H91"/>
    <mergeCell ref="G92:H92"/>
    <mergeCell ref="G93:H93"/>
    <mergeCell ref="G94:H94"/>
    <mergeCell ref="G81:H81"/>
    <mergeCell ref="G82:H82"/>
    <mergeCell ref="G87:H87"/>
    <mergeCell ref="G89:H89"/>
    <mergeCell ref="G90:H90"/>
    <mergeCell ref="G84:H84"/>
    <mergeCell ref="G105:H105"/>
    <mergeCell ref="G115:H115"/>
    <mergeCell ref="G99:H99"/>
    <mergeCell ref="G100:H100"/>
    <mergeCell ref="G101:H101"/>
    <mergeCell ref="G102:H102"/>
    <mergeCell ref="G103:H103"/>
    <mergeCell ref="G104:H104"/>
    <mergeCell ref="G108:H108"/>
    <mergeCell ref="G111:H111"/>
    <mergeCell ref="G112:H112"/>
    <mergeCell ref="G113:H113"/>
    <mergeCell ref="G110:H110"/>
    <mergeCell ref="G36:H36"/>
    <mergeCell ref="G38:H38"/>
    <mergeCell ref="G33:H33"/>
    <mergeCell ref="G85:H85"/>
    <mergeCell ref="G63:H63"/>
    <mergeCell ref="G64:H64"/>
    <mergeCell ref="G65:H65"/>
    <mergeCell ref="G66:H66"/>
    <mergeCell ref="G72:H72"/>
    <mergeCell ref="G80:H80"/>
    <mergeCell ref="G67:H67"/>
    <mergeCell ref="G68:H68"/>
    <mergeCell ref="G69:H69"/>
    <mergeCell ref="G70:H70"/>
    <mergeCell ref="G71:H71"/>
    <mergeCell ref="G73:H73"/>
    <mergeCell ref="G39:H39"/>
    <mergeCell ref="G40:H40"/>
    <mergeCell ref="G48:H48"/>
    <mergeCell ref="G50:H50"/>
    <mergeCell ref="G41:H41"/>
    <mergeCell ref="G43:H43"/>
    <mergeCell ref="G44:H44"/>
    <mergeCell ref="G45:H45"/>
    <mergeCell ref="G57:H57"/>
    <mergeCell ref="G79:H79"/>
    <mergeCell ref="G78:H78"/>
    <mergeCell ref="G77:H77"/>
    <mergeCell ref="G76:H76"/>
    <mergeCell ref="G74:H74"/>
    <mergeCell ref="G75:H75"/>
    <mergeCell ref="G26:H26"/>
    <mergeCell ref="G28:H28"/>
    <mergeCell ref="G27:H27"/>
    <mergeCell ref="G35:H35"/>
    <mergeCell ref="G32:H32"/>
    <mergeCell ref="G21:H21"/>
    <mergeCell ref="G24:H24"/>
    <mergeCell ref="I20:P20"/>
    <mergeCell ref="S20:Z20"/>
    <mergeCell ref="G25:H25"/>
    <mergeCell ref="G123:H123"/>
    <mergeCell ref="G29:H29"/>
    <mergeCell ref="G30:H30"/>
    <mergeCell ref="G31:H31"/>
    <mergeCell ref="G42:H42"/>
    <mergeCell ref="G62:H62"/>
    <mergeCell ref="G54:H54"/>
    <mergeCell ref="G55:H55"/>
    <mergeCell ref="G56:H56"/>
    <mergeCell ref="G51:H51"/>
    <mergeCell ref="G52:H52"/>
    <mergeCell ref="G53:H53"/>
    <mergeCell ref="G58:H58"/>
    <mergeCell ref="G59:H59"/>
    <mergeCell ref="G60:H60"/>
    <mergeCell ref="G61:H61"/>
    <mergeCell ref="AB20:AI20"/>
    <mergeCell ref="G8:AI8"/>
    <mergeCell ref="G9:AI9"/>
    <mergeCell ref="G10:AI10"/>
    <mergeCell ref="S12:T12"/>
    <mergeCell ref="S13:T13"/>
    <mergeCell ref="S14:T14"/>
    <mergeCell ref="S15:T15"/>
    <mergeCell ref="S16:T16"/>
    <mergeCell ref="U12:V12"/>
    <mergeCell ref="U13:V13"/>
  </mergeCells>
  <conditionalFormatting sqref="I106:P106">
    <cfRule type="expression" dxfId="2" priority="4" stopIfTrue="1">
      <formula>ABS(I106)&gt;0.1</formula>
    </cfRule>
  </conditionalFormatting>
  <conditionalFormatting sqref="S106:Z106">
    <cfRule type="expression" dxfId="1" priority="2" stopIfTrue="1">
      <formula>ABS(S106)&gt;0.1</formula>
    </cfRule>
  </conditionalFormatting>
  <conditionalFormatting sqref="AB106:AI106">
    <cfRule type="expression" dxfId="0" priority="1" stopIfTrue="1">
      <formula>ABS(AB106)&gt;0.1</formula>
    </cfRule>
  </conditionalFormatting>
  <dataValidations count="2">
    <dataValidation type="list" allowBlank="1" showInputMessage="1" showErrorMessage="1" sqref="H18" xr:uid="{00000000-0002-0000-0100-000000000000}">
      <formula1>Language</formula1>
    </dataValidation>
    <dataValidation type="list" allowBlank="1" showInputMessage="1" showErrorMessage="1" sqref="H15 U15" xr:uid="{00000000-0002-0000-0100-000001000000}">
      <formula1>ActivityList</formula1>
    </dataValidation>
  </dataValidations>
  <hyperlinks>
    <hyperlink ref="F19" location="'Operating Lease'!A1" display="'Operating Lease'!A1" xr:uid="{00000000-0004-0000-0100-000000000000}"/>
    <hyperlink ref="E19" location="'Operating Lease'!A1" display="'Operating Lease'!A1" xr:uid="{00000000-0004-0000-0100-000001000000}"/>
    <hyperlink ref="F18" location="Capex!A1" display="Capex" xr:uid="{00000000-0004-0000-0100-000002000000}"/>
    <hyperlink ref="F17" location="Context!A1" display="Context!A1" xr:uid="{00000000-0004-0000-0100-000003000000}"/>
    <hyperlink ref="G19" location="'Operating Lease'!A1" display="'Operating Lease'!A1" xr:uid="{00000000-0004-0000-0100-000004000000}"/>
    <hyperlink ref="G18" location="Capex!A1" display="Capex" xr:uid="{00000000-0004-0000-0100-000005000000}"/>
    <hyperlink ref="G17" location="Context!A1" display="Context!A1" xr:uid="{00000000-0004-0000-0100-000006000000}"/>
  </hyperlinks>
  <printOptions horizontalCentered="1"/>
  <pageMargins left="0.25" right="0.25" top="0.75" bottom="0.75" header="0.3" footer="0.3"/>
  <pageSetup paperSize="9" scale="17" orientation="landscape" r:id="rId1"/>
  <headerFooter scaleWithDoc="0">
    <oddFooter>&amp;L&amp;8&amp;D&amp;CConfidentiel  -  Direction Financière&amp;R&amp;8&amp;P</oddFooter>
  </headerFooter>
  <colBreaks count="1" manualBreakCount="1">
    <brk id="44" max="1048575" man="1"/>
  </colBreaks>
  <ignoredErrors>
    <ignoredError sqref="I37:P37 G37 J53:P53 I62:P62 I64:P64 I67:P67 I76:P76 I27:Q27 G34:P34 S34:Z35 S37:Z37 S62:Z69 S76:Z77 G27" formula="1"/>
    <ignoredError sqref="H13 U13 H15:H18 U15:U1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1"/>
  <sheetViews>
    <sheetView topLeftCell="B1" workbookViewId="0"/>
  </sheetViews>
  <sheetFormatPr baseColWidth="10" defaultColWidth="9.1796875" defaultRowHeight="13"/>
  <cols>
    <col min="1" max="1" width="19.453125" hidden="1" customWidth="1"/>
    <col min="4" max="4" width="46.81640625" bestFit="1" customWidth="1"/>
    <col min="5" max="5" width="10.54296875" bestFit="1" customWidth="1"/>
    <col min="6" max="6" width="10.54296875" customWidth="1"/>
    <col min="7" max="7" width="10.54296875" hidden="1" customWidth="1"/>
    <col min="8" max="8" width="0" hidden="1" customWidth="1"/>
  </cols>
  <sheetData>
    <row r="1" spans="1:7">
      <c r="A1" t="s">
        <v>73</v>
      </c>
    </row>
    <row r="2" spans="1:7">
      <c r="A2">
        <f>0</f>
        <v>0</v>
      </c>
      <c r="D2" s="19"/>
      <c r="E2" s="3"/>
      <c r="F2" s="3"/>
      <c r="G2" s="5"/>
    </row>
    <row r="3" spans="1:7">
      <c r="A3">
        <f>1</f>
        <v>1</v>
      </c>
      <c r="D3" s="20"/>
      <c r="E3" s="4"/>
      <c r="F3" s="4"/>
      <c r="G3" s="6"/>
    </row>
    <row r="4" spans="1:7">
      <c r="A4">
        <f>2</f>
        <v>2</v>
      </c>
      <c r="D4" s="20"/>
      <c r="E4" s="4"/>
      <c r="F4" s="4"/>
      <c r="G4" s="6"/>
    </row>
    <row r="5" spans="1:7">
      <c r="A5">
        <f>3</f>
        <v>3</v>
      </c>
      <c r="D5" s="20"/>
      <c r="E5" s="4"/>
      <c r="F5" s="4"/>
      <c r="G5" s="6"/>
    </row>
    <row r="6" spans="1:7">
      <c r="A6" t="s">
        <v>71</v>
      </c>
      <c r="D6" s="20"/>
      <c r="E6" s="4"/>
      <c r="F6" s="4"/>
      <c r="G6" s="6"/>
    </row>
    <row r="7" spans="1:7">
      <c r="A7" t="s">
        <v>72</v>
      </c>
      <c r="D7" s="20"/>
      <c r="G7" s="7"/>
    </row>
    <row r="8" spans="1:7">
      <c r="A8" t="s">
        <v>74</v>
      </c>
    </row>
    <row r="15" spans="1:7">
      <c r="D15" t="str">
        <f>_xll.TM1RPTVIEW(Server&amp;"TC_CONTROL_LEGAL_ACTIVITY:ARPT1", 1,TM1RPTFMTRNG,TM1RPTFMTIDCOL)</f>
        <v>tango_core_model:TC_CONTROL_LEGAL_ACTIVITY:ARPT1</v>
      </c>
    </row>
    <row r="16" spans="1:7">
      <c r="D16" t="str">
        <f>"{[Legal_Organization].["&amp;$F$18&amp;"]}"</f>
        <v>{[Legal_Organization].[TRANSDEV All]}</v>
      </c>
    </row>
    <row r="18" spans="1:7">
      <c r="F18" t="str">
        <f>_xll.SUBNM(Server&amp;"Legal_Organization","",Output!$H$14,Output!$H$18)</f>
        <v>TRANSDEV All</v>
      </c>
    </row>
    <row r="19" spans="1:7">
      <c r="G19" s="2" t="s">
        <v>70</v>
      </c>
    </row>
    <row r="20" spans="1:7">
      <c r="A20">
        <f>IF(_xll.TM1RPTELISCONSOLIDATED($E$20,$E20),IF(_xll.TM1RPTELLEV($E$20,$E20)&lt;=3,_xll.TM1RPTELLEV($E$20,$E20),"D"),"N")</f>
        <v>0</v>
      </c>
      <c r="D20" s="217" t="str">
        <f>_xll.TM1RPTROW($D$15,Server&amp;"Legal_Organization","","",Output!$H$18,0,$D$16,,1)</f>
        <v>TRANSDEV All</v>
      </c>
      <c r="E20" s="219" t="str">
        <f>_xll.TM1RPTROW($D$15,Server&amp;"Activity","",,"",0)</f>
        <v>Tot_act</v>
      </c>
      <c r="F20" s="3" t="str">
        <f>_xll.DBRA(Server&amp;"Activity",$E20,Output!$H$18)</f>
        <v>All activity</v>
      </c>
      <c r="G20" s="5" t="str">
        <f>_xll.DBRW($D$15,$D20,$E20,G$19)</f>
        <v>1</v>
      </c>
    </row>
    <row r="21" spans="1:7">
      <c r="A21">
        <f>IF(_xll.TM1RPTELISCONSOLIDATED($E$20,$E21),IF(_xll.TM1RPTELLEV($E$20,$E21)&lt;=3,_xll.TM1RPTELLEV($E$20,$E21),"D"),"N")</f>
        <v>1</v>
      </c>
      <c r="D21" s="218" t="s">
        <v>175</v>
      </c>
      <c r="E21" s="186" t="s">
        <v>159</v>
      </c>
      <c r="F21" s="4" t="str">
        <f>_xll.DBRA(Server&amp;"Activity",$E21,Output!$H$18)</f>
        <v>Urban</v>
      </c>
      <c r="G21" s="6" t="str">
        <f>_xll.DBRW($D$15,$D21,$E21,G$19)</f>
        <v>1</v>
      </c>
    </row>
    <row r="22" spans="1:7">
      <c r="A22" t="str">
        <f>IF(_xll.TM1RPTELISCONSOLIDATED($E$20,$E22),IF(_xll.TM1RPTELLEV($E$20,$E22)&lt;=3,_xll.TM1RPTELLEV($E$20,$E22),"D"),"N")</f>
        <v>N</v>
      </c>
      <c r="D22" s="218" t="s">
        <v>175</v>
      </c>
      <c r="E22" s="90" t="s">
        <v>160</v>
      </c>
      <c r="F22" t="str">
        <f>_xll.DBRA(Server&amp;"Activity",$E22,Output!$H$18)</f>
        <v>Bus (Urban)</v>
      </c>
      <c r="G22" s="7" t="str">
        <f>_xll.DBRW($D$15,$D22,$E22,G$19)</f>
        <v>1</v>
      </c>
    </row>
    <row r="23" spans="1:7">
      <c r="A23" t="str">
        <f>IF(_xll.TM1RPTELISCONSOLIDATED($E$20,$E23),IF(_xll.TM1RPTELLEV($E$20,$E23)&lt;=3,_xll.TM1RPTELLEV($E$20,$E23),"D"),"N")</f>
        <v>N</v>
      </c>
      <c r="D23" s="218" t="s">
        <v>175</v>
      </c>
      <c r="E23" s="90" t="s">
        <v>161</v>
      </c>
      <c r="F23" t="str">
        <f>_xll.DBRA(Server&amp;"Activity",$E23,Output!$H$18)</f>
        <v>Light rail</v>
      </c>
      <c r="G23" s="7" t="str">
        <f>_xll.DBRW($D$15,$D23,$E23,G$19)</f>
        <v>1</v>
      </c>
    </row>
    <row r="24" spans="1:7">
      <c r="A24" t="str">
        <f>IF(_xll.TM1RPTELISCONSOLIDATED($E$20,$E24),IF(_xll.TM1RPTELLEV($E$20,$E24)&lt;=3,_xll.TM1RPTELLEV($E$20,$E24),"D"),"N")</f>
        <v>N</v>
      </c>
      <c r="D24" s="218" t="s">
        <v>175</v>
      </c>
      <c r="E24" s="90" t="s">
        <v>162</v>
      </c>
      <c r="F24" t="str">
        <f>_xll.DBRA(Server&amp;"Activity",$E24,Output!$H$18)</f>
        <v>Metro</v>
      </c>
      <c r="G24" s="7" t="str">
        <f>_xll.DBRW($D$15,$D24,$E24,G$19)</f>
        <v>1</v>
      </c>
    </row>
    <row r="25" spans="1:7">
      <c r="A25" t="str">
        <f>IF(_xll.TM1RPTELISCONSOLIDATED($E$20,$E25),IF(_xll.TM1RPTELLEV($E$20,$E25)&lt;=3,_xll.TM1RPTELLEV($E$20,$E25),"D"),"N")</f>
        <v>N</v>
      </c>
      <c r="D25" s="218" t="s">
        <v>175</v>
      </c>
      <c r="E25" s="90" t="s">
        <v>176</v>
      </c>
      <c r="F25" t="str">
        <f>_xll.DBRA(Server&amp;"Activity",$E25,Output!$H$18)</f>
        <v>Multi-modal (Urban)</v>
      </c>
      <c r="G25" s="7" t="str">
        <f>_xll.DBRW($D$15,$D25,$E25,G$19)</f>
        <v>1</v>
      </c>
    </row>
    <row r="26" spans="1:7">
      <c r="A26" t="str">
        <f>IF(_xll.TM1RPTELISCONSOLIDATED($E$20,$E26),IF(_xll.TM1RPTELLEV($E$20,$E26)&lt;=3,_xll.TM1RPTELLEV($E$20,$E26),"D"),"N")</f>
        <v>N</v>
      </c>
      <c r="D26" s="218" t="s">
        <v>175</v>
      </c>
      <c r="E26" s="90" t="s">
        <v>177</v>
      </c>
      <c r="F26" t="str">
        <f>_xll.DBRA(Server&amp;"Activity",$E26,Output!$H$18)</f>
        <v>Cycles sharing</v>
      </c>
      <c r="G26" s="7" t="str">
        <f>_xll.DBRW($D$15,$D26,$E26,G$19)</f>
        <v>1</v>
      </c>
    </row>
    <row r="27" spans="1:7">
      <c r="A27" t="str">
        <f>IF(_xll.TM1RPTELISCONSOLIDATED($E$20,$E27),IF(_xll.TM1RPTELLEV($E$20,$E27)&lt;=3,_xll.TM1RPTELLEV($E$20,$E27),"D"),"N")</f>
        <v>N</v>
      </c>
      <c r="D27" s="218" t="s">
        <v>175</v>
      </c>
      <c r="E27" s="90" t="s">
        <v>178</v>
      </c>
      <c r="F27" t="str">
        <f>_xll.DBRA(Server&amp;"Activity",$E27,Output!$H$18)</f>
        <v>Car sharing</v>
      </c>
      <c r="G27" s="7" t="str">
        <f>_xll.DBRW($D$15,$D27,$E27,G$19)</f>
        <v>1</v>
      </c>
    </row>
    <row r="28" spans="1:7">
      <c r="A28" t="str">
        <f>IF(_xll.TM1RPTELISCONSOLIDATED($E$20,$E28),IF(_xll.TM1RPTELLEV($E$20,$E28)&lt;=3,_xll.TM1RPTELLEV($E$20,$E28),"D"),"N")</f>
        <v>N</v>
      </c>
      <c r="D28" s="218" t="s">
        <v>175</v>
      </c>
      <c r="E28" s="90" t="s">
        <v>179</v>
      </c>
      <c r="F28" t="str">
        <f>_xll.DBRA(Server&amp;"Activity",$E28,Output!$H$18)</f>
        <v>Boat</v>
      </c>
      <c r="G28" s="7" t="str">
        <f>_xll.DBRW($D$15,$D28,$E28,G$19)</f>
        <v>1</v>
      </c>
    </row>
    <row r="29" spans="1:7">
      <c r="A29" t="str">
        <f>IF(_xll.TM1RPTELISCONSOLIDATED($E$20,$E29),IF(_xll.TM1RPTELLEV($E$20,$E29)&lt;=3,_xll.TM1RPTELLEV($E$20,$E29),"D"),"N")</f>
        <v>N</v>
      </c>
      <c r="D29" s="218" t="s">
        <v>175</v>
      </c>
      <c r="E29" s="90" t="s">
        <v>180</v>
      </c>
      <c r="F29" t="str">
        <f>_xll.DBRA(Server&amp;"Activity",$E29,Output!$H$18)</f>
        <v>Urban - Input technical activity</v>
      </c>
      <c r="G29" s="7" t="str">
        <f>_xll.DBRW($D$15,$D29,$E29,G$19)</f>
        <v>1</v>
      </c>
    </row>
    <row r="30" spans="1:7">
      <c r="A30">
        <f>IF(_xll.TM1RPTELISCONSOLIDATED($E$20,$E30),IF(_xll.TM1RPTELLEV($E$20,$E30)&lt;=3,_xll.TM1RPTELLEV($E$20,$E30),"D"),"N")</f>
        <v>1</v>
      </c>
      <c r="D30" s="218" t="s">
        <v>175</v>
      </c>
      <c r="E30" s="186" t="s">
        <v>181</v>
      </c>
      <c r="F30" s="4" t="str">
        <f>_xll.DBRA(Server&amp;"Activity",$E30,Output!$H$18)</f>
        <v>Suburban</v>
      </c>
      <c r="G30" s="6" t="str">
        <f>_xll.DBRW($D$15,$D30,$E30,G$19)</f>
        <v>1</v>
      </c>
    </row>
    <row r="31" spans="1:7">
      <c r="A31" t="str">
        <f>IF(_xll.TM1RPTELISCONSOLIDATED($E$20,$E31),IF(_xll.TM1RPTELLEV($E$20,$E31)&lt;=3,_xll.TM1RPTELLEV($E$20,$E31),"D"),"N")</f>
        <v>N</v>
      </c>
      <c r="D31" s="218" t="s">
        <v>175</v>
      </c>
      <c r="E31" s="90" t="s">
        <v>182</v>
      </c>
      <c r="F31" t="str">
        <f>_xll.DBRA(Server&amp;"Activity",$E31,Output!$H$18)</f>
        <v>Bus/Coach (Suburban)</v>
      </c>
      <c r="G31" s="7" t="str">
        <f>_xll.DBRW($D$15,$D31,$E31,G$19)</f>
        <v>1</v>
      </c>
    </row>
    <row r="32" spans="1:7">
      <c r="A32" t="str">
        <f>IF(_xll.TM1RPTELISCONSOLIDATED($E$20,$E32),IF(_xll.TM1RPTELLEV($E$20,$E32)&lt;=3,_xll.TM1RPTELLEV($E$20,$E32),"D"),"N")</f>
        <v>N</v>
      </c>
      <c r="D32" s="218" t="s">
        <v>175</v>
      </c>
      <c r="E32" s="90" t="s">
        <v>183</v>
      </c>
      <c r="F32" t="str">
        <f>_xll.DBRA(Server&amp;"Activity",$E32,Output!$H$18)</f>
        <v>Heavy Rail (Suburban)</v>
      </c>
      <c r="G32" s="7" t="str">
        <f>_xll.DBRW($D$15,$D32,$E32,G$19)</f>
        <v>1</v>
      </c>
    </row>
    <row r="33" spans="1:7">
      <c r="A33" t="str">
        <f>IF(_xll.TM1RPTELISCONSOLIDATED($E$20,$E33),IF(_xll.TM1RPTELLEV($E$20,$E33)&lt;=3,_xll.TM1RPTELLEV($E$20,$E33),"D"),"N")</f>
        <v>N</v>
      </c>
      <c r="D33" s="218" t="s">
        <v>175</v>
      </c>
      <c r="E33" s="90" t="s">
        <v>184</v>
      </c>
      <c r="F33" t="str">
        <f>_xll.DBRA(Server&amp;"Activity",$E33,Output!$H$18)</f>
        <v>Multi-modal (Suburban)</v>
      </c>
      <c r="G33" s="7" t="str">
        <f>_xll.DBRW($D$15,$D33,$E33,G$19)</f>
        <v>1</v>
      </c>
    </row>
    <row r="34" spans="1:7">
      <c r="A34" t="str">
        <f>IF(_xll.TM1RPTELISCONSOLIDATED($E$20,$E34),IF(_xll.TM1RPTELLEV($E$20,$E34)&lt;=3,_xll.TM1RPTELLEV($E$20,$E34),"D"),"N")</f>
        <v>N</v>
      </c>
      <c r="D34" s="218" t="s">
        <v>175</v>
      </c>
      <c r="E34" s="90" t="s">
        <v>185</v>
      </c>
      <c r="F34" t="str">
        <f>_xll.DBRA(Server&amp;"Activity",$E34,Output!$H$18)</f>
        <v>Suburban - Input technical activity</v>
      </c>
      <c r="G34" s="7" t="str">
        <f>_xll.DBRW($D$15,$D34,$E34,G$19)</f>
        <v>1</v>
      </c>
    </row>
    <row r="35" spans="1:7">
      <c r="A35">
        <f>IF(_xll.TM1RPTELISCONSOLIDATED($E$20,$E35),IF(_xll.TM1RPTELLEV($E$20,$E35)&lt;=3,_xll.TM1RPTELLEV($E$20,$E35),"D"),"N")</f>
        <v>1</v>
      </c>
      <c r="D35" s="218" t="s">
        <v>175</v>
      </c>
      <c r="E35" s="186" t="s">
        <v>186</v>
      </c>
      <c r="F35" s="4" t="str">
        <f>_xll.DBRA(Server&amp;"Activity",$E35,Output!$H$18)</f>
        <v>Subsidized on demand</v>
      </c>
      <c r="G35" s="6" t="str">
        <f>_xll.DBRW($D$15,$D35,$E35,G$19)</f>
        <v>1</v>
      </c>
    </row>
    <row r="36" spans="1:7">
      <c r="A36" t="str">
        <f>IF(_xll.TM1RPTELISCONSOLIDATED($E$20,$E36),IF(_xll.TM1RPTELLEV($E$20,$E36)&lt;=3,_xll.TM1RPTELLEV($E$20,$E36),"D"),"N")</f>
        <v>N</v>
      </c>
      <c r="D36" s="218" t="s">
        <v>175</v>
      </c>
      <c r="E36" s="90" t="s">
        <v>187</v>
      </c>
      <c r="F36" t="str">
        <f>_xll.DBRA(Server&amp;"Activity",$E36,Output!$H$18)</f>
        <v>Paratransit</v>
      </c>
      <c r="G36" s="7" t="str">
        <f>_xll.DBRW($D$15,$D36,$E36,G$19)</f>
        <v>1</v>
      </c>
    </row>
    <row r="37" spans="1:7">
      <c r="A37" t="str">
        <f>IF(_xll.TM1RPTELISCONSOLIDATED($E$20,$E37),IF(_xll.TM1RPTELLEV($E$20,$E37)&lt;=3,_xll.TM1RPTELLEV($E$20,$E37),"D"),"N")</f>
        <v>N</v>
      </c>
      <c r="D37" s="218" t="s">
        <v>175</v>
      </c>
      <c r="E37" s="90" t="s">
        <v>188</v>
      </c>
      <c r="F37" t="str">
        <f>_xll.DBRA(Server&amp;"Activity",$E37,Output!$H$18)</f>
        <v>Ambulance</v>
      </c>
      <c r="G37" s="7" t="str">
        <f>_xll.DBRW($D$15,$D37,$E37,G$19)</f>
        <v>1</v>
      </c>
    </row>
    <row r="38" spans="1:7">
      <c r="A38" t="str">
        <f>IF(_xll.TM1RPTELISCONSOLIDATED($E$20,$E38),IF(_xll.TM1RPTELLEV($E$20,$E38)&lt;=3,_xll.TM1RPTELLEV($E$20,$E38),"D"),"N")</f>
        <v>N</v>
      </c>
      <c r="D38" s="218" t="s">
        <v>175</v>
      </c>
      <c r="E38" s="90" t="s">
        <v>189</v>
      </c>
      <c r="F38" t="str">
        <f>_xll.DBRA(Server&amp;"Activity",$E38,Output!$H$18)</f>
        <v>Subsidized on demand - Input technical activity</v>
      </c>
      <c r="G38" s="7" t="str">
        <f>_xll.DBRW($D$15,$D38,$E38,G$19)</f>
        <v>1</v>
      </c>
    </row>
    <row r="39" spans="1:7">
      <c r="A39">
        <f>IF(_xll.TM1RPTELISCONSOLIDATED($E$20,$E39),IF(_xll.TM1RPTELLEV($E$20,$E39)&lt;=3,_xll.TM1RPTELLEV($E$20,$E39),"D"),"N")</f>
        <v>1</v>
      </c>
      <c r="D39" s="218" t="s">
        <v>175</v>
      </c>
      <c r="E39" s="186" t="s">
        <v>190</v>
      </c>
      <c r="F39" s="4" t="str">
        <f>_xll.DBRA(Server&amp;"Activity",$E39,Output!$H$18)</f>
        <v>Interurban</v>
      </c>
      <c r="G39" s="6" t="str">
        <f>_xll.DBRW($D$15,$D39,$E39,G$19)</f>
        <v>1</v>
      </c>
    </row>
    <row r="40" spans="1:7">
      <c r="A40" t="str">
        <f>IF(_xll.TM1RPTELISCONSOLIDATED($E$20,$E40),IF(_xll.TM1RPTELLEV($E$20,$E40)&lt;=3,_xll.TM1RPTELLEV($E$20,$E40),"D"),"N")</f>
        <v>N</v>
      </c>
      <c r="D40" s="218" t="s">
        <v>175</v>
      </c>
      <c r="E40" s="90" t="s">
        <v>191</v>
      </c>
      <c r="F40" t="str">
        <f>_xll.DBRA(Server&amp;"Activity",$E40,Output!$H$18)</f>
        <v>Schools</v>
      </c>
      <c r="G40" s="7" t="str">
        <f>_xll.DBRW($D$15,$D40,$E40,G$19)</f>
        <v>1</v>
      </c>
    </row>
    <row r="41" spans="1:7">
      <c r="A41" t="str">
        <f>IF(_xll.TM1RPTELISCONSOLIDATED($E$20,$E41),IF(_xll.TM1RPTELLEV($E$20,$E41)&lt;=3,_xll.TM1RPTELLEV($E$20,$E41),"D"),"N")</f>
        <v>N</v>
      </c>
      <c r="D41" s="218" t="s">
        <v>175</v>
      </c>
      <c r="E41" s="90" t="s">
        <v>192</v>
      </c>
      <c r="F41" t="str">
        <f>_xll.DBRA(Server&amp;"Activity",$E41,Output!$H$18)</f>
        <v>Regular lines</v>
      </c>
      <c r="G41" s="7" t="str">
        <f>_xll.DBRW($D$15,$D41,$E41,G$19)</f>
        <v>1</v>
      </c>
    </row>
    <row r="42" spans="1:7">
      <c r="A42" t="str">
        <f>IF(_xll.TM1RPTELISCONSOLIDATED($E$20,$E42),IF(_xll.TM1RPTELLEV($E$20,$E42)&lt;=3,_xll.TM1RPTELLEV($E$20,$E42),"D"),"N")</f>
        <v>N</v>
      </c>
      <c r="D42" s="218" t="s">
        <v>175</v>
      </c>
      <c r="E42" s="90" t="s">
        <v>193</v>
      </c>
      <c r="F42" t="str">
        <f>_xll.DBRA(Server&amp;"Activity",$E42,Output!$H$18)</f>
        <v>Charter / Occasional</v>
      </c>
      <c r="G42" s="7" t="str">
        <f>_xll.DBRW($D$15,$D42,$E42,G$19)</f>
        <v>1</v>
      </c>
    </row>
    <row r="43" spans="1:7">
      <c r="A43" t="str">
        <f>IF(_xll.TM1RPTELISCONSOLIDATED($E$20,$E43),IF(_xll.TM1RPTELLEV($E$20,$E43)&lt;=3,_xll.TM1RPTELLEV($E$20,$E43),"D"),"N")</f>
        <v>N</v>
      </c>
      <c r="D43" s="218" t="s">
        <v>175</v>
      </c>
      <c r="E43" s="90" t="s">
        <v>194</v>
      </c>
      <c r="F43" t="str">
        <f>_xll.DBRA(Server&amp;"Activity",$E43,Output!$H$18)</f>
        <v>Urban sub contracting</v>
      </c>
      <c r="G43" s="7" t="str">
        <f>_xll.DBRW($D$15,$D43,$E43,G$19)</f>
        <v>1</v>
      </c>
    </row>
    <row r="44" spans="1:7">
      <c r="A44" t="str">
        <f>IF(_xll.TM1RPTELISCONSOLIDATED($E$20,$E44),IF(_xll.TM1RPTELLEV($E$20,$E44)&lt;=3,_xll.TM1RPTELLEV($E$20,$E44),"D"),"N")</f>
        <v>N</v>
      </c>
      <c r="D44" s="218" t="s">
        <v>175</v>
      </c>
      <c r="E44" s="90" t="s">
        <v>195</v>
      </c>
      <c r="F44" t="str">
        <f>_xll.DBRA(Server&amp;"Activity",$E44,Output!$H$18)</f>
        <v>Shared (Regional coach)</v>
      </c>
      <c r="G44" s="7" t="str">
        <f>_xll.DBRW($D$15,$D44,$E44,G$19)</f>
        <v>1</v>
      </c>
    </row>
    <row r="45" spans="1:7">
      <c r="A45" t="str">
        <f>IF(_xll.TM1RPTELISCONSOLIDATED($E$20,$E45),IF(_xll.TM1RPTELLEV($E$20,$E45)&lt;=3,_xll.TM1RPTELLEV($E$20,$E45),"D"),"N")</f>
        <v>N</v>
      </c>
      <c r="D45" s="218" t="s">
        <v>175</v>
      </c>
      <c r="E45" s="90" t="s">
        <v>196</v>
      </c>
      <c r="F45" t="str">
        <f>_xll.DBRA(Server&amp;"Activity",$E45,Output!$H$18)</f>
        <v>Regional Coach - Input technical activity</v>
      </c>
      <c r="G45" s="7" t="str">
        <f>_xll.DBRW($D$15,$D45,$E45,G$19)</f>
        <v>1</v>
      </c>
    </row>
    <row r="46" spans="1:7">
      <c r="A46" t="str">
        <f>IF(_xll.TM1RPTELISCONSOLIDATED($E$20,$E46),IF(_xll.TM1RPTELLEV($E$20,$E46)&lt;=3,_xll.TM1RPTELLEV($E$20,$E46),"D"),"N")</f>
        <v>N</v>
      </c>
      <c r="D46" s="218" t="s">
        <v>175</v>
      </c>
      <c r="E46" s="90" t="s">
        <v>197</v>
      </c>
      <c r="F46" t="str">
        <f>_xll.DBRA(Server&amp;"Activity",$E46,Output!$H$18)</f>
        <v>Long Distance coaches</v>
      </c>
      <c r="G46" s="7" t="str">
        <f>_xll.DBRW($D$15,$D46,$E46,G$19)</f>
        <v>1</v>
      </c>
    </row>
    <row r="47" spans="1:7">
      <c r="A47">
        <f>IF(_xll.TM1RPTELISCONSOLIDATED($E$20,$E47),IF(_xll.TM1RPTELLEV($E$20,$E47)&lt;=3,_xll.TM1RPTELLEV($E$20,$E47),"D"),"N")</f>
        <v>1</v>
      </c>
      <c r="D47" s="218" t="s">
        <v>175</v>
      </c>
      <c r="E47" s="186" t="s">
        <v>198</v>
      </c>
      <c r="F47" s="4" t="str">
        <f>_xll.DBRA(Server&amp;"Activity",$E47,Output!$H$18)</f>
        <v>Heavy rail activities</v>
      </c>
      <c r="G47" s="6" t="str">
        <f>_xll.DBRW($D$15,$D47,$E47,G$19)</f>
        <v>1</v>
      </c>
    </row>
    <row r="48" spans="1:7">
      <c r="A48" t="str">
        <f>IF(_xll.TM1RPTELISCONSOLIDATED($E$20,$E48),IF(_xll.TM1RPTELLEV($E$20,$E48)&lt;=3,_xll.TM1RPTELLEV($E$20,$E48),"D"),"N")</f>
        <v>N</v>
      </c>
      <c r="D48" s="218" t="s">
        <v>175</v>
      </c>
      <c r="E48" s="90" t="s">
        <v>199</v>
      </c>
      <c r="F48" t="str">
        <f>_xll.DBRA(Server&amp;"Activity",$E48,Output!$H$18)</f>
        <v>Regional heavy rail</v>
      </c>
      <c r="G48" s="7" t="str">
        <f>_xll.DBRW($D$15,$D48,$E48,G$19)</f>
        <v>1</v>
      </c>
    </row>
    <row r="49" spans="1:7">
      <c r="A49" t="str">
        <f>IF(_xll.TM1RPTELISCONSOLIDATED($E$20,$E49),IF(_xll.TM1RPTELLEV($E$20,$E49)&lt;=3,_xll.TM1RPTELLEV($E$20,$E49),"D"),"N")</f>
        <v>N</v>
      </c>
      <c r="D49" s="218" t="s">
        <v>175</v>
      </c>
      <c r="E49" s="90" t="s">
        <v>200</v>
      </c>
      <c r="F49" t="str">
        <f>_xll.DBRA(Server&amp;"Activity",$E49,Output!$H$18)</f>
        <v>National / International heavy rail</v>
      </c>
      <c r="G49" s="7" t="str">
        <f>_xll.DBRW($D$15,$D49,$E49,G$19)</f>
        <v>1</v>
      </c>
    </row>
    <row r="50" spans="1:7">
      <c r="A50" t="str">
        <f>IF(_xll.TM1RPTELISCONSOLIDATED($E$20,$E50),IF(_xll.TM1RPTELLEV($E$20,$E50)&lt;=3,_xll.TM1RPTELLEV($E$20,$E50),"D"),"N")</f>
        <v>N</v>
      </c>
      <c r="D50" s="218" t="s">
        <v>175</v>
      </c>
      <c r="E50" s="90" t="s">
        <v>201</v>
      </c>
      <c r="F50" t="str">
        <f>_xll.DBRA(Server&amp;"Activity",$E50,Output!$H$18)</f>
        <v>Heavy rail - Input technical activity</v>
      </c>
      <c r="G50" s="7" t="str">
        <f>_xll.DBRW($D$15,$D50,$E50,G$19)</f>
        <v>1</v>
      </c>
    </row>
    <row r="51" spans="1:7">
      <c r="A51" t="str">
        <f>IF(_xll.TM1RPTELISCONSOLIDATED($E$20,$E51),IF(_xll.TM1RPTELLEV($E$20,$E51)&lt;=3,_xll.TM1RPTELLEV($E$20,$E51),"D"),"N")</f>
        <v>N</v>
      </c>
      <c r="D51" s="218" t="s">
        <v>175</v>
      </c>
      <c r="E51" s="90" t="s">
        <v>202</v>
      </c>
      <c r="F51" t="str">
        <f>_xll.DBRA(Server&amp;"Activity",$E51,Output!$H$18)</f>
        <v>Rail Maintenance</v>
      </c>
      <c r="G51" s="7" t="str">
        <f>_xll.DBRW($D$15,$D51,$E51,G$19)</f>
        <v>1</v>
      </c>
    </row>
    <row r="52" spans="1:7">
      <c r="A52" t="str">
        <f>IF(_xll.TM1RPTELISCONSOLIDATED($E$20,$E52),IF(_xll.TM1RPTELLEV($E$20,$E52)&lt;=3,_xll.TM1RPTELLEV($E$20,$E52),"D"),"N")</f>
        <v>N</v>
      </c>
      <c r="D52" s="218" t="s">
        <v>175</v>
      </c>
      <c r="E52" s="21" t="s">
        <v>203</v>
      </c>
      <c r="F52" t="str">
        <f>_xll.DBRA(Server&amp;"Activity",$E52,Output!$H$18)</f>
        <v>Ferries</v>
      </c>
      <c r="G52" s="7" t="str">
        <f>_xll.DBRW($D$15,$D52,$E52,G$19)</f>
        <v>1</v>
      </c>
    </row>
    <row r="53" spans="1:7">
      <c r="A53">
        <f>IF(_xll.TM1RPTELISCONSOLIDATED($E$20,$E53),IF(_xll.TM1RPTELLEV($E$20,$E53)&lt;=3,_xll.TM1RPTELLEV($E$20,$E53),"D"),"N")</f>
        <v>1</v>
      </c>
      <c r="D53" s="218" t="s">
        <v>175</v>
      </c>
      <c r="E53" s="186" t="s">
        <v>204</v>
      </c>
      <c r="F53" s="4" t="str">
        <f>_xll.DBRA(Server&amp;"Activity",$E53,Output!$H$18)</f>
        <v>Commercial on demand</v>
      </c>
      <c r="G53" s="6" t="str">
        <f>_xll.DBRW($D$15,$D53,$E53,G$19)</f>
        <v>1</v>
      </c>
    </row>
    <row r="54" spans="1:7">
      <c r="A54" t="str">
        <f>IF(_xll.TM1RPTELISCONSOLIDATED($E$20,$E54),IF(_xll.TM1RPTELLEV($E$20,$E54)&lt;=3,_xll.TM1RPTELLEV($E$20,$E54),"D"),"N")</f>
        <v>N</v>
      </c>
      <c r="D54" s="218" t="s">
        <v>175</v>
      </c>
      <c r="E54" s="90" t="s">
        <v>205</v>
      </c>
      <c r="F54" t="str">
        <f>_xll.DBRA(Server&amp;"Activity",$E54,Output!$H$18)</f>
        <v>Single ride</v>
      </c>
      <c r="G54" s="7" t="str">
        <f>_xll.DBRW($D$15,$D54,$E54,G$19)</f>
        <v>1</v>
      </c>
    </row>
    <row r="55" spans="1:7">
      <c r="A55" t="str">
        <f>IF(_xll.TM1RPTELISCONSOLIDATED($E$20,$E55),IF(_xll.TM1RPTELLEV($E$20,$E55)&lt;=3,_xll.TM1RPTELLEV($E$20,$E55),"D"),"N")</f>
        <v>N</v>
      </c>
      <c r="D55" s="218" t="s">
        <v>175</v>
      </c>
      <c r="E55" s="90" t="s">
        <v>206</v>
      </c>
      <c r="F55" t="str">
        <f>_xll.DBRA(Server&amp;"Activity",$E55,Output!$H$18)</f>
        <v>Shared ride</v>
      </c>
      <c r="G55" s="7" t="str">
        <f>_xll.DBRW($D$15,$D55,$E55,G$19)</f>
        <v>1</v>
      </c>
    </row>
    <row r="56" spans="1:7">
      <c r="A56" t="str">
        <f>IF(_xll.TM1RPTELISCONSOLIDATED($E$20,$E56),IF(_xll.TM1RPTELLEV($E$20,$E56)&lt;=3,_xll.TM1RPTELLEV($E$20,$E56),"D"),"N")</f>
        <v>N</v>
      </c>
      <c r="D56" s="218" t="s">
        <v>175</v>
      </c>
      <c r="E56" s="90" t="s">
        <v>207</v>
      </c>
      <c r="F56" t="str">
        <f>_xll.DBRA(Server&amp;"Activity",$E56,Output!$H$18)</f>
        <v>Commercial on demand - Input technical activity</v>
      </c>
      <c r="G56" s="7" t="str">
        <f>_xll.DBRW($D$15,$D56,$E56,G$19)</f>
        <v>1</v>
      </c>
    </row>
    <row r="57" spans="1:7">
      <c r="A57">
        <f>IF(_xll.TM1RPTELISCONSOLIDATED($E$20,$E57),IF(_xll.TM1RPTELLEV($E$20,$E57)&lt;=3,_xll.TM1RPTELLEV($E$20,$E57),"D"),"N")</f>
        <v>1</v>
      </c>
      <c r="D57" s="218" t="s">
        <v>175</v>
      </c>
      <c r="E57" s="186" t="s">
        <v>208</v>
      </c>
      <c r="F57" s="4" t="str">
        <f>_xll.DBRA(Server&amp;"Activity",$E57,Output!$H$18)</f>
        <v>Airport transportation</v>
      </c>
      <c r="G57" s="6" t="str">
        <f>_xll.DBRW($D$15,$D57,$E57,G$19)</f>
        <v>1</v>
      </c>
    </row>
    <row r="58" spans="1:7">
      <c r="A58" t="str">
        <f>IF(_xll.TM1RPTELISCONSOLIDATED($E$20,$E58),IF(_xll.TM1RPTELLEV($E$20,$E58)&lt;=3,_xll.TM1RPTELLEV($E$20,$E58),"D"),"N")</f>
        <v>N</v>
      </c>
      <c r="D58" s="218" t="s">
        <v>175</v>
      </c>
      <c r="E58" s="90" t="s">
        <v>209</v>
      </c>
      <c r="F58" t="str">
        <f>_xll.DBRA(Server&amp;"Activity",$E58,Output!$H$18)</f>
        <v>Airside</v>
      </c>
      <c r="G58" s="7" t="str">
        <f>_xll.DBRW($D$15,$D58,$E58,G$19)</f>
        <v>1</v>
      </c>
    </row>
    <row r="59" spans="1:7">
      <c r="A59" t="str">
        <f>IF(_xll.TM1RPTELISCONSOLIDATED($E$20,$E59),IF(_xll.TM1RPTELLEV($E$20,$E59)&lt;=3,_xll.TM1RPTELLEV($E$20,$E59),"D"),"N")</f>
        <v>N</v>
      </c>
      <c r="D59" s="218" t="s">
        <v>175</v>
      </c>
      <c r="E59" s="90" t="s">
        <v>210</v>
      </c>
      <c r="F59" t="str">
        <f>_xll.DBRA(Server&amp;"Activity",$E59,Output!$H$18)</f>
        <v>Landside</v>
      </c>
      <c r="G59" s="7" t="str">
        <f>_xll.DBRW($D$15,$D59,$E59,G$19)</f>
        <v>1</v>
      </c>
    </row>
    <row r="60" spans="1:7">
      <c r="A60" t="str">
        <f>IF(_xll.TM1RPTELISCONSOLIDATED($E$20,$E60),IF(_xll.TM1RPTELLEV($E$20,$E60)&lt;=3,_xll.TM1RPTELLEV($E$20,$E60),"D"),"N")</f>
        <v>N</v>
      </c>
      <c r="D60" s="218" t="s">
        <v>175</v>
      </c>
      <c r="E60" s="90" t="s">
        <v>211</v>
      </c>
      <c r="F60" t="str">
        <f>_xll.DBRA(Server&amp;"Activity",$E60,Output!$H$18)</f>
        <v>Airport transportation - Input technical activity</v>
      </c>
      <c r="G60" s="7" t="str">
        <f>_xll.DBRW($D$15,$D60,$E60,G$19)</f>
        <v>1</v>
      </c>
    </row>
    <row r="61" spans="1:7">
      <c r="A61" t="str">
        <f>IF(_xll.TM1RPTELISCONSOLIDATED($E$20,$E61),IF(_xll.TM1RPTELLEV($E$20,$E61)&lt;=3,_xll.TM1RPTELLEV($E$20,$E61),"D"),"N")</f>
        <v>N</v>
      </c>
      <c r="D61" s="218" t="s">
        <v>175</v>
      </c>
      <c r="E61" s="90" t="s">
        <v>212</v>
      </c>
      <c r="F61" t="str">
        <f>_xll.DBRA(Server&amp;"Activity",$E61,Output!$H$18)</f>
        <v>Airport services</v>
      </c>
      <c r="G61" s="7" t="str">
        <f>_xll.DBRW($D$15,$D61,$E61,G$19)</f>
        <v>1</v>
      </c>
    </row>
    <row r="62" spans="1:7">
      <c r="A62">
        <f>IF(_xll.TM1RPTELISCONSOLIDATED($E$20,$E62),IF(_xll.TM1RPTELLEV($E$20,$E62)&lt;=3,_xll.TM1RPTELLEV($E$20,$E62),"D"),"N")</f>
        <v>1</v>
      </c>
      <c r="D62" s="218" t="s">
        <v>175</v>
      </c>
      <c r="E62" s="186" t="s">
        <v>213</v>
      </c>
      <c r="F62" s="4" t="str">
        <f>_xll.DBRA(Server&amp;"Activity",$E62,Output!$H$18)</f>
        <v>Other Services</v>
      </c>
      <c r="G62" s="6" t="str">
        <f>_xll.DBRW($D$15,$D62,$E62,G$19)</f>
        <v>1</v>
      </c>
    </row>
    <row r="63" spans="1:7">
      <c r="A63" t="str">
        <f>IF(_xll.TM1RPTELISCONSOLIDATED($E$20,$E63),IF(_xll.TM1RPTELLEV($E$20,$E63)&lt;=3,_xll.TM1RPTELLEV($E$20,$E63),"D"),"N")</f>
        <v>N</v>
      </c>
      <c r="D63" s="218" t="s">
        <v>175</v>
      </c>
      <c r="E63" s="90" t="s">
        <v>163</v>
      </c>
      <c r="F63" t="str">
        <f>_xll.DBRA(Server&amp;"Activity",$E63,Output!$H$18)</f>
        <v>Consulting/AMO</v>
      </c>
      <c r="G63" s="7" t="str">
        <f>_xll.DBRW($D$15,$D63,$E63,G$19)</f>
        <v>1</v>
      </c>
    </row>
    <row r="64" spans="1:7">
      <c r="A64" t="str">
        <f>IF(_xll.TM1RPTELISCONSOLIDATED($E$20,$E64),IF(_xll.TM1RPTELLEV($E$20,$E64)&lt;=3,_xll.TM1RPTELLEV($E$20,$E64),"D"),"N")</f>
        <v>N</v>
      </c>
      <c r="D64" s="218" t="s">
        <v>175</v>
      </c>
      <c r="E64" s="90" t="s">
        <v>214</v>
      </c>
      <c r="F64" t="str">
        <f>_xll.DBRA(Server&amp;"Activity",$E64,Output!$H$18)</f>
        <v>Intermodality services</v>
      </c>
      <c r="G64" s="7" t="str">
        <f>_xll.DBRW($D$15,$D64,$E64,G$19)</f>
        <v>1</v>
      </c>
    </row>
    <row r="65" spans="1:7">
      <c r="A65" t="str">
        <f>IF(_xll.TM1RPTELISCONSOLIDATED($E$20,$E65),IF(_xll.TM1RPTELLEV($E$20,$E65)&lt;=3,_xll.TM1RPTELLEV($E$20,$E65),"D"),"N")</f>
        <v>N</v>
      </c>
      <c r="D65" s="218" t="s">
        <v>175</v>
      </c>
      <c r="E65" s="90" t="s">
        <v>215</v>
      </c>
      <c r="F65" t="str">
        <f>_xll.DBRA(Server&amp;"Activity",$E65,Output!$H$18)</f>
        <v>Digital services</v>
      </c>
      <c r="G65" s="7" t="str">
        <f>_xll.DBRW($D$15,$D65,$E65,G$19)</f>
        <v>1</v>
      </c>
    </row>
    <row r="66" spans="1:7">
      <c r="A66" t="str">
        <f>IF(_xll.TM1RPTELISCONSOLIDATED($E$20,$E66),IF(_xll.TM1RPTELLEV($E$20,$E66)&lt;=3,_xll.TM1RPTELLEV($E$20,$E66),"D"),"N")</f>
        <v>N</v>
      </c>
      <c r="D66" s="218" t="s">
        <v>175</v>
      </c>
      <c r="E66" s="90" t="s">
        <v>216</v>
      </c>
      <c r="F66" t="str">
        <f>_xll.DBRA(Server&amp;"Activity",$E66,Output!$H$18)</f>
        <v>Diagnosis</v>
      </c>
      <c r="G66" s="7" t="str">
        <f>_xll.DBRW($D$15,$D66,$E66,G$19)</f>
        <v>1</v>
      </c>
    </row>
    <row r="67" spans="1:7">
      <c r="A67" t="str">
        <f>IF(_xll.TM1RPTELISCONSOLIDATED($E$20,$E67),IF(_xll.TM1RPTELLEV($E$20,$E67)&lt;=3,_xll.TM1RPTELLEV($E$20,$E67),"D"),"N")</f>
        <v>N</v>
      </c>
      <c r="D67" s="218" t="s">
        <v>175</v>
      </c>
      <c r="E67" s="90" t="s">
        <v>217</v>
      </c>
      <c r="F67" t="str">
        <f>_xll.DBRA(Server&amp;"Activity",$E67,Output!$H$18)</f>
        <v>Call centers / brokerage</v>
      </c>
      <c r="G67" s="7" t="str">
        <f>_xll.DBRW($D$15,$D67,$E67,G$19)</f>
        <v>1</v>
      </c>
    </row>
    <row r="68" spans="1:7">
      <c r="A68" t="str">
        <f>IF(_xll.TM1RPTELISCONSOLIDATED($E$20,$E68),IF(_xll.TM1RPTELLEV($E$20,$E68)&lt;=3,_xll.TM1RPTELLEV($E$20,$E68),"D"),"N")</f>
        <v>N</v>
      </c>
      <c r="D68" s="218" t="s">
        <v>175</v>
      </c>
      <c r="E68" s="90" t="s">
        <v>218</v>
      </c>
      <c r="F68" t="str">
        <f>_xll.DBRA(Server&amp;"Activity",$E68,Output!$H$18)</f>
        <v>Travel agency</v>
      </c>
      <c r="G68" s="7" t="str">
        <f>_xll.DBRW($D$15,$D68,$E68,G$19)</f>
        <v>1</v>
      </c>
    </row>
    <row r="69" spans="1:7">
      <c r="A69" t="str">
        <f>IF(_xll.TM1RPTELISCONSOLIDATED($E$20,$E69),IF(_xll.TM1RPTELLEV($E$20,$E69)&lt;=3,_xll.TM1RPTELLEV($E$20,$E69),"D"),"N")</f>
        <v>N</v>
      </c>
      <c r="D69" s="218" t="s">
        <v>175</v>
      </c>
      <c r="E69" s="90" t="s">
        <v>219</v>
      </c>
      <c r="F69" t="str">
        <f>_xll.DBRA(Server&amp;"Activity",$E69,Output!$H$18)</f>
        <v>Purchase for resale</v>
      </c>
      <c r="G69" s="7" t="str">
        <f>_xll.DBRW($D$15,$D69,$E69,G$19)</f>
        <v>1</v>
      </c>
    </row>
    <row r="70" spans="1:7">
      <c r="A70" t="str">
        <f>IF(_xll.TM1RPTELISCONSOLIDATED($E$20,$E70),IF(_xll.TM1RPTELLEV($E$20,$E70)&lt;=3,_xll.TM1RPTELLEV($E$20,$E70),"D"),"N")</f>
        <v>N</v>
      </c>
      <c r="D70" s="218" t="s">
        <v>175</v>
      </c>
      <c r="E70" s="90" t="s">
        <v>220</v>
      </c>
      <c r="F70" t="str">
        <f>_xll.DBRA(Server&amp;"Activity",$E70,Output!$H$18)</f>
        <v>Other Services - Input technical activity</v>
      </c>
      <c r="G70" s="7" t="str">
        <f>_xll.DBRW($D$15,$D70,$E70,G$19)</f>
        <v>1</v>
      </c>
    </row>
    <row r="71" spans="1:7">
      <c r="A71" t="str">
        <f>IF(_xll.TM1RPTELISCONSOLIDATED($E$20,$E71),IF(_xll.TM1RPTELLEV($E$20,$E71)&lt;=3,_xll.TM1RPTELLEV($E$20,$E71),"D"),"N")</f>
        <v>N</v>
      </c>
      <c r="D71" s="218" t="s">
        <v>175</v>
      </c>
      <c r="E71" s="21" t="s">
        <v>126</v>
      </c>
      <c r="F71" t="str">
        <f>_xll.DBRA(Server&amp;"Activity",$E71,Output!$H$18)</f>
        <v>Holding</v>
      </c>
      <c r="G71" s="7" t="str">
        <f>_xll.DBRW($D$15,$D71,$E71,G$19)</f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haredContentType xmlns="Microsoft.SharePoint.Taxonomy.ContentTypeSync" SourceId="b49a2378-73c7-4e4c-bff8-b85a2f404b86" ContentTypeId="0x0101" PreviousValue="false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00512F-87B9-4C12-9E20-F6A74AA6C18E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7ab32658-e8b5-4d7e-b280-1fb722dd2be1"/>
    <ds:schemaRef ds:uri="37c46d26-95e5-4380-a06b-df42f7fe1be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  <vt:lpstr>Output!Zone_d_impression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Mila Barki</cp:lastModifiedBy>
  <cp:lastPrinted>2021-07-30T12:10:16Z</cp:lastPrinted>
  <dcterms:created xsi:type="dcterms:W3CDTF">2012-01-30T16:11:20Z</dcterms:created>
  <dcterms:modified xsi:type="dcterms:W3CDTF">2024-09-10T13:23:56Z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