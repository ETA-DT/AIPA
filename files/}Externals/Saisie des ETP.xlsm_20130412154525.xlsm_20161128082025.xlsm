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6840" tabRatio="852" firstSheet="1" activeTab="1"/>
  </bookViews>
  <sheets>
    <sheet name="Context" sheetId="66" state="hidden" r:id="rId1"/>
    <sheet name="Saisie_ETP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Saisie_ETP!$I$28:$Z$68</definedName>
    <definedName name="AutoRefresh_Input_PL">Saisie_ETP!$AC$11</definedName>
    <definedName name="AutoRefresh_Saisie_ETP">Saisie_ETP!$G$11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Saisie_ETP!$48:$48</definedName>
    <definedName name="TM1RPTDATARNGARPT4" localSheetId="1">Saisie_ETP!$66:$66</definedName>
    <definedName name="TM1RPTFMTIDCOL" localSheetId="1">Saisie_ETP!$A$1:$A$8</definedName>
    <definedName name="TM1RPTFMTRNG" localSheetId="1">Saisie_ETP!$F$1:$Z$8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Saisie_ETP!$E$18:$AA$75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35" i="58" l="1"/>
  <c r="G37" i="58"/>
  <c r="G38" i="58"/>
  <c r="G39" i="58"/>
  <c r="G40" i="58"/>
  <c r="B5" i="66"/>
  <c r="G25" i="58"/>
  <c r="G41" i="58"/>
  <c r="G24" i="58"/>
  <c r="G43" i="58"/>
  <c r="G42" i="58"/>
  <c r="AP18" i="58"/>
  <c r="B13" i="66"/>
  <c r="C13" i="66"/>
  <c r="G23" i="58"/>
  <c r="H13" i="58"/>
  <c r="M12" i="58"/>
  <c r="F14" i="58"/>
  <c r="M11" i="58"/>
  <c r="J11" i="58"/>
  <c r="I14" i="58"/>
  <c r="Z12" i="58"/>
  <c r="O11" i="58"/>
  <c r="Y12" i="58"/>
  <c r="X12" i="58"/>
  <c r="W12" i="58"/>
  <c r="V12" i="58"/>
  <c r="U12" i="58"/>
  <c r="T12" i="58"/>
  <c r="S12" i="58"/>
  <c r="R12" i="58"/>
  <c r="Q12" i="58"/>
  <c r="P12" i="58"/>
  <c r="O12" i="58"/>
  <c r="L12" i="58"/>
  <c r="L11" i="58"/>
  <c r="AN23" i="58"/>
  <c r="J12" i="58"/>
  <c r="I12" i="58"/>
  <c r="F63" i="58"/>
  <c r="F33" i="58"/>
  <c r="F50" i="58"/>
  <c r="F32" i="58"/>
  <c r="L28" i="58"/>
  <c r="L26" i="58"/>
  <c r="L66" i="58"/>
  <c r="L50" i="58"/>
  <c r="L48" i="58"/>
  <c r="L32" i="58"/>
  <c r="B17" i="66"/>
  <c r="C17" i="66"/>
  <c r="AN22" i="58"/>
  <c r="AN24" i="58"/>
  <c r="F73" i="58"/>
  <c r="F74" i="58"/>
  <c r="F72" i="58"/>
  <c r="F71" i="58"/>
  <c r="AN25" i="58"/>
  <c r="I50" i="58"/>
  <c r="F48" i="58"/>
  <c r="M48" i="58"/>
  <c r="Z50" i="58"/>
  <c r="Y50" i="58"/>
  <c r="X50" i="58"/>
  <c r="W50" i="58"/>
  <c r="V50" i="58"/>
  <c r="U50" i="58"/>
  <c r="T50" i="58"/>
  <c r="S50" i="58"/>
  <c r="R50" i="58"/>
  <c r="Q50" i="58"/>
  <c r="P50" i="58"/>
  <c r="O50" i="58"/>
  <c r="M50" i="58"/>
  <c r="J50" i="58"/>
  <c r="Z32" i="58"/>
  <c r="Y32" i="58"/>
  <c r="X32" i="58"/>
  <c r="W32" i="58"/>
  <c r="V32" i="58"/>
  <c r="U32" i="58"/>
  <c r="T32" i="58"/>
  <c r="S32" i="58"/>
  <c r="R32" i="58"/>
  <c r="Q32" i="58"/>
  <c r="P32" i="58"/>
  <c r="O32" i="58"/>
  <c r="M32" i="58"/>
  <c r="J32" i="58"/>
  <c r="I32" i="58"/>
  <c r="F70" i="58"/>
  <c r="F31" i="58"/>
  <c r="F66" i="58"/>
  <c r="Z66" i="58"/>
  <c r="Y66" i="58"/>
  <c r="X66" i="58"/>
  <c r="W66" i="58"/>
  <c r="V66" i="58"/>
  <c r="U66" i="58"/>
  <c r="T66" i="58"/>
  <c r="S66" i="58"/>
  <c r="R66" i="58"/>
  <c r="Q66" i="58"/>
  <c r="P66" i="58"/>
  <c r="O66" i="58"/>
  <c r="M66" i="58"/>
  <c r="J66" i="58"/>
  <c r="I66" i="58"/>
  <c r="AE66" i="58"/>
  <c r="AD66" i="58"/>
  <c r="AC66" i="58"/>
  <c r="AB66" i="58"/>
  <c r="AB48" i="58"/>
  <c r="AD48" i="58"/>
  <c r="AE48" i="58"/>
  <c r="AC48" i="58"/>
  <c r="Z48" i="58"/>
  <c r="Y48" i="58"/>
  <c r="X48" i="58"/>
  <c r="W48" i="58"/>
  <c r="V48" i="58"/>
  <c r="U48" i="58"/>
  <c r="T48" i="58"/>
  <c r="S48" i="58"/>
  <c r="R48" i="58"/>
  <c r="Q48" i="58"/>
  <c r="P48" i="58"/>
  <c r="O48" i="58"/>
  <c r="J48" i="58"/>
  <c r="I48" i="58"/>
  <c r="F25" i="58"/>
  <c r="Y19" i="58"/>
  <c r="G19" i="58"/>
  <c r="I26" i="58"/>
  <c r="J26" i="58"/>
  <c r="J28" i="58"/>
  <c r="I28" i="58"/>
  <c r="Z28" i="58"/>
  <c r="Y28" i="58"/>
  <c r="X28" i="58"/>
  <c r="W28" i="58"/>
  <c r="V28" i="58"/>
  <c r="U28" i="58"/>
  <c r="T28" i="58"/>
  <c r="S28" i="58"/>
  <c r="R28" i="58"/>
  <c r="Q28" i="58"/>
  <c r="P28" i="58"/>
  <c r="O28" i="58"/>
  <c r="O26" i="58"/>
  <c r="F24" i="58"/>
  <c r="F22" i="58"/>
  <c r="F23" i="58"/>
  <c r="M28" i="58"/>
  <c r="F28" i="58"/>
  <c r="M26" i="58"/>
  <c r="F26" i="58"/>
  <c r="A5" i="58"/>
  <c r="A4" i="58"/>
  <c r="A3" i="58"/>
  <c r="A2" i="58"/>
  <c r="A66" i="58"/>
  <c r="A48" i="58"/>
  <c r="B14" i="66"/>
  <c r="C14" i="66"/>
  <c r="B16" i="66"/>
  <c r="C16" i="66"/>
  <c r="B15" i="66"/>
  <c r="C15" i="66"/>
</calcChain>
</file>

<file path=xl/sharedStrings.xml><?xml version="1.0" encoding="utf-8"?>
<sst xmlns="http://schemas.openxmlformats.org/spreadsheetml/2006/main" count="95" uniqueCount="84">
  <si>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</si>
  <si>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</si>
  <si>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</si>
  <si>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</si>
  <si>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</si>
  <si>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</si>
  <si>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</si>
  <si>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</si>
  <si>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</si>
  <si>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</si>
  <si>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</si>
  <si>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</si>
  <si>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</si>
  <si>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</si>
  <si>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</si>
  <si>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</si>
  <si>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</si>
  <si>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</si>
  <si>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</si>
  <si>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</si>
  <si>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</si>
  <si>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</si>
  <si>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</si>
  <si>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</si>
  <si>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</si>
  <si>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</si>
  <si>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</si>
  <si>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</si>
  <si>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</si>
  <si>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</si>
  <si>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</si>
  <si>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</si>
  <si>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</si>
  <si>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</si>
  <si>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</si>
  <si>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</si>
  <si>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</si>
  <si>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</si>
  <si>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</si>
  <si>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</si>
  <si>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Forecast Version 2</t>
  </si>
  <si>
    <t>List 1</t>
  </si>
  <si>
    <t>Period</t>
  </si>
  <si>
    <t>YearToDate ?</t>
  </si>
  <si>
    <t>P&amp;L Input :</t>
  </si>
  <si>
    <t>Name of the dimension concerning report translation</t>
  </si>
  <si>
    <t>RP_PL_Corp</t>
  </si>
  <si>
    <t>Français</t>
  </si>
  <si>
    <t>Integration_Rate</t>
  </si>
  <si>
    <t>Projets</t>
  </si>
  <si>
    <t>Legal_Organization_Corp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</si>
  <si>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</si>
  <si>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</si>
  <si>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</si>
  <si>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</si>
  <si>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</si>
  <si>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</si>
  <si>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</si>
  <si>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Budget</t>
  </si>
  <si>
    <t>Actual</t>
  </si>
  <si>
    <t>Total</t>
  </si>
  <si>
    <t>ACT_TOT</t>
  </si>
  <si>
    <t>Eléments fixes</t>
  </si>
  <si>
    <t>NA</t>
  </si>
  <si>
    <t>NO_APP</t>
  </si>
  <si>
    <t>LCL</t>
  </si>
  <si>
    <t>Local_Gaap_Mgmt_tool</t>
  </si>
  <si>
    <t>RP_Comments_PL_Corp</t>
  </si>
  <si>
    <t>Réalisé</t>
  </si>
  <si>
    <t>Input</t>
  </si>
  <si>
    <t>Saisie_ETP</t>
  </si>
  <si>
    <t>Management_Organization_Corp</t>
  </si>
  <si>
    <t>ETP_CDI</t>
  </si>
  <si>
    <t>ETP_Autres</t>
  </si>
  <si>
    <t>AutoRefresh_Saisie_ETP</t>
  </si>
  <si>
    <t>Forecast_1</t>
  </si>
  <si>
    <t>Forecast_2</t>
  </si>
  <si>
    <t>Indicator_Corp for comments</t>
  </si>
  <si>
    <t>Tot_ETP</t>
  </si>
  <si>
    <t>Traduction Phase</t>
  </si>
  <si>
    <t>Matricules</t>
  </si>
  <si>
    <t>VTD</t>
  </si>
  <si>
    <t>tango_core_model:</t>
  </si>
  <si>
    <t>TFR-AP019298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</si>
</sst>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;&quot;(&quot;#,##0&quot;)&quot;"/>
  </numFmts>
  <fonts count="6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20"/>
      <name val="Wingdings"/>
      <charset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8"/>
      <color indexed="46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0"/>
      <color rgb="FFFF0000"/>
      <name val="Arial"/>
      <family val="2"/>
    </font>
    <font>
      <sz val="10"/>
      <color rgb="FFFF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indexed="18"/>
      </patternFill>
    </fill>
    <fill>
      <patternFill patternType="solid">
        <fgColor rgb="FF7E408F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</fills>
  <borders count="4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 style="medium">
        <color indexed="9"/>
      </right>
      <top/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/>
      <right style="thick">
        <color theme="0"/>
      </right>
      <top style="medium">
        <color theme="1"/>
      </top>
      <bottom/>
      <diagonal/>
    </border>
    <border>
      <left style="thick">
        <color theme="0"/>
      </left>
      <right/>
      <top style="medium">
        <color theme="1"/>
      </top>
      <bottom/>
      <diagonal/>
    </border>
    <border>
      <left/>
      <right/>
      <top style="medium">
        <color theme="1"/>
      </top>
      <bottom style="thin">
        <color theme="0"/>
      </bottom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52">
    <xf numFmtId="0" fontId="0" fillId="0" borderId="0" xfId="0"/>
    <xf numFmtId="0" fontId="6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center" vertical="center" wrapText="1"/>
    </xf>
    <xf numFmtId="0" fontId="41" fillId="0" borderId="0" xfId="0" applyFont="1" applyFill="1" applyBorder="1" applyAlignment="1" applyProtection="1">
      <alignment horizontal="center" vertical="center" wrapText="1"/>
    </xf>
    <xf numFmtId="0" fontId="64" fillId="31" borderId="39" xfId="205" applyFont="1" applyFill="1" applyBorder="1" applyAlignment="1" applyProtection="1">
      <alignment horizontal="left" vertical="center"/>
      <protection locked="0"/>
    </xf>
    <xf numFmtId="0" fontId="64" fillId="31" borderId="38" xfId="205" applyFont="1" applyFill="1" applyBorder="1" applyAlignment="1" applyProtection="1">
      <alignment horizontal="left" vertical="center"/>
      <protection locked="0"/>
    </xf>
    <xf numFmtId="0" fontId="64" fillId="31" borderId="37" xfId="205" applyFont="1" applyFill="1" applyBorder="1" applyAlignment="1" applyProtection="1">
      <alignment horizontal="left" vertical="center"/>
      <protection locked="0"/>
    </xf>
    <xf numFmtId="0" fontId="46" fillId="30" borderId="14" xfId="0" applyFont="1" applyFill="1" applyBorder="1" applyAlignment="1" applyProtection="1">
      <alignment horizontal="left" vertical="center"/>
      <protection locked="0"/>
    </xf>
    <xf numFmtId="0" fontId="64" fillId="31" borderId="17" xfId="205" applyFont="1" applyFill="1" applyBorder="1" applyAlignment="1" applyProtection="1">
      <alignment horizontal="left" vertical="center"/>
      <protection locked="0"/>
    </xf>
    <xf numFmtId="0" fontId="64" fillId="31" borderId="42" xfId="205" applyFont="1" applyFill="1" applyBorder="1" applyAlignment="1" applyProtection="1">
      <alignment horizontal="left" vertical="center"/>
      <protection locked="0"/>
    </xf>
    <xf numFmtId="0" fontId="64" fillId="31" borderId="41" xfId="205" applyFont="1" applyFill="1" applyBorder="1" applyAlignment="1" applyProtection="1">
      <alignment horizontal="left" vertical="center"/>
      <protection locked="0"/>
    </xf>
    <xf numFmtId="0" fontId="64" fillId="31" borderId="0" xfId="205" applyFont="1" applyFill="1" applyBorder="1" applyAlignment="1" applyProtection="1">
      <alignment horizontal="left" vertical="center"/>
      <protection locked="0"/>
    </xf>
    <xf numFmtId="0" fontId="64" fillId="31" borderId="36" xfId="205" applyFont="1" applyFill="1" applyBorder="1" applyAlignment="1" applyProtection="1">
      <alignment horizontal="left" vertical="center"/>
      <protection locked="0"/>
    </xf>
    <xf numFmtId="0" fontId="64" fillId="31" borderId="21" xfId="205" applyFont="1" applyFill="1" applyBorder="1" applyAlignment="1" applyProtection="1">
      <alignment horizontal="left" vertical="center"/>
      <protection locked="0"/>
    </xf>
    <xf numFmtId="0" fontId="64" fillId="31" borderId="40" xfId="205" applyFont="1" applyFill="1" applyBorder="1" applyAlignment="1" applyProtection="1">
      <alignment horizontal="left" vertical="center"/>
      <protection locked="0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7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8" fillId="30" borderId="14" xfId="0" applyFont="1" applyFill="1" applyBorder="1" applyAlignment="1" applyProtection="1">
      <alignment horizontal="left"/>
      <protection locked="0"/>
    </xf>
    <xf numFmtId="0" fontId="46" fillId="30" borderId="15" xfId="0" applyFont="1" applyFill="1" applyBorder="1" applyProtection="1">
      <protection locked="0"/>
    </xf>
    <xf numFmtId="0" fontId="45" fillId="31" borderId="16" xfId="0" applyFont="1" applyFill="1" applyBorder="1" applyProtection="1">
      <protection locked="0"/>
    </xf>
    <xf numFmtId="0" fontId="45" fillId="0" borderId="16" xfId="0" applyFont="1" applyBorder="1" applyProtection="1">
      <protection locked="0"/>
    </xf>
    <xf numFmtId="0" fontId="45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/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Protection="1"/>
    <xf numFmtId="0" fontId="4" fillId="0" borderId="0" xfId="0" applyFont="1" applyProtection="1"/>
    <xf numFmtId="0" fontId="49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5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0" fillId="0" borderId="23" xfId="0" applyBorder="1" applyProtection="1"/>
    <xf numFmtId="0" fontId="2" fillId="0" borderId="24" xfId="0" applyFont="1" applyBorder="1" applyProtection="1"/>
    <xf numFmtId="0" fontId="2" fillId="0" borderId="26" xfId="0" applyFont="1" applyBorder="1" applyProtection="1"/>
    <xf numFmtId="0" fontId="0" fillId="0" borderId="24" xfId="0" applyBorder="1" applyProtection="1"/>
    <xf numFmtId="0" fontId="3" fillId="36" borderId="24" xfId="205" applyFont="1" applyFill="1" applyBorder="1" applyAlignment="1" applyProtection="1">
      <alignment horizontal="center" vertical="center"/>
    </xf>
    <xf numFmtId="0" fontId="0" fillId="0" borderId="27" xfId="0" applyBorder="1" applyProtection="1"/>
    <xf numFmtId="0" fontId="0" fillId="0" borderId="26" xfId="0" applyBorder="1" applyProtection="1"/>
    <xf numFmtId="0" fontId="49" fillId="0" borderId="27" xfId="0" applyFont="1" applyBorder="1" applyAlignment="1" applyProtection="1">
      <alignment horizontal="center"/>
    </xf>
    <xf numFmtId="0" fontId="4" fillId="0" borderId="28" xfId="205" applyFont="1" applyFill="1" applyBorder="1" applyAlignment="1" applyProtection="1">
      <alignment vertic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9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9" xfId="205" applyFont="1" applyFill="1" applyBorder="1" applyAlignment="1" applyProtection="1">
      <alignment vertical="center"/>
    </xf>
    <xf numFmtId="0" fontId="2" fillId="35" borderId="29" xfId="0" applyFont="1" applyFill="1" applyBorder="1" applyProtection="1"/>
    <xf numFmtId="0" fontId="44" fillId="35" borderId="29" xfId="0" applyFont="1" applyFill="1" applyBorder="1" applyProtection="1"/>
    <xf numFmtId="0" fontId="51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4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53" fillId="37" borderId="0" xfId="205" applyFont="1" applyFill="1" applyBorder="1" applyAlignment="1" applyProtection="1">
      <alignment horizontal="right" vertical="center"/>
    </xf>
    <xf numFmtId="0" fontId="3" fillId="37" borderId="0" xfId="205" applyFont="1" applyFill="1" applyBorder="1" applyAlignment="1" applyProtection="1">
      <alignment horizontal="center" vertical="center"/>
    </xf>
    <xf numFmtId="0" fontId="0" fillId="35" borderId="17" xfId="0" applyFill="1" applyBorder="1" applyProtection="1"/>
    <xf numFmtId="0" fontId="44" fillId="35" borderId="0" xfId="0" applyFont="1" applyFill="1" applyBorder="1" applyAlignment="1" applyProtection="1">
      <alignment horizontal="right"/>
    </xf>
    <xf numFmtId="0" fontId="50" fillId="35" borderId="0" xfId="0" applyFont="1" applyFill="1" applyBorder="1" applyProtection="1"/>
    <xf numFmtId="0" fontId="2" fillId="35" borderId="0" xfId="0" applyFont="1" applyFill="1" applyBorder="1" applyProtection="1"/>
    <xf numFmtId="0" fontId="9" fillId="0" borderId="31" xfId="196" applyFont="1" applyFill="1" applyBorder="1" applyAlignment="1" applyProtection="1">
      <alignment horizontal="center" vertical="center" wrapText="1"/>
    </xf>
    <xf numFmtId="0" fontId="0" fillId="36" borderId="4" xfId="0" applyFill="1" applyBorder="1" applyProtection="1">
      <protection locked="0"/>
    </xf>
    <xf numFmtId="0" fontId="12" fillId="0" borderId="0" xfId="0" applyFont="1"/>
    <xf numFmtId="0" fontId="46" fillId="38" borderId="0" xfId="0" applyFont="1" applyFill="1" applyAlignment="1">
      <alignment horizontal="center"/>
    </xf>
    <xf numFmtId="0" fontId="52" fillId="0" borderId="0" xfId="0" applyFont="1" applyAlignment="1" applyProtection="1">
      <alignment horizontal="right"/>
    </xf>
    <xf numFmtId="0" fontId="52" fillId="0" borderId="27" xfId="0" applyFont="1" applyBorder="1" applyAlignment="1" applyProtection="1">
      <alignment horizontal="center"/>
    </xf>
    <xf numFmtId="0" fontId="2" fillId="0" borderId="27" xfId="0" applyFont="1" applyBorder="1" applyProtection="1"/>
    <xf numFmtId="0" fontId="2" fillId="0" borderId="26" xfId="0" applyFont="1" applyFill="1" applyBorder="1" applyProtection="1"/>
    <xf numFmtId="0" fontId="2" fillId="0" borderId="25" xfId="0" applyFont="1" applyFill="1" applyBorder="1" applyProtection="1"/>
    <xf numFmtId="0" fontId="4" fillId="0" borderId="26" xfId="205" applyFont="1" applyFill="1" applyBorder="1" applyAlignment="1" applyProtection="1">
      <alignment vertical="center"/>
    </xf>
    <xf numFmtId="0" fontId="0" fillId="0" borderId="25" xfId="0" applyBorder="1" applyProtection="1"/>
    <xf numFmtId="0" fontId="4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5" fillId="39" borderId="0" xfId="0" applyFont="1" applyFill="1" applyBorder="1" applyProtection="1"/>
    <xf numFmtId="0" fontId="55" fillId="30" borderId="30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2" fillId="35" borderId="0" xfId="0" applyFont="1" applyFill="1" applyProtection="1"/>
    <xf numFmtId="0" fontId="49" fillId="35" borderId="0" xfId="0" applyFont="1" applyFill="1" applyProtection="1"/>
    <xf numFmtId="0" fontId="12" fillId="35" borderId="29" xfId="0" applyFont="1" applyFill="1" applyBorder="1" applyProtection="1"/>
    <xf numFmtId="0" fontId="44" fillId="35" borderId="0" xfId="0" applyFont="1" applyFill="1" applyBorder="1" applyProtection="1"/>
    <xf numFmtId="0" fontId="56" fillId="0" borderId="0" xfId="222" applyFont="1" applyFill="1" applyBorder="1" applyAlignment="1" applyProtection="1">
      <alignment horizontal="left" vertical="center"/>
    </xf>
    <xf numFmtId="0" fontId="42" fillId="0" borderId="35" xfId="205" applyFont="1" applyFill="1" applyBorder="1" applyAlignment="1" applyProtection="1">
      <alignment vertical="center"/>
    </xf>
    <xf numFmtId="0" fontId="57" fillId="0" borderId="0" xfId="205" applyFont="1" applyFill="1" applyBorder="1" applyAlignment="1" applyProtection="1">
      <alignment vertical="center"/>
    </xf>
    <xf numFmtId="0" fontId="58" fillId="0" borderId="0" xfId="0" applyFont="1"/>
    <xf numFmtId="0" fontId="42" fillId="29" borderId="0" xfId="222" applyFont="1" applyFill="1" applyBorder="1" applyAlignment="1">
      <alignment vertical="center" wrapText="1"/>
    </xf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4" fillId="0" borderId="0" xfId="0" applyFont="1" applyFill="1" applyBorder="1" applyProtection="1"/>
    <xf numFmtId="0" fontId="0" fillId="0" borderId="0" xfId="0" applyFill="1"/>
    <xf numFmtId="0" fontId="0" fillId="35" borderId="36" xfId="0" applyFill="1" applyBorder="1" applyProtection="1"/>
    <xf numFmtId="0" fontId="59" fillId="0" borderId="0" xfId="0" applyFont="1"/>
    <xf numFmtId="0" fontId="42" fillId="0" borderId="0" xfId="205" applyFont="1" applyFill="1" applyBorder="1" applyAlignment="1" applyProtection="1">
      <alignment vertical="center"/>
    </xf>
    <xf numFmtId="0" fontId="42" fillId="0" borderId="0" xfId="222" applyFont="1" applyFill="1" applyBorder="1" applyAlignment="1">
      <alignment vertical="center" wrapText="1"/>
    </xf>
    <xf numFmtId="0" fontId="49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4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50" fillId="39" borderId="0" xfId="0" applyFont="1" applyFill="1" applyBorder="1" applyProtection="1"/>
    <xf numFmtId="0" fontId="61" fillId="35" borderId="0" xfId="0" applyFont="1" applyFill="1" applyProtection="1"/>
    <xf numFmtId="171" fontId="42" fillId="29" borderId="0" xfId="222" applyNumberFormat="1" applyFont="1" applyFill="1" applyBorder="1" applyAlignment="1">
      <alignment horizontal="left" vertical="center" wrapText="1"/>
    </xf>
    <xf numFmtId="0" fontId="42" fillId="29" borderId="0" xfId="222" applyFont="1" applyFill="1" applyBorder="1" applyAlignment="1">
      <alignment horizontal="left" vertical="center" wrapText="1"/>
    </xf>
    <xf numFmtId="0" fontId="3" fillId="0" borderId="0" xfId="222" applyFont="1" applyProtection="1"/>
    <xf numFmtId="0" fontId="62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2" fillId="0" borderId="0" xfId="205" applyFont="1" applyFill="1" applyBorder="1" applyAlignment="1" applyProtection="1">
      <alignment horizontal="right" vertical="center" indent="1"/>
    </xf>
    <xf numFmtId="0" fontId="63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58" fillId="0" borderId="0" xfId="0" applyFont="1" applyProtection="1"/>
    <xf numFmtId="0" fontId="52" fillId="35" borderId="17" xfId="0" applyFont="1" applyFill="1" applyBorder="1" applyAlignment="1" applyProtection="1">
      <alignment horizontal="right"/>
    </xf>
    <xf numFmtId="0" fontId="12" fillId="35" borderId="17" xfId="0" applyFont="1" applyFill="1" applyBorder="1" applyProtection="1"/>
    <xf numFmtId="0" fontId="66" fillId="35" borderId="0" xfId="0" applyFont="1" applyFill="1" applyProtection="1"/>
    <xf numFmtId="3" fontId="4" fillId="0" borderId="0" xfId="205" applyNumberFormat="1" applyFont="1" applyFill="1" applyBorder="1" applyAlignment="1" applyProtection="1">
      <alignment horizontal="right" vertical="center" indent="1"/>
    </xf>
    <xf numFmtId="3" fontId="4" fillId="0" borderId="0" xfId="205" applyNumberFormat="1" applyFont="1" applyFill="1" applyBorder="1" applyAlignment="1" applyProtection="1">
      <alignment vertical="center"/>
    </xf>
    <xf numFmtId="3" fontId="0" fillId="0" borderId="0" xfId="0" applyNumberFormat="1"/>
    <xf numFmtId="3" fontId="12" fillId="0" borderId="0" xfId="0" applyNumberFormat="1" applyFont="1"/>
    <xf numFmtId="172" fontId="42" fillId="0" borderId="35" xfId="205" applyNumberFormat="1" applyFont="1" applyFill="1" applyBorder="1" applyAlignment="1" applyProtection="1">
      <alignment horizontal="right" vertical="center" indent="1"/>
    </xf>
    <xf numFmtId="172" fontId="0" fillId="0" borderId="0" xfId="0" applyNumberFormat="1"/>
    <xf numFmtId="172" fontId="42" fillId="31" borderId="35" xfId="205" applyNumberFormat="1" applyFont="1" applyFill="1" applyBorder="1" applyAlignment="1" applyProtection="1">
      <alignment horizontal="right" vertical="center" indent="1"/>
      <protection locked="0"/>
    </xf>
    <xf numFmtId="0" fontId="7" fillId="0" borderId="0" xfId="0" applyFont="1" applyFill="1" applyBorder="1" applyAlignment="1" applyProtection="1">
      <alignment horizontal="center" vertical="center" wrapText="1"/>
    </xf>
    <xf numFmtId="0" fontId="67" fillId="40" borderId="0" xfId="0" applyFont="1" applyFill="1" applyAlignment="1" applyProtection="1">
      <alignment horizontal="left" indent="1"/>
    </xf>
    <xf numFmtId="0" fontId="60" fillId="41" borderId="0" xfId="0" applyFont="1" applyFill="1" applyAlignment="1" applyProtection="1">
      <alignment horizontal="center" vertical="center"/>
    </xf>
    <xf numFmtId="0" fontId="65" fillId="42" borderId="0" xfId="0" applyFont="1" applyFill="1" applyAlignment="1" applyProtection="1">
      <alignment horizontal="right" vertical="center"/>
    </xf>
    <xf numFmtId="0" fontId="4" fillId="42" borderId="0" xfId="0" applyFont="1" applyFill="1" applyAlignment="1" applyProtection="1">
      <alignment horizontal="left" indent="1"/>
    </xf>
    <xf numFmtId="0" fontId="41" fillId="43" borderId="0" xfId="0" applyFont="1" applyFill="1" applyBorder="1" applyAlignment="1" applyProtection="1">
      <alignment horizontal="center" vertical="center" wrapText="1"/>
    </xf>
    <xf numFmtId="0" fontId="41" fillId="43" borderId="32" xfId="0" applyFont="1" applyFill="1" applyBorder="1" applyAlignment="1" applyProtection="1">
      <alignment horizontal="center" vertical="center" wrapText="1"/>
    </xf>
    <xf numFmtId="0" fontId="7" fillId="44" borderId="33" xfId="0" applyFont="1" applyFill="1" applyBorder="1" applyAlignment="1" applyProtection="1">
      <alignment horizontal="center" vertical="center" wrapText="1"/>
    </xf>
    <xf numFmtId="0" fontId="7" fillId="44" borderId="34" xfId="0" applyFont="1" applyFill="1" applyBorder="1" applyAlignment="1" applyProtection="1">
      <alignment horizontal="center" vertical="center" wrapText="1"/>
    </xf>
    <xf numFmtId="0" fontId="6" fillId="32" borderId="43" xfId="0" applyFont="1" applyFill="1" applyBorder="1" applyAlignment="1">
      <alignment horizontal="left" vertical="center"/>
    </xf>
    <xf numFmtId="0" fontId="6" fillId="32" borderId="43" xfId="0" applyFont="1" applyFill="1" applyBorder="1" applyAlignment="1">
      <alignment horizontal="left" vertical="center"/>
    </xf>
    <xf numFmtId="3" fontId="6" fillId="32" borderId="44" xfId="0" applyNumberFormat="1" applyFont="1" applyFill="1" applyBorder="1" applyAlignment="1">
      <alignment horizontal="right" vertical="center" indent="1"/>
    </xf>
    <xf numFmtId="3" fontId="6" fillId="32" borderId="45" xfId="0" applyNumberFormat="1" applyFont="1" applyFill="1" applyBorder="1" applyAlignment="1">
      <alignment horizontal="right" vertical="center" indent="1"/>
    </xf>
    <xf numFmtId="3" fontId="6" fillId="32" borderId="46" xfId="0" applyNumberFormat="1" applyFont="1" applyFill="1" applyBorder="1" applyAlignment="1">
      <alignment horizontal="right" vertical="center" indent="1"/>
    </xf>
    <xf numFmtId="3" fontId="6" fillId="32" borderId="43" xfId="0" applyNumberFormat="1" applyFont="1" applyFill="1" applyBorder="1" applyAlignment="1">
      <alignment horizontal="right" vertical="center" indent="1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EAEAEA"/>
      <color rgb="FFDDDDDD"/>
      <color rgb="FF7E408F"/>
      <color rgb="FFFF5353"/>
      <color rgb="FF3F1260"/>
      <color rgb="FFFFFF99"/>
      <color rgb="FF6F7072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15</xdr:row>
      <xdr:rowOff>142875</xdr:rowOff>
    </xdr:from>
    <xdr:to>
      <xdr:col>5</xdr:col>
      <xdr:colOff>2905125</xdr:colOff>
      <xdr:row>17</xdr:row>
      <xdr:rowOff>57150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24</xdr:col>
      <xdr:colOff>607002</xdr:colOff>
      <xdr:row>18</xdr:row>
      <xdr:rowOff>121226</xdr:rowOff>
    </xdr:from>
    <xdr:to>
      <xdr:col>47</xdr:col>
      <xdr:colOff>187036</xdr:colOff>
      <xdr:row>19</xdr:row>
      <xdr:rowOff>305664</xdr:rowOff>
    </xdr:to>
    <xdr:grpSp>
      <xdr:nvGrpSpPr>
        <xdr:cNvPr id="11" name="Group 3"/>
        <xdr:cNvGrpSpPr>
          <a:grpSpLocks/>
        </xdr:cNvGrpSpPr>
      </xdr:nvGrpSpPr>
      <xdr:grpSpPr bwMode="auto">
        <a:xfrm>
          <a:off x="18514002" y="813953"/>
          <a:ext cx="1000125" cy="703984"/>
          <a:chOff x="1741" y="124"/>
          <a:chExt cx="105" cy="74"/>
        </a:xfrm>
      </xdr:grpSpPr>
      <xdr:pic>
        <xdr:nvPicPr>
          <xdr:cNvPr id="12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85725</xdr:rowOff>
        </xdr:from>
        <xdr:to>
          <xdr:col>5</xdr:col>
          <xdr:colOff>2247900</xdr:colOff>
          <xdr:row>17</xdr:row>
          <xdr:rowOff>47625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31"/>
  <sheetViews>
    <sheetView topLeftCell="A7" workbookViewId="0"/>
  </sheetViews>
  <sheetFormatPr baseColWidth="10" defaultColWidth="9.140625" defaultRowHeight="12.75" x14ac:dyDescent="0.2"/>
  <cols>
    <col min="1" max="1" width="38.28515625" style="22" bestFit="1" customWidth="1"/>
    <col min="2" max="2" width="17.85546875" style="22" bestFit="1" customWidth="1"/>
    <col min="3" max="3" width="9.140625" style="22"/>
    <col min="4" max="4" width="27.7109375" style="22" customWidth="1"/>
    <col min="5" max="16384" width="9.140625" style="22"/>
  </cols>
  <sheetData>
    <row r="1" spans="1:3" ht="18" x14ac:dyDescent="0.25">
      <c r="A1" s="20" t="s">
        <v>44</v>
      </c>
      <c r="B1" s="21"/>
    </row>
    <row r="2" spans="1:3" x14ac:dyDescent="0.2">
      <c r="A2" s="21"/>
      <c r="B2" s="21"/>
    </row>
    <row r="3" spans="1:3" ht="15.75" x14ac:dyDescent="0.25">
      <c r="A3" s="23" t="s">
        <v>5</v>
      </c>
      <c r="B3" s="21"/>
    </row>
    <row r="4" spans="1:3" x14ac:dyDescent="0.2">
      <c r="A4" s="24" t="s">
        <v>4</v>
      </c>
      <c r="B4" s="25" t="s">
        <v>82</v>
      </c>
    </row>
    <row r="5" spans="1:3" x14ac:dyDescent="0.2">
      <c r="A5" s="24" t="s">
        <v>7</v>
      </c>
      <c r="B5" s="26" t="str">
        <f>LEFT(Server,LEN(Server)-1)</f>
        <v>tango_core_model</v>
      </c>
    </row>
    <row r="6" spans="1:3" x14ac:dyDescent="0.2">
      <c r="A6" s="24" t="s">
        <v>3</v>
      </c>
      <c r="B6" s="26" t="s">
        <v>83</v>
      </c>
    </row>
    <row r="7" spans="1:3" x14ac:dyDescent="0.2">
      <c r="A7" s="24" t="s">
        <v>18</v>
      </c>
      <c r="B7" s="26">
        <v>0</v>
      </c>
    </row>
    <row r="8" spans="1:3" x14ac:dyDescent="0.2">
      <c r="A8" s="24" t="s">
        <v>34</v>
      </c>
      <c r="B8" s="26">
        <v>0</v>
      </c>
    </row>
    <row r="10" spans="1:3" ht="15.75" x14ac:dyDescent="0.25">
      <c r="A10" s="23" t="s">
        <v>6</v>
      </c>
    </row>
    <row r="11" spans="1:3" ht="13.5" customHeight="1" x14ac:dyDescent="0.2">
      <c r="A11" s="24" t="s">
        <v>14</v>
      </c>
      <c r="B11" s="26" t="s">
        <v>46</v>
      </c>
    </row>
    <row r="12" spans="1:3" ht="13.5" customHeight="1" x14ac:dyDescent="0.2">
      <c r="A12" s="24" t="s">
        <v>15</v>
      </c>
      <c r="B12" s="26" t="s">
        <v>67</v>
      </c>
    </row>
    <row r="13" spans="1:3" x14ac:dyDescent="0.2">
      <c r="A13" s="24" t="s">
        <v>9</v>
      </c>
      <c r="B13" s="26" t="str">
        <f ca="1">_xll.DBR(Server&amp;"z_Admin_Param","MONTH_CORPORATE","STR_VAR1")</f>
        <v>2013.03</v>
      </c>
      <c r="C13" s="22" t="str">
        <f ca="1">LEFT(ActualMonth,4)</f>
        <v>2013</v>
      </c>
    </row>
    <row r="14" spans="1:3" x14ac:dyDescent="0.2">
      <c r="A14" s="24" t="s">
        <v>19</v>
      </c>
      <c r="B14" s="26" t="str">
        <f ca="1">_xll.DBR(Server&amp;"z_Admin_Param","BUDGET_VERSION_BUDGET_FORECAST","STR_VAR1")</f>
        <v>VC</v>
      </c>
      <c r="C14" s="22" t="str">
        <f ca="1">IF(B14="VF","","_"&amp;B14)</f>
        <v>_VC</v>
      </c>
    </row>
    <row r="15" spans="1:3" x14ac:dyDescent="0.2">
      <c r="A15" s="24" t="s">
        <v>20</v>
      </c>
      <c r="B15" s="26" t="str">
        <f ca="1">_xll.DBR(Server&amp;"z_Admin_Param","FORECAST_1_VERSION_BUDGET_FORECAST","STR_VAR1")</f>
        <v>VC</v>
      </c>
      <c r="C15" s="22" t="str">
        <f ca="1">IF(B15="VF","","_"&amp;B15)</f>
        <v>_VC</v>
      </c>
    </row>
    <row r="16" spans="1:3" x14ac:dyDescent="0.2">
      <c r="A16" s="24" t="s">
        <v>40</v>
      </c>
      <c r="B16" s="26" t="str">
        <f ca="1">_xll.DBR(Server&amp;"z_Admin_Param","FORECAST_2_VERSION_BUDGET_FORECAST","STR_VAR1")</f>
        <v>VC</v>
      </c>
      <c r="C16" s="22" t="str">
        <f ca="1">IF(B16="VF","","_"&amp;B16)</f>
        <v>_VC</v>
      </c>
    </row>
    <row r="17" spans="1:6" x14ac:dyDescent="0.2">
      <c r="A17" s="24" t="s">
        <v>2</v>
      </c>
      <c r="B17" s="27" t="str">
        <f ca="1">_xll.DBR(Server&amp;"z_Client_Properties","Language",_xll.TM1USER(xServer))</f>
        <v>French</v>
      </c>
      <c r="C17" s="22" t="str">
        <f ca="1">IF(LocalLanguage="French","Français",LocalLanguage)</f>
        <v>Français</v>
      </c>
    </row>
    <row r="18" spans="1:6" x14ac:dyDescent="0.2">
      <c r="A18" s="7" t="s">
        <v>28</v>
      </c>
      <c r="B18" s="41" t="s">
        <v>1</v>
      </c>
    </row>
    <row r="19" spans="1:6" x14ac:dyDescent="0.2">
      <c r="A19" s="7"/>
      <c r="B19" s="41" t="s">
        <v>47</v>
      </c>
    </row>
    <row r="20" spans="1:6" x14ac:dyDescent="0.2">
      <c r="A20" s="7"/>
      <c r="B20" s="41" t="s">
        <v>11</v>
      </c>
    </row>
    <row r="21" spans="1:6" x14ac:dyDescent="0.2">
      <c r="A21" s="7"/>
      <c r="B21" s="41" t="s">
        <v>12</v>
      </c>
    </row>
    <row r="22" spans="1:6" x14ac:dyDescent="0.2">
      <c r="A22" s="7"/>
      <c r="B22" s="41" t="s">
        <v>13</v>
      </c>
    </row>
    <row r="23" spans="1:6" x14ac:dyDescent="0.2">
      <c r="A23" s="7" t="s">
        <v>29</v>
      </c>
      <c r="B23" s="41" t="s">
        <v>25</v>
      </c>
    </row>
    <row r="24" spans="1:6" x14ac:dyDescent="0.2">
      <c r="A24" s="7"/>
      <c r="B24" s="41" t="s">
        <v>26</v>
      </c>
    </row>
    <row r="25" spans="1:6" x14ac:dyDescent="0.2">
      <c r="A25" s="7"/>
      <c r="B25" s="41" t="s">
        <v>27</v>
      </c>
    </row>
    <row r="27" spans="1:6" ht="15.75" x14ac:dyDescent="0.25">
      <c r="A27" s="23" t="s">
        <v>21</v>
      </c>
      <c r="F27" s="22" t="s">
        <v>8</v>
      </c>
    </row>
    <row r="28" spans="1:6" ht="13.5" customHeight="1" x14ac:dyDescent="0.25">
      <c r="A28" s="22" t="s">
        <v>22</v>
      </c>
      <c r="B28" s="38"/>
    </row>
    <row r="29" spans="1:6" x14ac:dyDescent="0.2">
      <c r="A29" s="22" t="s">
        <v>23</v>
      </c>
      <c r="B29" s="39"/>
    </row>
    <row r="30" spans="1:6" x14ac:dyDescent="0.2">
      <c r="A30" s="22" t="s">
        <v>24</v>
      </c>
      <c r="B30" s="40"/>
    </row>
    <row r="31" spans="1:6" x14ac:dyDescent="0.2">
      <c r="A31" s="22" t="s">
        <v>45</v>
      </c>
      <c r="B31" s="75"/>
    </row>
  </sheetData>
  <sheetProtection sheet="1" objects="1" scenarios="1" formatColumns="0" formatRows="0"/>
  <mergeCells count="2">
    <mergeCell ref="A18:A22"/>
    <mergeCell ref="A23:A25"/>
  </mergeCells>
  <phoneticPr fontId="4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36"/>
    <pageSetUpPr fitToPage="1"/>
  </sheetPr>
  <dimension ref="A1:BA170"/>
  <sheetViews>
    <sheetView showGridLines="0" tabSelected="1" topLeftCell="E16" zoomScale="55" zoomScaleNormal="55" zoomScaleSheetLayoutView="70" workbookViewId="0"/>
  </sheetViews>
  <sheetFormatPr baseColWidth="10" defaultColWidth="11.42578125" defaultRowHeight="18" customHeight="1" x14ac:dyDescent="0.2"/>
  <cols>
    <col min="1" max="1" width="20.42578125" style="15" hidden="1" customWidth="1"/>
    <col min="2" max="2" width="8.140625" style="28" hidden="1" customWidth="1"/>
    <col min="3" max="3" width="25.140625" style="28" hidden="1" customWidth="1"/>
    <col min="4" max="4" width="29" style="28" hidden="1" customWidth="1"/>
    <col min="5" max="5" width="6.42578125" style="42" customWidth="1"/>
    <col min="6" max="6" width="45.7109375" style="28" customWidth="1"/>
    <col min="7" max="7" width="46.7109375" style="42" customWidth="1"/>
    <col min="8" max="8" width="7.7109375" style="42" customWidth="1"/>
    <col min="9" max="9" width="11.85546875" style="42" customWidth="1"/>
    <col min="10" max="10" width="11.5703125" style="42" customWidth="1"/>
    <col min="11" max="11" width="2.7109375" style="42" customWidth="1"/>
    <col min="12" max="13" width="11.85546875" style="42" customWidth="1"/>
    <col min="14" max="14" width="2.7109375" style="42" customWidth="1"/>
    <col min="15" max="15" width="11.28515625" style="42" customWidth="1"/>
    <col min="16" max="16" width="10.85546875" style="42" customWidth="1"/>
    <col min="17" max="17" width="12.28515625" style="42" customWidth="1"/>
    <col min="18" max="18" width="10" style="42" customWidth="1"/>
    <col min="19" max="20" width="10.5703125" style="42" customWidth="1"/>
    <col min="21" max="21" width="9.7109375" style="42" customWidth="1"/>
    <col min="22" max="23" width="11.5703125" style="42" customWidth="1"/>
    <col min="24" max="24" width="10.28515625" style="42" customWidth="1"/>
    <col min="25" max="25" width="10.85546875" style="42" customWidth="1"/>
    <col min="26" max="26" width="10.28515625" style="42" customWidth="1"/>
    <col min="27" max="27" width="5.7109375" style="42" hidden="1" customWidth="1"/>
    <col min="28" max="28" width="83.7109375" style="16" hidden="1" customWidth="1"/>
    <col min="29" max="29" width="49.7109375" style="16" hidden="1" customWidth="1"/>
    <col min="30" max="30" width="12.85546875" style="16" hidden="1" customWidth="1"/>
    <col min="31" max="31" width="20.85546875" style="16" hidden="1" customWidth="1"/>
    <col min="32" max="32" width="14.28515625" style="28" hidden="1" customWidth="1"/>
    <col min="33" max="38" width="9" style="28" hidden="1" customWidth="1"/>
    <col min="39" max="39" width="25.140625" style="28" hidden="1" customWidth="1"/>
    <col min="40" max="40" width="10.5703125" style="28" hidden="1" customWidth="1"/>
    <col min="41" max="41" width="11.5703125" style="28" hidden="1" customWidth="1"/>
    <col min="42" max="42" width="7.140625" style="28" hidden="1" customWidth="1"/>
    <col min="43" max="43" width="6.5703125" style="28" hidden="1" customWidth="1"/>
    <col min="44" max="44" width="6.140625" style="28" hidden="1" customWidth="1"/>
    <col min="45" max="45" width="6.5703125" style="28" hidden="1" customWidth="1"/>
    <col min="46" max="47" width="6.5703125" style="15" hidden="1" customWidth="1"/>
    <col min="48" max="52" width="6.5703125" style="15" customWidth="1"/>
    <col min="53" max="54" width="6.42578125" style="15" customWidth="1"/>
    <col min="55" max="56" width="11.42578125" style="15" customWidth="1"/>
    <col min="57" max="16384" width="11.42578125" style="15"/>
  </cols>
  <sheetData>
    <row r="1" spans="1:44" customFormat="1" ht="18" hidden="1" customHeight="1" x14ac:dyDescent="0.2">
      <c r="A1" t="s">
        <v>55</v>
      </c>
      <c r="AB1" s="110"/>
      <c r="AC1" s="110"/>
      <c r="AD1" s="110"/>
      <c r="AE1" s="110"/>
    </row>
    <row r="2" spans="1:44" customFormat="1" ht="18" hidden="1" customHeight="1" x14ac:dyDescent="0.2">
      <c r="A2">
        <f ca="1">0</f>
        <v>0</v>
      </c>
      <c r="F2" s="118"/>
      <c r="G2" s="98"/>
      <c r="H2" s="98"/>
      <c r="I2" s="134"/>
      <c r="J2" s="134"/>
      <c r="K2" s="135"/>
      <c r="L2" s="134"/>
      <c r="M2" s="134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B2" s="108"/>
      <c r="AC2" s="108"/>
      <c r="AD2" s="108"/>
      <c r="AE2" s="107"/>
    </row>
    <row r="3" spans="1:44" customFormat="1" ht="18" hidden="1" customHeight="1" x14ac:dyDescent="0.2">
      <c r="A3">
        <f ca="1">1</f>
        <v>1</v>
      </c>
      <c r="F3" s="118"/>
      <c r="G3" s="98"/>
      <c r="H3" s="98"/>
      <c r="I3" s="134"/>
      <c r="J3" s="134"/>
      <c r="K3" s="135"/>
      <c r="L3" s="134"/>
      <c r="M3" s="134"/>
      <c r="N3" s="135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B3" s="108"/>
      <c r="AC3" s="108"/>
      <c r="AD3" s="108"/>
      <c r="AE3" s="107"/>
    </row>
    <row r="4" spans="1:44" customFormat="1" ht="18" hidden="1" customHeight="1" x14ac:dyDescent="0.2">
      <c r="A4">
        <f ca="1">2</f>
        <v>2</v>
      </c>
      <c r="F4" s="118"/>
      <c r="G4" s="98"/>
      <c r="H4" s="98"/>
      <c r="I4" s="134"/>
      <c r="J4" s="134"/>
      <c r="K4" s="135"/>
      <c r="L4" s="134"/>
      <c r="M4" s="134"/>
      <c r="N4" s="135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B4" s="108"/>
      <c r="AC4" s="108"/>
      <c r="AD4" s="108"/>
      <c r="AE4" s="107"/>
    </row>
    <row r="5" spans="1:44" customFormat="1" ht="18" hidden="1" customHeight="1" x14ac:dyDescent="0.2">
      <c r="A5">
        <f ca="1">3</f>
        <v>3</v>
      </c>
      <c r="F5" s="118"/>
      <c r="G5" s="98"/>
      <c r="H5" s="98"/>
      <c r="I5" s="134"/>
      <c r="J5" s="134"/>
      <c r="K5" s="135"/>
      <c r="L5" s="134"/>
      <c r="M5" s="134"/>
      <c r="N5" s="135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B5" s="108"/>
      <c r="AC5" s="108"/>
      <c r="AD5" s="108"/>
      <c r="AE5" s="107"/>
    </row>
    <row r="6" spans="1:44" customFormat="1" ht="18" hidden="1" customHeight="1" x14ac:dyDescent="0.2">
      <c r="A6" t="s">
        <v>53</v>
      </c>
      <c r="F6" s="118"/>
      <c r="G6" s="98"/>
      <c r="H6" s="98"/>
      <c r="I6" s="134"/>
      <c r="J6" s="134"/>
      <c r="K6" s="135"/>
      <c r="L6" s="134"/>
      <c r="M6" s="134"/>
      <c r="N6" s="135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B6" s="108"/>
      <c r="AC6" s="108"/>
      <c r="AD6" s="108"/>
      <c r="AE6" s="107"/>
    </row>
    <row r="7" spans="1:44" customFormat="1" ht="18" hidden="1" customHeight="1" x14ac:dyDescent="0.2">
      <c r="A7" t="s">
        <v>54</v>
      </c>
      <c r="F7" s="118"/>
      <c r="G7" s="98"/>
      <c r="H7" s="98"/>
      <c r="I7" s="134"/>
      <c r="J7" s="134"/>
      <c r="K7" s="135"/>
      <c r="L7" s="134"/>
      <c r="M7" s="134"/>
      <c r="N7" s="135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B7" s="108"/>
      <c r="AC7" s="108"/>
      <c r="AD7" s="108"/>
      <c r="AE7" s="111"/>
    </row>
    <row r="8" spans="1:44" customFormat="1" ht="18" hidden="1" customHeight="1" x14ac:dyDescent="0.2">
      <c r="A8" t="s">
        <v>56</v>
      </c>
      <c r="AB8" s="110"/>
      <c r="AC8" s="110"/>
      <c r="AD8" s="110"/>
      <c r="AE8" s="110"/>
    </row>
    <row r="9" spans="1:44" customFormat="1" ht="18" hidden="1" customHeight="1" x14ac:dyDescent="0.2">
      <c r="AB9" s="110"/>
      <c r="AC9" s="110"/>
      <c r="AD9" s="110"/>
      <c r="AE9" s="110"/>
    </row>
    <row r="10" spans="1:44" customFormat="1" ht="18" hidden="1" customHeight="1" x14ac:dyDescent="0.2">
      <c r="AB10" s="110"/>
      <c r="AC10" s="110"/>
      <c r="AD10" s="110"/>
      <c r="AE10" s="110"/>
    </row>
    <row r="11" spans="1:44" ht="22.5" hidden="1" customHeight="1" x14ac:dyDescent="0.25">
      <c r="B11" s="56"/>
      <c r="C11" s="56"/>
      <c r="D11" s="56"/>
      <c r="E11" s="56"/>
      <c r="F11" s="38"/>
      <c r="G11" s="38" t="s">
        <v>74</v>
      </c>
      <c r="H11" s="71" t="s">
        <v>0</v>
      </c>
      <c r="I11" s="87" t="s">
        <v>61</v>
      </c>
      <c r="J11" s="88" t="str">
        <f ca="1">IF(OR($F$14=$AM$28,$F$14=$AM$30),"BUDG_TOT",IF($F$14=$AM$29,"FC_2_TOT","FC_1_TOT"))</f>
        <v>BUDG_TOT</v>
      </c>
      <c r="K11" s="64"/>
      <c r="L11" s="88" t="str">
        <f ca="1">IF($F$14=$AM$28,"ACT_TOT",IF($F$14=$AM$29,"BUDG_TOT",IF($F$14=$AM$30,"FC_1_TOT","FC_2_TOT")))</f>
        <v>ACT_TOT</v>
      </c>
      <c r="M11" s="88" t="str">
        <f ca="1">IF($F$14=$AM$28,"ACT_TOT",IF($F$14=$AM$29,"BUDG_TOT",IF($F$14=$AM$30,"FC_1_TOT","FC_2_TOT")))</f>
        <v>ACT_TOT</v>
      </c>
      <c r="N11" s="72"/>
      <c r="O11" s="115" t="str">
        <f ca="1">IF($F$14=$AM$28,"MAN_AJUST",IF($F$14=$AM$29,"MAN_BUDG",IF($F$14=$AM$30,"MAN_FC_1","MAN_FC_2")))</f>
        <v>MAN_AJUST</v>
      </c>
      <c r="P11" s="72"/>
      <c r="Q11" s="72"/>
      <c r="R11" s="72"/>
      <c r="S11" s="72"/>
      <c r="T11" s="72"/>
      <c r="U11" s="72"/>
      <c r="V11" s="72"/>
      <c r="W11" s="72"/>
      <c r="X11" s="64"/>
      <c r="Y11" s="64"/>
      <c r="Z11" s="73"/>
      <c r="AA11" s="56"/>
      <c r="AB11" s="109"/>
      <c r="AC11" s="109"/>
      <c r="AD11" s="109"/>
    </row>
    <row r="12" spans="1:44" ht="22.5" hidden="1" customHeight="1" x14ac:dyDescent="0.25">
      <c r="B12" s="56"/>
      <c r="C12" s="56"/>
      <c r="D12" s="56"/>
      <c r="E12" s="56"/>
      <c r="F12" s="56"/>
      <c r="G12" s="65"/>
      <c r="H12" s="66" t="s">
        <v>42</v>
      </c>
      <c r="I12" s="67" t="str">
        <f ca="1">_xll.DBRA(Server&amp;$H$12,$M$12,"Prior Year")</f>
        <v>2012</v>
      </c>
      <c r="J12" s="67" t="str">
        <f ca="1">IF($G28=$AN$23,_xll.DBRA(Server&amp;$H$12,$M$12,"Prior Year"),$M$12)</f>
        <v>2013</v>
      </c>
      <c r="K12" s="64"/>
      <c r="L12" s="67" t="str">
        <f ca="1">_xll.DBRA(Server&amp;$H$12,$M$12,"Prior Year")&amp;".12"</f>
        <v>2012.12</v>
      </c>
      <c r="M12" s="67" t="str">
        <f ca="1">LEFT(H13,4)</f>
        <v>2013</v>
      </c>
      <c r="N12" s="56"/>
      <c r="O12" s="67" t="str">
        <f ca="1">IF($I$14="NO",$M$12&amp;".01",$M$12&amp;".01")</f>
        <v>2013.01</v>
      </c>
      <c r="P12" s="67" t="str">
        <f ca="1">IF($I$14="NO",$M$12&amp;".02",$M$12&amp;".02")</f>
        <v>2013.02</v>
      </c>
      <c r="Q12" s="67" t="str">
        <f ca="1">IF($I$14="NO",$M$12&amp;".03",$M$12&amp;".03")</f>
        <v>2013.03</v>
      </c>
      <c r="R12" s="67" t="str">
        <f ca="1">IF($I$14="NO",$M$12&amp;".04",$M$12&amp;".04")</f>
        <v>2013.04</v>
      </c>
      <c r="S12" s="67" t="str">
        <f ca="1">IF($I$14="NO",$M$12&amp;".05",$M$12&amp;".05")</f>
        <v>2013.05</v>
      </c>
      <c r="T12" s="67" t="str">
        <f ca="1">IF($I$14="NO",$M$12&amp;".06",$M$12&amp;".06")</f>
        <v>2013.06</v>
      </c>
      <c r="U12" s="67" t="str">
        <f ca="1">IF($I$14="NO",$M$12&amp;".07",$M$12&amp;".07")</f>
        <v>2013.07</v>
      </c>
      <c r="V12" s="67" t="str">
        <f ca="1">IF($I$14="NO",$M$12&amp;".08",$M$12&amp;".08")</f>
        <v>2013.08</v>
      </c>
      <c r="W12" s="67" t="str">
        <f ca="1">IF($I$14="NO",$M$12&amp;".09",$M$12&amp;".09")</f>
        <v>2013.09</v>
      </c>
      <c r="X12" s="64" t="str">
        <f ca="1">IF($I$14="NO",$M$12&amp;".10",$M$12&amp;".10")</f>
        <v>2013.10</v>
      </c>
      <c r="Y12" s="56" t="str">
        <f ca="1">IF($I$14="NO",$M$12&amp;".11",$M$12&amp;".11")</f>
        <v>2013.11</v>
      </c>
      <c r="Z12" s="56" t="str">
        <f ca="1">IF($I$14="NO",$M$12&amp;".12",$M$12&amp;".12")</f>
        <v>2013.12</v>
      </c>
      <c r="AA12" s="56"/>
      <c r="AB12" s="99"/>
      <c r="AC12" s="101"/>
      <c r="AD12" s="101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</row>
    <row r="13" spans="1:44" ht="22.5" hidden="1" customHeight="1" x14ac:dyDescent="0.2">
      <c r="B13" s="56"/>
      <c r="C13" s="56"/>
      <c r="D13" s="56"/>
      <c r="E13" s="56"/>
      <c r="F13" s="129" t="s">
        <v>79</v>
      </c>
      <c r="G13" s="56"/>
      <c r="H13" s="89" t="str">
        <f ca="1">_xll.SUBNM(Server&amp;"Period","",$G$23,"")</f>
        <v>2013</v>
      </c>
      <c r="I13" s="64"/>
      <c r="J13" s="64"/>
      <c r="K13" s="64"/>
      <c r="L13" s="64"/>
      <c r="M13" s="64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64"/>
      <c r="Y13" s="56"/>
      <c r="Z13" s="56"/>
      <c r="AA13" s="56"/>
      <c r="AB13" s="99"/>
      <c r="AC13" s="99"/>
      <c r="AD13" s="99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</row>
    <row r="14" spans="1:44" ht="22.5" hidden="1" customHeight="1" x14ac:dyDescent="0.2">
      <c r="B14" s="56"/>
      <c r="C14" s="56"/>
      <c r="D14" s="56"/>
      <c r="E14" s="56"/>
      <c r="F14" s="64" t="str">
        <f ca="1">_xll.SUBNM(Server&amp;"z_translate_report","",G28,"")</f>
        <v>Actual</v>
      </c>
      <c r="G14" s="64"/>
      <c r="H14" s="68" t="s">
        <v>43</v>
      </c>
      <c r="I14" s="69" t="str">
        <f ca="1">IF(RIGHT(H13,3)="ytd","YES","NO")</f>
        <v>NO</v>
      </c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99"/>
      <c r="AC14" s="99"/>
      <c r="AD14" s="99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</row>
    <row r="15" spans="1:44" ht="22.5" hidden="1" customHeight="1" thickBot="1" x14ac:dyDescent="0.3">
      <c r="B15" s="56"/>
      <c r="C15" s="56"/>
      <c r="D15" s="56"/>
      <c r="E15" s="105"/>
      <c r="F15" s="70"/>
      <c r="G15" s="70"/>
      <c r="H15" s="127" t="s">
        <v>77</v>
      </c>
      <c r="I15" s="128" t="s">
        <v>78</v>
      </c>
      <c r="J15" s="70"/>
      <c r="K15" s="70"/>
      <c r="L15" s="105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64"/>
      <c r="AB15" s="99"/>
      <c r="AC15" s="99"/>
      <c r="AD15" s="99"/>
      <c r="AE15" s="99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</row>
    <row r="16" spans="1:44" ht="19.5" customHeight="1" x14ac:dyDescent="0.2">
      <c r="B16" s="56"/>
      <c r="C16" s="56"/>
      <c r="D16" s="57"/>
      <c r="E16" s="9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99"/>
      <c r="AC16" s="99"/>
      <c r="AD16" s="99"/>
      <c r="AE16" s="99"/>
    </row>
    <row r="17" spans="2:53" ht="18" customHeight="1" x14ac:dyDescent="0.2">
      <c r="B17" s="56"/>
      <c r="C17" s="56"/>
      <c r="D17" s="57"/>
      <c r="E17" s="9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99"/>
      <c r="AC17" s="99"/>
      <c r="AD17" s="99"/>
      <c r="AE17" s="99"/>
    </row>
    <row r="18" spans="2:53" ht="18" customHeight="1" x14ac:dyDescent="0.25">
      <c r="B18" s="56"/>
      <c r="C18" s="91" t="s">
        <v>62</v>
      </c>
      <c r="D18" s="58"/>
      <c r="E18" s="99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29"/>
      <c r="AO18" s="78" t="s">
        <v>57</v>
      </c>
      <c r="AP18" s="28" t="str">
        <f ca="1">IF($G$26="Français","French","English")</f>
        <v>French</v>
      </c>
    </row>
    <row r="19" spans="2:53" ht="41.25" customHeight="1" thickBot="1" x14ac:dyDescent="0.3">
      <c r="B19" s="56"/>
      <c r="C19" s="90" t="s">
        <v>52</v>
      </c>
      <c r="D19" s="92" t="s">
        <v>63</v>
      </c>
      <c r="E19" s="100"/>
      <c r="F19" s="138"/>
      <c r="G19" s="139" t="str">
        <f ca="1">_xll.DBRA(Server&amp;$AM$21,$AM$33,$AP$18)</f>
        <v>Saisie des ETP</v>
      </c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40" t="str">
        <f ca="1">_xll.DBRA(Server&amp;$AM$21,$AM$48,$AP$18)</f>
        <v>Saisie</v>
      </c>
      <c r="Z19" s="141"/>
      <c r="AA19" s="29"/>
      <c r="AB19" s="112"/>
      <c r="AC19" s="112"/>
      <c r="AD19" s="112"/>
      <c r="AE19" s="112"/>
      <c r="AO19" s="42"/>
    </row>
    <row r="20" spans="2:53" ht="30" customHeight="1" thickBot="1" x14ac:dyDescent="0.3">
      <c r="B20" s="56"/>
      <c r="C20" s="90" t="s">
        <v>49</v>
      </c>
      <c r="D20" s="92" t="s">
        <v>63</v>
      </c>
      <c r="E20" s="100"/>
      <c r="F20" s="138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40"/>
      <c r="Z20" s="141"/>
      <c r="AA20" s="29"/>
      <c r="AB20" s="112"/>
      <c r="AC20" s="112"/>
      <c r="AD20" s="112"/>
      <c r="AE20" s="112"/>
      <c r="AN20" s="54" t="s">
        <v>41</v>
      </c>
      <c r="AO20" s="42"/>
    </row>
    <row r="21" spans="2:53" ht="18" customHeight="1" thickBot="1" x14ac:dyDescent="0.3">
      <c r="B21" s="56"/>
      <c r="C21" s="90"/>
      <c r="D21" s="92"/>
      <c r="E21" s="100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29"/>
      <c r="AB21" s="15"/>
      <c r="AC21" s="15"/>
      <c r="AD21" s="15"/>
      <c r="AE21" s="15"/>
      <c r="AM21" s="51" t="s">
        <v>38</v>
      </c>
      <c r="AN21" s="79" t="s">
        <v>0</v>
      </c>
      <c r="AO21" s="42"/>
    </row>
    <row r="22" spans="2:53" ht="23.25" customHeight="1" thickBot="1" x14ac:dyDescent="0.3">
      <c r="B22" s="56"/>
      <c r="C22" s="90" t="s">
        <v>48</v>
      </c>
      <c r="D22" s="92" t="s">
        <v>64</v>
      </c>
      <c r="E22" s="100"/>
      <c r="F22" s="32" t="str">
        <f ca="1">_xll.DBRA(Server&amp;$AM$21,$AM$22,$AP$18)</f>
        <v>Sélection du contexte</v>
      </c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29"/>
      <c r="AB22" s="44"/>
      <c r="AC22" s="44"/>
      <c r="AD22" s="44"/>
      <c r="AE22" s="44"/>
      <c r="AM22" s="52" t="s">
        <v>35</v>
      </c>
      <c r="AN22" s="50" t="str">
        <f ca="1">_xll.DBRA(Server&amp;$AM$21,$AM$28,$AP$18)</f>
        <v>Réalisé</v>
      </c>
      <c r="AO22" s="42"/>
    </row>
    <row r="23" spans="2:53" ht="23.25" customHeight="1" x14ac:dyDescent="0.25">
      <c r="B23" s="56"/>
      <c r="C23" s="90" t="s">
        <v>16</v>
      </c>
      <c r="D23" s="92" t="s">
        <v>65</v>
      </c>
      <c r="E23" s="100"/>
      <c r="F23" s="33" t="str">
        <f ca="1">_xll.DBRA(Server&amp;$AM$21,$AM$23,$AP$18)</f>
        <v>Période</v>
      </c>
      <c r="G23" s="45" t="str">
        <f ca="1">_xll.SUBNM(Server&amp;"Period","Corp_FR",ActualYear,$AP$18)</f>
        <v>2013</v>
      </c>
      <c r="H23" s="46"/>
      <c r="I23" s="16"/>
      <c r="J23" s="30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29"/>
      <c r="AB23" s="35"/>
      <c r="AC23" s="46"/>
      <c r="AD23" s="46"/>
      <c r="AF23" s="42"/>
      <c r="AG23" s="42"/>
      <c r="AH23" s="42"/>
      <c r="AI23" s="42"/>
      <c r="AJ23" s="42"/>
      <c r="AK23" s="42"/>
      <c r="AL23" s="42"/>
      <c r="AM23" s="48" t="s">
        <v>42</v>
      </c>
      <c r="AN23" s="53" t="str">
        <f ca="1">_xll.DBRA(Server&amp;$AM$21,$AM$29,$AP$18)</f>
        <v>Budget</v>
      </c>
      <c r="AO23" s="42"/>
      <c r="AP23" s="42"/>
      <c r="AQ23" s="42"/>
      <c r="AR23" s="42"/>
      <c r="AS23" s="42"/>
    </row>
    <row r="24" spans="2:53" ht="21.75" customHeight="1" x14ac:dyDescent="0.25">
      <c r="B24" s="56"/>
      <c r="C24" s="90" t="s">
        <v>17</v>
      </c>
      <c r="D24" s="92" t="s">
        <v>66</v>
      </c>
      <c r="E24" s="100"/>
      <c r="F24" s="33" t="str">
        <f ca="1">_xll.DBRA(Server&amp;$AM$21,$AM$24,$AP$18)</f>
        <v>Organisation managériale</v>
      </c>
      <c r="G24" s="45" t="str">
        <f ca="1">_xll.SUBNM(Server&amp;"Management_Organization_Corp","Corp_FR",_xll.DBR(Server&amp;"z_Client_Properties","Default_Management_Organization_Corp",_xll.TM1USER(xServer)),$G$26)</f>
        <v/>
      </c>
      <c r="H24" s="46"/>
      <c r="I24" s="16"/>
      <c r="J24" s="30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29"/>
      <c r="AB24" s="35"/>
      <c r="AC24" s="46"/>
      <c r="AD24" s="46"/>
      <c r="AM24" s="53" t="s">
        <v>36</v>
      </c>
      <c r="AN24" s="83" t="str">
        <f ca="1">_xll.DBRA(Server&amp;$AM$21,$AM$30,$AP$18)</f>
        <v>Estimé 1</v>
      </c>
      <c r="AO24" s="42"/>
    </row>
    <row r="25" spans="2:53" ht="21.75" customHeight="1" thickBot="1" x14ac:dyDescent="0.4">
      <c r="B25" s="56"/>
      <c r="C25" s="90"/>
      <c r="D25" s="92"/>
      <c r="E25" s="100"/>
      <c r="F25" s="33" t="str">
        <f ca="1">_xll.DBRA(Server&amp;$AM$21,$AM$25,$AP$18)</f>
        <v>Organisation légale</v>
      </c>
      <c r="G25" s="45" t="str">
        <f ca="1">_xll.SUBNM(Server&amp;"Legal_Organization_Corp","Corp_FR",_xll.DBR(Server&amp;"z_Client_Properties","Default_Legal_Organization_Corp",_xll.TM1USER(xServer)),$G$26)</f>
        <v/>
      </c>
      <c r="H25" s="46"/>
      <c r="I25" s="16"/>
      <c r="J25" s="30"/>
      <c r="K25" s="15"/>
      <c r="L25" s="15"/>
      <c r="M25" s="15"/>
      <c r="N25" s="31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31"/>
      <c r="Z25" s="34"/>
      <c r="AA25" s="29"/>
      <c r="AB25" s="35"/>
      <c r="AC25" s="46"/>
      <c r="AD25" s="46"/>
      <c r="AM25" s="53" t="s">
        <v>37</v>
      </c>
      <c r="AN25" s="84" t="str">
        <f ca="1">_xll.DBRA(Server&amp;$AM$21,$AM$31,$AP$18)</f>
        <v>Estimé 2</v>
      </c>
      <c r="AO25" s="42"/>
    </row>
    <row r="26" spans="2:53" ht="21" customHeight="1" thickBot="1" x14ac:dyDescent="0.25">
      <c r="B26" s="56"/>
      <c r="C26" s="56"/>
      <c r="D26" s="58"/>
      <c r="E26" s="99"/>
      <c r="F26" s="33" t="str">
        <f ca="1">_xll.DBRA(Server&amp;$AM$21,$AM$26,$AP$18)</f>
        <v>Langue</v>
      </c>
      <c r="G26" s="46" t="s">
        <v>47</v>
      </c>
      <c r="H26" s="46"/>
      <c r="I26" s="142" t="str">
        <f ca="1">_xll.DBRA(Server&amp;"Period",$I$12,$AP$18)</f>
        <v>2012</v>
      </c>
      <c r="J26" s="142" t="str">
        <f ca="1">_xll.DBRA(Server&amp;"Period",$J$12,$AP$18)</f>
        <v>2013</v>
      </c>
      <c r="K26" s="15"/>
      <c r="L26" s="142" t="str">
        <f ca="1">_xll.DBRA(Server&amp;"Period",L$12,$AP$18)</f>
        <v>déc-12</v>
      </c>
      <c r="M26" s="142" t="str">
        <f ca="1">_xll.DBRA(Server&amp;"Period",$M$12,$AP$18)</f>
        <v>2013</v>
      </c>
      <c r="N26" s="31"/>
      <c r="O26" s="142" t="str">
        <f ca="1">_xll.DBRA(Server&amp;"Period",$M$12,$AP$18)</f>
        <v>2013</v>
      </c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29"/>
      <c r="AB26" s="35"/>
      <c r="AC26" s="46"/>
      <c r="AD26" s="46"/>
      <c r="AE26" s="3"/>
      <c r="AM26" s="80" t="s">
        <v>39</v>
      </c>
      <c r="AN26" s="47"/>
      <c r="AO26" s="42"/>
    </row>
    <row r="27" spans="2:53" ht="24" customHeight="1" thickBot="1" x14ac:dyDescent="0.25">
      <c r="B27" s="56"/>
      <c r="C27" s="59"/>
      <c r="D27" s="58"/>
      <c r="E27" s="99"/>
      <c r="F27" s="16"/>
      <c r="G27" s="16"/>
      <c r="H27" s="16"/>
      <c r="I27" s="143"/>
      <c r="J27" s="143"/>
      <c r="K27" s="85"/>
      <c r="L27" s="143"/>
      <c r="M27" s="143"/>
      <c r="N27" s="31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29"/>
      <c r="AE27" s="3"/>
      <c r="AM27" s="48" t="s">
        <v>0</v>
      </c>
      <c r="AN27" s="47"/>
      <c r="AO27" s="42"/>
    </row>
    <row r="28" spans="2:53" ht="19.5" customHeight="1" thickTop="1" x14ac:dyDescent="0.2">
      <c r="B28" s="56"/>
      <c r="C28" s="56"/>
      <c r="D28" s="60"/>
      <c r="E28" s="15"/>
      <c r="F28" s="33" t="str">
        <f ca="1">_xll.DBRA(Server&amp;$AM$21,$AM$27,$AP$18)</f>
        <v>Phase</v>
      </c>
      <c r="G28" s="46" t="s">
        <v>68</v>
      </c>
      <c r="H28" s="35"/>
      <c r="I28" s="144" t="str">
        <f ca="1">_xll.DBRA(Server&amp;"Phase",$I$11,$AP$18)</f>
        <v>Réalisé</v>
      </c>
      <c r="J28" s="144" t="str">
        <f ca="1">_xll.DBRA(Server&amp;"Phase",$J$11,$AP$18)</f>
        <v>Budget</v>
      </c>
      <c r="K28" s="85"/>
      <c r="L28" s="144" t="str">
        <f ca="1">_xll.DBRA(Server&amp;"Phase",$M$11,$AP$18)</f>
        <v>Réalisé</v>
      </c>
      <c r="M28" s="144" t="str">
        <f ca="1">_xll.DBRA(Server&amp;"Phase",$M$11,$AP$18)</f>
        <v>Réalisé</v>
      </c>
      <c r="N28" s="31"/>
      <c r="O28" s="144" t="str">
        <f ca="1">_xll.DBRA(Server&amp;"Period",O$12,$AP$18)</f>
        <v>janv-13</v>
      </c>
      <c r="P28" s="144" t="str">
        <f ca="1">_xll.DBRA(Server&amp;"Period",P$12,$AP$18)</f>
        <v>févr-13</v>
      </c>
      <c r="Q28" s="144" t="str">
        <f ca="1">_xll.DBRA(Server&amp;"Period",Q$12,$AP$18)</f>
        <v>mars-13</v>
      </c>
      <c r="R28" s="144" t="str">
        <f ca="1">_xll.DBRA(Server&amp;"Period",R$12,$AP$18)</f>
        <v>avr-13</v>
      </c>
      <c r="S28" s="144" t="str">
        <f ca="1">_xll.DBRA(Server&amp;"Period",S$12,$AP$18)</f>
        <v>mai-13</v>
      </c>
      <c r="T28" s="144" t="str">
        <f ca="1">_xll.DBRA(Server&amp;"Period",T$12,$AP$18)</f>
        <v>juin-13</v>
      </c>
      <c r="U28" s="144" t="str">
        <f ca="1">_xll.DBRA(Server&amp;"Period",U$12,$AP$18)</f>
        <v>juil-13</v>
      </c>
      <c r="V28" s="144" t="str">
        <f ca="1">_xll.DBRA(Server&amp;"Period",V$12,$AP$18)</f>
        <v>août-13</v>
      </c>
      <c r="W28" s="144" t="str">
        <f ca="1">_xll.DBRA(Server&amp;"Period",W$12,$AP$18)</f>
        <v>sept-13</v>
      </c>
      <c r="X28" s="144" t="str">
        <f ca="1">_xll.DBRA(Server&amp;"Period",X$12,$AP$18)</f>
        <v>oct-13</v>
      </c>
      <c r="Y28" s="144" t="str">
        <f ca="1">_xll.DBRA(Server&amp;"Period",Y$12,$AP$18)</f>
        <v>nov-13</v>
      </c>
      <c r="Z28" s="144" t="str">
        <f ca="1">_xll.DBRA(Server&amp;"Period",Z$12,$AP$18)</f>
        <v>déc-13</v>
      </c>
      <c r="AA28" s="29"/>
      <c r="AB28" s="35"/>
      <c r="AC28" s="35"/>
      <c r="AD28" s="35"/>
      <c r="AE28" s="2"/>
      <c r="AM28" s="49" t="s">
        <v>59</v>
      </c>
      <c r="AN28" s="47"/>
      <c r="AO28" s="42"/>
      <c r="AS28" s="125"/>
      <c r="AT28" s="17"/>
      <c r="AU28" s="17"/>
      <c r="AV28" s="17"/>
      <c r="AW28" s="17"/>
      <c r="AX28" s="17"/>
      <c r="AY28" s="17"/>
      <c r="AZ28" s="17"/>
      <c r="BA28" s="17"/>
    </row>
    <row r="29" spans="2:53" s="18" customFormat="1" ht="23.25" customHeight="1" thickBot="1" x14ac:dyDescent="0.25">
      <c r="B29" s="56"/>
      <c r="C29" s="56"/>
      <c r="D29" s="61"/>
      <c r="E29" s="101"/>
      <c r="F29" s="35"/>
      <c r="G29" s="35"/>
      <c r="H29" s="35"/>
      <c r="I29" s="145"/>
      <c r="J29" s="145"/>
      <c r="K29" s="2"/>
      <c r="L29" s="145"/>
      <c r="M29" s="145"/>
      <c r="N29" s="2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5"/>
      <c r="AB29" s="35"/>
      <c r="AC29" s="35"/>
      <c r="AD29" s="35"/>
      <c r="AE29" s="2"/>
      <c r="AF29" s="28"/>
      <c r="AG29" s="28"/>
      <c r="AH29" s="28"/>
      <c r="AI29" s="28"/>
      <c r="AJ29" s="28"/>
      <c r="AK29" s="28"/>
      <c r="AL29" s="28"/>
      <c r="AM29" s="81" t="s">
        <v>58</v>
      </c>
      <c r="AN29" s="55"/>
      <c r="AO29" s="42"/>
      <c r="AP29" s="28"/>
      <c r="AQ29" s="28"/>
      <c r="AR29" s="28"/>
      <c r="AS29" s="125"/>
    </row>
    <row r="30" spans="2:53" s="18" customFormat="1" ht="18.75" customHeight="1" x14ac:dyDescent="0.25">
      <c r="B30" s="56"/>
      <c r="C30" s="90" t="s">
        <v>80</v>
      </c>
      <c r="D30" s="92" t="s">
        <v>81</v>
      </c>
      <c r="E30" s="101"/>
      <c r="F30" s="35"/>
      <c r="G30" s="35"/>
      <c r="H30" s="35"/>
      <c r="J30" s="74"/>
      <c r="K30" s="2"/>
      <c r="L30" s="137"/>
      <c r="M30" s="86"/>
      <c r="N30" s="2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15"/>
      <c r="AB30" s="35"/>
      <c r="AC30" s="35"/>
      <c r="AD30" s="35"/>
      <c r="AE30" s="15"/>
      <c r="AF30" s="42"/>
      <c r="AG30" s="42"/>
      <c r="AH30" s="42"/>
      <c r="AI30" s="42"/>
      <c r="AJ30" s="42"/>
      <c r="AK30" s="42"/>
      <c r="AL30" s="42"/>
      <c r="AM30" s="81" t="s">
        <v>75</v>
      </c>
      <c r="AN30" s="42"/>
      <c r="AO30" s="42"/>
      <c r="AP30" s="42"/>
      <c r="AQ30" s="42"/>
      <c r="AR30" s="42"/>
      <c r="AS30" s="42"/>
    </row>
    <row r="31" spans="2:53" s="18" customFormat="1" ht="25.5" customHeight="1" thickBot="1" x14ac:dyDescent="0.3">
      <c r="B31" s="56"/>
      <c r="C31" s="93" t="s">
        <v>51</v>
      </c>
      <c r="D31" s="61"/>
      <c r="E31" s="101"/>
      <c r="F31" s="94" t="str">
        <f ca="1">_xll.DBRA(Server&amp;$AM$21,#REF!,$AP$18)</f>
        <v/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94"/>
      <c r="AC31" s="15"/>
      <c r="AD31" s="15"/>
      <c r="AE31" s="15"/>
      <c r="AF31" s="28"/>
      <c r="AG31" s="28"/>
      <c r="AH31" s="28"/>
      <c r="AI31" s="28"/>
      <c r="AJ31" s="28"/>
      <c r="AK31" s="28"/>
      <c r="AL31" s="28"/>
      <c r="AM31" s="82" t="s">
        <v>76</v>
      </c>
      <c r="AN31" s="28"/>
      <c r="AO31" s="28"/>
      <c r="AP31" s="28"/>
      <c r="AQ31" s="28"/>
      <c r="AR31" s="28"/>
      <c r="AS31" s="28"/>
    </row>
    <row r="32" spans="2:53" s="18" customFormat="1" ht="27" customHeight="1" x14ac:dyDescent="0.25">
      <c r="B32" s="56"/>
      <c r="C32" s="56"/>
      <c r="D32" s="116" t="s">
        <v>72</v>
      </c>
      <c r="E32" s="102"/>
      <c r="F32" s="146" t="str">
        <f ca="1">_xll.DBRA(Server&amp;$C$31,$D$32,$G$26)&amp;" - "&amp;_xll.DBRA(Server&amp;$C$30,$D$30,$G$26)</f>
        <v>ETP CDI - VTD</v>
      </c>
      <c r="G32" s="146"/>
      <c r="H32" s="147"/>
      <c r="I32" s="148" t="str">
        <f ca="1">_xll.DBRW(Server&amp;Cube1,$D$23,$D$24,$D$22,$D$20,$G$24,$G$25,$G$24,$D$19,I$12,I$11,$D$32)</f>
        <v/>
      </c>
      <c r="J32" s="149" t="str">
        <f ca="1">_xll.DBRW(Server&amp;Cube1,$D$23,$D$24,$D$22,$D$20,$G$24,$G$25,$G$24,$D$19,J$12,J$11,$D$32)</f>
        <v/>
      </c>
      <c r="K32" s="130"/>
      <c r="L32" s="150" t="str">
        <f ca="1">_xll.DBRW(Server&amp;Cube1,$D$23,$D$24,$D$22,$D$20,$G$24,$G$25,$G$24,$D$19,L$12,$L$11,$D$32)</f>
        <v/>
      </c>
      <c r="M32" s="151" t="str">
        <f ca="1">_xll.DBRW(Server&amp;Cube1,$D$23,$D$24,$D$22,$D$20,$G$24,$G$25,$G$24,$D$19,M$12,M$11,$D$32)</f>
        <v/>
      </c>
      <c r="N32" s="130"/>
      <c r="O32" s="151" t="str">
        <f ca="1">_xll.DBRW(Server&amp;Cube1,$D$23,$D$24,$D$22,$D$20,$G$24,$G$25,$G$24,$D$19,O$12,$M$11,$D$32)</f>
        <v/>
      </c>
      <c r="P32" s="151" t="str">
        <f ca="1">_xll.DBRW(Server&amp;Cube1,$D$23,$D$24,$D$22,$D$20,$G$24,$G$25,$G$24,$D$19,P$12,$M$11,$D$32)</f>
        <v/>
      </c>
      <c r="Q32" s="151" t="str">
        <f ca="1">_xll.DBRW(Server&amp;Cube1,$D$23,$D$24,$D$22,$D$20,$G$24,$G$25,$G$24,$D$19,Q$12,$M$11,$D$32)</f>
        <v/>
      </c>
      <c r="R32" s="151" t="str">
        <f ca="1">_xll.DBRW(Server&amp;Cube1,$D$23,$D$24,$D$22,$D$20,$G$24,$G$25,$G$24,$D$19,R$12,$M$11,$D$32)</f>
        <v/>
      </c>
      <c r="S32" s="151" t="str">
        <f ca="1">_xll.DBRW(Server&amp;Cube1,$D$23,$D$24,$D$22,$D$20,$G$24,$G$25,$G$24,$D$19,S$12,$M$11,$D$32)</f>
        <v/>
      </c>
      <c r="T32" s="151" t="str">
        <f ca="1">_xll.DBRW(Server&amp;Cube1,$D$23,$D$24,$D$22,$D$20,$G$24,$G$25,$G$24,$D$19,T$12,$M$11,$D$32)</f>
        <v/>
      </c>
      <c r="U32" s="151" t="str">
        <f ca="1">_xll.DBRW(Server&amp;Cube1,$D$23,$D$24,$D$22,$D$20,$G$24,$G$25,$G$24,$D$19,U$12,$M$11,$D$32)</f>
        <v/>
      </c>
      <c r="V32" s="151" t="str">
        <f ca="1">_xll.DBRW(Server&amp;Cube1,$D$23,$D$24,$D$22,$D$20,$G$24,$G$25,$G$24,$D$19,V$12,$M$11,$D$32)</f>
        <v/>
      </c>
      <c r="W32" s="151" t="str">
        <f ca="1">_xll.DBRW(Server&amp;Cube1,$D$23,$D$24,$D$22,$D$20,$G$24,$G$25,$G$24,$D$19,W$12,$M$11,$D$32)</f>
        <v/>
      </c>
      <c r="X32" s="151" t="str">
        <f ca="1">_xll.DBRW(Server&amp;Cube1,$D$23,$D$24,$D$22,$D$20,$G$24,$G$25,$G$24,$D$19,X$12,$M$11,$D$32)</f>
        <v/>
      </c>
      <c r="Y32" s="151" t="str">
        <f ca="1">_xll.DBRW(Server&amp;Cube1,$D$23,$D$24,$D$22,$D$20,$G$24,$G$25,$G$24,$D$19,Y$12,$M$11,$D$32)</f>
        <v/>
      </c>
      <c r="Z32" s="151" t="str">
        <f ca="1">_xll.DBRW(Server&amp;Cube1,$D$23,$D$24,$D$22,$D$20,$G$24,$G$25,$G$24,$D$19,Z$12,$M$11,$D$32)</f>
        <v/>
      </c>
      <c r="AA32" s="15"/>
      <c r="AB32" s="1"/>
      <c r="AC32" s="1"/>
      <c r="AD32" s="113"/>
      <c r="AE32" s="114"/>
      <c r="AF32" s="42"/>
      <c r="AG32" s="42"/>
      <c r="AH32" s="42"/>
      <c r="AI32" s="42"/>
      <c r="AJ32" s="42"/>
      <c r="AK32" s="42"/>
      <c r="AL32" s="42"/>
      <c r="AM32" s="81" t="s">
        <v>60</v>
      </c>
      <c r="AN32" s="42"/>
      <c r="AO32" s="42"/>
      <c r="AP32" s="42"/>
      <c r="AQ32" s="42"/>
      <c r="AR32" s="42"/>
      <c r="AS32" s="42"/>
    </row>
    <row r="33" spans="1:45" s="18" customFormat="1" ht="17.25" hidden="1" customHeight="1" x14ac:dyDescent="0.25">
      <c r="B33" s="56"/>
      <c r="C33" s="56"/>
      <c r="D33" s="62"/>
      <c r="E33" s="103"/>
      <c r="F33" s="96" t="str">
        <f ca="1">"[Matricules].["&amp;$D$30&amp;"].Children"</f>
        <v>[Matricules].[VTD].Children</v>
      </c>
      <c r="G33" s="15"/>
      <c r="H33" s="15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5"/>
      <c r="AB33" s="15"/>
      <c r="AC33" s="15"/>
      <c r="AD33" s="15"/>
      <c r="AE33" s="15"/>
      <c r="AF33" s="42"/>
      <c r="AG33" s="42"/>
      <c r="AH33" s="42"/>
      <c r="AI33" s="42"/>
      <c r="AJ33" s="42"/>
      <c r="AK33" s="42"/>
      <c r="AL33" s="42"/>
      <c r="AM33" s="81" t="s">
        <v>70</v>
      </c>
      <c r="AN33" s="42"/>
      <c r="AO33" s="42"/>
      <c r="AP33" s="42"/>
      <c r="AQ33" s="42"/>
      <c r="AR33" s="42"/>
      <c r="AS33" s="42"/>
    </row>
    <row r="34" spans="1:45" s="18" customFormat="1" ht="17.25" hidden="1" customHeight="1" x14ac:dyDescent="0.25">
      <c r="B34" s="56"/>
      <c r="C34" s="56"/>
      <c r="D34" s="62"/>
      <c r="E34" s="103"/>
      <c r="F34" s="15"/>
      <c r="G34" s="15"/>
      <c r="H34" s="15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5"/>
      <c r="AB34" s="15"/>
      <c r="AC34" s="15"/>
      <c r="AD34" s="15"/>
      <c r="AE34" s="15"/>
      <c r="AF34" s="42"/>
      <c r="AG34" s="42"/>
      <c r="AH34" s="42"/>
      <c r="AI34" s="42"/>
      <c r="AJ34" s="42"/>
      <c r="AK34" s="42"/>
      <c r="AL34" s="42"/>
      <c r="AM34" s="29"/>
      <c r="AN34" s="42"/>
      <c r="AO34" s="42"/>
      <c r="AP34" s="42"/>
      <c r="AQ34" s="42"/>
      <c r="AR34" s="42"/>
      <c r="AS34" s="42"/>
    </row>
    <row r="35" spans="1:45" customFormat="1" ht="17.25" hidden="1" customHeight="1" x14ac:dyDescent="0.25">
      <c r="E35" s="104"/>
      <c r="F35" s="106" t="str">
        <f ca="1">_xll.TM1RPTVIEW(Server&amp;"RP_PL_Corp:ARPT3", 0, _xll.TM1RPTTITLE(Server&amp;"Currency",$G$37), _xll.TM1RPTTITLE(Server&amp;"Gaap",$G$38), _xll.TM1RPTTITLE(Server&amp;"Integration_Rate",$G$39), _xll.TM1RPTTITLE(Server&amp;"Projets",$G$40), _xll.TM1RPTTITLE(Server&amp;"Management_Organization_Corp",$G$43), _xll.TM1RPTTITLE(Server&amp;"Legal_Organization_Corp",$G$41), _xll.TM1RPTTITLE(Server&amp;"Tiers",$G$42), TM1RPTFMTRNG,TM1RPTFMTIDCOL)</f>
        <v>tango_core_model:RP_PL_Corp:ARPT3</v>
      </c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</row>
    <row r="36" spans="1:45" customFormat="1" ht="17.25" hidden="1" customHeight="1" x14ac:dyDescent="0.2">
      <c r="E36" s="104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</row>
    <row r="37" spans="1:45" customFormat="1" ht="17.25" hidden="1" customHeight="1" x14ac:dyDescent="0.25">
      <c r="E37" s="104"/>
      <c r="F37" s="97" t="s">
        <v>16</v>
      </c>
      <c r="G37" t="str">
        <f ca="1">_xll.SUBNM(Server&amp;"Currency","",$D$23)</f>
        <v>LCL</v>
      </c>
      <c r="H37" s="76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76"/>
      <c r="AB37" s="16"/>
    </row>
    <row r="38" spans="1:45" customFormat="1" ht="17.25" hidden="1" customHeight="1" x14ac:dyDescent="0.25">
      <c r="E38" s="104"/>
      <c r="F38" s="97" t="s">
        <v>17</v>
      </c>
      <c r="G38" t="str">
        <f ca="1">_xll.SUBNM(Server&amp;"Gaap","",$D$24)</f>
        <v>Local_Gaap_Mgmt_tool</v>
      </c>
      <c r="H38" s="76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76"/>
      <c r="AB38" s="16"/>
    </row>
    <row r="39" spans="1:45" customFormat="1" ht="17.25" hidden="1" customHeight="1" x14ac:dyDescent="0.25">
      <c r="E39" s="104"/>
      <c r="F39" s="97" t="s">
        <v>48</v>
      </c>
      <c r="G39" t="str">
        <f ca="1">_xll.SUBNM(Server&amp;"Integration_Rate","",$D$22)</f>
        <v>NO_APP</v>
      </c>
      <c r="H39" s="76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76"/>
      <c r="AB39" s="16"/>
    </row>
    <row r="40" spans="1:45" customFormat="1" ht="17.25" hidden="1" customHeight="1" x14ac:dyDescent="0.25">
      <c r="E40" s="104"/>
      <c r="F40" s="97" t="s">
        <v>49</v>
      </c>
      <c r="G40" t="str">
        <f ca="1">_xll.SUBNM(Server&amp;"Projets","",$D$20)</f>
        <v>NA</v>
      </c>
      <c r="H40" s="76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76"/>
      <c r="AB40" s="16"/>
    </row>
    <row r="41" spans="1:45" customFormat="1" ht="17.25" hidden="1" customHeight="1" x14ac:dyDescent="0.25">
      <c r="E41" s="104"/>
      <c r="F41" s="97" t="s">
        <v>50</v>
      </c>
      <c r="G41" t="str">
        <f ca="1">_xll.SUBNM(Server&amp;"Legal_Organization_Corp","",$G$25)</f>
        <v/>
      </c>
      <c r="H41" s="76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76"/>
      <c r="AB41" s="16"/>
    </row>
    <row r="42" spans="1:45" customFormat="1" ht="17.25" hidden="1" customHeight="1" x14ac:dyDescent="0.25">
      <c r="E42" s="104"/>
      <c r="F42" s="97" t="s">
        <v>52</v>
      </c>
      <c r="G42" t="str">
        <f ca="1">_xll.SUBNM(Server&amp;"Tiers","",$D$19)</f>
        <v>NA</v>
      </c>
      <c r="H42" s="76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76"/>
      <c r="AB42" s="16"/>
    </row>
    <row r="43" spans="1:45" customFormat="1" ht="17.25" hidden="1" customHeight="1" x14ac:dyDescent="0.25">
      <c r="E43" s="104"/>
      <c r="F43" s="126" t="s">
        <v>71</v>
      </c>
      <c r="G43" s="42" t="str">
        <f ca="1">_xll.SUBNM(Server&amp;"Management_Organization_Corp","",$G$24)</f>
        <v/>
      </c>
      <c r="H43" s="76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76"/>
      <c r="AB43" s="16"/>
    </row>
    <row r="44" spans="1:45" customFormat="1" ht="17.25" hidden="1" customHeight="1" x14ac:dyDescent="0.25">
      <c r="E44" s="104"/>
      <c r="F44" s="97"/>
      <c r="H44" s="76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76"/>
      <c r="AB44" s="16"/>
    </row>
    <row r="45" spans="1:45" customFormat="1" ht="17.25" hidden="1" customHeight="1" x14ac:dyDescent="0.2">
      <c r="E45" s="104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</row>
    <row r="46" spans="1:45" customFormat="1" ht="17.25" hidden="1" customHeight="1" x14ac:dyDescent="0.2">
      <c r="E46" s="104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</row>
    <row r="47" spans="1:45" customFormat="1" ht="18.75" hidden="1" customHeight="1" x14ac:dyDescent="0.2">
      <c r="E47" s="104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</row>
    <row r="48" spans="1:45" customFormat="1" ht="17.25" customHeight="1" thickBot="1" x14ac:dyDescent="0.25">
      <c r="A48" t="str">
        <f ca="1">IF(_xll.TM1RPTELISCONSOLIDATED($F$48,$F48),IF(_xll.TM1RPTELLEV($F$48,$F48)&lt;=3,_xll.TM1RPTELLEV($F$48,$F48),"D"),"N")</f>
        <v>N</v>
      </c>
      <c r="F48" s="117" t="str">
        <f ca="1">_xll.TM1RPTROW($F$35,Server&amp;"Matricules","","",$G$26,0,$F$33,,1)</f>
        <v/>
      </c>
      <c r="G48" s="98"/>
      <c r="H48" s="98"/>
      <c r="I48" s="134" t="str">
        <f ca="1">_xll.DBRW(Server&amp;Cube1,$D$23,$D$24,$D$22,$D$20,$F48,$G$25,$G$24,$D$19,I$12,I$11,$D$32)</f>
        <v/>
      </c>
      <c r="J48" s="134" t="str">
        <f ca="1">_xll.DBRW(Server&amp;Cube1,$D$23,$D$24,$D$22,$D$20,$F48,$G$25,$G$24,$D$19,J$12,J$11,$D$32)</f>
        <v/>
      </c>
      <c r="K48" s="135"/>
      <c r="L48" s="134" t="str">
        <f ca="1">_xll.DBRW(Server&amp;Cube1,$D$23,$D$24,$D$22,$D$20,$G$24,$G$25,$G$24,$D$19,L$12,$L$11,$D$32)</f>
        <v/>
      </c>
      <c r="M48" s="134" t="str">
        <f ca="1">_xll.DBRW(Server&amp;Cube1,$D$23,$D$24,$D$22,$D$20,$F48,$G$25,$G$24,$D$19,M$12,M$11,$D$32)</f>
        <v/>
      </c>
      <c r="N48" s="135"/>
      <c r="O48" s="134" t="str">
        <f ca="1">_xll.DBRW(Server&amp;Cube1,$D$23,$D$24,$D$22,$D$20,$F48,$G$25,$G$24,$D$19,O$12,$O$11,$D$32)</f>
        <v/>
      </c>
      <c r="P48" s="134" t="str">
        <f ca="1">_xll.DBRW(Server&amp;Cube1,$D$23,$D$24,$D$22,$D$20,$F48,$G$25,$G$24,$D$19,P$12,$O$11,$D$32)</f>
        <v/>
      </c>
      <c r="Q48" s="134" t="str">
        <f ca="1">_xll.DBRW(Server&amp;Cube1,$D$23,$D$24,$D$22,$D$20,$F48,$G$25,$G$24,$D$19,Q$12,$O$11,$D$32)</f>
        <v/>
      </c>
      <c r="R48" s="134" t="str">
        <f ca="1">_xll.DBRW(Server&amp;Cube1,$D$23,$D$24,$D$22,$D$20,$F48,$G$25,$G$24,$D$19,R$12,$O$11,$D$32)</f>
        <v/>
      </c>
      <c r="S48" s="134" t="str">
        <f ca="1">_xll.DBRW(Server&amp;Cube1,$D$23,$D$24,$D$22,$D$20,$F48,$G$25,$G$24,$D$19,S$12,$O$11,$D$32)</f>
        <v/>
      </c>
      <c r="T48" s="134" t="str">
        <f ca="1">_xll.DBRW(Server&amp;Cube1,$D$23,$D$24,$D$22,$D$20,$F48,$G$25,$G$24,$D$19,T$12,$O$11,$D$32)</f>
        <v/>
      </c>
      <c r="U48" s="134" t="str">
        <f ca="1">_xll.DBRW(Server&amp;Cube1,$D$23,$D$24,$D$22,$D$20,$F48,$G$25,$G$24,$D$19,U$12,$O$11,$D$32)</f>
        <v/>
      </c>
      <c r="V48" s="134" t="str">
        <f ca="1">_xll.DBRW(Server&amp;Cube1,$D$23,$D$24,$D$22,$D$20,$F48,$G$25,$G$24,$D$19,V$12,$O$11,$D$32)</f>
        <v/>
      </c>
      <c r="W48" s="134" t="str">
        <f ca="1">_xll.DBRW(Server&amp;Cube1,$D$23,$D$24,$D$22,$D$20,$F48,$G$25,$G$24,$D$19,W$12,$O$11,$D$32)</f>
        <v/>
      </c>
      <c r="X48" s="134" t="str">
        <f ca="1">_xll.DBRW(Server&amp;Cube1,$D$23,$D$24,$D$22,$D$20,$F48,$G$25,$G$24,$D$19,X$12,$O$11,$D$32)</f>
        <v/>
      </c>
      <c r="Y48" s="134" t="str">
        <f ca="1">_xll.DBRW(Server&amp;Cube1,$D$23,$D$24,$D$22,$D$20,$F48,$G$25,$G$24,$D$19,Y$12,$O$11,$D$32)</f>
        <v/>
      </c>
      <c r="Z48" s="134" t="str">
        <f ca="1">_xll.DBRW(Server&amp;Cube1,$D$23,$D$24,$D$22,$D$20,$F48,$G$25,$G$24,$D$19,Z$12,$O$11,$D$32)</f>
        <v/>
      </c>
      <c r="AB48" s="98" t="str">
        <f ca="1">_xll.DBRW($F$35,$G$37,$G$38,$G$39,$G$40,$F48,$G$41,$G$43,$G$42,$M$12,$I$11,$D$32)</f>
        <v/>
      </c>
      <c r="AC48" s="98" t="str">
        <f ca="1">_xll.DBRW($F$35,$G$37,$G$38,$G$39,$G$40,$F48,$G$41,$G$43,$G$42,$M$12,J$11,$D$32)</f>
        <v/>
      </c>
      <c r="AD48" s="98" t="str">
        <f ca="1">_xll.DBRW($F$35,$G$37,$G$38,$G$39,$G$40,$F48,$G$41,$G$43,$G$42,$M$12,$M$11,$D$32)</f>
        <v/>
      </c>
      <c r="AE48" s="95" t="str">
        <f ca="1">_xll.DBRW($F$35,$G$37,$G$38,$G$39,$G$40,$F48,$G$41,$G$43,$G$42,$M$12,$I$11,$D$32)</f>
        <v/>
      </c>
      <c r="AM48" s="125" t="s">
        <v>69</v>
      </c>
    </row>
    <row r="49" spans="2:45" s="18" customFormat="1" ht="17.25" hidden="1" customHeight="1" thickBot="1" x14ac:dyDescent="0.3">
      <c r="B49" s="56"/>
      <c r="C49" s="56"/>
      <c r="D49" s="62"/>
      <c r="E49" s="103"/>
      <c r="F49" s="15"/>
      <c r="G49" s="15"/>
      <c r="H49" s="15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5"/>
      <c r="AF49" s="42"/>
      <c r="AG49" s="42"/>
      <c r="AH49" s="42"/>
      <c r="AI49" s="42"/>
      <c r="AJ49" s="42"/>
      <c r="AK49" s="42"/>
      <c r="AL49" s="42"/>
      <c r="AM49" s="29"/>
      <c r="AN49" s="42"/>
      <c r="AO49" s="42"/>
      <c r="AP49" s="42"/>
      <c r="AQ49" s="42"/>
      <c r="AR49" s="42"/>
      <c r="AS49" s="42"/>
    </row>
    <row r="50" spans="2:45" s="18" customFormat="1" ht="24" customHeight="1" x14ac:dyDescent="0.25">
      <c r="B50" s="56"/>
      <c r="C50" s="56"/>
      <c r="D50" s="116" t="s">
        <v>73</v>
      </c>
      <c r="E50" s="103"/>
      <c r="F50" s="146" t="str">
        <f ca="1">_xll.DBRA(Server&amp;$C$31,$D$50,$G$26)&amp;" - "&amp;_xll.DBRA(Server&amp;$C$30,$D$30,$G$26)</f>
        <v>ETP Autres - VTD</v>
      </c>
      <c r="G50" s="146"/>
      <c r="H50" s="147"/>
      <c r="I50" s="151" t="str">
        <f ca="1">_xll.DBRW(Server&amp;Cube1,$D$23,$D$24,$D$22,$D$20,$G$24,$G$25,$G$24,$D$19,I$12,I$11,$D$50)</f>
        <v/>
      </c>
      <c r="J50" s="149" t="str">
        <f ca="1">_xll.DBRW(Server&amp;Cube1,$D$23,$D$24,$D$22,$D$20,$G$24,$G$25,$G$24,$D$19,J$12,J$11,$D$50)</f>
        <v/>
      </c>
      <c r="K50" s="130"/>
      <c r="L50" s="150" t="str">
        <f ca="1">_xll.DBRW(Server&amp;Cube1,$D$23,$D$24,$D$22,$D$20,$G$24,$G$25,$G$24,$D$19,L$12,$L$11,$D$50)</f>
        <v/>
      </c>
      <c r="M50" s="151" t="str">
        <f ca="1">_xll.DBRW(Server&amp;Cube1,$D$23,$D$24,$D$22,$D$20,$G$24,$G$25,$G$24,$D$19,M$12,M$11,$D$50)</f>
        <v/>
      </c>
      <c r="N50" s="130"/>
      <c r="O50" s="151" t="str">
        <f ca="1">_xll.DBRW(Server&amp;Cube1,$D$23,$D$24,$D$22,$D$20,$G$24,$G$25,$G$24,$D$19,O$12,$M$11,$D$50)</f>
        <v/>
      </c>
      <c r="P50" s="151" t="str">
        <f ca="1">_xll.DBRW(Server&amp;Cube1,$D$23,$D$24,$D$22,$D$20,$G$24,$G$25,$G$24,$D$19,P$12,$M$11,$D$50)</f>
        <v/>
      </c>
      <c r="Q50" s="151" t="str">
        <f ca="1">_xll.DBRW(Server&amp;Cube1,$D$23,$D$24,$D$22,$D$20,$G$24,$G$25,$G$24,$D$19,Q$12,$M$11,$D$50)</f>
        <v/>
      </c>
      <c r="R50" s="151" t="str">
        <f ca="1">_xll.DBRW(Server&amp;Cube1,$D$23,$D$24,$D$22,$D$20,$G$24,$G$25,$G$24,$D$19,R$12,$M$11,$D$50)</f>
        <v/>
      </c>
      <c r="S50" s="151" t="str">
        <f ca="1">_xll.DBRW(Server&amp;Cube1,$D$23,$D$24,$D$22,$D$20,$G$24,$G$25,$G$24,$D$19,S$12,$M$11,$D$50)</f>
        <v/>
      </c>
      <c r="T50" s="151" t="str">
        <f ca="1">_xll.DBRW(Server&amp;Cube1,$D$23,$D$24,$D$22,$D$20,$G$24,$G$25,$G$24,$D$19,T$12,$M$11,$D$50)</f>
        <v/>
      </c>
      <c r="U50" s="151" t="str">
        <f ca="1">_xll.DBRW(Server&amp;Cube1,$D$23,$D$24,$D$22,$D$20,$G$24,$G$25,$G$24,$D$19,U$12,$M$11,$D$50)</f>
        <v/>
      </c>
      <c r="V50" s="151" t="str">
        <f ca="1">_xll.DBRW(Server&amp;Cube1,$D$23,$D$24,$D$22,$D$20,$G$24,$G$25,$G$24,$D$19,V$12,$M$11,$D$50)</f>
        <v/>
      </c>
      <c r="W50" s="151" t="str">
        <f ca="1">_xll.DBRW(Server&amp;Cube1,$D$23,$D$24,$D$22,$D$20,$G$24,$G$25,$G$24,$D$19,W$12,$M$11,$D$50)</f>
        <v/>
      </c>
      <c r="X50" s="151" t="str">
        <f ca="1">_xll.DBRW(Server&amp;Cube1,$D$23,$D$24,$D$22,$D$20,$G$24,$G$25,$G$24,$D$19,X$12,$M$11,$D$50)</f>
        <v/>
      </c>
      <c r="Y50" s="151" t="str">
        <f ca="1">_xll.DBRW(Server&amp;Cube1,$D$23,$D$24,$D$22,$D$20,$G$24,$G$25,$G$24,$D$19,Y$12,$M$11,$D$50)</f>
        <v/>
      </c>
      <c r="Z50" s="151" t="str">
        <f ca="1">_xll.DBRW(Server&amp;Cube1,$D$23,$D$24,$D$22,$D$20,$G$24,$G$25,$G$24,$D$19,Z$12,$M$11,$D$50)</f>
        <v/>
      </c>
      <c r="AA50" s="15"/>
      <c r="AF50" s="42"/>
      <c r="AG50" s="42"/>
      <c r="AH50" s="42"/>
      <c r="AI50" s="42"/>
      <c r="AJ50" s="42"/>
      <c r="AK50" s="42"/>
      <c r="AL50" s="42"/>
      <c r="AM50" s="29"/>
      <c r="AN50" s="42"/>
      <c r="AO50" s="42"/>
      <c r="AP50" s="42"/>
      <c r="AQ50" s="42"/>
      <c r="AR50" s="42"/>
      <c r="AS50" s="42"/>
    </row>
    <row r="51" spans="2:45" s="18" customFormat="1" ht="17.25" hidden="1" customHeight="1" x14ac:dyDescent="0.25">
      <c r="B51" s="56"/>
      <c r="C51" s="56"/>
      <c r="D51" s="62"/>
      <c r="E51" s="103"/>
      <c r="F51" s="15"/>
      <c r="G51" s="15"/>
      <c r="H51" s="15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5"/>
      <c r="AF51" s="42"/>
      <c r="AG51" s="42"/>
      <c r="AH51" s="42"/>
      <c r="AI51" s="42"/>
      <c r="AJ51" s="42"/>
      <c r="AK51" s="42"/>
      <c r="AL51" s="42"/>
      <c r="AM51" s="29"/>
      <c r="AN51" s="42"/>
      <c r="AO51" s="42"/>
      <c r="AP51" s="42"/>
      <c r="AQ51" s="42"/>
      <c r="AR51" s="42"/>
      <c r="AS51" s="42"/>
    </row>
    <row r="52" spans="2:45" s="18" customFormat="1" ht="17.25" hidden="1" customHeight="1" x14ac:dyDescent="0.25">
      <c r="B52" s="56"/>
      <c r="C52" s="56"/>
      <c r="D52" s="62"/>
      <c r="E52" s="103"/>
      <c r="F52" s="15"/>
      <c r="G52" s="15"/>
      <c r="H52" s="15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5"/>
      <c r="AF52" s="42"/>
      <c r="AG52" s="42"/>
      <c r="AH52" s="42"/>
      <c r="AI52" s="42"/>
      <c r="AJ52" s="42"/>
      <c r="AK52" s="42"/>
      <c r="AL52" s="42"/>
      <c r="AM52" s="29"/>
      <c r="AN52" s="42"/>
      <c r="AO52" s="42"/>
      <c r="AP52" s="42"/>
      <c r="AQ52" s="42"/>
      <c r="AR52" s="42"/>
      <c r="AS52" s="42"/>
    </row>
    <row r="53" spans="2:45" s="18" customFormat="1" ht="17.25" hidden="1" customHeight="1" x14ac:dyDescent="0.25">
      <c r="B53" s="56"/>
      <c r="C53" s="56"/>
      <c r="D53" s="62"/>
      <c r="E53" s="103"/>
      <c r="F53" s="15"/>
      <c r="G53" s="15"/>
      <c r="H53" s="15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5"/>
      <c r="AF53" s="42"/>
      <c r="AG53" s="42"/>
      <c r="AH53" s="42"/>
      <c r="AI53" s="42"/>
      <c r="AJ53" s="42"/>
      <c r="AK53" s="42"/>
      <c r="AL53" s="42"/>
      <c r="AM53" s="29"/>
      <c r="AN53" s="42"/>
      <c r="AO53" s="42"/>
      <c r="AP53" s="42"/>
      <c r="AQ53" s="42"/>
      <c r="AR53" s="42"/>
      <c r="AS53" s="42"/>
    </row>
    <row r="54" spans="2:45" s="18" customFormat="1" ht="17.25" hidden="1" customHeight="1" x14ac:dyDescent="0.25">
      <c r="B54" s="56"/>
      <c r="C54" s="56"/>
      <c r="D54" s="62"/>
      <c r="E54" s="103"/>
      <c r="F54" s="15"/>
      <c r="G54" s="15"/>
      <c r="H54" s="15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5"/>
      <c r="AF54" s="42"/>
      <c r="AG54" s="42"/>
      <c r="AH54" s="42"/>
      <c r="AI54" s="42"/>
      <c r="AJ54" s="42"/>
      <c r="AK54" s="42"/>
      <c r="AL54" s="42"/>
      <c r="AM54" s="29"/>
      <c r="AN54" s="42"/>
      <c r="AO54" s="42"/>
      <c r="AP54" s="42"/>
      <c r="AQ54" s="42"/>
      <c r="AR54" s="42"/>
      <c r="AS54" s="42"/>
    </row>
    <row r="55" spans="2:45" s="18" customFormat="1" ht="17.25" hidden="1" customHeight="1" x14ac:dyDescent="0.25">
      <c r="B55" s="56"/>
      <c r="C55" s="56"/>
      <c r="D55" s="62"/>
      <c r="E55" s="103"/>
      <c r="F55" s="15"/>
      <c r="G55" s="15"/>
      <c r="H55" s="15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5"/>
      <c r="AF55" s="42"/>
      <c r="AG55" s="42"/>
      <c r="AH55" s="42"/>
      <c r="AI55" s="42"/>
      <c r="AJ55" s="42"/>
      <c r="AK55" s="42"/>
      <c r="AL55" s="42"/>
      <c r="AM55" s="29"/>
      <c r="AN55" s="42"/>
      <c r="AO55" s="42"/>
      <c r="AP55" s="42"/>
      <c r="AQ55" s="42"/>
      <c r="AR55" s="42"/>
      <c r="AS55" s="42"/>
    </row>
    <row r="56" spans="2:45" s="18" customFormat="1" ht="17.25" hidden="1" customHeight="1" x14ac:dyDescent="0.25">
      <c r="B56" s="56"/>
      <c r="C56" s="56"/>
      <c r="D56" s="62"/>
      <c r="E56" s="103"/>
      <c r="F56" s="15"/>
      <c r="G56" s="15"/>
      <c r="H56" s="15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5"/>
      <c r="AF56" s="42"/>
      <c r="AG56" s="42"/>
      <c r="AH56" s="42"/>
      <c r="AI56" s="42"/>
      <c r="AJ56" s="42"/>
      <c r="AK56" s="42"/>
      <c r="AL56" s="42"/>
      <c r="AM56" s="29"/>
      <c r="AN56" s="42"/>
      <c r="AO56" s="42"/>
      <c r="AP56" s="42"/>
      <c r="AQ56" s="42"/>
      <c r="AR56" s="42"/>
      <c r="AS56" s="42"/>
    </row>
    <row r="57" spans="2:45" s="18" customFormat="1" ht="17.25" hidden="1" customHeight="1" x14ac:dyDescent="0.25">
      <c r="B57" s="56"/>
      <c r="C57" s="56"/>
      <c r="D57" s="62"/>
      <c r="E57" s="103"/>
      <c r="F57" s="15"/>
      <c r="G57" s="15"/>
      <c r="H57" s="15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5"/>
      <c r="AF57" s="42"/>
      <c r="AG57" s="42"/>
      <c r="AH57" s="42"/>
      <c r="AI57" s="42"/>
      <c r="AJ57" s="42"/>
      <c r="AK57" s="42"/>
      <c r="AL57" s="42"/>
      <c r="AM57" s="29"/>
      <c r="AN57" s="42"/>
      <c r="AO57" s="42"/>
      <c r="AP57" s="42"/>
      <c r="AQ57" s="42"/>
      <c r="AR57" s="42"/>
      <c r="AS57" s="42"/>
    </row>
    <row r="58" spans="2:45" s="18" customFormat="1" ht="17.25" hidden="1" customHeight="1" x14ac:dyDescent="0.25">
      <c r="B58" s="56"/>
      <c r="C58" s="56"/>
      <c r="D58" s="62"/>
      <c r="E58" s="103"/>
      <c r="F58" s="15"/>
      <c r="G58" s="15"/>
      <c r="H58" s="15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5"/>
      <c r="AF58" s="42"/>
      <c r="AG58" s="42"/>
      <c r="AH58" s="42"/>
      <c r="AI58" s="42"/>
      <c r="AJ58" s="42"/>
      <c r="AK58" s="42"/>
      <c r="AL58" s="42"/>
      <c r="AM58" s="29"/>
      <c r="AN58" s="42"/>
      <c r="AO58" s="42"/>
      <c r="AP58" s="42"/>
      <c r="AQ58" s="42"/>
      <c r="AR58" s="42"/>
      <c r="AS58" s="42"/>
    </row>
    <row r="59" spans="2:45" s="18" customFormat="1" ht="17.25" hidden="1" customHeight="1" x14ac:dyDescent="0.25">
      <c r="B59" s="56"/>
      <c r="C59" s="56"/>
      <c r="D59" s="62"/>
      <c r="E59" s="103"/>
      <c r="F59" s="15"/>
      <c r="G59" s="15"/>
      <c r="H59" s="15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5"/>
      <c r="AF59" s="42"/>
      <c r="AG59" s="42"/>
      <c r="AH59" s="42"/>
      <c r="AI59" s="42"/>
      <c r="AJ59" s="42"/>
      <c r="AK59" s="42"/>
      <c r="AL59" s="42"/>
      <c r="AM59" s="29"/>
      <c r="AN59" s="42"/>
      <c r="AO59" s="42"/>
      <c r="AP59" s="42"/>
      <c r="AQ59" s="42"/>
      <c r="AR59" s="42"/>
      <c r="AS59" s="42"/>
    </row>
    <row r="60" spans="2:45" s="18" customFormat="1" ht="17.25" hidden="1" customHeight="1" x14ac:dyDescent="0.25">
      <c r="B60" s="56"/>
      <c r="C60" s="56"/>
      <c r="D60" s="62"/>
      <c r="E60" s="103"/>
      <c r="F60" s="15"/>
      <c r="G60" s="15"/>
      <c r="H60" s="15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5"/>
      <c r="AF60" s="42"/>
      <c r="AG60" s="42"/>
      <c r="AH60" s="42"/>
      <c r="AI60" s="42"/>
      <c r="AJ60" s="42"/>
      <c r="AK60" s="42"/>
      <c r="AL60" s="42"/>
      <c r="AM60" s="29"/>
      <c r="AN60" s="42"/>
      <c r="AO60" s="42"/>
      <c r="AP60" s="42"/>
      <c r="AQ60" s="42"/>
      <c r="AR60" s="42"/>
      <c r="AS60" s="42"/>
    </row>
    <row r="61" spans="2:45" s="18" customFormat="1" ht="17.25" hidden="1" customHeight="1" x14ac:dyDescent="0.25">
      <c r="B61" s="56"/>
      <c r="C61" s="56"/>
      <c r="D61" s="62"/>
      <c r="E61" s="103"/>
      <c r="F61" s="15"/>
      <c r="G61" s="15"/>
      <c r="H61" s="15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5"/>
      <c r="AF61" s="42"/>
      <c r="AG61" s="42"/>
      <c r="AH61" s="42"/>
      <c r="AI61" s="42"/>
      <c r="AJ61" s="42"/>
      <c r="AK61" s="42"/>
      <c r="AL61" s="42"/>
      <c r="AM61" s="29"/>
      <c r="AN61" s="42"/>
      <c r="AO61" s="42"/>
      <c r="AP61" s="42"/>
      <c r="AQ61" s="42"/>
      <c r="AR61" s="42"/>
      <c r="AS61" s="42"/>
    </row>
    <row r="62" spans="2:45" s="18" customFormat="1" ht="17.25" hidden="1" customHeight="1" x14ac:dyDescent="0.25">
      <c r="B62" s="56"/>
      <c r="C62" s="56"/>
      <c r="D62" s="62"/>
      <c r="E62" s="103"/>
      <c r="F62" s="15"/>
      <c r="G62" s="15"/>
      <c r="H62" s="15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5"/>
      <c r="AF62" s="42"/>
      <c r="AG62" s="42"/>
      <c r="AH62" s="42"/>
      <c r="AI62" s="42"/>
      <c r="AJ62" s="42"/>
      <c r="AK62" s="42"/>
      <c r="AL62" s="42"/>
      <c r="AM62" s="29"/>
      <c r="AN62" s="42"/>
      <c r="AO62" s="42"/>
      <c r="AP62" s="42"/>
      <c r="AQ62" s="42"/>
      <c r="AR62" s="42"/>
      <c r="AS62" s="42"/>
    </row>
    <row r="63" spans="2:45" customFormat="1" ht="17.25" hidden="1" customHeight="1" x14ac:dyDescent="0.25">
      <c r="E63" s="104"/>
      <c r="F63" s="106" t="str">
        <f ca="1">_xll.TM1RPTVIEW(Server&amp;"RP_PL_Corp:ARPT4", 0, _xll.TM1RPTTITLE(Server&amp;"Currency",$G$37), _xll.TM1RPTTITLE(Server&amp;"Gaap",$G$38), _xll.TM1RPTTITLE(Server&amp;"Integration_Rate",$G$39), _xll.TM1RPTTITLE(Server&amp;"Projets",$G$40), _xll.TM1RPTTITLE(Server&amp;"Management_Organization_Corp",$G$43), _xll.TM1RPTTITLE(Server&amp;"Legal_Organization_Corp",$G$41), _xll.TM1RPTTITLE(Server&amp;"Tiers",$G$42), TM1RPTFMTRNG,TM1RPTFMTIDCOL)</f>
        <v>tango_core_model:RP_PL_Corp:ARPT4</v>
      </c>
      <c r="I63" s="132"/>
      <c r="J63" s="132"/>
      <c r="K63" s="132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</row>
    <row r="64" spans="2:45" customFormat="1" ht="17.25" hidden="1" customHeight="1" x14ac:dyDescent="0.2">
      <c r="E64" s="104"/>
      <c r="I64" s="132"/>
      <c r="J64" s="132"/>
      <c r="K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</row>
    <row r="65" spans="1:45" customFormat="1" ht="17.25" hidden="1" customHeight="1" x14ac:dyDescent="0.2">
      <c r="E65" s="104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B65" s="77"/>
      <c r="AC65" s="77"/>
      <c r="AD65" s="77"/>
      <c r="AE65" s="77"/>
    </row>
    <row r="66" spans="1:45" customFormat="1" ht="17.25" customHeight="1" x14ac:dyDescent="0.2">
      <c r="A66" t="str">
        <f ca="1">IF(_xll.TM1RPTELISCONSOLIDATED($F$66,$F66),IF(_xll.TM1RPTELLEV($F$66,$F66)&lt;=3,_xll.TM1RPTELLEV($F$66,$F66),"D"),"N")</f>
        <v>N</v>
      </c>
      <c r="F66" s="117" t="str">
        <f ca="1">_xll.TM1RPTROW($F$63,Server&amp;"Matricules","","",$G$26,0,$F$33,,1)</f>
        <v/>
      </c>
      <c r="G66" s="98"/>
      <c r="H66" s="98"/>
      <c r="I66" s="134" t="str">
        <f ca="1">_xll.DBRW(Server&amp;Cube1,$D$23,$D$24,$D$22,$D$20,$F66,$G$25,$G$24,$D$19,I$12,I$11,$D$50)</f>
        <v/>
      </c>
      <c r="J66" s="134" t="str">
        <f ca="1">_xll.DBRW(Server&amp;Cube1,$D$23,$D$24,$D$22,$D$20,$F66,$G$25,$G$24,$D$19,J$12,J$11,$D$50)</f>
        <v/>
      </c>
      <c r="K66" s="135"/>
      <c r="L66" s="134" t="str">
        <f ca="1">_xll.DBRW(Server&amp;Cube1,$D$23,$D$24,$D$22,$D$20,$G$24,$G$25,$G$24,$D$19,L$12,$L$11,$D$50)</f>
        <v/>
      </c>
      <c r="M66" s="134" t="str">
        <f ca="1">_xll.DBRW(Server&amp;Cube1,$D$23,$D$24,$D$22,$D$20,$F66,$G$25,$G$24,$D$19,M$12,M$11,$D$50)</f>
        <v/>
      </c>
      <c r="N66" s="135"/>
      <c r="O66" s="134" t="str">
        <f ca="1">_xll.DBRW(Server&amp;Cube1,$D$23,$D$24,$D$22,$D$20,$F66,$G$25,$G$24,$D$19,O$12,$O$11,$D$50)</f>
        <v/>
      </c>
      <c r="P66" s="134" t="str">
        <f ca="1">_xll.DBRW(Server&amp;Cube1,$D$23,$D$24,$D$22,$D$20,$F66,$G$25,$G$24,$D$19,P$12,$O$11,$D$50)</f>
        <v/>
      </c>
      <c r="Q66" s="134" t="str">
        <f ca="1">_xll.DBRW(Server&amp;Cube1,$D$23,$D$24,$D$22,$D$20,$F66,$G$25,$G$24,$D$19,Q$12,$O$11,$D$50)</f>
        <v/>
      </c>
      <c r="R66" s="134" t="str">
        <f ca="1">_xll.DBRW(Server&amp;Cube1,$D$23,$D$24,$D$22,$D$20,$F66,$G$25,$G$24,$D$19,R$12,$O$11,$D$50)</f>
        <v/>
      </c>
      <c r="S66" s="134" t="str">
        <f ca="1">_xll.DBRW(Server&amp;Cube1,$D$23,$D$24,$D$22,$D$20,$F66,$G$25,$G$24,$D$19,S$12,$O$11,$D$50)</f>
        <v/>
      </c>
      <c r="T66" s="134" t="str">
        <f ca="1">_xll.DBRW(Server&amp;Cube1,$D$23,$D$24,$D$22,$D$20,$F66,$G$25,$G$24,$D$19,T$12,$O$11,$D$50)</f>
        <v/>
      </c>
      <c r="U66" s="134" t="str">
        <f ca="1">_xll.DBRW(Server&amp;Cube1,$D$23,$D$24,$D$22,$D$20,$F66,$G$25,$G$24,$D$19,U$12,$O$11,$D$50)</f>
        <v/>
      </c>
      <c r="V66" s="134" t="str">
        <f ca="1">_xll.DBRW(Server&amp;Cube1,$D$23,$D$24,$D$22,$D$20,$F66,$G$25,$G$24,$D$19,V$12,$O$11,$D$50)</f>
        <v/>
      </c>
      <c r="W66" s="134" t="str">
        <f ca="1">_xll.DBRW(Server&amp;Cube1,$D$23,$D$24,$D$22,$D$20,$F66,$G$25,$G$24,$D$19,W$12,$O$11,$D$50)</f>
        <v/>
      </c>
      <c r="X66" s="134" t="str">
        <f ca="1">_xll.DBRW(Server&amp;Cube1,$D$23,$D$24,$D$22,$D$20,$F66,$G$25,$G$24,$D$19,X$12,$O$11,$D$50)</f>
        <v/>
      </c>
      <c r="Y66" s="134" t="str">
        <f ca="1">_xll.DBRW(Server&amp;Cube1,$D$23,$D$24,$D$22,$D$20,$F66,$G$25,$G$24,$D$19,Y$12,$O$11,$D$50)</f>
        <v/>
      </c>
      <c r="Z66" s="134" t="str">
        <f ca="1">_xll.DBRW(Server&amp;Cube1,$D$23,$D$24,$D$22,$D$20,$F66,$G$25,$G$24,$D$19,Z$12,$O$11,$D$50)</f>
        <v/>
      </c>
      <c r="AB66" s="98" t="str">
        <f ca="1">_xll.DBRW($F$63,$G$37,$G$38,$G$39,$G$40,$F66,$G$41,$G$43,$G$42,$M$12,$I$11,$D$50)</f>
        <v/>
      </c>
      <c r="AC66" s="98" t="str">
        <f ca="1">_xll.DBRW($F$63,$G$37,$G$38,$G$39,$G$40,$F66,$G$41,$G$43,$G$42,$M$12,$J$11,$D$50)</f>
        <v/>
      </c>
      <c r="AD66" s="98" t="str">
        <f ca="1">_xll.DBRW($F$63,$G$37,$G$38,$G$39,$G$40,$F66,$G$41,$G$43,$G$42,$M$12,$M$11,$D$50)</f>
        <v/>
      </c>
      <c r="AE66" s="95" t="str">
        <f ca="1">_xll.DBRW($F$63,$G$37,$G$38,$G$39,$G$40,$F66,$G$41,$G$43,$G$42,$M$12,$I$11,$D$50)</f>
        <v/>
      </c>
    </row>
    <row r="67" spans="1:45" s="18" customFormat="1" ht="17.25" hidden="1" customHeight="1" thickBot="1" x14ac:dyDescent="0.3">
      <c r="B67" s="56"/>
      <c r="C67" s="56"/>
      <c r="D67" s="62"/>
      <c r="E67" s="103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F67" s="42"/>
      <c r="AG67" s="42"/>
      <c r="AH67" s="42"/>
      <c r="AI67" s="42"/>
      <c r="AJ67" s="42"/>
      <c r="AK67" s="42"/>
      <c r="AL67" s="42"/>
      <c r="AM67" s="29"/>
      <c r="AN67" s="42"/>
      <c r="AO67" s="42"/>
      <c r="AP67" s="42"/>
      <c r="AQ67" s="42"/>
      <c r="AR67" s="42"/>
      <c r="AS67" s="42"/>
    </row>
    <row r="68" spans="1:45" s="18" customFormat="1" ht="17.25" customHeight="1" x14ac:dyDescent="0.25">
      <c r="B68" s="56"/>
      <c r="C68" s="56"/>
      <c r="D68" s="62"/>
      <c r="E68" s="103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F68" s="42"/>
      <c r="AG68" s="42"/>
      <c r="AH68" s="42"/>
      <c r="AI68" s="42"/>
      <c r="AJ68" s="42"/>
      <c r="AK68" s="42"/>
      <c r="AL68" s="42"/>
      <c r="AM68" s="29"/>
      <c r="AN68" s="42"/>
      <c r="AO68" s="42"/>
      <c r="AP68" s="42"/>
      <c r="AQ68" s="42"/>
      <c r="AR68" s="42"/>
      <c r="AS68" s="42"/>
    </row>
    <row r="69" spans="1:45" s="18" customFormat="1" ht="17.25" customHeight="1" x14ac:dyDescent="0.25">
      <c r="B69" s="56"/>
      <c r="C69" s="56"/>
      <c r="D69" s="57" t="s">
        <v>70</v>
      </c>
      <c r="E69" s="103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F69" s="42"/>
      <c r="AG69" s="42"/>
      <c r="AH69" s="42"/>
      <c r="AI69" s="42"/>
      <c r="AJ69" s="42"/>
      <c r="AK69" s="42"/>
      <c r="AL69" s="42"/>
      <c r="AM69" s="29"/>
      <c r="AN69" s="42"/>
      <c r="AO69" s="42"/>
      <c r="AP69" s="42"/>
      <c r="AQ69" s="42"/>
      <c r="AR69" s="42"/>
      <c r="AS69" s="42"/>
    </row>
    <row r="70" spans="1:45" s="18" customFormat="1" ht="17.25" customHeight="1" thickBot="1" x14ac:dyDescent="0.35">
      <c r="B70" s="56"/>
      <c r="C70" s="56"/>
      <c r="D70" s="57" t="s">
        <v>10</v>
      </c>
      <c r="E70" s="103"/>
      <c r="F70" s="19" t="str">
        <f ca="1">_xll.DBRA(Server&amp;$AM$21,$D$70,$AP$18)</f>
        <v>Commentaires</v>
      </c>
      <c r="G70" s="119"/>
      <c r="H70" s="119"/>
      <c r="I70" s="119"/>
      <c r="J70" s="119"/>
      <c r="K70" s="119"/>
      <c r="L70" s="119"/>
      <c r="M70" s="120"/>
      <c r="N70" s="121"/>
      <c r="O70" s="121"/>
      <c r="P70" s="122"/>
      <c r="Q70" s="123"/>
      <c r="R70" s="123"/>
      <c r="S70" s="123"/>
      <c r="T70" s="124"/>
      <c r="U70" s="124"/>
      <c r="V70" s="120"/>
      <c r="W70" s="120"/>
      <c r="X70" s="120"/>
      <c r="Y70" s="120"/>
      <c r="Z70" s="120"/>
      <c r="AA70" s="15"/>
      <c r="AF70" s="42"/>
      <c r="AG70" s="42"/>
      <c r="AH70" s="42"/>
      <c r="AI70" s="42"/>
      <c r="AJ70" s="42"/>
      <c r="AK70" s="42"/>
      <c r="AL70" s="42"/>
      <c r="AM70" s="29"/>
      <c r="AN70" s="42"/>
      <c r="AO70" s="42"/>
      <c r="AP70" s="42"/>
      <c r="AQ70" s="42"/>
      <c r="AR70" s="42"/>
      <c r="AS70" s="42"/>
    </row>
    <row r="71" spans="1:45" s="18" customFormat="1" ht="17.25" customHeight="1" x14ac:dyDescent="0.25">
      <c r="B71" s="56"/>
      <c r="C71" s="56"/>
      <c r="D71" s="57" t="s">
        <v>30</v>
      </c>
      <c r="E71" s="103"/>
      <c r="F71" s="6" t="str">
        <f ca="1">_xll.DBRW(Server&amp;Cube2,$D$24,$D$22,$D$20,$G$25,$G$24,$D$19,$G$23,$O$11,$I$15,$D$69,$D$71)</f>
        <v/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4"/>
      <c r="AA71" s="15"/>
      <c r="AF71" s="42"/>
      <c r="AG71" s="42"/>
      <c r="AH71" s="42"/>
      <c r="AI71" s="42"/>
      <c r="AJ71" s="42"/>
      <c r="AK71" s="42"/>
      <c r="AL71" s="42"/>
      <c r="AM71" s="29"/>
      <c r="AN71" s="42"/>
      <c r="AO71" s="42"/>
      <c r="AP71" s="42"/>
      <c r="AQ71" s="42"/>
      <c r="AR71" s="42"/>
      <c r="AS71" s="42"/>
    </row>
    <row r="72" spans="1:45" s="18" customFormat="1" ht="17.25" customHeight="1" x14ac:dyDescent="0.25">
      <c r="B72" s="56"/>
      <c r="C72" s="56"/>
      <c r="D72" s="57" t="s">
        <v>31</v>
      </c>
      <c r="E72" s="103"/>
      <c r="F72" s="13" t="str">
        <f ca="1">_xll.DBRW(Server&amp;Cube2,$D$24,$D$22,$D$20,$G$25,$G$24,$D$19,$G$23,$O$11,$I$15,$D$69,$D$72)</f>
        <v/>
      </c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4"/>
      <c r="AA72" s="15"/>
      <c r="AF72" s="42"/>
      <c r="AG72" s="42"/>
      <c r="AH72" s="42"/>
      <c r="AI72" s="42"/>
      <c r="AJ72" s="42"/>
      <c r="AK72" s="42"/>
      <c r="AL72" s="42"/>
      <c r="AM72" s="29"/>
      <c r="AN72" s="42"/>
      <c r="AO72" s="42"/>
      <c r="AP72" s="42"/>
      <c r="AQ72" s="42"/>
      <c r="AR72" s="42"/>
      <c r="AS72" s="42"/>
    </row>
    <row r="73" spans="1:45" s="18" customFormat="1" ht="17.25" customHeight="1" x14ac:dyDescent="0.25">
      <c r="B73" s="56"/>
      <c r="C73" s="56"/>
      <c r="D73" s="57" t="s">
        <v>32</v>
      </c>
      <c r="E73" s="103"/>
      <c r="F73" s="13" t="str">
        <f ca="1">_xll.DBRW(Server&amp;Cube2,$D$24,$D$22,$D$20,$G$25,$G$24,$D$19,$G$23,$O$11,$I$15,$D$69,$D$73)</f>
        <v/>
      </c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4"/>
      <c r="AA73" s="15"/>
      <c r="AF73" s="42"/>
      <c r="AG73" s="42"/>
      <c r="AH73" s="42"/>
      <c r="AI73" s="42"/>
      <c r="AJ73" s="42"/>
      <c r="AK73" s="42"/>
      <c r="AL73" s="42"/>
      <c r="AM73" s="29"/>
      <c r="AN73" s="42"/>
      <c r="AO73" s="42"/>
      <c r="AP73" s="42"/>
      <c r="AQ73" s="42"/>
      <c r="AR73" s="42"/>
      <c r="AS73" s="42"/>
    </row>
    <row r="74" spans="1:45" s="18" customFormat="1" ht="17.25" customHeight="1" thickBot="1" x14ac:dyDescent="0.3">
      <c r="B74" s="56"/>
      <c r="C74" s="56"/>
      <c r="D74" s="57" t="s">
        <v>33</v>
      </c>
      <c r="E74" s="103"/>
      <c r="F74" s="10" t="str">
        <f ca="1">_xll.DBRW(Server&amp;Cube2,$D$24,$D$22,$D$20,$G$25,$G$24,$D$19,$G$23,$O$11,$I$15,$D$69,$D$74)</f>
        <v/>
      </c>
      <c r="G74" s="8"/>
      <c r="H74" s="8"/>
      <c r="I74" s="8"/>
      <c r="J74" s="8"/>
      <c r="K74" s="8"/>
      <c r="L74" s="12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9"/>
      <c r="AA74" s="15"/>
      <c r="AF74" s="42"/>
      <c r="AG74" s="42"/>
      <c r="AH74" s="42"/>
      <c r="AI74" s="42"/>
      <c r="AJ74" s="42"/>
      <c r="AK74" s="42"/>
      <c r="AL74" s="42"/>
      <c r="AM74" s="29"/>
      <c r="AN74" s="42"/>
      <c r="AO74" s="42"/>
      <c r="AP74" s="42"/>
      <c r="AQ74" s="42"/>
      <c r="AR74" s="42"/>
      <c r="AS74" s="42"/>
    </row>
    <row r="75" spans="1:45" s="18" customFormat="1" ht="17.25" customHeight="1" x14ac:dyDescent="0.25">
      <c r="B75" s="56"/>
      <c r="C75" s="56"/>
      <c r="D75" s="62"/>
      <c r="E75" s="103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F75" s="42"/>
      <c r="AG75" s="42"/>
      <c r="AH75" s="42"/>
      <c r="AI75" s="42"/>
      <c r="AJ75" s="42"/>
      <c r="AK75" s="42"/>
      <c r="AL75" s="42"/>
      <c r="AM75" s="29"/>
      <c r="AN75" s="42"/>
      <c r="AO75" s="42"/>
      <c r="AP75" s="42"/>
      <c r="AQ75" s="42"/>
      <c r="AR75" s="42"/>
      <c r="AS75" s="42"/>
    </row>
    <row r="76" spans="1:45" s="18" customFormat="1" ht="17.25" customHeight="1" x14ac:dyDescent="0.25">
      <c r="B76" s="56"/>
      <c r="C76" s="56"/>
      <c r="D76" s="62"/>
      <c r="E76" s="103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F76" s="42"/>
      <c r="AG76" s="42"/>
      <c r="AH76" s="42"/>
      <c r="AI76" s="42"/>
      <c r="AJ76" s="42"/>
      <c r="AK76" s="42"/>
      <c r="AL76" s="42"/>
      <c r="AM76" s="29"/>
      <c r="AN76" s="42"/>
      <c r="AO76" s="42"/>
      <c r="AP76" s="42"/>
      <c r="AQ76" s="42"/>
      <c r="AR76" s="42"/>
      <c r="AS76" s="42"/>
    </row>
    <row r="77" spans="1:45" s="18" customFormat="1" ht="17.25" customHeight="1" x14ac:dyDescent="0.25">
      <c r="B77" s="56"/>
      <c r="C77" s="56"/>
      <c r="D77" s="62"/>
      <c r="E77" s="103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F77" s="42"/>
      <c r="AG77" s="42"/>
      <c r="AH77" s="42"/>
      <c r="AI77" s="42"/>
      <c r="AJ77" s="42"/>
      <c r="AK77" s="42"/>
      <c r="AL77" s="42"/>
      <c r="AM77" s="29"/>
      <c r="AN77" s="42"/>
      <c r="AO77" s="42"/>
      <c r="AP77" s="42"/>
      <c r="AQ77" s="42"/>
      <c r="AR77" s="42"/>
      <c r="AS77" s="42"/>
    </row>
    <row r="78" spans="1:45" s="18" customFormat="1" ht="17.25" customHeight="1" x14ac:dyDescent="0.25">
      <c r="B78" s="56"/>
      <c r="C78" s="56"/>
      <c r="D78" s="62"/>
      <c r="E78" s="103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F78" s="42"/>
      <c r="AG78" s="42"/>
      <c r="AH78" s="42"/>
      <c r="AI78" s="42"/>
      <c r="AJ78" s="42"/>
      <c r="AK78" s="42"/>
      <c r="AL78" s="42"/>
      <c r="AM78" s="29"/>
      <c r="AN78" s="42"/>
      <c r="AO78" s="42"/>
      <c r="AP78" s="42"/>
      <c r="AQ78" s="42"/>
      <c r="AR78" s="42"/>
      <c r="AS78" s="42"/>
    </row>
    <row r="79" spans="1:45" s="18" customFormat="1" ht="17.25" customHeight="1" x14ac:dyDescent="0.25">
      <c r="B79" s="56"/>
      <c r="C79" s="56"/>
      <c r="D79" s="62"/>
      <c r="E79" s="103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F79" s="42"/>
      <c r="AG79" s="42"/>
      <c r="AH79" s="42"/>
      <c r="AI79" s="42"/>
      <c r="AJ79" s="42"/>
      <c r="AK79" s="42"/>
      <c r="AL79" s="42"/>
      <c r="AM79" s="29"/>
      <c r="AN79" s="42"/>
      <c r="AO79" s="42"/>
      <c r="AP79" s="42"/>
      <c r="AQ79" s="42"/>
      <c r="AR79" s="42"/>
      <c r="AS79" s="42"/>
    </row>
    <row r="80" spans="1:45" s="18" customFormat="1" ht="17.25" customHeight="1" x14ac:dyDescent="0.25">
      <c r="B80" s="56"/>
      <c r="C80" s="56"/>
      <c r="D80" s="62"/>
      <c r="E80" s="103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F80" s="42"/>
      <c r="AG80" s="42"/>
      <c r="AH80" s="42"/>
      <c r="AI80" s="42"/>
      <c r="AJ80" s="42"/>
      <c r="AK80" s="42"/>
      <c r="AL80" s="42"/>
      <c r="AM80" s="29"/>
      <c r="AN80" s="42"/>
      <c r="AO80" s="42"/>
      <c r="AP80" s="42"/>
      <c r="AQ80" s="42"/>
      <c r="AR80" s="42"/>
      <c r="AS80" s="42"/>
    </row>
    <row r="81" spans="1:45" s="18" customFormat="1" ht="17.25" customHeight="1" x14ac:dyDescent="0.25">
      <c r="B81" s="56"/>
      <c r="C81" s="56"/>
      <c r="D81" s="62"/>
      <c r="E81" s="103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F81" s="42"/>
      <c r="AG81" s="42"/>
      <c r="AH81" s="42"/>
      <c r="AI81" s="42"/>
      <c r="AJ81" s="42"/>
      <c r="AK81" s="42"/>
      <c r="AL81" s="42"/>
      <c r="AM81" s="29"/>
      <c r="AN81" s="42"/>
      <c r="AO81" s="42"/>
      <c r="AP81" s="42"/>
      <c r="AQ81" s="42"/>
      <c r="AR81" s="42"/>
      <c r="AS81" s="42"/>
    </row>
    <row r="82" spans="1:45" ht="22.5" customHeight="1" x14ac:dyDescent="0.25">
      <c r="B82" s="56"/>
      <c r="C82" s="63"/>
      <c r="D82" s="62"/>
      <c r="E82" s="101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18"/>
      <c r="AC82" s="18"/>
      <c r="AD82" s="18"/>
      <c r="AE82" s="18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</row>
    <row r="83" spans="1:45" s="37" customFormat="1" ht="20.25" customHeight="1" x14ac:dyDescent="0.25">
      <c r="B83" s="56"/>
      <c r="C83" s="56"/>
      <c r="D83" s="62"/>
      <c r="E83" s="99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18"/>
      <c r="AC83" s="18"/>
      <c r="AD83" s="18"/>
      <c r="AE83" s="18"/>
      <c r="AF83" s="42"/>
      <c r="AG83" s="42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</row>
    <row r="84" spans="1:45" s="37" customFormat="1" ht="23.25" customHeight="1" x14ac:dyDescent="0.25">
      <c r="B84" s="56"/>
      <c r="C84" s="56"/>
      <c r="D84" s="62"/>
      <c r="E84" s="99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18"/>
      <c r="AC84" s="18"/>
      <c r="AD84" s="18"/>
      <c r="AE84" s="18"/>
      <c r="AF84" s="42"/>
      <c r="AG84" s="42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</row>
    <row r="85" spans="1:45" s="37" customFormat="1" ht="23.25" customHeight="1" x14ac:dyDescent="0.25">
      <c r="B85" s="56"/>
      <c r="C85" s="56"/>
      <c r="D85" s="62"/>
      <c r="E85" s="99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18"/>
      <c r="AC85" s="18"/>
      <c r="AD85" s="18"/>
      <c r="AE85" s="18"/>
      <c r="AF85" s="42"/>
      <c r="AG85" s="42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</row>
    <row r="86" spans="1:45" s="37" customFormat="1" ht="23.25" customHeight="1" x14ac:dyDescent="0.25">
      <c r="B86" s="56"/>
      <c r="C86" s="56"/>
      <c r="D86" s="62"/>
      <c r="E86" s="99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18"/>
      <c r="AC86" s="18"/>
      <c r="AD86" s="18"/>
      <c r="AE86" s="18"/>
      <c r="AF86" s="42"/>
      <c r="AG86" s="42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</row>
    <row r="87" spans="1:45" s="37" customFormat="1" ht="23.25" customHeight="1" x14ac:dyDescent="0.25">
      <c r="B87" s="56"/>
      <c r="C87" s="56"/>
      <c r="D87" s="62"/>
      <c r="E87" s="99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18"/>
      <c r="AC87" s="18"/>
      <c r="AD87" s="18"/>
      <c r="AE87" s="18"/>
      <c r="AF87" s="42"/>
      <c r="AG87" s="42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</row>
    <row r="88" spans="1:45" s="37" customFormat="1" ht="15.75" x14ac:dyDescent="0.25">
      <c r="B88" s="56"/>
      <c r="C88" s="56"/>
      <c r="D88" s="62"/>
      <c r="E88" s="99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</row>
    <row r="89" spans="1:45" s="37" customFormat="1" ht="12.75" x14ac:dyDescent="0.2">
      <c r="B89" s="56"/>
      <c r="C89" s="56"/>
      <c r="D89" s="57"/>
      <c r="E89" s="99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</row>
    <row r="90" spans="1:45" s="37" customFormat="1" ht="12.75" x14ac:dyDescent="0.2">
      <c r="B90" s="56"/>
      <c r="C90" s="56"/>
      <c r="D90" s="57"/>
      <c r="E90" s="99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</row>
    <row r="91" spans="1:45" s="28" customFormat="1" ht="12.75" x14ac:dyDescent="0.2">
      <c r="A91" s="42"/>
      <c r="B91" s="56"/>
      <c r="C91" s="56"/>
      <c r="D91" s="57"/>
      <c r="E91" s="9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C91" s="42"/>
      <c r="AD91" s="42"/>
      <c r="AE91" s="42"/>
    </row>
    <row r="92" spans="1:45" s="28" customFormat="1" ht="18" customHeight="1" x14ac:dyDescent="0.2">
      <c r="A92" s="42"/>
      <c r="B92" s="56"/>
      <c r="C92" s="56"/>
      <c r="D92" s="57"/>
      <c r="E92" s="9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C92" s="42"/>
      <c r="AD92" s="42"/>
      <c r="AE92" s="42"/>
    </row>
    <row r="93" spans="1:45" s="28" customFormat="1" ht="18" customHeight="1" x14ac:dyDescent="0.2">
      <c r="A93" s="42"/>
      <c r="B93" s="56"/>
      <c r="C93" s="56"/>
      <c r="D93" s="57"/>
      <c r="E93" s="99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3"/>
      <c r="AC93" s="43"/>
      <c r="AD93" s="43"/>
      <c r="AE93" s="43"/>
      <c r="AG93" s="29"/>
      <c r="AH93" s="29"/>
      <c r="AI93" s="29"/>
      <c r="AJ93" s="29"/>
      <c r="AK93" s="29"/>
      <c r="AL93" s="29"/>
      <c r="AM93" s="29"/>
      <c r="AN93" s="29"/>
      <c r="AO93" s="29"/>
      <c r="AP93" s="29"/>
    </row>
    <row r="94" spans="1:45" s="28" customFormat="1" ht="18" customHeight="1" x14ac:dyDescent="0.2">
      <c r="A94" s="42"/>
      <c r="B94" s="56"/>
      <c r="C94" s="56"/>
      <c r="D94" s="57"/>
      <c r="E94" s="99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3"/>
      <c r="AC94" s="43"/>
      <c r="AD94" s="43"/>
      <c r="AE94" s="43"/>
    </row>
    <row r="95" spans="1:45" s="28" customFormat="1" ht="18" customHeight="1" x14ac:dyDescent="0.2">
      <c r="A95" s="42"/>
      <c r="B95" s="56"/>
      <c r="C95" s="56"/>
      <c r="D95" s="57"/>
      <c r="E95" s="99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C95" s="42"/>
      <c r="AD95" s="42"/>
      <c r="AE95" s="42"/>
    </row>
    <row r="96" spans="1:45" s="28" customFormat="1" ht="18" customHeight="1" x14ac:dyDescent="0.2">
      <c r="A96" s="42"/>
      <c r="B96" s="56"/>
      <c r="C96" s="56"/>
      <c r="D96" s="57"/>
      <c r="E96" s="99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C96" s="42"/>
      <c r="AD96" s="42"/>
      <c r="AE96" s="42"/>
    </row>
    <row r="97" spans="1:31" s="28" customFormat="1" ht="18" customHeight="1" x14ac:dyDescent="0.2">
      <c r="A97" s="42"/>
      <c r="E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C97" s="42"/>
      <c r="AD97" s="42"/>
      <c r="AE97" s="42"/>
    </row>
    <row r="98" spans="1:31" s="28" customFormat="1" ht="18" customHeight="1" x14ac:dyDescent="0.2">
      <c r="A98" s="42"/>
      <c r="E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C98" s="42"/>
      <c r="AD98" s="42"/>
      <c r="AE98" s="42"/>
    </row>
    <row r="99" spans="1:31" s="28" customFormat="1" ht="18" customHeight="1" x14ac:dyDescent="0.2">
      <c r="A99" s="42"/>
      <c r="E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C99" s="42"/>
      <c r="AD99" s="42"/>
      <c r="AE99" s="42"/>
    </row>
    <row r="100" spans="1:31" s="28" customFormat="1" ht="18" customHeight="1" x14ac:dyDescent="0.2">
      <c r="A100" s="42"/>
      <c r="E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C100" s="42"/>
      <c r="AD100" s="42"/>
      <c r="AE100" s="42"/>
    </row>
    <row r="101" spans="1:31" s="28" customFormat="1" ht="18" customHeight="1" x14ac:dyDescent="0.2">
      <c r="A101" s="42"/>
      <c r="E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C101" s="42"/>
      <c r="AD101" s="42"/>
      <c r="AE101" s="42"/>
    </row>
    <row r="102" spans="1:31" s="28" customFormat="1" ht="18" customHeight="1" x14ac:dyDescent="0.2">
      <c r="A102" s="42"/>
      <c r="E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C102" s="42"/>
      <c r="AD102" s="42"/>
      <c r="AE102" s="42"/>
    </row>
    <row r="103" spans="1:31" s="28" customFormat="1" ht="18" customHeight="1" x14ac:dyDescent="0.2">
      <c r="A103" s="42"/>
      <c r="E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C103" s="42"/>
      <c r="AD103" s="42"/>
      <c r="AE103" s="42"/>
    </row>
    <row r="104" spans="1:31" s="28" customFormat="1" ht="18" customHeight="1" x14ac:dyDescent="0.2">
      <c r="A104" s="42"/>
      <c r="E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C104" s="42"/>
      <c r="AD104" s="42"/>
      <c r="AE104" s="42"/>
    </row>
    <row r="105" spans="1:31" s="28" customFormat="1" ht="18" customHeight="1" x14ac:dyDescent="0.2">
      <c r="A105" s="42"/>
      <c r="E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C105" s="42"/>
      <c r="AD105" s="42"/>
      <c r="AE105" s="42"/>
    </row>
    <row r="106" spans="1:31" s="28" customFormat="1" ht="18" customHeight="1" x14ac:dyDescent="0.2">
      <c r="A106" s="42"/>
      <c r="E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C106" s="42"/>
      <c r="AD106" s="42"/>
      <c r="AE106" s="42"/>
    </row>
    <row r="107" spans="1:31" s="28" customFormat="1" ht="18" customHeight="1" x14ac:dyDescent="0.2">
      <c r="A107" s="42"/>
      <c r="E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C107" s="42"/>
      <c r="AD107" s="42"/>
      <c r="AE107" s="42"/>
    </row>
    <row r="108" spans="1:31" s="28" customFormat="1" ht="18" customHeight="1" x14ac:dyDescent="0.2">
      <c r="A108" s="42"/>
      <c r="D108" s="43"/>
      <c r="E108" s="43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C108" s="42"/>
      <c r="AD108" s="42"/>
      <c r="AE108" s="42"/>
    </row>
    <row r="109" spans="1:31" s="28" customFormat="1" ht="18" customHeight="1" x14ac:dyDescent="0.2">
      <c r="A109" s="42"/>
      <c r="E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C109" s="42"/>
      <c r="AD109" s="42"/>
      <c r="AE109" s="42"/>
    </row>
    <row r="110" spans="1:31" s="28" customFormat="1" ht="18" customHeight="1" x14ac:dyDescent="0.2">
      <c r="A110" s="42"/>
      <c r="E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C110" s="42"/>
      <c r="AD110" s="42"/>
      <c r="AE110" s="42"/>
    </row>
    <row r="111" spans="1:31" s="28" customFormat="1" ht="18" customHeight="1" x14ac:dyDescent="0.2">
      <c r="A111" s="42"/>
      <c r="E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C111" s="42"/>
      <c r="AD111" s="42"/>
      <c r="AE111" s="42"/>
    </row>
    <row r="112" spans="1:31" s="28" customFormat="1" ht="18" customHeight="1" x14ac:dyDescent="0.2">
      <c r="A112" s="42"/>
      <c r="E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C112" s="42"/>
      <c r="AD112" s="42"/>
      <c r="AE112" s="42"/>
    </row>
    <row r="113" spans="1:31" s="28" customFormat="1" ht="18" customHeight="1" x14ac:dyDescent="0.2">
      <c r="A113" s="42"/>
      <c r="E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C113" s="42"/>
      <c r="AD113" s="42"/>
      <c r="AE113" s="42"/>
    </row>
    <row r="114" spans="1:31" s="28" customFormat="1" ht="18" customHeight="1" x14ac:dyDescent="0.2">
      <c r="A114" s="42"/>
      <c r="E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C114" s="42"/>
      <c r="AD114" s="42"/>
      <c r="AE114" s="42"/>
    </row>
    <row r="115" spans="1:31" s="28" customFormat="1" ht="18" customHeight="1" x14ac:dyDescent="0.2">
      <c r="A115" s="42"/>
      <c r="E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C115" s="42"/>
      <c r="AD115" s="42"/>
      <c r="AE115" s="42"/>
    </row>
    <row r="116" spans="1:31" s="28" customFormat="1" ht="18" customHeight="1" x14ac:dyDescent="0.2">
      <c r="A116" s="42"/>
      <c r="E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C116" s="42"/>
      <c r="AD116" s="42"/>
      <c r="AE116" s="42"/>
    </row>
    <row r="117" spans="1:31" s="28" customFormat="1" ht="18" customHeight="1" x14ac:dyDescent="0.2">
      <c r="A117" s="42"/>
      <c r="E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C117" s="42"/>
      <c r="AD117" s="42"/>
      <c r="AE117" s="42"/>
    </row>
    <row r="118" spans="1:31" s="28" customFormat="1" ht="18" customHeight="1" x14ac:dyDescent="0.2">
      <c r="A118" s="42"/>
      <c r="E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C118" s="42"/>
      <c r="AD118" s="42"/>
      <c r="AE118" s="42"/>
    </row>
    <row r="119" spans="1:31" s="28" customFormat="1" ht="18" customHeight="1" x14ac:dyDescent="0.2">
      <c r="A119" s="42"/>
      <c r="E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C119" s="42"/>
      <c r="AD119" s="42"/>
      <c r="AE119" s="42"/>
    </row>
    <row r="120" spans="1:31" s="28" customFormat="1" ht="18" customHeight="1" x14ac:dyDescent="0.2">
      <c r="A120" s="42"/>
      <c r="E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C120" s="42"/>
      <c r="AD120" s="42"/>
      <c r="AE120" s="42"/>
    </row>
    <row r="121" spans="1:31" s="28" customFormat="1" ht="18" customHeight="1" x14ac:dyDescent="0.2">
      <c r="A121" s="42"/>
      <c r="E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C121" s="42"/>
      <c r="AD121" s="42"/>
      <c r="AE121" s="42"/>
    </row>
    <row r="122" spans="1:31" s="28" customFormat="1" ht="18" customHeight="1" x14ac:dyDescent="0.2">
      <c r="A122" s="42"/>
      <c r="E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C122" s="42"/>
      <c r="AD122" s="42"/>
      <c r="AE122" s="42"/>
    </row>
    <row r="123" spans="1:31" s="28" customFormat="1" ht="18" customHeight="1" x14ac:dyDescent="0.2">
      <c r="A123" s="42"/>
      <c r="E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C123" s="42"/>
      <c r="AD123" s="42"/>
      <c r="AE123" s="42"/>
    </row>
    <row r="124" spans="1:31" s="28" customFormat="1" ht="18" customHeight="1" x14ac:dyDescent="0.2">
      <c r="A124" s="42"/>
      <c r="E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C124" s="42"/>
      <c r="AD124" s="42"/>
      <c r="AE124" s="42"/>
    </row>
    <row r="125" spans="1:31" s="28" customFormat="1" ht="18" customHeight="1" x14ac:dyDescent="0.2">
      <c r="A125" s="42"/>
      <c r="E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C125" s="42"/>
      <c r="AD125" s="42"/>
      <c r="AE125" s="42"/>
    </row>
    <row r="126" spans="1:31" s="28" customFormat="1" ht="18" customHeight="1" x14ac:dyDescent="0.2">
      <c r="A126" s="42"/>
      <c r="E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C126" s="42"/>
      <c r="AD126" s="42"/>
      <c r="AE126" s="42"/>
    </row>
    <row r="127" spans="1:31" s="28" customFormat="1" ht="18" customHeight="1" x14ac:dyDescent="0.2">
      <c r="A127" s="42"/>
      <c r="E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C127" s="42"/>
      <c r="AD127" s="42"/>
      <c r="AE127" s="42"/>
    </row>
    <row r="128" spans="1:31" s="28" customFormat="1" ht="18" customHeight="1" x14ac:dyDescent="0.2">
      <c r="A128" s="42"/>
      <c r="E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C128" s="42"/>
      <c r="AD128" s="42"/>
      <c r="AE128" s="42"/>
    </row>
    <row r="129" spans="1:31" s="28" customFormat="1" ht="18" customHeight="1" x14ac:dyDescent="0.2">
      <c r="A129" s="42"/>
      <c r="E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C129" s="42"/>
      <c r="AD129" s="42"/>
      <c r="AE129" s="42"/>
    </row>
    <row r="130" spans="1:31" s="28" customFormat="1" ht="18" customHeight="1" x14ac:dyDescent="0.2">
      <c r="A130" s="42"/>
      <c r="E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C130" s="42"/>
      <c r="AD130" s="42"/>
      <c r="AE130" s="42"/>
    </row>
    <row r="131" spans="1:31" s="28" customFormat="1" ht="18" customHeight="1" x14ac:dyDescent="0.2">
      <c r="A131" s="42"/>
      <c r="E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C131" s="42"/>
      <c r="AD131" s="42"/>
      <c r="AE131" s="42"/>
    </row>
    <row r="132" spans="1:31" s="28" customFormat="1" ht="18" customHeight="1" x14ac:dyDescent="0.2">
      <c r="A132" s="42"/>
      <c r="E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C132" s="42"/>
      <c r="AD132" s="42"/>
      <c r="AE132" s="42"/>
    </row>
    <row r="133" spans="1:31" s="28" customFormat="1" ht="18" customHeight="1" x14ac:dyDescent="0.2">
      <c r="A133" s="42"/>
      <c r="E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C133" s="42"/>
      <c r="AD133" s="42"/>
      <c r="AE133" s="42"/>
    </row>
    <row r="134" spans="1:31" s="28" customFormat="1" ht="18" customHeight="1" x14ac:dyDescent="0.2">
      <c r="A134" s="42"/>
      <c r="E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C134" s="42"/>
      <c r="AD134" s="42"/>
      <c r="AE134" s="42"/>
    </row>
    <row r="135" spans="1:31" s="28" customFormat="1" ht="18" customHeight="1" x14ac:dyDescent="0.2">
      <c r="A135" s="42"/>
      <c r="E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C135" s="42"/>
      <c r="AD135" s="42"/>
      <c r="AE135" s="42"/>
    </row>
    <row r="136" spans="1:31" s="28" customFormat="1" ht="18" customHeight="1" x14ac:dyDescent="0.2">
      <c r="A136" s="42"/>
      <c r="E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C136" s="42"/>
      <c r="AD136" s="42"/>
      <c r="AE136" s="42"/>
    </row>
    <row r="137" spans="1:31" s="28" customFormat="1" ht="18" customHeight="1" x14ac:dyDescent="0.2">
      <c r="A137" s="42"/>
      <c r="E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C137" s="42"/>
      <c r="AD137" s="42"/>
      <c r="AE137" s="42"/>
    </row>
    <row r="138" spans="1:31" s="28" customFormat="1" ht="18" customHeight="1" x14ac:dyDescent="0.2">
      <c r="A138" s="42"/>
      <c r="E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C138" s="42"/>
      <c r="AD138" s="42"/>
      <c r="AE138" s="42"/>
    </row>
    <row r="139" spans="1:31" s="28" customFormat="1" ht="18" customHeight="1" x14ac:dyDescent="0.2">
      <c r="A139" s="42"/>
      <c r="E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C139" s="42"/>
      <c r="AD139" s="42"/>
      <c r="AE139" s="42"/>
    </row>
    <row r="140" spans="1:31" s="28" customFormat="1" ht="18" customHeight="1" x14ac:dyDescent="0.2">
      <c r="A140" s="42"/>
      <c r="E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C140" s="42"/>
      <c r="AD140" s="42"/>
      <c r="AE140" s="42"/>
    </row>
    <row r="141" spans="1:31" s="28" customFormat="1" ht="18" customHeight="1" x14ac:dyDescent="0.2">
      <c r="A141" s="42"/>
      <c r="E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C141" s="42"/>
      <c r="AD141" s="42"/>
      <c r="AE141" s="42"/>
    </row>
    <row r="142" spans="1:31" s="28" customFormat="1" ht="18" customHeight="1" x14ac:dyDescent="0.2">
      <c r="A142" s="42"/>
      <c r="E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C142" s="42"/>
      <c r="AD142" s="42"/>
      <c r="AE142" s="42"/>
    </row>
    <row r="143" spans="1:31" s="28" customFormat="1" ht="18" customHeight="1" x14ac:dyDescent="0.2">
      <c r="A143" s="42"/>
      <c r="E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C143" s="42"/>
      <c r="AD143" s="42"/>
      <c r="AE143" s="42"/>
    </row>
    <row r="144" spans="1:31" s="28" customFormat="1" ht="18" customHeight="1" x14ac:dyDescent="0.2">
      <c r="A144" s="42"/>
      <c r="E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C144" s="42"/>
      <c r="AD144" s="42"/>
      <c r="AE144" s="42"/>
    </row>
    <row r="145" spans="1:31" s="28" customFormat="1" ht="18" customHeight="1" x14ac:dyDescent="0.2">
      <c r="A145" s="42"/>
      <c r="E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C145" s="42"/>
      <c r="AD145" s="42"/>
      <c r="AE145" s="42"/>
    </row>
    <row r="146" spans="1:31" s="28" customFormat="1" ht="18" customHeight="1" x14ac:dyDescent="0.2">
      <c r="A146" s="42"/>
      <c r="E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C146" s="42"/>
      <c r="AD146" s="42"/>
      <c r="AE146" s="42"/>
    </row>
    <row r="147" spans="1:31" s="28" customFormat="1" ht="18" customHeight="1" x14ac:dyDescent="0.2">
      <c r="A147" s="42"/>
      <c r="E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C147" s="42"/>
      <c r="AD147" s="42"/>
      <c r="AE147" s="42"/>
    </row>
    <row r="148" spans="1:31" s="28" customFormat="1" ht="18" customHeight="1" x14ac:dyDescent="0.2">
      <c r="A148" s="42"/>
      <c r="E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C148" s="42"/>
      <c r="AD148" s="42"/>
      <c r="AE148" s="42"/>
    </row>
    <row r="149" spans="1:31" s="28" customFormat="1" ht="18" customHeight="1" x14ac:dyDescent="0.2">
      <c r="A149" s="42"/>
      <c r="E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C149" s="42"/>
      <c r="AD149" s="42"/>
      <c r="AE149" s="42"/>
    </row>
    <row r="150" spans="1:31" s="28" customFormat="1" ht="18" customHeight="1" x14ac:dyDescent="0.2">
      <c r="A150" s="42"/>
      <c r="E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C150" s="42"/>
      <c r="AD150" s="42"/>
      <c r="AE150" s="42"/>
    </row>
    <row r="151" spans="1:31" s="28" customFormat="1" ht="18" customHeight="1" x14ac:dyDescent="0.2">
      <c r="A151" s="42"/>
      <c r="E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C151" s="42"/>
      <c r="AD151" s="42"/>
      <c r="AE151" s="42"/>
    </row>
    <row r="152" spans="1:31" s="28" customFormat="1" ht="18" customHeight="1" x14ac:dyDescent="0.2">
      <c r="A152" s="42"/>
      <c r="E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C152" s="42"/>
      <c r="AD152" s="42"/>
      <c r="AE152" s="42"/>
    </row>
    <row r="153" spans="1:31" s="28" customFormat="1" ht="18" customHeight="1" x14ac:dyDescent="0.2">
      <c r="A153" s="42"/>
      <c r="E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C153" s="42"/>
      <c r="AD153" s="42"/>
      <c r="AE153" s="42"/>
    </row>
    <row r="154" spans="1:31" s="28" customFormat="1" ht="18" customHeight="1" x14ac:dyDescent="0.2">
      <c r="A154" s="42"/>
      <c r="E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C154" s="42"/>
      <c r="AD154" s="42"/>
      <c r="AE154" s="42"/>
    </row>
    <row r="155" spans="1:31" s="28" customFormat="1" ht="18" customHeight="1" x14ac:dyDescent="0.2">
      <c r="A155" s="42"/>
      <c r="E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C155" s="42"/>
      <c r="AD155" s="42"/>
      <c r="AE155" s="42"/>
    </row>
    <row r="156" spans="1:31" s="28" customFormat="1" ht="18" customHeight="1" x14ac:dyDescent="0.2">
      <c r="A156" s="42"/>
      <c r="E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C156" s="42"/>
      <c r="AD156" s="42"/>
      <c r="AE156" s="42"/>
    </row>
    <row r="157" spans="1:31" s="28" customFormat="1" ht="18" customHeight="1" x14ac:dyDescent="0.2">
      <c r="A157" s="42"/>
      <c r="E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C157" s="42"/>
      <c r="AD157" s="42"/>
      <c r="AE157" s="42"/>
    </row>
    <row r="158" spans="1:31" s="28" customFormat="1" ht="18" customHeight="1" x14ac:dyDescent="0.2">
      <c r="A158" s="42"/>
      <c r="E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C158" s="42"/>
      <c r="AD158" s="42"/>
      <c r="AE158" s="42"/>
    </row>
    <row r="159" spans="1:31" s="28" customFormat="1" ht="18" customHeight="1" x14ac:dyDescent="0.2">
      <c r="A159" s="42"/>
      <c r="E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C159" s="42"/>
      <c r="AD159" s="42"/>
      <c r="AE159" s="42"/>
    </row>
    <row r="160" spans="1:31" s="28" customFormat="1" ht="18" customHeight="1" x14ac:dyDescent="0.2">
      <c r="A160" s="42"/>
      <c r="E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C160" s="42"/>
      <c r="AD160" s="42"/>
      <c r="AE160" s="42"/>
    </row>
    <row r="161" spans="1:31" s="28" customFormat="1" ht="18" customHeight="1" x14ac:dyDescent="0.2">
      <c r="A161" s="42"/>
      <c r="E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C161" s="42"/>
      <c r="AD161" s="42"/>
      <c r="AE161" s="42"/>
    </row>
    <row r="162" spans="1:31" s="28" customFormat="1" ht="18" customHeight="1" x14ac:dyDescent="0.2">
      <c r="A162" s="42"/>
      <c r="E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C162" s="42"/>
      <c r="AD162" s="42"/>
      <c r="AE162" s="42"/>
    </row>
    <row r="163" spans="1:31" s="28" customFormat="1" ht="18" customHeight="1" x14ac:dyDescent="0.2">
      <c r="A163" s="42"/>
      <c r="E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C163" s="42"/>
      <c r="AD163" s="42"/>
      <c r="AE163" s="42"/>
    </row>
    <row r="164" spans="1:31" s="28" customFormat="1" ht="18" customHeight="1" x14ac:dyDescent="0.2">
      <c r="A164" s="42"/>
      <c r="E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C164" s="42"/>
      <c r="AD164" s="42"/>
      <c r="AE164" s="42"/>
    </row>
    <row r="165" spans="1:31" s="28" customFormat="1" ht="18" customHeight="1" x14ac:dyDescent="0.2">
      <c r="A165" s="42"/>
      <c r="E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C165" s="42"/>
      <c r="AD165" s="42"/>
      <c r="AE165" s="42"/>
    </row>
    <row r="166" spans="1:31" s="28" customFormat="1" ht="18" customHeight="1" x14ac:dyDescent="0.2">
      <c r="A166" s="42"/>
      <c r="E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C166" s="42"/>
      <c r="AD166" s="42"/>
      <c r="AE166" s="42"/>
    </row>
    <row r="167" spans="1:31" s="28" customFormat="1" ht="18" customHeight="1" x14ac:dyDescent="0.2">
      <c r="A167" s="42"/>
      <c r="E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C167" s="42"/>
      <c r="AD167" s="42"/>
      <c r="AE167" s="42"/>
    </row>
    <row r="168" spans="1:31" s="28" customFormat="1" ht="18" customHeight="1" x14ac:dyDescent="0.2">
      <c r="A168" s="42"/>
      <c r="E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C168" s="42"/>
      <c r="AD168" s="42"/>
      <c r="AE168" s="42"/>
    </row>
    <row r="169" spans="1:31" s="28" customFormat="1" ht="18" customHeight="1" x14ac:dyDescent="0.2">
      <c r="A169" s="42"/>
      <c r="E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C169" s="42"/>
      <c r="AD169" s="42"/>
      <c r="AE169" s="42"/>
    </row>
    <row r="170" spans="1:31" s="28" customFormat="1" ht="18" customHeight="1" x14ac:dyDescent="0.2">
      <c r="A170" s="42"/>
      <c r="E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C170" s="42"/>
      <c r="AD170" s="42"/>
      <c r="AE170" s="42"/>
    </row>
  </sheetData>
  <sheetProtection sheet="1" objects="1" scenarios="1" formatColumns="0" formatRows="0"/>
  <protectedRanges>
    <protectedRange sqref="G71:V73" name="Commentaires"/>
  </protectedRanges>
  <mergeCells count="34">
    <mergeCell ref="Y19:Y20"/>
    <mergeCell ref="F50:G50"/>
    <mergeCell ref="AE26:AE27"/>
    <mergeCell ref="AE28:AE29"/>
    <mergeCell ref="AB32:AC32"/>
    <mergeCell ref="F32:G32"/>
    <mergeCell ref="N29:N30"/>
    <mergeCell ref="W28:W29"/>
    <mergeCell ref="X28:X29"/>
    <mergeCell ref="Y28:Y29"/>
    <mergeCell ref="U28:U29"/>
    <mergeCell ref="V28:V29"/>
    <mergeCell ref="K29:K30"/>
    <mergeCell ref="Z28:Z29"/>
    <mergeCell ref="G19:X20"/>
    <mergeCell ref="F73:Z73"/>
    <mergeCell ref="F74:Z74"/>
    <mergeCell ref="J26:J27"/>
    <mergeCell ref="M26:M27"/>
    <mergeCell ref="O26:Z27"/>
    <mergeCell ref="I28:I29"/>
    <mergeCell ref="J28:J29"/>
    <mergeCell ref="M28:M29"/>
    <mergeCell ref="O28:O29"/>
    <mergeCell ref="P28:P29"/>
    <mergeCell ref="Q28:Q29"/>
    <mergeCell ref="R28:R29"/>
    <mergeCell ref="S28:S29"/>
    <mergeCell ref="F71:Z71"/>
    <mergeCell ref="T28:T29"/>
    <mergeCell ref="L26:L27"/>
    <mergeCell ref="I26:I27"/>
    <mergeCell ref="L28:L29"/>
    <mergeCell ref="F72:Z72"/>
  </mergeCells>
  <phoneticPr fontId="0" type="noConversion"/>
  <dataValidations count="2">
    <dataValidation type="list" allowBlank="1" showInputMessage="1" showErrorMessage="1" sqref="AC26:AD26 G26">
      <formula1>Language</formula1>
    </dataValidation>
    <dataValidation type="list" allowBlank="1" showInputMessage="1" showErrorMessage="1" sqref="AC28:AD28 G28">
      <formula1>$AN$22:$AN$25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42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autoLine="0" r:id="rId5">
            <anchor moveWithCells="1">
              <from>
                <xdr:col>5</xdr:col>
                <xdr:colOff>0</xdr:colOff>
                <xdr:row>15</xdr:row>
                <xdr:rowOff>85725</xdr:rowOff>
              </from>
              <to>
                <xdr:col>5</xdr:col>
                <xdr:colOff>2247900</xdr:colOff>
                <xdr:row>17</xdr:row>
                <xdr:rowOff>47625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24</vt:i4>
      </vt:variant>
    </vt:vector>
  </HeadingPairs>
  <TitlesOfParts>
    <vt:vector size="26" baseType="lpstr">
      <vt:lpstr>Context</vt:lpstr>
      <vt:lpstr>Saisie_ETP</vt:lpstr>
      <vt:lpstr>ActualBudgetAdmin</vt:lpstr>
      <vt:lpstr>ActualForecast1Admin</vt:lpstr>
      <vt:lpstr>ActualForecast2Admin</vt:lpstr>
      <vt:lpstr>ActualMonth</vt:lpstr>
      <vt:lpstr>ActualYear</vt:lpstr>
      <vt:lpstr>AutoFit</vt:lpstr>
      <vt:lpstr>AutoRefresh_Input_PL</vt:lpstr>
      <vt:lpstr>AutoRefresh_Saisie_ETP</vt:lpstr>
      <vt:lpstr>Cube1</vt:lpstr>
      <vt:lpstr>Cube2</vt:lpstr>
      <vt:lpstr>Flag_Send_Comment</vt:lpstr>
      <vt:lpstr>Flag_Send_Data</vt:lpstr>
      <vt:lpstr>Language</vt:lpstr>
      <vt:lpstr>LocalLanguage</vt:lpstr>
      <vt:lpstr>LocalLanguage2</vt:lpstr>
      <vt:lpstr>Note</vt:lpstr>
      <vt:lpstr>Server</vt:lpstr>
      <vt:lpstr>Saisie_ETP!TM1RPTDATARNGARPT3</vt:lpstr>
      <vt:lpstr>Saisie_ETP!TM1RPTDATARNGARPT4</vt:lpstr>
      <vt:lpstr>Saisie_ETP!TM1RPTFMTIDCOL</vt:lpstr>
      <vt:lpstr>Saisie_ETP!TM1RPTFMTRNG</vt:lpstr>
      <vt:lpstr>xHost</vt:lpstr>
      <vt:lpstr>xServer</vt:lpstr>
      <vt:lpstr>Saisie_ETP!Zone_d_impression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2012-05-24T10:05:34Z</cp:lastPrinted>
  <dcterms:created xsi:type="dcterms:W3CDTF">2011-06-21T16:52:24Z</dcterms:created>
  <dcterms:modified xsi:type="dcterms:W3CDTF">2013-04-09T08:29:14Z</dcterms:modified>
</cp:coreProperties>
</file>