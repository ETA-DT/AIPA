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1095" yWindow="150" windowWidth="21465" windowHeight="10860" tabRatio="835" activeTab="1"/>
  </bookViews>
  <sheets>
    <sheet name="Context" sheetId="33" r:id="rId1"/>
    <sheet name="Plan Output" sheetId="44" r:id="rId2"/>
    <sheet name="Page 8 - comparison country lev" sheetId="24" r:id="rId3"/>
    <sheet name="Page 8a - comparison activity" sheetId="42" r:id="rId4"/>
    <sheet name="Page 5 - market outlook" sheetId="23" r:id="rId5"/>
    <sheet name="Page 10 - key ind total LTP 1" sheetId="22" r:id="rId6"/>
    <sheet name="Page 11 - Key ind total LTP 2" sheetId="25" r:id="rId7"/>
    <sheet name="Page 12 - Revenue bridge total" sheetId="35" r:id="rId8"/>
    <sheet name="Page 14 - Renewals &amp; losses" sheetId="36" r:id="rId9"/>
    <sheet name="Page 14 - ZGP revenue" sheetId="26" r:id="rId10"/>
    <sheet name="Page 15 - ZGP EBIT" sheetId="27" r:id="rId11"/>
    <sheet name="Page 15 - ZGP EBIT bridge" sheetId="39" r:id="rId12"/>
    <sheet name="Page 16 - ZGP invest" sheetId="49" r:id="rId13"/>
    <sheet name="Page 18 - model a" sheetId="38" r:id="rId14"/>
    <sheet name="Page 18 - model b" sheetId="37" r:id="rId15"/>
    <sheet name="Page 19 - Organic Growth" sheetId="29" r:id="rId16"/>
    <sheet name="Page 20 - Organic Growth invest" sheetId="50" r:id="rId17"/>
    <sheet name="External growth" sheetId="30" r:id="rId18"/>
    <sheet name="Base" sheetId="5" r:id="rId19"/>
    <sheet name="Feuil1" sheetId="34" r:id="rId20"/>
    <sheet name="Feuil2" sheetId="43" r:id="rId21"/>
    <sheet name="Feuil4" sheetId="48" r:id="rId22"/>
  </sheets>
  <definedNames>
    <definedName name="_xlnm._FilterDatabase" localSheetId="18" hidden="1">Base!#REF!</definedName>
    <definedName name="_Order1" hidden="1">255</definedName>
    <definedName name="_Order2" hidden="1">255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">Context!$E$17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'Plan Output'!$H$3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tx_activity_Context" localSheetId="1">'Plan Output'!$H$12</definedName>
    <definedName name="ctx_legal_Context" localSheetId="1">'Plan Output'!$H$11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cy">Context!$E$13</definedName>
    <definedName name="Currency_list">Base!$R$3:$R$28</definedName>
    <definedName name="Current_Version">Context!$E$9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evise">Context!$E$9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Context!$E$5</definedName>
    <definedName name="Legal_organization">Context!$E$15</definedName>
    <definedName name="LY_Version">Context!$E$11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">Context!$E$7</definedName>
    <definedName name="Print_Area" localSheetId="1">'Plan Output'!$F$17:$S$132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 localSheetId="1">'Plan Output'!$H$7</definedName>
    <definedName name="sqdqsd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'Plan Output'!$H$5</definedName>
    <definedName name="xServer">'Plan Output'!$H$6</definedName>
    <definedName name="_xlnm.Print_Area" localSheetId="1">'Plan Output'!$G$17:$S$118</definedName>
  </definedNames>
  <calcPr calcId="145621" calcMode="manual" calcCompleted="0" calcOnSave="0" concurrentCalc="0"/>
  <fileRecoveryPr repairLoad="1"/>
</workbook>
</file>

<file path=xl/calcChain.xml><?xml version="1.0" encoding="utf-8"?>
<calcChain xmlns="http://schemas.openxmlformats.org/spreadsheetml/2006/main">
  <c r="J54" i="24" l="1"/>
  <c r="J56" i="42"/>
  <c r="L79" i="42"/>
  <c r="M79" i="42"/>
  <c r="N79" i="42"/>
  <c r="O79" i="42"/>
  <c r="P79" i="42"/>
  <c r="Q79" i="42"/>
  <c r="K79" i="42"/>
  <c r="I74" i="42"/>
  <c r="J66" i="42"/>
  <c r="J79" i="42"/>
  <c r="F61" i="42"/>
  <c r="G66" i="42"/>
  <c r="E15" i="33"/>
  <c r="F66" i="42"/>
  <c r="G67" i="42"/>
  <c r="J68" i="42"/>
  <c r="D4" i="24"/>
  <c r="D5" i="24"/>
  <c r="D2" i="24"/>
  <c r="D1" i="24"/>
  <c r="Q11" i="24"/>
  <c r="L5" i="24"/>
  <c r="L74" i="24"/>
  <c r="L73" i="24"/>
  <c r="L76" i="24"/>
  <c r="F77" i="24"/>
  <c r="L75" i="24"/>
  <c r="L77" i="24"/>
  <c r="L78" i="24"/>
  <c r="F64" i="24"/>
  <c r="G65" i="24"/>
  <c r="L79" i="24"/>
  <c r="L80" i="24"/>
  <c r="K5" i="24"/>
  <c r="K81" i="24"/>
  <c r="L81" i="24"/>
  <c r="L82" i="24"/>
  <c r="J77" i="24"/>
  <c r="G78" i="24"/>
  <c r="J79" i="24"/>
  <c r="J82" i="24"/>
  <c r="K74" i="24"/>
  <c r="K73" i="24"/>
  <c r="K76" i="24"/>
  <c r="K75" i="24"/>
  <c r="K77" i="24"/>
  <c r="K78" i="24"/>
  <c r="K79" i="24"/>
  <c r="K80" i="24"/>
  <c r="P5" i="24"/>
  <c r="P75" i="24"/>
  <c r="P77" i="24"/>
  <c r="Q5" i="24"/>
  <c r="Q75" i="24"/>
  <c r="Q77" i="24"/>
  <c r="M5" i="24"/>
  <c r="M75" i="24"/>
  <c r="M77" i="24"/>
  <c r="N5" i="24"/>
  <c r="N75" i="24"/>
  <c r="N77" i="24"/>
  <c r="O5" i="24"/>
  <c r="O75" i="24"/>
  <c r="O77" i="24"/>
  <c r="E17" i="33"/>
  <c r="H12" i="44"/>
  <c r="H14" i="44"/>
  <c r="H10" i="44"/>
  <c r="H13" i="44"/>
  <c r="H11" i="44"/>
  <c r="I2" i="44"/>
  <c r="I34" i="44"/>
  <c r="H6" i="44"/>
  <c r="D6" i="24"/>
  <c r="L7" i="24"/>
  <c r="L61" i="24"/>
  <c r="L60" i="24"/>
  <c r="L63" i="24"/>
  <c r="L62" i="24"/>
  <c r="L64" i="24"/>
  <c r="L65" i="24"/>
  <c r="F59" i="24"/>
  <c r="G64" i="24"/>
  <c r="L66" i="24"/>
  <c r="L67" i="24"/>
  <c r="K7" i="24"/>
  <c r="K68" i="24"/>
  <c r="L68" i="24"/>
  <c r="L69" i="24"/>
  <c r="J64" i="24"/>
  <c r="J66" i="24"/>
  <c r="L15" i="24"/>
  <c r="B3" i="49"/>
  <c r="G13" i="50"/>
  <c r="G21" i="50"/>
  <c r="F21" i="50"/>
  <c r="E21" i="50"/>
  <c r="D21" i="50"/>
  <c r="C21" i="50"/>
  <c r="B21" i="50"/>
  <c r="G20" i="50"/>
  <c r="F20" i="50"/>
  <c r="E20" i="50"/>
  <c r="D20" i="50"/>
  <c r="C20" i="50"/>
  <c r="F13" i="50"/>
  <c r="E13" i="50"/>
  <c r="D13" i="50"/>
  <c r="C13" i="50"/>
  <c r="F28" i="24"/>
  <c r="Q3" i="24"/>
  <c r="Q28" i="24"/>
  <c r="G3" i="50"/>
  <c r="P3" i="24"/>
  <c r="P28" i="24"/>
  <c r="F3" i="50"/>
  <c r="O3" i="24"/>
  <c r="O28" i="24"/>
  <c r="E3" i="50"/>
  <c r="N3" i="24"/>
  <c r="N28" i="24"/>
  <c r="D3" i="50"/>
  <c r="M3" i="24"/>
  <c r="M28" i="24"/>
  <c r="C3" i="50"/>
  <c r="B3" i="50"/>
  <c r="D3" i="49"/>
  <c r="E3" i="49"/>
  <c r="F3" i="49"/>
  <c r="G3" i="49"/>
  <c r="C3" i="49"/>
  <c r="F15" i="24"/>
  <c r="AG3" i="24"/>
  <c r="AG15" i="24"/>
  <c r="U3" i="24"/>
  <c r="U15" i="24"/>
  <c r="G20" i="49"/>
  <c r="F20" i="49"/>
  <c r="E20" i="49"/>
  <c r="D20" i="49"/>
  <c r="C20" i="49"/>
  <c r="G13" i="49"/>
  <c r="F13" i="49"/>
  <c r="E13" i="49"/>
  <c r="D13" i="49"/>
  <c r="C13" i="49"/>
  <c r="G21" i="49"/>
  <c r="F21" i="49"/>
  <c r="E21" i="49"/>
  <c r="D21" i="49"/>
  <c r="C21" i="49"/>
  <c r="B21" i="49"/>
  <c r="K11" i="42"/>
  <c r="D4" i="42"/>
  <c r="F30" i="42"/>
  <c r="D5" i="42"/>
  <c r="D2" i="42"/>
  <c r="F17" i="42"/>
  <c r="D1" i="42"/>
  <c r="AG13" i="42"/>
  <c r="D6" i="42"/>
  <c r="AF3" i="42"/>
  <c r="H6" i="42"/>
  <c r="AF7" i="42"/>
  <c r="AF18" i="42"/>
  <c r="AF19" i="42"/>
  <c r="AF20" i="42"/>
  <c r="AF21" i="42"/>
  <c r="AF22" i="42"/>
  <c r="AF23" i="42"/>
  <c r="AF24" i="42"/>
  <c r="AF25" i="42"/>
  <c r="AF26" i="42"/>
  <c r="AF27" i="42"/>
  <c r="AF65" i="42"/>
  <c r="AF66" i="42"/>
  <c r="AF67" i="42"/>
  <c r="Q3" i="42"/>
  <c r="AF68" i="42"/>
  <c r="AF69" i="42"/>
  <c r="AE3" i="42"/>
  <c r="AE7" i="42"/>
  <c r="AE70" i="42"/>
  <c r="AF71" i="42"/>
  <c r="AF28" i="42"/>
  <c r="Y13" i="42"/>
  <c r="X3" i="42"/>
  <c r="X7" i="42"/>
  <c r="X18" i="42"/>
  <c r="X19" i="42"/>
  <c r="X20" i="42"/>
  <c r="X21" i="42"/>
  <c r="X22" i="42"/>
  <c r="X23" i="42"/>
  <c r="X24" i="42"/>
  <c r="X25" i="42"/>
  <c r="X26" i="42"/>
  <c r="X27" i="42"/>
  <c r="X65" i="42"/>
  <c r="X66" i="42"/>
  <c r="X67" i="42"/>
  <c r="X68" i="42"/>
  <c r="X69" i="42"/>
  <c r="W3" i="42"/>
  <c r="W7" i="42"/>
  <c r="W70" i="42"/>
  <c r="X71" i="42"/>
  <c r="X28" i="42"/>
  <c r="Q13" i="42"/>
  <c r="P3" i="42"/>
  <c r="P7" i="42"/>
  <c r="P18" i="42"/>
  <c r="P19" i="42"/>
  <c r="P20" i="42"/>
  <c r="P21" i="42"/>
  <c r="P22" i="42"/>
  <c r="P23" i="42"/>
  <c r="P24" i="42"/>
  <c r="P25" i="42"/>
  <c r="P26" i="42"/>
  <c r="P27" i="42"/>
  <c r="P65" i="42"/>
  <c r="P66" i="42"/>
  <c r="P67" i="42"/>
  <c r="P68" i="42"/>
  <c r="P69" i="42"/>
  <c r="O3" i="42"/>
  <c r="O7" i="42"/>
  <c r="O70" i="42"/>
  <c r="P71" i="42"/>
  <c r="P28" i="42"/>
  <c r="AG11" i="24"/>
  <c r="AF3" i="24"/>
  <c r="H6" i="24"/>
  <c r="AF7" i="24"/>
  <c r="AF16" i="24"/>
  <c r="AF17" i="24"/>
  <c r="AF18" i="24"/>
  <c r="AF19" i="24"/>
  <c r="AF20" i="24"/>
  <c r="AF21" i="24"/>
  <c r="AF22" i="24"/>
  <c r="AF23" i="24"/>
  <c r="AF24" i="24"/>
  <c r="AF25" i="24"/>
  <c r="AF63" i="24"/>
  <c r="AF64" i="24"/>
  <c r="AF65" i="24"/>
  <c r="AF66" i="24"/>
  <c r="AF67" i="24"/>
  <c r="AE3" i="24"/>
  <c r="AE7" i="24"/>
  <c r="AE68" i="24"/>
  <c r="AF69" i="24"/>
  <c r="AF26" i="24"/>
  <c r="Y11" i="24"/>
  <c r="X3" i="24"/>
  <c r="X7" i="24"/>
  <c r="X16" i="24"/>
  <c r="X17" i="24"/>
  <c r="X18" i="24"/>
  <c r="X19" i="24"/>
  <c r="X20" i="24"/>
  <c r="X21" i="24"/>
  <c r="X22" i="24"/>
  <c r="X23" i="24"/>
  <c r="X24" i="24"/>
  <c r="X25" i="24"/>
  <c r="X63" i="24"/>
  <c r="X64" i="24"/>
  <c r="X65" i="24"/>
  <c r="X66" i="24"/>
  <c r="X67" i="24"/>
  <c r="W3" i="24"/>
  <c r="W7" i="24"/>
  <c r="W68" i="24"/>
  <c r="X69" i="24"/>
  <c r="X26" i="24"/>
  <c r="P7" i="24"/>
  <c r="P16" i="24"/>
  <c r="P17" i="24"/>
  <c r="P18" i="24"/>
  <c r="P19" i="24"/>
  <c r="P20" i="24"/>
  <c r="P21" i="24"/>
  <c r="P22" i="24"/>
  <c r="P23" i="24"/>
  <c r="P24" i="24"/>
  <c r="P25" i="24"/>
  <c r="P63" i="24"/>
  <c r="P64" i="24"/>
  <c r="P65" i="24"/>
  <c r="P66" i="24"/>
  <c r="P67" i="24"/>
  <c r="O7" i="24"/>
  <c r="O68" i="24"/>
  <c r="P69" i="24"/>
  <c r="P26" i="24"/>
  <c r="C1" i="36"/>
  <c r="C3" i="36"/>
  <c r="H9" i="44"/>
  <c r="H1" i="44"/>
  <c r="H2" i="44"/>
  <c r="J2" i="44"/>
  <c r="J32" i="44"/>
  <c r="J24" i="44"/>
  <c r="J125" i="44"/>
  <c r="G122" i="44"/>
  <c r="J23" i="44"/>
  <c r="J126" i="44"/>
  <c r="J127" i="44"/>
  <c r="H122" i="44"/>
  <c r="K2" i="44"/>
  <c r="L2" i="44"/>
  <c r="M2" i="44"/>
  <c r="N2" i="44"/>
  <c r="O2" i="44"/>
  <c r="P2" i="44"/>
  <c r="H123" i="44"/>
  <c r="J128" i="44"/>
  <c r="J129" i="44"/>
  <c r="I93" i="44"/>
  <c r="J93" i="44"/>
  <c r="J130" i="44"/>
  <c r="I32" i="44"/>
  <c r="I24" i="44"/>
  <c r="I125" i="44"/>
  <c r="I23" i="44"/>
  <c r="I126" i="44"/>
  <c r="I127" i="44"/>
  <c r="I128" i="44"/>
  <c r="I129" i="44"/>
  <c r="J117" i="44"/>
  <c r="B9" i="5"/>
  <c r="D10" i="5"/>
  <c r="E60" i="5"/>
  <c r="Y3" i="24"/>
  <c r="Y15" i="24"/>
  <c r="V3" i="24"/>
  <c r="V15" i="24"/>
  <c r="W15" i="24"/>
  <c r="X15" i="24"/>
  <c r="AG3" i="42"/>
  <c r="H4" i="42"/>
  <c r="AG5" i="42"/>
  <c r="AG76" i="42"/>
  <c r="AG75" i="42"/>
  <c r="AG78" i="42"/>
  <c r="AG77" i="42"/>
  <c r="AG79" i="42"/>
  <c r="AG80" i="42"/>
  <c r="AG81" i="42"/>
  <c r="AG82" i="42"/>
  <c r="AF5" i="42"/>
  <c r="AF83" i="42"/>
  <c r="AG83" i="42"/>
  <c r="AG84" i="42"/>
  <c r="AG41" i="42"/>
  <c r="AG54" i="42"/>
  <c r="AF76" i="42"/>
  <c r="AF75" i="42"/>
  <c r="AF78" i="42"/>
  <c r="AF77" i="42"/>
  <c r="AF79" i="42"/>
  <c r="AF80" i="42"/>
  <c r="AF81" i="42"/>
  <c r="AF82" i="42"/>
  <c r="AE5" i="42"/>
  <c r="AE83" i="42"/>
  <c r="AF84" i="42"/>
  <c r="AF41" i="42"/>
  <c r="AF54" i="42"/>
  <c r="AE76" i="42"/>
  <c r="AE75" i="42"/>
  <c r="AE78" i="42"/>
  <c r="AE77" i="42"/>
  <c r="AE79" i="42"/>
  <c r="AE80" i="42"/>
  <c r="AE81" i="42"/>
  <c r="AE82" i="42"/>
  <c r="AD3" i="42"/>
  <c r="AD5" i="42"/>
  <c r="AD83" i="42"/>
  <c r="AE84" i="42"/>
  <c r="AE41" i="42"/>
  <c r="AE63" i="42"/>
  <c r="AE62" i="42"/>
  <c r="AE65" i="42"/>
  <c r="AE64" i="42"/>
  <c r="AE66" i="42"/>
  <c r="AE67" i="42"/>
  <c r="AE68" i="42"/>
  <c r="AE69" i="42"/>
  <c r="AD7" i="42"/>
  <c r="AD70" i="42"/>
  <c r="AE71" i="42"/>
  <c r="AE28" i="42"/>
  <c r="AE54" i="42"/>
  <c r="AD76" i="42"/>
  <c r="AD75" i="42"/>
  <c r="AD78" i="42"/>
  <c r="AD77" i="42"/>
  <c r="AD79" i="42"/>
  <c r="AD80" i="42"/>
  <c r="AD81" i="42"/>
  <c r="AD82" i="42"/>
  <c r="AC3" i="42"/>
  <c r="AC5" i="42"/>
  <c r="AC83" i="42"/>
  <c r="AD84" i="42"/>
  <c r="AD41" i="42"/>
  <c r="AD63" i="42"/>
  <c r="AD62" i="42"/>
  <c r="AD65" i="42"/>
  <c r="AD64" i="42"/>
  <c r="AD66" i="42"/>
  <c r="AD67" i="42"/>
  <c r="AD68" i="42"/>
  <c r="AD69" i="42"/>
  <c r="AC7" i="42"/>
  <c r="AC70" i="42"/>
  <c r="AD71" i="42"/>
  <c r="AD28" i="42"/>
  <c r="AD54" i="42"/>
  <c r="AC76" i="42"/>
  <c r="AC75" i="42"/>
  <c r="AC78" i="42"/>
  <c r="AC77" i="42"/>
  <c r="AC79" i="42"/>
  <c r="AC80" i="42"/>
  <c r="AC81" i="42"/>
  <c r="AC82" i="42"/>
  <c r="AB3" i="42"/>
  <c r="AB5" i="42"/>
  <c r="AB83" i="42"/>
  <c r="AC84" i="42"/>
  <c r="AC41" i="42"/>
  <c r="AC63" i="42"/>
  <c r="AC62" i="42"/>
  <c r="AC65" i="42"/>
  <c r="AC64" i="42"/>
  <c r="AC66" i="42"/>
  <c r="AC67" i="42"/>
  <c r="AC68" i="42"/>
  <c r="AC69" i="42"/>
  <c r="AB7" i="42"/>
  <c r="AB70" i="42"/>
  <c r="AC71" i="42"/>
  <c r="AC28" i="42"/>
  <c r="AC54" i="42"/>
  <c r="AB76" i="42"/>
  <c r="AB75" i="42"/>
  <c r="AB78" i="42"/>
  <c r="AB77" i="42"/>
  <c r="AB79" i="42"/>
  <c r="AB80" i="42"/>
  <c r="AB81" i="42"/>
  <c r="AB82" i="42"/>
  <c r="AA3" i="42"/>
  <c r="AA5" i="42"/>
  <c r="AA83" i="42"/>
  <c r="AB84" i="42"/>
  <c r="AB41" i="42"/>
  <c r="AB63" i="42"/>
  <c r="AB62" i="42"/>
  <c r="AB65" i="42"/>
  <c r="AB64" i="42"/>
  <c r="AB66" i="42"/>
  <c r="AB67" i="42"/>
  <c r="AB68" i="42"/>
  <c r="AB69" i="42"/>
  <c r="AA7" i="42"/>
  <c r="AA70" i="42"/>
  <c r="AB71" i="42"/>
  <c r="AB28" i="42"/>
  <c r="AB54" i="42"/>
  <c r="AA54" i="42"/>
  <c r="Y3" i="42"/>
  <c r="Y5" i="42"/>
  <c r="Y76" i="42"/>
  <c r="Y75" i="42"/>
  <c r="Y78" i="42"/>
  <c r="Y77" i="42"/>
  <c r="Y79" i="42"/>
  <c r="Y80" i="42"/>
  <c r="Y81" i="42"/>
  <c r="Y82" i="42"/>
  <c r="X5" i="42"/>
  <c r="X83" i="42"/>
  <c r="Y83" i="42"/>
  <c r="Y84" i="42"/>
  <c r="Y41" i="42"/>
  <c r="Y54" i="42"/>
  <c r="X76" i="42"/>
  <c r="X75" i="42"/>
  <c r="X78" i="42"/>
  <c r="X77" i="42"/>
  <c r="X79" i="42"/>
  <c r="X80" i="42"/>
  <c r="X81" i="42"/>
  <c r="X82" i="42"/>
  <c r="W5" i="42"/>
  <c r="W83" i="42"/>
  <c r="X84" i="42"/>
  <c r="X41" i="42"/>
  <c r="X54" i="42"/>
  <c r="W76" i="42"/>
  <c r="W75" i="42"/>
  <c r="W78" i="42"/>
  <c r="W77" i="42"/>
  <c r="W79" i="42"/>
  <c r="W80" i="42"/>
  <c r="W81" i="42"/>
  <c r="W82" i="42"/>
  <c r="V3" i="42"/>
  <c r="V5" i="42"/>
  <c r="V83" i="42"/>
  <c r="W84" i="42"/>
  <c r="W41" i="42"/>
  <c r="W63" i="42"/>
  <c r="W62" i="42"/>
  <c r="W65" i="42"/>
  <c r="W64" i="42"/>
  <c r="W66" i="42"/>
  <c r="W67" i="42"/>
  <c r="W68" i="42"/>
  <c r="W69" i="42"/>
  <c r="V7" i="42"/>
  <c r="V70" i="42"/>
  <c r="W71" i="42"/>
  <c r="W28" i="42"/>
  <c r="W54" i="42"/>
  <c r="V76" i="42"/>
  <c r="V75" i="42"/>
  <c r="V78" i="42"/>
  <c r="V77" i="42"/>
  <c r="V79" i="42"/>
  <c r="V80" i="42"/>
  <c r="V81" i="42"/>
  <c r="V82" i="42"/>
  <c r="U3" i="42"/>
  <c r="U5" i="42"/>
  <c r="U83" i="42"/>
  <c r="V84" i="42"/>
  <c r="V41" i="42"/>
  <c r="V63" i="42"/>
  <c r="V62" i="42"/>
  <c r="V65" i="42"/>
  <c r="V64" i="42"/>
  <c r="V66" i="42"/>
  <c r="V67" i="42"/>
  <c r="V68" i="42"/>
  <c r="V69" i="42"/>
  <c r="U7" i="42"/>
  <c r="U70" i="42"/>
  <c r="V71" i="42"/>
  <c r="V28" i="42"/>
  <c r="V54" i="42"/>
  <c r="U76" i="42"/>
  <c r="U75" i="42"/>
  <c r="U78" i="42"/>
  <c r="U77" i="42"/>
  <c r="U79" i="42"/>
  <c r="U80" i="42"/>
  <c r="U81" i="42"/>
  <c r="U82" i="42"/>
  <c r="T3" i="42"/>
  <c r="T5" i="42"/>
  <c r="T83" i="42"/>
  <c r="U84" i="42"/>
  <c r="U41" i="42"/>
  <c r="U63" i="42"/>
  <c r="U62" i="42"/>
  <c r="U65" i="42"/>
  <c r="U64" i="42"/>
  <c r="U66" i="42"/>
  <c r="U67" i="42"/>
  <c r="U68" i="42"/>
  <c r="U69" i="42"/>
  <c r="T7" i="42"/>
  <c r="T70" i="42"/>
  <c r="U71" i="42"/>
  <c r="U28" i="42"/>
  <c r="U54" i="42"/>
  <c r="T76" i="42"/>
  <c r="T75" i="42"/>
  <c r="T78" i="42"/>
  <c r="T77" i="42"/>
  <c r="T79" i="42"/>
  <c r="T80" i="42"/>
  <c r="T81" i="42"/>
  <c r="T82" i="42"/>
  <c r="S3" i="42"/>
  <c r="S5" i="42"/>
  <c r="S83" i="42"/>
  <c r="T84" i="42"/>
  <c r="T41" i="42"/>
  <c r="T63" i="42"/>
  <c r="T62" i="42"/>
  <c r="T65" i="42"/>
  <c r="T64" i="42"/>
  <c r="T66" i="42"/>
  <c r="T67" i="42"/>
  <c r="T68" i="42"/>
  <c r="T69" i="42"/>
  <c r="S7" i="42"/>
  <c r="S70" i="42"/>
  <c r="T71" i="42"/>
  <c r="T28" i="42"/>
  <c r="T54" i="42"/>
  <c r="S54" i="42"/>
  <c r="Q5" i="42"/>
  <c r="Q76" i="42"/>
  <c r="Q75" i="42"/>
  <c r="Q78" i="42"/>
  <c r="Q77" i="42"/>
  <c r="Q80" i="42"/>
  <c r="Q81" i="42"/>
  <c r="Q82" i="42"/>
  <c r="P5" i="42"/>
  <c r="P83" i="42"/>
  <c r="Q83" i="42"/>
  <c r="Q84" i="42"/>
  <c r="Q41" i="42"/>
  <c r="Q54" i="42"/>
  <c r="P76" i="42"/>
  <c r="P75" i="42"/>
  <c r="P78" i="42"/>
  <c r="P77" i="42"/>
  <c r="P80" i="42"/>
  <c r="P81" i="42"/>
  <c r="P82" i="42"/>
  <c r="O5" i="42"/>
  <c r="O83" i="42"/>
  <c r="P84" i="42"/>
  <c r="P41" i="42"/>
  <c r="P54" i="42"/>
  <c r="O76" i="42"/>
  <c r="O75" i="42"/>
  <c r="O78" i="42"/>
  <c r="O77" i="42"/>
  <c r="O80" i="42"/>
  <c r="O81" i="42"/>
  <c r="O82" i="42"/>
  <c r="N3" i="42"/>
  <c r="N5" i="42"/>
  <c r="N83" i="42"/>
  <c r="O84" i="42"/>
  <c r="O41" i="42"/>
  <c r="O63" i="42"/>
  <c r="O62" i="42"/>
  <c r="O65" i="42"/>
  <c r="O64" i="42"/>
  <c r="O66" i="42"/>
  <c r="O67" i="42"/>
  <c r="O68" i="42"/>
  <c r="O69" i="42"/>
  <c r="N7" i="42"/>
  <c r="N70" i="42"/>
  <c r="O71" i="42"/>
  <c r="O28" i="42"/>
  <c r="O54" i="42"/>
  <c r="N76" i="42"/>
  <c r="N75" i="42"/>
  <c r="N78" i="42"/>
  <c r="N77" i="42"/>
  <c r="N80" i="42"/>
  <c r="N81" i="42"/>
  <c r="N82" i="42"/>
  <c r="M3" i="42"/>
  <c r="M5" i="42"/>
  <c r="M83" i="42"/>
  <c r="N84" i="42"/>
  <c r="N41" i="42"/>
  <c r="N63" i="42"/>
  <c r="N62" i="42"/>
  <c r="N65" i="42"/>
  <c r="N64" i="42"/>
  <c r="N66" i="42"/>
  <c r="N67" i="42"/>
  <c r="N68" i="42"/>
  <c r="N69" i="42"/>
  <c r="M7" i="42"/>
  <c r="M70" i="42"/>
  <c r="N71" i="42"/>
  <c r="N28" i="42"/>
  <c r="N54" i="42"/>
  <c r="M76" i="42"/>
  <c r="M75" i="42"/>
  <c r="M78" i="42"/>
  <c r="M77" i="42"/>
  <c r="M80" i="42"/>
  <c r="M81" i="42"/>
  <c r="M82" i="42"/>
  <c r="L3" i="42"/>
  <c r="L5" i="42"/>
  <c r="L83" i="42"/>
  <c r="M84" i="42"/>
  <c r="M41" i="42"/>
  <c r="M63" i="42"/>
  <c r="M62" i="42"/>
  <c r="M65" i="42"/>
  <c r="M64" i="42"/>
  <c r="M66" i="42"/>
  <c r="M67" i="42"/>
  <c r="M68" i="42"/>
  <c r="M69" i="42"/>
  <c r="L7" i="42"/>
  <c r="L70" i="42"/>
  <c r="M71" i="42"/>
  <c r="M28" i="42"/>
  <c r="M54" i="42"/>
  <c r="L76" i="42"/>
  <c r="L75" i="42"/>
  <c r="L78" i="42"/>
  <c r="L77" i="42"/>
  <c r="L80" i="42"/>
  <c r="L81" i="42"/>
  <c r="L82" i="42"/>
  <c r="K3" i="42"/>
  <c r="K5" i="42"/>
  <c r="K83" i="42"/>
  <c r="L84" i="42"/>
  <c r="L41" i="42"/>
  <c r="L63" i="42"/>
  <c r="L62" i="42"/>
  <c r="L65" i="42"/>
  <c r="L64" i="42"/>
  <c r="L66" i="42"/>
  <c r="L67" i="42"/>
  <c r="L68" i="42"/>
  <c r="L69" i="42"/>
  <c r="K7" i="42"/>
  <c r="K70" i="42"/>
  <c r="L71" i="42"/>
  <c r="L28" i="42"/>
  <c r="L54" i="42"/>
  <c r="K54" i="42"/>
  <c r="J54" i="42"/>
  <c r="AG30" i="42"/>
  <c r="AG74" i="42"/>
  <c r="AF30" i="42"/>
  <c r="AF74" i="42"/>
  <c r="AE30" i="42"/>
  <c r="AE74" i="42"/>
  <c r="AD30" i="42"/>
  <c r="AD74" i="42"/>
  <c r="AC30" i="42"/>
  <c r="AC74" i="42"/>
  <c r="AB30" i="42"/>
  <c r="AB74" i="42"/>
  <c r="AA30" i="42"/>
  <c r="AA74" i="42"/>
  <c r="Y30" i="42"/>
  <c r="Y74" i="42"/>
  <c r="X30" i="42"/>
  <c r="X74" i="42"/>
  <c r="W30" i="42"/>
  <c r="W74" i="42"/>
  <c r="V30" i="42"/>
  <c r="V74" i="42"/>
  <c r="U30" i="42"/>
  <c r="U74" i="42"/>
  <c r="T30" i="42"/>
  <c r="T74" i="42"/>
  <c r="S30" i="42"/>
  <c r="S74" i="42"/>
  <c r="L30" i="42"/>
  <c r="L74" i="42"/>
  <c r="M30" i="42"/>
  <c r="M74" i="42"/>
  <c r="N30" i="42"/>
  <c r="N74" i="42"/>
  <c r="O30" i="42"/>
  <c r="O74" i="42"/>
  <c r="P30" i="42"/>
  <c r="P74" i="42"/>
  <c r="Q30" i="42"/>
  <c r="Q74" i="42"/>
  <c r="K30" i="42"/>
  <c r="K74" i="42"/>
  <c r="AG17" i="42"/>
  <c r="AG61" i="42"/>
  <c r="AF17" i="42"/>
  <c r="AF61" i="42"/>
  <c r="AE17" i="42"/>
  <c r="AE61" i="42"/>
  <c r="AD17" i="42"/>
  <c r="AD61" i="42"/>
  <c r="AC17" i="42"/>
  <c r="AC61" i="42"/>
  <c r="AB17" i="42"/>
  <c r="AB61" i="42"/>
  <c r="AA17" i="42"/>
  <c r="AA61" i="42"/>
  <c r="Y17" i="42"/>
  <c r="Y61" i="42"/>
  <c r="X17" i="42"/>
  <c r="X61" i="42"/>
  <c r="W17" i="42"/>
  <c r="W61" i="42"/>
  <c r="V17" i="42"/>
  <c r="V61" i="42"/>
  <c r="U17" i="42"/>
  <c r="U61" i="42"/>
  <c r="T17" i="42"/>
  <c r="T61" i="42"/>
  <c r="S17" i="42"/>
  <c r="S61" i="42"/>
  <c r="L17" i="42"/>
  <c r="L61" i="42"/>
  <c r="M17" i="42"/>
  <c r="M61" i="42"/>
  <c r="N17" i="42"/>
  <c r="N61" i="42"/>
  <c r="O17" i="42"/>
  <c r="O61" i="42"/>
  <c r="P17" i="42"/>
  <c r="P61" i="42"/>
  <c r="Q17" i="42"/>
  <c r="Q61" i="42"/>
  <c r="K17" i="42"/>
  <c r="K61" i="42"/>
  <c r="AA77" i="42"/>
  <c r="S77" i="42"/>
  <c r="K77" i="42"/>
  <c r="AA76" i="42"/>
  <c r="S76" i="42"/>
  <c r="K76" i="42"/>
  <c r="AA75" i="42"/>
  <c r="S75" i="42"/>
  <c r="K75" i="42"/>
  <c r="AA64" i="42"/>
  <c r="S64" i="42"/>
  <c r="K64" i="42"/>
  <c r="AA63" i="42"/>
  <c r="S63" i="42"/>
  <c r="K63" i="42"/>
  <c r="AA62" i="42"/>
  <c r="S62" i="42"/>
  <c r="K62" i="42"/>
  <c r="F74" i="42"/>
  <c r="G79" i="42"/>
  <c r="F79" i="42"/>
  <c r="G80" i="42"/>
  <c r="J81" i="42"/>
  <c r="J84" i="42"/>
  <c r="AA78" i="42"/>
  <c r="AA79" i="42"/>
  <c r="AA80" i="42"/>
  <c r="AA81" i="42"/>
  <c r="AA82" i="42"/>
  <c r="S78" i="42"/>
  <c r="S79" i="42"/>
  <c r="S80" i="42"/>
  <c r="S81" i="42"/>
  <c r="S82" i="42"/>
  <c r="K78" i="42"/>
  <c r="K80" i="42"/>
  <c r="K81" i="42"/>
  <c r="K82" i="42"/>
  <c r="J74" i="42"/>
  <c r="AG65" i="42"/>
  <c r="AG66" i="42"/>
  <c r="AG67" i="42"/>
  <c r="AG68" i="42"/>
  <c r="AG69" i="42"/>
  <c r="AG71" i="42"/>
  <c r="Y65" i="42"/>
  <c r="Y66" i="42"/>
  <c r="Y67" i="42"/>
  <c r="Y68" i="42"/>
  <c r="Y69" i="42"/>
  <c r="Y71" i="42"/>
  <c r="Q65" i="42"/>
  <c r="Q66" i="42"/>
  <c r="Q67" i="42"/>
  <c r="Q68" i="42"/>
  <c r="Q69" i="42"/>
  <c r="Q71" i="42"/>
  <c r="J71" i="42"/>
  <c r="AA65" i="42"/>
  <c r="AA66" i="42"/>
  <c r="AA67" i="42"/>
  <c r="AA68" i="42"/>
  <c r="AA69" i="42"/>
  <c r="S65" i="42"/>
  <c r="S66" i="42"/>
  <c r="S67" i="42"/>
  <c r="S68" i="42"/>
  <c r="S69" i="42"/>
  <c r="K65" i="42"/>
  <c r="K66" i="42"/>
  <c r="K67" i="42"/>
  <c r="K68" i="42"/>
  <c r="K69" i="42"/>
  <c r="J61" i="42"/>
  <c r="I61" i="42"/>
  <c r="H4" i="24"/>
  <c r="AG5" i="24"/>
  <c r="AG74" i="24"/>
  <c r="AG73" i="24"/>
  <c r="AG76" i="24"/>
  <c r="AG75" i="24"/>
  <c r="AG77" i="24"/>
  <c r="AG78" i="24"/>
  <c r="AG79" i="24"/>
  <c r="AG80" i="24"/>
  <c r="AF5" i="24"/>
  <c r="AF81" i="24"/>
  <c r="AG81" i="24"/>
  <c r="AG82" i="24"/>
  <c r="AG39" i="24"/>
  <c r="AG52" i="24"/>
  <c r="AF74" i="24"/>
  <c r="AF73" i="24"/>
  <c r="AF76" i="24"/>
  <c r="AF75" i="24"/>
  <c r="AF77" i="24"/>
  <c r="AF78" i="24"/>
  <c r="AF79" i="24"/>
  <c r="AF80" i="24"/>
  <c r="AE5" i="24"/>
  <c r="AE81" i="24"/>
  <c r="AF82" i="24"/>
  <c r="AF39" i="24"/>
  <c r="AF52" i="24"/>
  <c r="AE74" i="24"/>
  <c r="AE73" i="24"/>
  <c r="AE76" i="24"/>
  <c r="AE75" i="24"/>
  <c r="AE77" i="24"/>
  <c r="AE78" i="24"/>
  <c r="AE79" i="24"/>
  <c r="AE80" i="24"/>
  <c r="AD3" i="24"/>
  <c r="AD5" i="24"/>
  <c r="AD81" i="24"/>
  <c r="AE82" i="24"/>
  <c r="AE39" i="24"/>
  <c r="AE61" i="24"/>
  <c r="AE60" i="24"/>
  <c r="AE63" i="24"/>
  <c r="AE62" i="24"/>
  <c r="AE64" i="24"/>
  <c r="AE65" i="24"/>
  <c r="AE66" i="24"/>
  <c r="AE67" i="24"/>
  <c r="AD7" i="24"/>
  <c r="AD68" i="24"/>
  <c r="AE69" i="24"/>
  <c r="AE26" i="24"/>
  <c r="AE52" i="24"/>
  <c r="AD74" i="24"/>
  <c r="AD73" i="24"/>
  <c r="AD76" i="24"/>
  <c r="AD75" i="24"/>
  <c r="AD77" i="24"/>
  <c r="AD78" i="24"/>
  <c r="AD79" i="24"/>
  <c r="AD80" i="24"/>
  <c r="AC3" i="24"/>
  <c r="AC5" i="24"/>
  <c r="AC81" i="24"/>
  <c r="AD82" i="24"/>
  <c r="AD39" i="24"/>
  <c r="AD61" i="24"/>
  <c r="AD60" i="24"/>
  <c r="AD63" i="24"/>
  <c r="AD62" i="24"/>
  <c r="AD64" i="24"/>
  <c r="AD65" i="24"/>
  <c r="AD66" i="24"/>
  <c r="AD67" i="24"/>
  <c r="AC7" i="24"/>
  <c r="AC68" i="24"/>
  <c r="AD69" i="24"/>
  <c r="AD26" i="24"/>
  <c r="AD52" i="24"/>
  <c r="AC74" i="24"/>
  <c r="AC73" i="24"/>
  <c r="AC76" i="24"/>
  <c r="AC75" i="24"/>
  <c r="AC77" i="24"/>
  <c r="AC78" i="24"/>
  <c r="AC79" i="24"/>
  <c r="AC80" i="24"/>
  <c r="AB3" i="24"/>
  <c r="AB5" i="24"/>
  <c r="AB81" i="24"/>
  <c r="AC82" i="24"/>
  <c r="AC39" i="24"/>
  <c r="AC61" i="24"/>
  <c r="AC60" i="24"/>
  <c r="AC63" i="24"/>
  <c r="AC62" i="24"/>
  <c r="AC64" i="24"/>
  <c r="AC65" i="24"/>
  <c r="AC66" i="24"/>
  <c r="AC67" i="24"/>
  <c r="AB7" i="24"/>
  <c r="AB68" i="24"/>
  <c r="AC69" i="24"/>
  <c r="AC26" i="24"/>
  <c r="AC52" i="24"/>
  <c r="AB74" i="24"/>
  <c r="AB73" i="24"/>
  <c r="AB76" i="24"/>
  <c r="AB75" i="24"/>
  <c r="AB77" i="24"/>
  <c r="AB78" i="24"/>
  <c r="AB79" i="24"/>
  <c r="AB80" i="24"/>
  <c r="AA3" i="24"/>
  <c r="AA5" i="24"/>
  <c r="AA81" i="24"/>
  <c r="AB82" i="24"/>
  <c r="AB39" i="24"/>
  <c r="AB61" i="24"/>
  <c r="AB60" i="24"/>
  <c r="AB63" i="24"/>
  <c r="AB62" i="24"/>
  <c r="AB64" i="24"/>
  <c r="AB65" i="24"/>
  <c r="AB66" i="24"/>
  <c r="AB67" i="24"/>
  <c r="AA7" i="24"/>
  <c r="AA68" i="24"/>
  <c r="AB69" i="24"/>
  <c r="AB26" i="24"/>
  <c r="AB52" i="24"/>
  <c r="AA52" i="24"/>
  <c r="Y5" i="24"/>
  <c r="Y74" i="24"/>
  <c r="Y73" i="24"/>
  <c r="Y76" i="24"/>
  <c r="Y75" i="24"/>
  <c r="Y77" i="24"/>
  <c r="Y78" i="24"/>
  <c r="Y79" i="24"/>
  <c r="Y80" i="24"/>
  <c r="X5" i="24"/>
  <c r="X81" i="24"/>
  <c r="Y81" i="24"/>
  <c r="Y82" i="24"/>
  <c r="Y39" i="24"/>
  <c r="Y52" i="24"/>
  <c r="X74" i="24"/>
  <c r="X73" i="24"/>
  <c r="X76" i="24"/>
  <c r="X75" i="24"/>
  <c r="X77" i="24"/>
  <c r="X78" i="24"/>
  <c r="X79" i="24"/>
  <c r="X80" i="24"/>
  <c r="W5" i="24"/>
  <c r="W81" i="24"/>
  <c r="X82" i="24"/>
  <c r="X39" i="24"/>
  <c r="X52" i="24"/>
  <c r="W74" i="24"/>
  <c r="W73" i="24"/>
  <c r="W76" i="24"/>
  <c r="W75" i="24"/>
  <c r="W77" i="24"/>
  <c r="W78" i="24"/>
  <c r="W79" i="24"/>
  <c r="W80" i="24"/>
  <c r="V5" i="24"/>
  <c r="V81" i="24"/>
  <c r="W82" i="24"/>
  <c r="W39" i="24"/>
  <c r="W61" i="24"/>
  <c r="W60" i="24"/>
  <c r="W63" i="24"/>
  <c r="W62" i="24"/>
  <c r="W64" i="24"/>
  <c r="W65" i="24"/>
  <c r="W66" i="24"/>
  <c r="W67" i="24"/>
  <c r="V7" i="24"/>
  <c r="V68" i="24"/>
  <c r="W69" i="24"/>
  <c r="W26" i="24"/>
  <c r="W52" i="24"/>
  <c r="V74" i="24"/>
  <c r="V73" i="24"/>
  <c r="V76" i="24"/>
  <c r="V75" i="24"/>
  <c r="V77" i="24"/>
  <c r="V78" i="24"/>
  <c r="V79" i="24"/>
  <c r="V80" i="24"/>
  <c r="U5" i="24"/>
  <c r="U81" i="24"/>
  <c r="V82" i="24"/>
  <c r="V39" i="24"/>
  <c r="V61" i="24"/>
  <c r="V60" i="24"/>
  <c r="V63" i="24"/>
  <c r="V62" i="24"/>
  <c r="V64" i="24"/>
  <c r="V65" i="24"/>
  <c r="V66" i="24"/>
  <c r="V67" i="24"/>
  <c r="U7" i="24"/>
  <c r="U68" i="24"/>
  <c r="V69" i="24"/>
  <c r="V26" i="24"/>
  <c r="V52" i="24"/>
  <c r="U74" i="24"/>
  <c r="U73" i="24"/>
  <c r="U76" i="24"/>
  <c r="U75" i="24"/>
  <c r="U77" i="24"/>
  <c r="U78" i="24"/>
  <c r="U79" i="24"/>
  <c r="U80" i="24"/>
  <c r="T3" i="24"/>
  <c r="T5" i="24"/>
  <c r="T81" i="24"/>
  <c r="U82" i="24"/>
  <c r="U39" i="24"/>
  <c r="U61" i="24"/>
  <c r="U60" i="24"/>
  <c r="U63" i="24"/>
  <c r="U62" i="24"/>
  <c r="U64" i="24"/>
  <c r="U65" i="24"/>
  <c r="U66" i="24"/>
  <c r="U67" i="24"/>
  <c r="T7" i="24"/>
  <c r="T68" i="24"/>
  <c r="U69" i="24"/>
  <c r="U26" i="24"/>
  <c r="U52" i="24"/>
  <c r="T74" i="24"/>
  <c r="T73" i="24"/>
  <c r="T76" i="24"/>
  <c r="T75" i="24"/>
  <c r="T77" i="24"/>
  <c r="T78" i="24"/>
  <c r="T79" i="24"/>
  <c r="T80" i="24"/>
  <c r="S3" i="24"/>
  <c r="S5" i="24"/>
  <c r="S81" i="24"/>
  <c r="T82" i="24"/>
  <c r="T39" i="24"/>
  <c r="T61" i="24"/>
  <c r="T60" i="24"/>
  <c r="T63" i="24"/>
  <c r="T62" i="24"/>
  <c r="T64" i="24"/>
  <c r="T65" i="24"/>
  <c r="T66" i="24"/>
  <c r="T67" i="24"/>
  <c r="S7" i="24"/>
  <c r="S68" i="24"/>
  <c r="T69" i="24"/>
  <c r="T26" i="24"/>
  <c r="T52" i="24"/>
  <c r="S52" i="24"/>
  <c r="Q74" i="24"/>
  <c r="Q73" i="24"/>
  <c r="Q76" i="24"/>
  <c r="Q78" i="24"/>
  <c r="Q79" i="24"/>
  <c r="Q80" i="24"/>
  <c r="P81" i="24"/>
  <c r="Q81" i="24"/>
  <c r="Q82" i="24"/>
  <c r="Q39" i="24"/>
  <c r="Q52" i="24"/>
  <c r="P74" i="24"/>
  <c r="P73" i="24"/>
  <c r="P76" i="24"/>
  <c r="P78" i="24"/>
  <c r="P79" i="24"/>
  <c r="P80" i="24"/>
  <c r="O81" i="24"/>
  <c r="P82" i="24"/>
  <c r="P39" i="24"/>
  <c r="P52" i="24"/>
  <c r="O74" i="24"/>
  <c r="O73" i="24"/>
  <c r="O76" i="24"/>
  <c r="O78" i="24"/>
  <c r="O79" i="24"/>
  <c r="O80" i="24"/>
  <c r="N81" i="24"/>
  <c r="O82" i="24"/>
  <c r="O39" i="24"/>
  <c r="O61" i="24"/>
  <c r="O60" i="24"/>
  <c r="O63" i="24"/>
  <c r="O62" i="24"/>
  <c r="O64" i="24"/>
  <c r="O65" i="24"/>
  <c r="O66" i="24"/>
  <c r="O67" i="24"/>
  <c r="N7" i="24"/>
  <c r="N68" i="24"/>
  <c r="O69" i="24"/>
  <c r="O26" i="24"/>
  <c r="O52" i="24"/>
  <c r="N74" i="24"/>
  <c r="N73" i="24"/>
  <c r="N76" i="24"/>
  <c r="N78" i="24"/>
  <c r="N79" i="24"/>
  <c r="N80" i="24"/>
  <c r="M81" i="24"/>
  <c r="N82" i="24"/>
  <c r="N39" i="24"/>
  <c r="N61" i="24"/>
  <c r="N60" i="24"/>
  <c r="N63" i="24"/>
  <c r="N62" i="24"/>
  <c r="N64" i="24"/>
  <c r="N65" i="24"/>
  <c r="N66" i="24"/>
  <c r="N67" i="24"/>
  <c r="M7" i="24"/>
  <c r="M68" i="24"/>
  <c r="N69" i="24"/>
  <c r="N26" i="24"/>
  <c r="N52" i="24"/>
  <c r="M74" i="24"/>
  <c r="M73" i="24"/>
  <c r="M76" i="24"/>
  <c r="M78" i="24"/>
  <c r="M79" i="24"/>
  <c r="M80" i="24"/>
  <c r="L3" i="24"/>
  <c r="M82" i="24"/>
  <c r="M39" i="24"/>
  <c r="M61" i="24"/>
  <c r="M60" i="24"/>
  <c r="M63" i="24"/>
  <c r="M62" i="24"/>
  <c r="M64" i="24"/>
  <c r="M65" i="24"/>
  <c r="M66" i="24"/>
  <c r="M67" i="24"/>
  <c r="M69" i="24"/>
  <c r="M26" i="24"/>
  <c r="M52" i="24"/>
  <c r="K3" i="24"/>
  <c r="L39" i="24"/>
  <c r="L26" i="24"/>
  <c r="L52" i="24"/>
  <c r="K52" i="24"/>
  <c r="J52" i="24"/>
  <c r="I28" i="24"/>
  <c r="B29" i="24"/>
  <c r="F29" i="24"/>
  <c r="B30" i="24"/>
  <c r="F30" i="24"/>
  <c r="B31" i="24"/>
  <c r="F31" i="24"/>
  <c r="B32" i="24"/>
  <c r="F32" i="24"/>
  <c r="B33" i="24"/>
  <c r="F33" i="24"/>
  <c r="B34" i="24"/>
  <c r="F34" i="24"/>
  <c r="B35" i="24"/>
  <c r="F35" i="24"/>
  <c r="B36" i="24"/>
  <c r="F36" i="24"/>
  <c r="B37" i="24"/>
  <c r="F37" i="24"/>
  <c r="B38" i="24"/>
  <c r="F72" i="24"/>
  <c r="G77" i="24"/>
  <c r="AA75" i="24"/>
  <c r="S75" i="24"/>
  <c r="AA74" i="24"/>
  <c r="S74" i="24"/>
  <c r="AA73" i="24"/>
  <c r="S73" i="24"/>
  <c r="AG28" i="24"/>
  <c r="AG72" i="24"/>
  <c r="AF28" i="24"/>
  <c r="AF72" i="24"/>
  <c r="AE28" i="24"/>
  <c r="AE72" i="24"/>
  <c r="AD28" i="24"/>
  <c r="AD72" i="24"/>
  <c r="AC28" i="24"/>
  <c r="AC72" i="24"/>
  <c r="AB28" i="24"/>
  <c r="AB72" i="24"/>
  <c r="AA28" i="24"/>
  <c r="AA72" i="24"/>
  <c r="Y28" i="24"/>
  <c r="Y72" i="24"/>
  <c r="X28" i="24"/>
  <c r="X72" i="24"/>
  <c r="W28" i="24"/>
  <c r="W72" i="24"/>
  <c r="V28" i="24"/>
  <c r="V72" i="24"/>
  <c r="U28" i="24"/>
  <c r="U72" i="24"/>
  <c r="T28" i="24"/>
  <c r="T72" i="24"/>
  <c r="S28" i="24"/>
  <c r="S72" i="24"/>
  <c r="L28" i="24"/>
  <c r="L72" i="24"/>
  <c r="M72" i="24"/>
  <c r="N72" i="24"/>
  <c r="O72" i="24"/>
  <c r="P72" i="24"/>
  <c r="Q72" i="24"/>
  <c r="K28" i="24"/>
  <c r="K72" i="24"/>
  <c r="I72" i="24"/>
  <c r="AA76" i="24"/>
  <c r="AA77" i="24"/>
  <c r="AA78" i="24"/>
  <c r="AA79" i="24"/>
  <c r="AA80" i="24"/>
  <c r="S76" i="24"/>
  <c r="S77" i="24"/>
  <c r="S78" i="24"/>
  <c r="S79" i="24"/>
  <c r="S80" i="24"/>
  <c r="J72" i="24"/>
  <c r="Q63" i="24"/>
  <c r="Q64" i="24"/>
  <c r="Q65" i="24"/>
  <c r="Q66" i="24"/>
  <c r="Q67" i="24"/>
  <c r="Q69" i="24"/>
  <c r="AG59" i="24"/>
  <c r="AF15" i="24"/>
  <c r="AF59" i="24"/>
  <c r="AE15" i="24"/>
  <c r="AE59" i="24"/>
  <c r="AD15" i="24"/>
  <c r="AD59" i="24"/>
  <c r="AC15" i="24"/>
  <c r="AC59" i="24"/>
  <c r="AB15" i="24"/>
  <c r="AB59" i="24"/>
  <c r="AA15" i="24"/>
  <c r="AA59" i="24"/>
  <c r="Y59" i="24"/>
  <c r="X59" i="24"/>
  <c r="W59" i="24"/>
  <c r="V59" i="24"/>
  <c r="U59" i="24"/>
  <c r="T15" i="24"/>
  <c r="T59" i="24"/>
  <c r="S15" i="24"/>
  <c r="S59" i="24"/>
  <c r="L59" i="24"/>
  <c r="M15" i="24"/>
  <c r="M59" i="24"/>
  <c r="N15" i="24"/>
  <c r="N59" i="24"/>
  <c r="O15" i="24"/>
  <c r="O59" i="24"/>
  <c r="P15" i="24"/>
  <c r="P59" i="24"/>
  <c r="Q15" i="24"/>
  <c r="Q59" i="24"/>
  <c r="K15" i="24"/>
  <c r="K59" i="24"/>
  <c r="AG63" i="24"/>
  <c r="AG64" i="24"/>
  <c r="AG65" i="24"/>
  <c r="AG66" i="24"/>
  <c r="AG67" i="24"/>
  <c r="AG69" i="24"/>
  <c r="Y63" i="24"/>
  <c r="Y64" i="24"/>
  <c r="Y65" i="24"/>
  <c r="Y66" i="24"/>
  <c r="Y67" i="24"/>
  <c r="Y69" i="24"/>
  <c r="AA62" i="24"/>
  <c r="S62" i="24"/>
  <c r="K62" i="24"/>
  <c r="AA61" i="24"/>
  <c r="S61" i="24"/>
  <c r="K61" i="24"/>
  <c r="AA60" i="24"/>
  <c r="S60" i="24"/>
  <c r="K60" i="24"/>
  <c r="AA63" i="24"/>
  <c r="AA64" i="24"/>
  <c r="AA65" i="24"/>
  <c r="AA66" i="24"/>
  <c r="AA67" i="24"/>
  <c r="S63" i="24"/>
  <c r="S64" i="24"/>
  <c r="S65" i="24"/>
  <c r="S66" i="24"/>
  <c r="S67" i="24"/>
  <c r="K16" i="24"/>
  <c r="J69" i="24"/>
  <c r="I59" i="24"/>
  <c r="J59" i="24"/>
  <c r="K63" i="24"/>
  <c r="K64" i="24"/>
  <c r="K65" i="24"/>
  <c r="K66" i="24"/>
  <c r="K67" i="24"/>
  <c r="AA19" i="42"/>
  <c r="AB19" i="42"/>
  <c r="AC19" i="42"/>
  <c r="AD19" i="42"/>
  <c r="AE19" i="42"/>
  <c r="AA20" i="42"/>
  <c r="AB20" i="42"/>
  <c r="AC20" i="42"/>
  <c r="AD20" i="42"/>
  <c r="AE20" i="42"/>
  <c r="AA21" i="42"/>
  <c r="AB21" i="42"/>
  <c r="AC21" i="42"/>
  <c r="AD21" i="42"/>
  <c r="AE21" i="42"/>
  <c r="AA22" i="42"/>
  <c r="AB22" i="42"/>
  <c r="AC22" i="42"/>
  <c r="AD22" i="42"/>
  <c r="AE22" i="42"/>
  <c r="AA23" i="42"/>
  <c r="AB23" i="42"/>
  <c r="AC23" i="42"/>
  <c r="AD23" i="42"/>
  <c r="AE23" i="42"/>
  <c r="AA24" i="42"/>
  <c r="AB24" i="42"/>
  <c r="AC24" i="42"/>
  <c r="AD24" i="42"/>
  <c r="AE24" i="42"/>
  <c r="AA25" i="42"/>
  <c r="AB25" i="42"/>
  <c r="AC25" i="42"/>
  <c r="AD25" i="42"/>
  <c r="AE25" i="42"/>
  <c r="AA26" i="42"/>
  <c r="AB26" i="42"/>
  <c r="AC26" i="42"/>
  <c r="AD26" i="42"/>
  <c r="AE26" i="42"/>
  <c r="AB18" i="42"/>
  <c r="AC18" i="42"/>
  <c r="AD18" i="42"/>
  <c r="AE18" i="42"/>
  <c r="AA18" i="42"/>
  <c r="S19" i="42"/>
  <c r="T19" i="42"/>
  <c r="U19" i="42"/>
  <c r="V19" i="42"/>
  <c r="W19" i="42"/>
  <c r="S20" i="42"/>
  <c r="T20" i="42"/>
  <c r="U20" i="42"/>
  <c r="V20" i="42"/>
  <c r="W20" i="42"/>
  <c r="S21" i="42"/>
  <c r="T21" i="42"/>
  <c r="U21" i="42"/>
  <c r="V21" i="42"/>
  <c r="W21" i="42"/>
  <c r="S22" i="42"/>
  <c r="T22" i="42"/>
  <c r="U22" i="42"/>
  <c r="V22" i="42"/>
  <c r="W22" i="42"/>
  <c r="S23" i="42"/>
  <c r="T23" i="42"/>
  <c r="U23" i="42"/>
  <c r="V23" i="42"/>
  <c r="W23" i="42"/>
  <c r="S24" i="42"/>
  <c r="T24" i="42"/>
  <c r="U24" i="42"/>
  <c r="V24" i="42"/>
  <c r="W24" i="42"/>
  <c r="S25" i="42"/>
  <c r="T25" i="42"/>
  <c r="U25" i="42"/>
  <c r="V25" i="42"/>
  <c r="W25" i="42"/>
  <c r="S26" i="42"/>
  <c r="T26" i="42"/>
  <c r="U26" i="42"/>
  <c r="V26" i="42"/>
  <c r="W26" i="42"/>
  <c r="T18" i="42"/>
  <c r="U18" i="42"/>
  <c r="V18" i="42"/>
  <c r="W18" i="42"/>
  <c r="S18" i="42"/>
  <c r="K19" i="42"/>
  <c r="L19" i="42"/>
  <c r="M19" i="42"/>
  <c r="N19" i="42"/>
  <c r="O19" i="42"/>
  <c r="K20" i="42"/>
  <c r="L20" i="42"/>
  <c r="M20" i="42"/>
  <c r="N20" i="42"/>
  <c r="O20" i="42"/>
  <c r="K21" i="42"/>
  <c r="L21" i="42"/>
  <c r="M21" i="42"/>
  <c r="N21" i="42"/>
  <c r="O21" i="42"/>
  <c r="K22" i="42"/>
  <c r="L22" i="42"/>
  <c r="M22" i="42"/>
  <c r="N22" i="42"/>
  <c r="O22" i="42"/>
  <c r="K23" i="42"/>
  <c r="L23" i="42"/>
  <c r="M23" i="42"/>
  <c r="N23" i="42"/>
  <c r="O23" i="42"/>
  <c r="K24" i="42"/>
  <c r="L24" i="42"/>
  <c r="M24" i="42"/>
  <c r="N24" i="42"/>
  <c r="O24" i="42"/>
  <c r="K25" i="42"/>
  <c r="L25" i="42"/>
  <c r="M25" i="42"/>
  <c r="N25" i="42"/>
  <c r="O25" i="42"/>
  <c r="K26" i="42"/>
  <c r="L26" i="42"/>
  <c r="M26" i="42"/>
  <c r="N26" i="42"/>
  <c r="O26" i="42"/>
  <c r="L18" i="42"/>
  <c r="M18" i="42"/>
  <c r="N18" i="42"/>
  <c r="O18" i="42"/>
  <c r="K18" i="42"/>
  <c r="AG31" i="24"/>
  <c r="AG29" i="24"/>
  <c r="AG38" i="24"/>
  <c r="AF31" i="24"/>
  <c r="AF29" i="24"/>
  <c r="AF38" i="24"/>
  <c r="AE31" i="24"/>
  <c r="AE29" i="24"/>
  <c r="AE38" i="24"/>
  <c r="AD31" i="24"/>
  <c r="AD29" i="24"/>
  <c r="AD38" i="24"/>
  <c r="AC31" i="24"/>
  <c r="AC29" i="24"/>
  <c r="AC38" i="24"/>
  <c r="AB31" i="24"/>
  <c r="AB29" i="24"/>
  <c r="AB38" i="24"/>
  <c r="AA31" i="24"/>
  <c r="AA29" i="24"/>
  <c r="AA38" i="24"/>
  <c r="AE18" i="24"/>
  <c r="AE16" i="24"/>
  <c r="AE25" i="24"/>
  <c r="AD18" i="24"/>
  <c r="AD16" i="24"/>
  <c r="AD25" i="24"/>
  <c r="AC18" i="24"/>
  <c r="AC16" i="24"/>
  <c r="AC25" i="24"/>
  <c r="AB18" i="24"/>
  <c r="AB16" i="24"/>
  <c r="AB25" i="24"/>
  <c r="AA18" i="24"/>
  <c r="AA16" i="24"/>
  <c r="AA25" i="24"/>
  <c r="AA17" i="24"/>
  <c r="AB17" i="24"/>
  <c r="AC17" i="24"/>
  <c r="AD17" i="24"/>
  <c r="AE17" i="24"/>
  <c r="AA19" i="24"/>
  <c r="AB19" i="24"/>
  <c r="AC19" i="24"/>
  <c r="AD19" i="24"/>
  <c r="AE19" i="24"/>
  <c r="AA20" i="24"/>
  <c r="AB20" i="24"/>
  <c r="AC20" i="24"/>
  <c r="AD20" i="24"/>
  <c r="AE20" i="24"/>
  <c r="AA21" i="24"/>
  <c r="AB21" i="24"/>
  <c r="AC21" i="24"/>
  <c r="AD21" i="24"/>
  <c r="AE21" i="24"/>
  <c r="AA22" i="24"/>
  <c r="AB22" i="24"/>
  <c r="AC22" i="24"/>
  <c r="AD22" i="24"/>
  <c r="AE22" i="24"/>
  <c r="AA23" i="24"/>
  <c r="AB23" i="24"/>
  <c r="AC23" i="24"/>
  <c r="AD23" i="24"/>
  <c r="AE23" i="24"/>
  <c r="AA24" i="24"/>
  <c r="AB24" i="24"/>
  <c r="AC24" i="24"/>
  <c r="AD24" i="24"/>
  <c r="AE24" i="24"/>
  <c r="X31" i="24"/>
  <c r="X29" i="24"/>
  <c r="X38" i="24"/>
  <c r="Y31" i="24"/>
  <c r="Y29" i="24"/>
  <c r="Y38" i="24"/>
  <c r="P31" i="24"/>
  <c r="P29" i="24"/>
  <c r="P38" i="24"/>
  <c r="Q31" i="24"/>
  <c r="Q29" i="24"/>
  <c r="Q38" i="24"/>
  <c r="W31" i="24"/>
  <c r="W29" i="24"/>
  <c r="W38" i="24"/>
  <c r="V31" i="24"/>
  <c r="V29" i="24"/>
  <c r="V38" i="24"/>
  <c r="U31" i="24"/>
  <c r="U29" i="24"/>
  <c r="U38" i="24"/>
  <c r="T31" i="24"/>
  <c r="T29" i="24"/>
  <c r="T38" i="24"/>
  <c r="S31" i="24"/>
  <c r="S29" i="24"/>
  <c r="S38" i="24"/>
  <c r="W18" i="24"/>
  <c r="W16" i="24"/>
  <c r="W25" i="24"/>
  <c r="V18" i="24"/>
  <c r="V16" i="24"/>
  <c r="V25" i="24"/>
  <c r="U18" i="24"/>
  <c r="U16" i="24"/>
  <c r="U25" i="24"/>
  <c r="T18" i="24"/>
  <c r="T16" i="24"/>
  <c r="T25" i="24"/>
  <c r="S18" i="24"/>
  <c r="S16" i="24"/>
  <c r="S25" i="24"/>
  <c r="S17" i="24"/>
  <c r="T17" i="24"/>
  <c r="U17" i="24"/>
  <c r="V17" i="24"/>
  <c r="W17" i="24"/>
  <c r="S19" i="24"/>
  <c r="T19" i="24"/>
  <c r="U19" i="24"/>
  <c r="V19" i="24"/>
  <c r="W19" i="24"/>
  <c r="S20" i="24"/>
  <c r="T20" i="24"/>
  <c r="U20" i="24"/>
  <c r="V20" i="24"/>
  <c r="W20" i="24"/>
  <c r="S21" i="24"/>
  <c r="T21" i="24"/>
  <c r="U21" i="24"/>
  <c r="V21" i="24"/>
  <c r="W21" i="24"/>
  <c r="S22" i="24"/>
  <c r="T22" i="24"/>
  <c r="U22" i="24"/>
  <c r="V22" i="24"/>
  <c r="W22" i="24"/>
  <c r="S23" i="24"/>
  <c r="T23" i="24"/>
  <c r="U23" i="24"/>
  <c r="V23" i="24"/>
  <c r="W23" i="24"/>
  <c r="S24" i="24"/>
  <c r="T24" i="24"/>
  <c r="U24" i="24"/>
  <c r="V24" i="24"/>
  <c r="W24" i="24"/>
  <c r="K17" i="24"/>
  <c r="L17" i="24"/>
  <c r="M17" i="24"/>
  <c r="N17" i="24"/>
  <c r="O17" i="24"/>
  <c r="K18" i="24"/>
  <c r="L18" i="24"/>
  <c r="M18" i="24"/>
  <c r="N18" i="24"/>
  <c r="O18" i="24"/>
  <c r="K19" i="24"/>
  <c r="L19" i="24"/>
  <c r="M19" i="24"/>
  <c r="N19" i="24"/>
  <c r="O19" i="24"/>
  <c r="K20" i="24"/>
  <c r="L20" i="24"/>
  <c r="M20" i="24"/>
  <c r="N20" i="24"/>
  <c r="O20" i="24"/>
  <c r="K21" i="24"/>
  <c r="L21" i="24"/>
  <c r="M21" i="24"/>
  <c r="N21" i="24"/>
  <c r="O21" i="24"/>
  <c r="K22" i="24"/>
  <c r="L22" i="24"/>
  <c r="M22" i="24"/>
  <c r="N22" i="24"/>
  <c r="O22" i="24"/>
  <c r="K23" i="24"/>
  <c r="L23" i="24"/>
  <c r="M23" i="24"/>
  <c r="N23" i="24"/>
  <c r="O23" i="24"/>
  <c r="K24" i="24"/>
  <c r="L24" i="24"/>
  <c r="M24" i="24"/>
  <c r="N24" i="24"/>
  <c r="O24" i="24"/>
  <c r="L16" i="24"/>
  <c r="M16" i="24"/>
  <c r="N16" i="24"/>
  <c r="O16" i="24"/>
  <c r="B45" i="5"/>
  <c r="B44" i="5"/>
  <c r="B7" i="5"/>
  <c r="B4" i="5"/>
  <c r="A35" i="5"/>
  <c r="B11" i="5"/>
  <c r="B8" i="5"/>
  <c r="L7" i="5"/>
  <c r="L11" i="5"/>
  <c r="L35" i="5"/>
  <c r="G7" i="5"/>
  <c r="G11" i="5"/>
  <c r="G35" i="5"/>
  <c r="H7" i="5"/>
  <c r="H11" i="5"/>
  <c r="H35" i="5"/>
  <c r="I7" i="5"/>
  <c r="I11" i="5"/>
  <c r="I35" i="5"/>
  <c r="J7" i="5"/>
  <c r="J11" i="5"/>
  <c r="J35" i="5"/>
  <c r="K7" i="5"/>
  <c r="K11" i="5"/>
  <c r="K35" i="5"/>
  <c r="F7" i="5"/>
  <c r="F11" i="5"/>
  <c r="F35" i="5"/>
  <c r="A29" i="5"/>
  <c r="G29" i="5"/>
  <c r="H29" i="5"/>
  <c r="I29" i="5"/>
  <c r="J29" i="5"/>
  <c r="K29" i="5"/>
  <c r="L29" i="5"/>
  <c r="F29" i="5"/>
  <c r="A23" i="5"/>
  <c r="G23" i="5"/>
  <c r="H23" i="5"/>
  <c r="I23" i="5"/>
  <c r="J23" i="5"/>
  <c r="K23" i="5"/>
  <c r="L23" i="5"/>
  <c r="F23" i="5"/>
  <c r="A17" i="5"/>
  <c r="G17" i="5"/>
  <c r="H17" i="5"/>
  <c r="I17" i="5"/>
  <c r="J17" i="5"/>
  <c r="K17" i="5"/>
  <c r="L17" i="5"/>
  <c r="F17" i="5"/>
  <c r="B6" i="5"/>
  <c r="B5" i="5"/>
  <c r="P32" i="44"/>
  <c r="P24" i="44"/>
  <c r="P125" i="44"/>
  <c r="P23" i="44"/>
  <c r="P126" i="44"/>
  <c r="P127" i="44"/>
  <c r="P128" i="44"/>
  <c r="P129" i="44"/>
  <c r="O93" i="44"/>
  <c r="P93" i="44"/>
  <c r="P130" i="44"/>
  <c r="O32" i="44"/>
  <c r="O24" i="44"/>
  <c r="O125" i="44"/>
  <c r="O23" i="44"/>
  <c r="O126" i="44"/>
  <c r="O127" i="44"/>
  <c r="O128" i="44"/>
  <c r="O129" i="44"/>
  <c r="N93" i="44"/>
  <c r="O130" i="44"/>
  <c r="N32" i="44"/>
  <c r="N24" i="44"/>
  <c r="N125" i="44"/>
  <c r="N23" i="44"/>
  <c r="N126" i="44"/>
  <c r="N127" i="44"/>
  <c r="N128" i="44"/>
  <c r="N129" i="44"/>
  <c r="M93" i="44"/>
  <c r="N130" i="44"/>
  <c r="M32" i="44"/>
  <c r="M24" i="44"/>
  <c r="M125" i="44"/>
  <c r="M23" i="44"/>
  <c r="M126" i="44"/>
  <c r="M127" i="44"/>
  <c r="M128" i="44"/>
  <c r="M129" i="44"/>
  <c r="L93" i="44"/>
  <c r="M130" i="44"/>
  <c r="L32" i="44"/>
  <c r="L24" i="44"/>
  <c r="L125" i="44"/>
  <c r="L23" i="44"/>
  <c r="L126" i="44"/>
  <c r="L127" i="44"/>
  <c r="L128" i="44"/>
  <c r="L129" i="44"/>
  <c r="K93" i="44"/>
  <c r="L130" i="44"/>
  <c r="K32" i="44"/>
  <c r="K24" i="44"/>
  <c r="K125" i="44"/>
  <c r="K23" i="44"/>
  <c r="K126" i="44"/>
  <c r="K127" i="44"/>
  <c r="K128" i="44"/>
  <c r="K129" i="44"/>
  <c r="K130" i="44"/>
  <c r="P37" i="44"/>
  <c r="O96" i="44"/>
  <c r="P96" i="44"/>
  <c r="P118" i="44"/>
  <c r="O37" i="44"/>
  <c r="N96" i="44"/>
  <c r="O118" i="44"/>
  <c r="N37" i="44"/>
  <c r="M96" i="44"/>
  <c r="N118" i="44"/>
  <c r="M37" i="44"/>
  <c r="L96" i="44"/>
  <c r="M118" i="44"/>
  <c r="L37" i="44"/>
  <c r="K96" i="44"/>
  <c r="L118" i="44"/>
  <c r="K37" i="44"/>
  <c r="J96" i="44"/>
  <c r="K118" i="44"/>
  <c r="J37" i="44"/>
  <c r="I96" i="44"/>
  <c r="J118" i="44"/>
  <c r="G118" i="44"/>
  <c r="P117" i="44"/>
  <c r="O117" i="44"/>
  <c r="N117" i="44"/>
  <c r="M117" i="44"/>
  <c r="L117" i="44"/>
  <c r="K117" i="44"/>
  <c r="G117" i="44"/>
  <c r="P50" i="44"/>
  <c r="P116" i="44"/>
  <c r="O50" i="44"/>
  <c r="O116" i="44"/>
  <c r="N50" i="44"/>
  <c r="N116" i="44"/>
  <c r="M50" i="44"/>
  <c r="M116" i="44"/>
  <c r="L50" i="44"/>
  <c r="L116" i="44"/>
  <c r="K50" i="44"/>
  <c r="K116" i="44"/>
  <c r="J50" i="44"/>
  <c r="J116" i="44"/>
  <c r="I50" i="44"/>
  <c r="I116" i="44"/>
  <c r="G116" i="44"/>
  <c r="P4" i="44"/>
  <c r="J3" i="44"/>
  <c r="K3" i="44"/>
  <c r="L3" i="44"/>
  <c r="M3" i="44"/>
  <c r="N3" i="44"/>
  <c r="O3" i="44"/>
  <c r="P3" i="44"/>
  <c r="P21" i="44"/>
  <c r="P114" i="44"/>
  <c r="O4" i="44"/>
  <c r="O21" i="44"/>
  <c r="O114" i="44"/>
  <c r="N4" i="44"/>
  <c r="N21" i="44"/>
  <c r="N114" i="44"/>
  <c r="M4" i="44"/>
  <c r="M21" i="44"/>
  <c r="M114" i="44"/>
  <c r="L4" i="44"/>
  <c r="L21" i="44"/>
  <c r="L114" i="44"/>
  <c r="K4" i="44"/>
  <c r="K21" i="44"/>
  <c r="K114" i="44"/>
  <c r="J4" i="44"/>
  <c r="J21" i="44"/>
  <c r="J114" i="44"/>
  <c r="I4" i="44"/>
  <c r="I3" i="44"/>
  <c r="I21" i="44"/>
  <c r="I114" i="44"/>
  <c r="P109" i="44"/>
  <c r="P110" i="44"/>
  <c r="P111" i="44"/>
  <c r="P112" i="44"/>
  <c r="O109" i="44"/>
  <c r="O110" i="44"/>
  <c r="O111" i="44"/>
  <c r="O112" i="44"/>
  <c r="N109" i="44"/>
  <c r="N110" i="44"/>
  <c r="N111" i="44"/>
  <c r="N112" i="44"/>
  <c r="M109" i="44"/>
  <c r="M110" i="44"/>
  <c r="M111" i="44"/>
  <c r="M112" i="44"/>
  <c r="L109" i="44"/>
  <c r="L110" i="44"/>
  <c r="L111" i="44"/>
  <c r="L112" i="44"/>
  <c r="K109" i="44"/>
  <c r="K110" i="44"/>
  <c r="K111" i="44"/>
  <c r="K112" i="44"/>
  <c r="J109" i="44"/>
  <c r="J110" i="44"/>
  <c r="J111" i="44"/>
  <c r="J112" i="44"/>
  <c r="I109" i="44"/>
  <c r="I110" i="44"/>
  <c r="I111" i="44"/>
  <c r="I112" i="44"/>
  <c r="G112" i="44"/>
  <c r="G111" i="44"/>
  <c r="G110" i="44"/>
  <c r="G109" i="44"/>
  <c r="P107" i="44"/>
  <c r="O107" i="44"/>
  <c r="N107" i="44"/>
  <c r="M107" i="44"/>
  <c r="L107" i="44"/>
  <c r="K107" i="44"/>
  <c r="J107" i="44"/>
  <c r="I107" i="44"/>
  <c r="G107" i="44"/>
  <c r="P95" i="44"/>
  <c r="P98" i="44"/>
  <c r="P104" i="44"/>
  <c r="P105" i="44"/>
  <c r="O95" i="44"/>
  <c r="O98" i="44"/>
  <c r="O104" i="44"/>
  <c r="O105" i="44"/>
  <c r="N95" i="44"/>
  <c r="N98" i="44"/>
  <c r="N104" i="44"/>
  <c r="N105" i="44"/>
  <c r="M95" i="44"/>
  <c r="M98" i="44"/>
  <c r="M104" i="44"/>
  <c r="M105" i="44"/>
  <c r="L95" i="44"/>
  <c r="L98" i="44"/>
  <c r="L104" i="44"/>
  <c r="L105" i="44"/>
  <c r="K95" i="44"/>
  <c r="K98" i="44"/>
  <c r="K104" i="44"/>
  <c r="K105" i="44"/>
  <c r="J95" i="44"/>
  <c r="J98" i="44"/>
  <c r="J104" i="44"/>
  <c r="J105" i="44"/>
  <c r="I95" i="44"/>
  <c r="I98" i="44"/>
  <c r="I104" i="44"/>
  <c r="I105" i="44"/>
  <c r="G105" i="44"/>
  <c r="S104" i="44"/>
  <c r="R104" i="44"/>
  <c r="I99" i="44"/>
  <c r="J99" i="44"/>
  <c r="K99" i="44"/>
  <c r="L99" i="44"/>
  <c r="M99" i="44"/>
  <c r="N99" i="44"/>
  <c r="O99" i="44"/>
  <c r="P99" i="44"/>
  <c r="I100" i="44"/>
  <c r="J100" i="44"/>
  <c r="K100" i="44"/>
  <c r="L100" i="44"/>
  <c r="M100" i="44"/>
  <c r="N100" i="44"/>
  <c r="O100" i="44"/>
  <c r="P100" i="44"/>
  <c r="I101" i="44"/>
  <c r="J101" i="44"/>
  <c r="K101" i="44"/>
  <c r="L101" i="44"/>
  <c r="M101" i="44"/>
  <c r="N101" i="44"/>
  <c r="O101" i="44"/>
  <c r="P101" i="44"/>
  <c r="I102" i="44"/>
  <c r="J102" i="44"/>
  <c r="K102" i="44"/>
  <c r="L102" i="44"/>
  <c r="M102" i="44"/>
  <c r="N102" i="44"/>
  <c r="O102" i="44"/>
  <c r="P102" i="44"/>
  <c r="I103" i="44"/>
  <c r="J103" i="44"/>
  <c r="K103" i="44"/>
  <c r="L103" i="44"/>
  <c r="M103" i="44"/>
  <c r="N103" i="44"/>
  <c r="O103" i="44"/>
  <c r="P103" i="44"/>
  <c r="Q104" i="44"/>
  <c r="G104" i="44"/>
  <c r="S103" i="44"/>
  <c r="R103" i="44"/>
  <c r="G103" i="44"/>
  <c r="S102" i="44"/>
  <c r="R102" i="44"/>
  <c r="G102" i="44"/>
  <c r="S101" i="44"/>
  <c r="R101" i="44"/>
  <c r="G101" i="44"/>
  <c r="S100" i="44"/>
  <c r="R100" i="44"/>
  <c r="G100" i="44"/>
  <c r="S99" i="44"/>
  <c r="R99" i="44"/>
  <c r="G99" i="44"/>
  <c r="S98" i="44"/>
  <c r="R98" i="44"/>
  <c r="I97" i="44"/>
  <c r="J97" i="44"/>
  <c r="K97" i="44"/>
  <c r="L97" i="44"/>
  <c r="M97" i="44"/>
  <c r="N97" i="44"/>
  <c r="O97" i="44"/>
  <c r="P97" i="44"/>
  <c r="Q98" i="44"/>
  <c r="G98" i="44"/>
  <c r="S97" i="44"/>
  <c r="R97" i="44"/>
  <c r="G97" i="44"/>
  <c r="S96" i="44"/>
  <c r="R96" i="44"/>
  <c r="G96" i="44"/>
  <c r="S95" i="44"/>
  <c r="R95" i="44"/>
  <c r="I94" i="44"/>
  <c r="J94" i="44"/>
  <c r="K94" i="44"/>
  <c r="L94" i="44"/>
  <c r="M94" i="44"/>
  <c r="N94" i="44"/>
  <c r="O94" i="44"/>
  <c r="P94" i="44"/>
  <c r="Q95" i="44"/>
  <c r="G95" i="44"/>
  <c r="S94" i="44"/>
  <c r="R94" i="44"/>
  <c r="G94" i="44"/>
  <c r="S93" i="44"/>
  <c r="R93" i="44"/>
  <c r="I88" i="44"/>
  <c r="J88" i="44"/>
  <c r="K88" i="44"/>
  <c r="L88" i="44"/>
  <c r="M88" i="44"/>
  <c r="N88" i="44"/>
  <c r="O88" i="44"/>
  <c r="P88" i="44"/>
  <c r="I89" i="44"/>
  <c r="J89" i="44"/>
  <c r="K89" i="44"/>
  <c r="L89" i="44"/>
  <c r="M89" i="44"/>
  <c r="N89" i="44"/>
  <c r="O89" i="44"/>
  <c r="P89" i="44"/>
  <c r="I90" i="44"/>
  <c r="J90" i="44"/>
  <c r="K90" i="44"/>
  <c r="L90" i="44"/>
  <c r="M90" i="44"/>
  <c r="N90" i="44"/>
  <c r="O90" i="44"/>
  <c r="P90" i="44"/>
  <c r="I91" i="44"/>
  <c r="J91" i="44"/>
  <c r="K91" i="44"/>
  <c r="L91" i="44"/>
  <c r="M91" i="44"/>
  <c r="N91" i="44"/>
  <c r="O91" i="44"/>
  <c r="P91" i="44"/>
  <c r="I92" i="44"/>
  <c r="J92" i="44"/>
  <c r="K92" i="44"/>
  <c r="L92" i="44"/>
  <c r="M92" i="44"/>
  <c r="N92" i="44"/>
  <c r="O92" i="44"/>
  <c r="P92" i="44"/>
  <c r="Q93" i="44"/>
  <c r="G93" i="44"/>
  <c r="S92" i="44"/>
  <c r="R92" i="44"/>
  <c r="G92" i="44"/>
  <c r="S91" i="44"/>
  <c r="R91" i="44"/>
  <c r="G91" i="44"/>
  <c r="S90" i="44"/>
  <c r="R90" i="44"/>
  <c r="G90" i="44"/>
  <c r="S89" i="44"/>
  <c r="R89" i="44"/>
  <c r="G89" i="44"/>
  <c r="S88" i="44"/>
  <c r="R88" i="44"/>
  <c r="G88" i="44"/>
  <c r="S86" i="44"/>
  <c r="R86" i="44"/>
  <c r="P86" i="44"/>
  <c r="O86" i="44"/>
  <c r="N86" i="44"/>
  <c r="M86" i="44"/>
  <c r="L86" i="44"/>
  <c r="K86" i="44"/>
  <c r="J86" i="44"/>
  <c r="I86" i="44"/>
  <c r="G86" i="44"/>
  <c r="P84" i="44"/>
  <c r="J84" i="44"/>
  <c r="S84" i="44"/>
  <c r="M84" i="44"/>
  <c r="R84" i="44"/>
  <c r="I84" i="44"/>
  <c r="K84" i="44"/>
  <c r="L84" i="44"/>
  <c r="N84" i="44"/>
  <c r="O84" i="44"/>
  <c r="I82" i="44"/>
  <c r="J82" i="44"/>
  <c r="K82" i="44"/>
  <c r="L82" i="44"/>
  <c r="M82" i="44"/>
  <c r="N82" i="44"/>
  <c r="O82" i="44"/>
  <c r="P82" i="44"/>
  <c r="I83" i="44"/>
  <c r="J83" i="44"/>
  <c r="K83" i="44"/>
  <c r="L83" i="44"/>
  <c r="M83" i="44"/>
  <c r="N83" i="44"/>
  <c r="O83" i="44"/>
  <c r="P83" i="44"/>
  <c r="I74" i="44"/>
  <c r="J74" i="44"/>
  <c r="K74" i="44"/>
  <c r="L74" i="44"/>
  <c r="M74" i="44"/>
  <c r="N74" i="44"/>
  <c r="O74" i="44"/>
  <c r="P74" i="44"/>
  <c r="Q84" i="44"/>
  <c r="G84" i="44"/>
  <c r="S83" i="44"/>
  <c r="R83" i="44"/>
  <c r="G83" i="44"/>
  <c r="S82" i="44"/>
  <c r="R82" i="44"/>
  <c r="I75" i="44"/>
  <c r="J75" i="44"/>
  <c r="K75" i="44"/>
  <c r="L75" i="44"/>
  <c r="M75" i="44"/>
  <c r="N75" i="44"/>
  <c r="O75" i="44"/>
  <c r="P75" i="44"/>
  <c r="I76" i="44"/>
  <c r="J76" i="44"/>
  <c r="K76" i="44"/>
  <c r="L76" i="44"/>
  <c r="M76" i="44"/>
  <c r="N76" i="44"/>
  <c r="O76" i="44"/>
  <c r="P76" i="44"/>
  <c r="I77" i="44"/>
  <c r="J77" i="44"/>
  <c r="K77" i="44"/>
  <c r="L77" i="44"/>
  <c r="M77" i="44"/>
  <c r="N77" i="44"/>
  <c r="O77" i="44"/>
  <c r="P77" i="44"/>
  <c r="I78" i="44"/>
  <c r="J78" i="44"/>
  <c r="K78" i="44"/>
  <c r="L78" i="44"/>
  <c r="M78" i="44"/>
  <c r="N78" i="44"/>
  <c r="O78" i="44"/>
  <c r="P78" i="44"/>
  <c r="I79" i="44"/>
  <c r="J79" i="44"/>
  <c r="K79" i="44"/>
  <c r="L79" i="44"/>
  <c r="M79" i="44"/>
  <c r="N79" i="44"/>
  <c r="O79" i="44"/>
  <c r="P79" i="44"/>
  <c r="I80" i="44"/>
  <c r="J80" i="44"/>
  <c r="K80" i="44"/>
  <c r="L80" i="44"/>
  <c r="M80" i="44"/>
  <c r="N80" i="44"/>
  <c r="O80" i="44"/>
  <c r="P80" i="44"/>
  <c r="I81" i="44"/>
  <c r="J81" i="44"/>
  <c r="K81" i="44"/>
  <c r="L81" i="44"/>
  <c r="M81" i="44"/>
  <c r="N81" i="44"/>
  <c r="O81" i="44"/>
  <c r="P81" i="44"/>
  <c r="Q82" i="44"/>
  <c r="G82" i="44"/>
  <c r="S81" i="44"/>
  <c r="R81" i="44"/>
  <c r="G81" i="44"/>
  <c r="S80" i="44"/>
  <c r="R80" i="44"/>
  <c r="G80" i="44"/>
  <c r="S79" i="44"/>
  <c r="R79" i="44"/>
  <c r="G79" i="44"/>
  <c r="S78" i="44"/>
  <c r="R78" i="44"/>
  <c r="G78" i="44"/>
  <c r="S77" i="44"/>
  <c r="R77" i="44"/>
  <c r="G77" i="44"/>
  <c r="S76" i="44"/>
  <c r="R76" i="44"/>
  <c r="G76" i="44"/>
  <c r="S75" i="44"/>
  <c r="R75" i="44"/>
  <c r="G37" i="44"/>
  <c r="G75" i="44"/>
  <c r="S74" i="44"/>
  <c r="R74" i="44"/>
  <c r="I73" i="44"/>
  <c r="J73" i="44"/>
  <c r="K73" i="44"/>
  <c r="L73" i="44"/>
  <c r="M73" i="44"/>
  <c r="N73" i="44"/>
  <c r="O73" i="44"/>
  <c r="P73" i="44"/>
  <c r="I60" i="44"/>
  <c r="J60" i="44"/>
  <c r="K60" i="44"/>
  <c r="L60" i="44"/>
  <c r="M60" i="44"/>
  <c r="N60" i="44"/>
  <c r="O60" i="44"/>
  <c r="P60" i="44"/>
  <c r="Q74" i="44"/>
  <c r="G74" i="44"/>
  <c r="S73" i="44"/>
  <c r="R73" i="44"/>
  <c r="I61" i="44"/>
  <c r="J61" i="44"/>
  <c r="K61" i="44"/>
  <c r="L61" i="44"/>
  <c r="M61" i="44"/>
  <c r="N61" i="44"/>
  <c r="O61" i="44"/>
  <c r="P61" i="44"/>
  <c r="I62" i="44"/>
  <c r="J62" i="44"/>
  <c r="K62" i="44"/>
  <c r="L62" i="44"/>
  <c r="M62" i="44"/>
  <c r="N62" i="44"/>
  <c r="O62" i="44"/>
  <c r="P62" i="44"/>
  <c r="I63" i="44"/>
  <c r="J63" i="44"/>
  <c r="K63" i="44"/>
  <c r="L63" i="44"/>
  <c r="M63" i="44"/>
  <c r="N63" i="44"/>
  <c r="O63" i="44"/>
  <c r="P63" i="44"/>
  <c r="I64" i="44"/>
  <c r="J64" i="44"/>
  <c r="K64" i="44"/>
  <c r="L64" i="44"/>
  <c r="M64" i="44"/>
  <c r="N64" i="44"/>
  <c r="O64" i="44"/>
  <c r="P64" i="44"/>
  <c r="I65" i="44"/>
  <c r="J65" i="44"/>
  <c r="K65" i="44"/>
  <c r="L65" i="44"/>
  <c r="M65" i="44"/>
  <c r="N65" i="44"/>
  <c r="O65" i="44"/>
  <c r="P65" i="44"/>
  <c r="I66" i="44"/>
  <c r="J66" i="44"/>
  <c r="K66" i="44"/>
  <c r="L66" i="44"/>
  <c r="M66" i="44"/>
  <c r="N66" i="44"/>
  <c r="O66" i="44"/>
  <c r="P66" i="44"/>
  <c r="I67" i="44"/>
  <c r="J67" i="44"/>
  <c r="K67" i="44"/>
  <c r="L67" i="44"/>
  <c r="M67" i="44"/>
  <c r="N67" i="44"/>
  <c r="O67" i="44"/>
  <c r="P67" i="44"/>
  <c r="I68" i="44"/>
  <c r="J68" i="44"/>
  <c r="K68" i="44"/>
  <c r="L68" i="44"/>
  <c r="M68" i="44"/>
  <c r="N68" i="44"/>
  <c r="O68" i="44"/>
  <c r="P68" i="44"/>
  <c r="I69" i="44"/>
  <c r="J69" i="44"/>
  <c r="K69" i="44"/>
  <c r="L69" i="44"/>
  <c r="M69" i="44"/>
  <c r="N69" i="44"/>
  <c r="O69" i="44"/>
  <c r="P69" i="44"/>
  <c r="I70" i="44"/>
  <c r="J70" i="44"/>
  <c r="K70" i="44"/>
  <c r="L70" i="44"/>
  <c r="M70" i="44"/>
  <c r="N70" i="44"/>
  <c r="O70" i="44"/>
  <c r="P70" i="44"/>
  <c r="I71" i="44"/>
  <c r="J71" i="44"/>
  <c r="K71" i="44"/>
  <c r="L71" i="44"/>
  <c r="M71" i="44"/>
  <c r="N71" i="44"/>
  <c r="O71" i="44"/>
  <c r="P71" i="44"/>
  <c r="I72" i="44"/>
  <c r="J72" i="44"/>
  <c r="K72" i="44"/>
  <c r="L72" i="44"/>
  <c r="M72" i="44"/>
  <c r="N72" i="44"/>
  <c r="O72" i="44"/>
  <c r="P72" i="44"/>
  <c r="Q73" i="44"/>
  <c r="G73" i="44"/>
  <c r="S72" i="44"/>
  <c r="R72" i="44"/>
  <c r="G72" i="44"/>
  <c r="S71" i="44"/>
  <c r="R71" i="44"/>
  <c r="G71" i="44"/>
  <c r="S70" i="44"/>
  <c r="R70" i="44"/>
  <c r="G70" i="44"/>
  <c r="S69" i="44"/>
  <c r="R69" i="44"/>
  <c r="G69" i="44"/>
  <c r="S68" i="44"/>
  <c r="R68" i="44"/>
  <c r="G68" i="44"/>
  <c r="S67" i="44"/>
  <c r="R67" i="44"/>
  <c r="G67" i="44"/>
  <c r="S66" i="44"/>
  <c r="R66" i="44"/>
  <c r="G66" i="44"/>
  <c r="S65" i="44"/>
  <c r="R65" i="44"/>
  <c r="G65" i="44"/>
  <c r="S64" i="44"/>
  <c r="R64" i="44"/>
  <c r="G64" i="44"/>
  <c r="S63" i="44"/>
  <c r="R63" i="44"/>
  <c r="G63" i="44"/>
  <c r="S62" i="44"/>
  <c r="R62" i="44"/>
  <c r="G62" i="44"/>
  <c r="S61" i="44"/>
  <c r="R61" i="44"/>
  <c r="G61" i="44"/>
  <c r="S60" i="44"/>
  <c r="R60" i="44"/>
  <c r="I57" i="44"/>
  <c r="J57" i="44"/>
  <c r="K57" i="44"/>
  <c r="L57" i="44"/>
  <c r="M57" i="44"/>
  <c r="N57" i="44"/>
  <c r="O57" i="44"/>
  <c r="P57" i="44"/>
  <c r="I58" i="44"/>
  <c r="J58" i="44"/>
  <c r="K58" i="44"/>
  <c r="L58" i="44"/>
  <c r="M58" i="44"/>
  <c r="N58" i="44"/>
  <c r="O58" i="44"/>
  <c r="P58" i="44"/>
  <c r="I59" i="44"/>
  <c r="J59" i="44"/>
  <c r="K59" i="44"/>
  <c r="L59" i="44"/>
  <c r="M59" i="44"/>
  <c r="N59" i="44"/>
  <c r="O59" i="44"/>
  <c r="P59" i="44"/>
  <c r="Q60" i="44"/>
  <c r="G60" i="44"/>
  <c r="S59" i="44"/>
  <c r="R59" i="44"/>
  <c r="G59" i="44"/>
  <c r="S58" i="44"/>
  <c r="R58" i="44"/>
  <c r="G58" i="44"/>
  <c r="S57" i="44"/>
  <c r="R57" i="44"/>
  <c r="I54" i="44"/>
  <c r="J54" i="44"/>
  <c r="K54" i="44"/>
  <c r="L54" i="44"/>
  <c r="M54" i="44"/>
  <c r="N54" i="44"/>
  <c r="O54" i="44"/>
  <c r="P54" i="44"/>
  <c r="I55" i="44"/>
  <c r="J55" i="44"/>
  <c r="K55" i="44"/>
  <c r="L55" i="44"/>
  <c r="M55" i="44"/>
  <c r="N55" i="44"/>
  <c r="O55" i="44"/>
  <c r="P55" i="44"/>
  <c r="I56" i="44"/>
  <c r="J56" i="44"/>
  <c r="K56" i="44"/>
  <c r="L56" i="44"/>
  <c r="M56" i="44"/>
  <c r="N56" i="44"/>
  <c r="O56" i="44"/>
  <c r="P56" i="44"/>
  <c r="Q57" i="44"/>
  <c r="G57" i="44"/>
  <c r="S56" i="44"/>
  <c r="R56" i="44"/>
  <c r="G56" i="44"/>
  <c r="S55" i="44"/>
  <c r="R55" i="44"/>
  <c r="G55" i="44"/>
  <c r="S54" i="44"/>
  <c r="R54" i="44"/>
  <c r="I49" i="44"/>
  <c r="J49" i="44"/>
  <c r="K49" i="44"/>
  <c r="L49" i="44"/>
  <c r="M49" i="44"/>
  <c r="N49" i="44"/>
  <c r="O49" i="44"/>
  <c r="P49" i="44"/>
  <c r="I51" i="44"/>
  <c r="J51" i="44"/>
  <c r="K51" i="44"/>
  <c r="L51" i="44"/>
  <c r="M51" i="44"/>
  <c r="N51" i="44"/>
  <c r="O51" i="44"/>
  <c r="P51" i="44"/>
  <c r="I53" i="44"/>
  <c r="I52" i="44"/>
  <c r="J53" i="44"/>
  <c r="J52" i="44"/>
  <c r="K53" i="44"/>
  <c r="K52" i="44"/>
  <c r="L53" i="44"/>
  <c r="L52" i="44"/>
  <c r="M53" i="44"/>
  <c r="M52" i="44"/>
  <c r="N53" i="44"/>
  <c r="N52" i="44"/>
  <c r="O53" i="44"/>
  <c r="O52" i="44"/>
  <c r="P53" i="44"/>
  <c r="P52" i="44"/>
  <c r="Q54" i="44"/>
  <c r="G54" i="44"/>
  <c r="S53" i="44"/>
  <c r="R53" i="44"/>
  <c r="G53" i="44"/>
  <c r="S52" i="44"/>
  <c r="R52" i="44"/>
  <c r="G52" i="44"/>
  <c r="S51" i="44"/>
  <c r="R51" i="44"/>
  <c r="G51" i="44"/>
  <c r="S50" i="44"/>
  <c r="R50" i="44"/>
  <c r="G50" i="44"/>
  <c r="S49" i="44"/>
  <c r="R49" i="44"/>
  <c r="I35" i="44"/>
  <c r="J35" i="44"/>
  <c r="K35" i="44"/>
  <c r="L35" i="44"/>
  <c r="M35" i="44"/>
  <c r="N35" i="44"/>
  <c r="O35" i="44"/>
  <c r="P35" i="44"/>
  <c r="Q49" i="44"/>
  <c r="G49" i="44"/>
  <c r="S47" i="44"/>
  <c r="R47" i="44"/>
  <c r="P47" i="44"/>
  <c r="O47" i="44"/>
  <c r="N47" i="44"/>
  <c r="M47" i="44"/>
  <c r="L47" i="44"/>
  <c r="K47" i="44"/>
  <c r="J47" i="44"/>
  <c r="I47" i="44"/>
  <c r="G47" i="44"/>
  <c r="P44" i="44"/>
  <c r="P25" i="44"/>
  <c r="P45" i="44"/>
  <c r="O44" i="44"/>
  <c r="O25" i="44"/>
  <c r="O45" i="44"/>
  <c r="N44" i="44"/>
  <c r="N25" i="44"/>
  <c r="N45" i="44"/>
  <c r="M44" i="44"/>
  <c r="M25" i="44"/>
  <c r="M45" i="44"/>
  <c r="L44" i="44"/>
  <c r="L25" i="44"/>
  <c r="L45" i="44"/>
  <c r="K44" i="44"/>
  <c r="K25" i="44"/>
  <c r="K45" i="44"/>
  <c r="J44" i="44"/>
  <c r="J25" i="44"/>
  <c r="J45" i="44"/>
  <c r="I44" i="44"/>
  <c r="I25" i="44"/>
  <c r="I45" i="44"/>
  <c r="G45" i="44"/>
  <c r="S44" i="44"/>
  <c r="R44" i="44"/>
  <c r="I42" i="44"/>
  <c r="J42" i="44"/>
  <c r="K42" i="44"/>
  <c r="L42" i="44"/>
  <c r="M42" i="44"/>
  <c r="N42" i="44"/>
  <c r="O42" i="44"/>
  <c r="P42" i="44"/>
  <c r="I43" i="44"/>
  <c r="J43" i="44"/>
  <c r="K43" i="44"/>
  <c r="L43" i="44"/>
  <c r="M43" i="44"/>
  <c r="N43" i="44"/>
  <c r="O43" i="44"/>
  <c r="P43" i="44"/>
  <c r="Q44" i="44"/>
  <c r="G44" i="44"/>
  <c r="S43" i="44"/>
  <c r="R43" i="44"/>
  <c r="G43" i="44"/>
  <c r="S42" i="44"/>
  <c r="R42" i="44"/>
  <c r="I39" i="44"/>
  <c r="J39" i="44"/>
  <c r="K39" i="44"/>
  <c r="L39" i="44"/>
  <c r="M39" i="44"/>
  <c r="N39" i="44"/>
  <c r="O39" i="44"/>
  <c r="P39" i="44"/>
  <c r="I40" i="44"/>
  <c r="J40" i="44"/>
  <c r="K40" i="44"/>
  <c r="L40" i="44"/>
  <c r="M40" i="44"/>
  <c r="N40" i="44"/>
  <c r="O40" i="44"/>
  <c r="P40" i="44"/>
  <c r="I41" i="44"/>
  <c r="J41" i="44"/>
  <c r="K41" i="44"/>
  <c r="L41" i="44"/>
  <c r="M41" i="44"/>
  <c r="N41" i="44"/>
  <c r="O41" i="44"/>
  <c r="P41" i="44"/>
  <c r="Q42" i="44"/>
  <c r="G42" i="44"/>
  <c r="S41" i="44"/>
  <c r="R41" i="44"/>
  <c r="G41" i="44"/>
  <c r="S40" i="44"/>
  <c r="R40" i="44"/>
  <c r="G40" i="44"/>
  <c r="S39" i="44"/>
  <c r="R39" i="44"/>
  <c r="I37" i="44"/>
  <c r="I38" i="44"/>
  <c r="J38" i="44"/>
  <c r="K38" i="44"/>
  <c r="L38" i="44"/>
  <c r="M38" i="44"/>
  <c r="N38" i="44"/>
  <c r="O38" i="44"/>
  <c r="P38" i="44"/>
  <c r="Q39" i="44"/>
  <c r="G39" i="44"/>
  <c r="S38" i="44"/>
  <c r="R38" i="44"/>
  <c r="G38" i="44"/>
  <c r="S37" i="44"/>
  <c r="R37" i="44"/>
  <c r="P36" i="44"/>
  <c r="O36" i="44"/>
  <c r="N36" i="44"/>
  <c r="M36" i="44"/>
  <c r="L36" i="44"/>
  <c r="K36" i="44"/>
  <c r="J36" i="44"/>
  <c r="I36" i="44"/>
  <c r="G36" i="44"/>
  <c r="S35" i="44"/>
  <c r="R35" i="44"/>
  <c r="J34" i="44"/>
  <c r="K34" i="44"/>
  <c r="L34" i="44"/>
  <c r="M34" i="44"/>
  <c r="N34" i="44"/>
  <c r="O34" i="44"/>
  <c r="P34" i="44"/>
  <c r="Q35" i="44"/>
  <c r="G35" i="44"/>
  <c r="S34" i="44"/>
  <c r="R34" i="44"/>
  <c r="G34" i="44"/>
  <c r="P33" i="44"/>
  <c r="O33" i="44"/>
  <c r="N33" i="44"/>
  <c r="M33" i="44"/>
  <c r="L33" i="44"/>
  <c r="K33" i="44"/>
  <c r="J33" i="44"/>
  <c r="I33" i="44"/>
  <c r="G33" i="44"/>
  <c r="S32" i="44"/>
  <c r="R32" i="44"/>
  <c r="I31" i="44"/>
  <c r="I26" i="44"/>
  <c r="J31" i="44"/>
  <c r="J26" i="44"/>
  <c r="K31" i="44"/>
  <c r="K26" i="44"/>
  <c r="L31" i="44"/>
  <c r="L26" i="44"/>
  <c r="M31" i="44"/>
  <c r="M26" i="44"/>
  <c r="N31" i="44"/>
  <c r="N26" i="44"/>
  <c r="O31" i="44"/>
  <c r="O26" i="44"/>
  <c r="P31" i="44"/>
  <c r="P26" i="44"/>
  <c r="Q32" i="44"/>
  <c r="G32" i="44"/>
  <c r="S31" i="44"/>
  <c r="R31" i="44"/>
  <c r="G31" i="44"/>
  <c r="P30" i="44"/>
  <c r="J30" i="44"/>
  <c r="S30" i="44"/>
  <c r="M30" i="44"/>
  <c r="R30" i="44"/>
  <c r="O30" i="44"/>
  <c r="N30" i="44"/>
  <c r="L30" i="44"/>
  <c r="K30" i="44"/>
  <c r="I30" i="44"/>
  <c r="G30" i="44"/>
  <c r="P29" i="44"/>
  <c r="J29" i="44"/>
  <c r="S29" i="44"/>
  <c r="M29" i="44"/>
  <c r="R29" i="44"/>
  <c r="O29" i="44"/>
  <c r="N29" i="44"/>
  <c r="L29" i="44"/>
  <c r="K29" i="44"/>
  <c r="I29" i="44"/>
  <c r="G29" i="44"/>
  <c r="P28" i="44"/>
  <c r="J28" i="44"/>
  <c r="S28" i="44"/>
  <c r="M28" i="44"/>
  <c r="R28" i="44"/>
  <c r="O28" i="44"/>
  <c r="N28" i="44"/>
  <c r="L28" i="44"/>
  <c r="K28" i="44"/>
  <c r="I28" i="44"/>
  <c r="G28" i="44"/>
  <c r="P27" i="44"/>
  <c r="J27" i="44"/>
  <c r="S27" i="44"/>
  <c r="M27" i="44"/>
  <c r="R27" i="44"/>
  <c r="O27" i="44"/>
  <c r="N27" i="44"/>
  <c r="L27" i="44"/>
  <c r="K27" i="44"/>
  <c r="I27" i="44"/>
  <c r="G27" i="44"/>
  <c r="S26" i="44"/>
  <c r="R26" i="44"/>
  <c r="Q26" i="44"/>
  <c r="G26" i="44"/>
  <c r="S25" i="44"/>
  <c r="R25" i="44"/>
  <c r="Q25" i="44"/>
  <c r="G25" i="44"/>
  <c r="S24" i="44"/>
  <c r="R24" i="44"/>
  <c r="G24" i="44"/>
  <c r="S23" i="44"/>
  <c r="R23" i="44"/>
  <c r="G23" i="44"/>
  <c r="S21" i="44"/>
  <c r="R21" i="44"/>
  <c r="G21" i="44"/>
  <c r="H19" i="44"/>
  <c r="H18" i="44"/>
  <c r="H17" i="44"/>
  <c r="H5" i="44"/>
  <c r="E85" i="5"/>
  <c r="E98" i="5"/>
  <c r="O31" i="24"/>
  <c r="F5" i="39"/>
  <c r="N31" i="24"/>
  <c r="E5" i="39"/>
  <c r="F6" i="39"/>
  <c r="L31" i="24"/>
  <c r="C5" i="39"/>
  <c r="M31" i="24"/>
  <c r="D5" i="39"/>
  <c r="G5" i="39"/>
  <c r="H5" i="39"/>
  <c r="K31" i="24"/>
  <c r="B5" i="39"/>
  <c r="H3" i="39"/>
  <c r="G3" i="39"/>
  <c r="F3" i="39"/>
  <c r="E3" i="39"/>
  <c r="D3" i="39"/>
  <c r="C3" i="39"/>
  <c r="B3" i="39"/>
  <c r="AG31" i="42"/>
  <c r="AG44" i="42"/>
  <c r="AG32" i="42"/>
  <c r="AG45" i="42"/>
  <c r="AG33" i="42"/>
  <c r="AG46" i="42"/>
  <c r="AG34" i="42"/>
  <c r="AG47" i="42"/>
  <c r="AG35" i="42"/>
  <c r="AG48" i="42"/>
  <c r="AG36" i="42"/>
  <c r="AG49" i="42"/>
  <c r="AG37" i="42"/>
  <c r="AG50" i="42"/>
  <c r="AG38" i="42"/>
  <c r="AG51" i="42"/>
  <c r="AG39" i="42"/>
  <c r="AG52" i="42"/>
  <c r="AG53" i="42"/>
  <c r="Y31" i="42"/>
  <c r="Y44" i="42"/>
  <c r="Y32" i="42"/>
  <c r="Y45" i="42"/>
  <c r="Y33" i="42"/>
  <c r="Y46" i="42"/>
  <c r="Y34" i="42"/>
  <c r="Y47" i="42"/>
  <c r="Y35" i="42"/>
  <c r="Y48" i="42"/>
  <c r="Y36" i="42"/>
  <c r="Y49" i="42"/>
  <c r="Y37" i="42"/>
  <c r="Y50" i="42"/>
  <c r="Y38" i="42"/>
  <c r="Y51" i="42"/>
  <c r="Y39" i="42"/>
  <c r="Y52" i="42"/>
  <c r="Y53" i="42"/>
  <c r="Q31" i="42"/>
  <c r="Q44" i="42"/>
  <c r="Q32" i="42"/>
  <c r="Q45" i="42"/>
  <c r="Q33" i="42"/>
  <c r="Q46" i="42"/>
  <c r="Q34" i="42"/>
  <c r="Q47" i="42"/>
  <c r="Q35" i="42"/>
  <c r="Q48" i="42"/>
  <c r="Q36" i="42"/>
  <c r="Q49" i="42"/>
  <c r="Q37" i="42"/>
  <c r="Q50" i="42"/>
  <c r="Q38" i="42"/>
  <c r="Q51" i="42"/>
  <c r="Q39" i="42"/>
  <c r="Q52" i="42"/>
  <c r="Q53" i="42"/>
  <c r="K31" i="42"/>
  <c r="K44" i="42"/>
  <c r="AD39" i="42"/>
  <c r="AD52" i="42"/>
  <c r="AF33" i="42"/>
  <c r="AF31" i="42"/>
  <c r="AF40" i="42"/>
  <c r="AF53" i="42"/>
  <c r="AE33" i="42"/>
  <c r="AE31" i="42"/>
  <c r="AE40" i="42"/>
  <c r="AE27" i="42"/>
  <c r="AE53" i="42"/>
  <c r="AD33" i="42"/>
  <c r="AD31" i="42"/>
  <c r="AD40" i="42"/>
  <c r="AD27" i="42"/>
  <c r="AD53" i="42"/>
  <c r="AC33" i="42"/>
  <c r="AC31" i="42"/>
  <c r="AC40" i="42"/>
  <c r="AC27" i="42"/>
  <c r="AC53" i="42"/>
  <c r="AB33" i="42"/>
  <c r="AB31" i="42"/>
  <c r="AB40" i="42"/>
  <c r="AB27" i="42"/>
  <c r="AB53" i="42"/>
  <c r="AA33" i="42"/>
  <c r="AA31" i="42"/>
  <c r="AA40" i="42"/>
  <c r="AA27" i="42"/>
  <c r="AA53" i="42"/>
  <c r="AF39" i="42"/>
  <c r="AF52" i="42"/>
  <c r="AE39" i="42"/>
  <c r="AE52" i="42"/>
  <c r="AC39" i="42"/>
  <c r="AC52" i="42"/>
  <c r="AB39" i="42"/>
  <c r="AB52" i="42"/>
  <c r="AA39" i="42"/>
  <c r="AA52" i="42"/>
  <c r="AF38" i="42"/>
  <c r="AF51" i="42"/>
  <c r="AE38" i="42"/>
  <c r="AE51" i="42"/>
  <c r="AD38" i="42"/>
  <c r="AD51" i="42"/>
  <c r="AC38" i="42"/>
  <c r="AC51" i="42"/>
  <c r="AB38" i="42"/>
  <c r="AB51" i="42"/>
  <c r="AA38" i="42"/>
  <c r="AA51" i="42"/>
  <c r="AF37" i="42"/>
  <c r="AF50" i="42"/>
  <c r="AE37" i="42"/>
  <c r="AE50" i="42"/>
  <c r="AD37" i="42"/>
  <c r="AD50" i="42"/>
  <c r="AC37" i="42"/>
  <c r="AC50" i="42"/>
  <c r="AB37" i="42"/>
  <c r="AB50" i="42"/>
  <c r="AA37" i="42"/>
  <c r="AA50" i="42"/>
  <c r="AF36" i="42"/>
  <c r="AF49" i="42"/>
  <c r="AE36" i="42"/>
  <c r="AE49" i="42"/>
  <c r="AD36" i="42"/>
  <c r="AD49" i="42"/>
  <c r="AC36" i="42"/>
  <c r="AC49" i="42"/>
  <c r="AB36" i="42"/>
  <c r="AB49" i="42"/>
  <c r="AA36" i="42"/>
  <c r="AA49" i="42"/>
  <c r="AF35" i="42"/>
  <c r="AF48" i="42"/>
  <c r="AE35" i="42"/>
  <c r="AE48" i="42"/>
  <c r="AD35" i="42"/>
  <c r="AD48" i="42"/>
  <c r="AC35" i="42"/>
  <c r="AC48" i="42"/>
  <c r="AB35" i="42"/>
  <c r="AB48" i="42"/>
  <c r="AA35" i="42"/>
  <c r="AA48" i="42"/>
  <c r="AF34" i="42"/>
  <c r="AF47" i="42"/>
  <c r="AE34" i="42"/>
  <c r="AE47" i="42"/>
  <c r="AD34" i="42"/>
  <c r="AD47" i="42"/>
  <c r="AC34" i="42"/>
  <c r="AC47" i="42"/>
  <c r="AB34" i="42"/>
  <c r="AB47" i="42"/>
  <c r="AA34" i="42"/>
  <c r="AA47" i="42"/>
  <c r="AF46" i="42"/>
  <c r="AE46" i="42"/>
  <c r="AD46" i="42"/>
  <c r="AC46" i="42"/>
  <c r="AB46" i="42"/>
  <c r="AA46" i="42"/>
  <c r="AF32" i="42"/>
  <c r="AF45" i="42"/>
  <c r="AE32" i="42"/>
  <c r="AE45" i="42"/>
  <c r="AD32" i="42"/>
  <c r="AD45" i="42"/>
  <c r="AC32" i="42"/>
  <c r="AC45" i="42"/>
  <c r="AB32" i="42"/>
  <c r="AB45" i="42"/>
  <c r="AA32" i="42"/>
  <c r="AA45" i="42"/>
  <c r="AF44" i="42"/>
  <c r="AE44" i="42"/>
  <c r="AD44" i="42"/>
  <c r="AC44" i="42"/>
  <c r="AB44" i="42"/>
  <c r="AA44" i="42"/>
  <c r="X33" i="42"/>
  <c r="X31" i="42"/>
  <c r="X40" i="42"/>
  <c r="X53" i="42"/>
  <c r="W33" i="42"/>
  <c r="W31" i="42"/>
  <c r="W40" i="42"/>
  <c r="W27" i="42"/>
  <c r="W53" i="42"/>
  <c r="V33" i="42"/>
  <c r="V31" i="42"/>
  <c r="V40" i="42"/>
  <c r="V27" i="42"/>
  <c r="V53" i="42"/>
  <c r="U33" i="42"/>
  <c r="U31" i="42"/>
  <c r="U40" i="42"/>
  <c r="U27" i="42"/>
  <c r="U53" i="42"/>
  <c r="T33" i="42"/>
  <c r="T31" i="42"/>
  <c r="T40" i="42"/>
  <c r="T27" i="42"/>
  <c r="T53" i="42"/>
  <c r="S33" i="42"/>
  <c r="S31" i="42"/>
  <c r="S40" i="42"/>
  <c r="S27" i="42"/>
  <c r="S53" i="42"/>
  <c r="X39" i="42"/>
  <c r="X52" i="42"/>
  <c r="W39" i="42"/>
  <c r="W52" i="42"/>
  <c r="V39" i="42"/>
  <c r="V52" i="42"/>
  <c r="U39" i="42"/>
  <c r="U52" i="42"/>
  <c r="T39" i="42"/>
  <c r="T52" i="42"/>
  <c r="S39" i="42"/>
  <c r="S52" i="42"/>
  <c r="X38" i="42"/>
  <c r="X51" i="42"/>
  <c r="W38" i="42"/>
  <c r="W51" i="42"/>
  <c r="V38" i="42"/>
  <c r="V51" i="42"/>
  <c r="U38" i="42"/>
  <c r="U51" i="42"/>
  <c r="T38" i="42"/>
  <c r="T51" i="42"/>
  <c r="S38" i="42"/>
  <c r="S51" i="42"/>
  <c r="X37" i="42"/>
  <c r="X50" i="42"/>
  <c r="W37" i="42"/>
  <c r="W50" i="42"/>
  <c r="V37" i="42"/>
  <c r="V50" i="42"/>
  <c r="U37" i="42"/>
  <c r="U50" i="42"/>
  <c r="T37" i="42"/>
  <c r="T50" i="42"/>
  <c r="S37" i="42"/>
  <c r="S50" i="42"/>
  <c r="X36" i="42"/>
  <c r="X49" i="42"/>
  <c r="W36" i="42"/>
  <c r="W49" i="42"/>
  <c r="V36" i="42"/>
  <c r="V49" i="42"/>
  <c r="U36" i="42"/>
  <c r="U49" i="42"/>
  <c r="T36" i="42"/>
  <c r="T49" i="42"/>
  <c r="S36" i="42"/>
  <c r="S49" i="42"/>
  <c r="X35" i="42"/>
  <c r="X48" i="42"/>
  <c r="W35" i="42"/>
  <c r="W48" i="42"/>
  <c r="V35" i="42"/>
  <c r="V48" i="42"/>
  <c r="U35" i="42"/>
  <c r="U48" i="42"/>
  <c r="T35" i="42"/>
  <c r="T48" i="42"/>
  <c r="S35" i="42"/>
  <c r="S48" i="42"/>
  <c r="X34" i="42"/>
  <c r="X47" i="42"/>
  <c r="W34" i="42"/>
  <c r="W47" i="42"/>
  <c r="V34" i="42"/>
  <c r="V47" i="42"/>
  <c r="U34" i="42"/>
  <c r="U47" i="42"/>
  <c r="T34" i="42"/>
  <c r="T47" i="42"/>
  <c r="S34" i="42"/>
  <c r="S47" i="42"/>
  <c r="X46" i="42"/>
  <c r="W46" i="42"/>
  <c r="V46" i="42"/>
  <c r="U46" i="42"/>
  <c r="T46" i="42"/>
  <c r="S46" i="42"/>
  <c r="X32" i="42"/>
  <c r="X45" i="42"/>
  <c r="W32" i="42"/>
  <c r="W45" i="42"/>
  <c r="V32" i="42"/>
  <c r="V45" i="42"/>
  <c r="U32" i="42"/>
  <c r="U45" i="42"/>
  <c r="T32" i="42"/>
  <c r="T45" i="42"/>
  <c r="S32" i="42"/>
  <c r="S45" i="42"/>
  <c r="X44" i="42"/>
  <c r="W44" i="42"/>
  <c r="V44" i="42"/>
  <c r="U44" i="42"/>
  <c r="T44" i="42"/>
  <c r="S44" i="42"/>
  <c r="K32" i="42"/>
  <c r="K45" i="42"/>
  <c r="L32" i="42"/>
  <c r="L45" i="42"/>
  <c r="M32" i="42"/>
  <c r="M45" i="42"/>
  <c r="N32" i="42"/>
  <c r="N45" i="42"/>
  <c r="O32" i="42"/>
  <c r="O45" i="42"/>
  <c r="P32" i="42"/>
  <c r="P45" i="42"/>
  <c r="K33" i="42"/>
  <c r="K46" i="42"/>
  <c r="L33" i="42"/>
  <c r="L46" i="42"/>
  <c r="M33" i="42"/>
  <c r="M46" i="42"/>
  <c r="N33" i="42"/>
  <c r="N46" i="42"/>
  <c r="O33" i="42"/>
  <c r="O46" i="42"/>
  <c r="P33" i="42"/>
  <c r="P46" i="42"/>
  <c r="K34" i="42"/>
  <c r="K47" i="42"/>
  <c r="L34" i="42"/>
  <c r="L47" i="42"/>
  <c r="M34" i="42"/>
  <c r="M47" i="42"/>
  <c r="N34" i="42"/>
  <c r="N47" i="42"/>
  <c r="O34" i="42"/>
  <c r="O47" i="42"/>
  <c r="P34" i="42"/>
  <c r="P47" i="42"/>
  <c r="K35" i="42"/>
  <c r="K48" i="42"/>
  <c r="L35" i="42"/>
  <c r="L48" i="42"/>
  <c r="M35" i="42"/>
  <c r="M48" i="42"/>
  <c r="N35" i="42"/>
  <c r="N48" i="42"/>
  <c r="O35" i="42"/>
  <c r="O48" i="42"/>
  <c r="P35" i="42"/>
  <c r="P48" i="42"/>
  <c r="K36" i="42"/>
  <c r="K49" i="42"/>
  <c r="L36" i="42"/>
  <c r="L49" i="42"/>
  <c r="M36" i="42"/>
  <c r="M49" i="42"/>
  <c r="N36" i="42"/>
  <c r="N49" i="42"/>
  <c r="O36" i="42"/>
  <c r="O49" i="42"/>
  <c r="P36" i="42"/>
  <c r="P49" i="42"/>
  <c r="K37" i="42"/>
  <c r="K50" i="42"/>
  <c r="L37" i="42"/>
  <c r="L50" i="42"/>
  <c r="M37" i="42"/>
  <c r="M50" i="42"/>
  <c r="N37" i="42"/>
  <c r="N50" i="42"/>
  <c r="O37" i="42"/>
  <c r="O50" i="42"/>
  <c r="P37" i="42"/>
  <c r="P50" i="42"/>
  <c r="K38" i="42"/>
  <c r="K51" i="42"/>
  <c r="L38" i="42"/>
  <c r="L51" i="42"/>
  <c r="M38" i="42"/>
  <c r="M51" i="42"/>
  <c r="N38" i="42"/>
  <c r="N51" i="42"/>
  <c r="O38" i="42"/>
  <c r="O51" i="42"/>
  <c r="P38" i="42"/>
  <c r="P51" i="42"/>
  <c r="K39" i="42"/>
  <c r="K52" i="42"/>
  <c r="L39" i="42"/>
  <c r="L52" i="42"/>
  <c r="M39" i="42"/>
  <c r="M52" i="42"/>
  <c r="N39" i="42"/>
  <c r="N52" i="42"/>
  <c r="O39" i="42"/>
  <c r="O52" i="42"/>
  <c r="P39" i="42"/>
  <c r="P52" i="42"/>
  <c r="K40" i="42"/>
  <c r="K27" i="42"/>
  <c r="K53" i="42"/>
  <c r="L31" i="42"/>
  <c r="L40" i="42"/>
  <c r="L27" i="42"/>
  <c r="L53" i="42"/>
  <c r="M31" i="42"/>
  <c r="M40" i="42"/>
  <c r="M27" i="42"/>
  <c r="M53" i="42"/>
  <c r="N31" i="42"/>
  <c r="N40" i="42"/>
  <c r="N27" i="42"/>
  <c r="N53" i="42"/>
  <c r="O31" i="42"/>
  <c r="O40" i="42"/>
  <c r="O27" i="42"/>
  <c r="O53" i="42"/>
  <c r="P31" i="42"/>
  <c r="P40" i="42"/>
  <c r="P53" i="42"/>
  <c r="L44" i="42"/>
  <c r="M44" i="42"/>
  <c r="N44" i="42"/>
  <c r="O44" i="42"/>
  <c r="P44" i="42"/>
  <c r="K29" i="24"/>
  <c r="K38" i="24"/>
  <c r="K25" i="24"/>
  <c r="K51" i="24"/>
  <c r="J45" i="42"/>
  <c r="J46" i="42"/>
  <c r="J47" i="42"/>
  <c r="J48" i="42"/>
  <c r="J49" i="42"/>
  <c r="J50" i="42"/>
  <c r="J51" i="42"/>
  <c r="J52" i="42"/>
  <c r="J53" i="42"/>
  <c r="B46" i="5"/>
  <c r="B43" i="5"/>
  <c r="A89" i="5"/>
  <c r="A102" i="5"/>
  <c r="B47" i="5"/>
  <c r="M7" i="5"/>
  <c r="M45" i="5"/>
  <c r="D8" i="5"/>
  <c r="M9" i="5"/>
  <c r="M102" i="5"/>
  <c r="A88" i="5"/>
  <c r="A101" i="5"/>
  <c r="M101" i="5"/>
  <c r="M104" i="5"/>
  <c r="A55" i="5"/>
  <c r="M55" i="5"/>
  <c r="A54" i="5"/>
  <c r="M54" i="5"/>
  <c r="M57" i="5"/>
  <c r="M109" i="5"/>
  <c r="L45" i="5"/>
  <c r="L9" i="5"/>
  <c r="L102" i="5"/>
  <c r="L101" i="5"/>
  <c r="L104" i="5"/>
  <c r="L55" i="5"/>
  <c r="L54" i="5"/>
  <c r="L57" i="5"/>
  <c r="L109" i="5"/>
  <c r="K45" i="5"/>
  <c r="K9" i="5"/>
  <c r="K102" i="5"/>
  <c r="K101" i="5"/>
  <c r="K104" i="5"/>
  <c r="K55" i="5"/>
  <c r="K54" i="5"/>
  <c r="K57" i="5"/>
  <c r="K109" i="5"/>
  <c r="J45" i="5"/>
  <c r="J9" i="5"/>
  <c r="J102" i="5"/>
  <c r="J101" i="5"/>
  <c r="J104" i="5"/>
  <c r="J55" i="5"/>
  <c r="J54" i="5"/>
  <c r="J57" i="5"/>
  <c r="J109" i="5"/>
  <c r="I45" i="5"/>
  <c r="I9" i="5"/>
  <c r="I102" i="5"/>
  <c r="I101" i="5"/>
  <c r="I104" i="5"/>
  <c r="I55" i="5"/>
  <c r="I54" i="5"/>
  <c r="I57" i="5"/>
  <c r="I109" i="5"/>
  <c r="H45" i="5"/>
  <c r="H9" i="5"/>
  <c r="H102" i="5"/>
  <c r="H101" i="5"/>
  <c r="H104" i="5"/>
  <c r="H55" i="5"/>
  <c r="H54" i="5"/>
  <c r="H57" i="5"/>
  <c r="H109" i="5"/>
  <c r="G45" i="5"/>
  <c r="G9" i="5"/>
  <c r="G102" i="5"/>
  <c r="G101" i="5"/>
  <c r="G104" i="5"/>
  <c r="G55" i="5"/>
  <c r="G54" i="5"/>
  <c r="G57" i="5"/>
  <c r="G109" i="5"/>
  <c r="F45" i="5"/>
  <c r="F9" i="5"/>
  <c r="F102" i="5"/>
  <c r="F101" i="5"/>
  <c r="F104" i="5"/>
  <c r="F55" i="5"/>
  <c r="F54" i="5"/>
  <c r="F57" i="5"/>
  <c r="F109" i="5"/>
  <c r="A87" i="5"/>
  <c r="A100" i="5"/>
  <c r="M100" i="5"/>
  <c r="M103" i="5"/>
  <c r="A53" i="5"/>
  <c r="M53" i="5"/>
  <c r="M56" i="5"/>
  <c r="M108" i="5"/>
  <c r="L100" i="5"/>
  <c r="L103" i="5"/>
  <c r="L53" i="5"/>
  <c r="L56" i="5"/>
  <c r="L108" i="5"/>
  <c r="K100" i="5"/>
  <c r="K103" i="5"/>
  <c r="K53" i="5"/>
  <c r="K56" i="5"/>
  <c r="K108" i="5"/>
  <c r="J100" i="5"/>
  <c r="J103" i="5"/>
  <c r="J53" i="5"/>
  <c r="J56" i="5"/>
  <c r="J108" i="5"/>
  <c r="I100" i="5"/>
  <c r="I103" i="5"/>
  <c r="I53" i="5"/>
  <c r="I56" i="5"/>
  <c r="I108" i="5"/>
  <c r="H100" i="5"/>
  <c r="H103" i="5"/>
  <c r="H53" i="5"/>
  <c r="H56" i="5"/>
  <c r="H108" i="5"/>
  <c r="G100" i="5"/>
  <c r="G103" i="5"/>
  <c r="G53" i="5"/>
  <c r="G56" i="5"/>
  <c r="G108" i="5"/>
  <c r="F100" i="5"/>
  <c r="F103" i="5"/>
  <c r="F53" i="5"/>
  <c r="F56" i="5"/>
  <c r="F108" i="5"/>
  <c r="M107" i="5"/>
  <c r="L107" i="5"/>
  <c r="K107" i="5"/>
  <c r="J107" i="5"/>
  <c r="I107" i="5"/>
  <c r="H107" i="5"/>
  <c r="G107" i="5"/>
  <c r="F107" i="5"/>
  <c r="M106" i="5"/>
  <c r="L106" i="5"/>
  <c r="K106" i="5"/>
  <c r="J106" i="5"/>
  <c r="I106" i="5"/>
  <c r="H106" i="5"/>
  <c r="G106" i="5"/>
  <c r="F106" i="5"/>
  <c r="M105" i="5"/>
  <c r="L105" i="5"/>
  <c r="K105" i="5"/>
  <c r="J105" i="5"/>
  <c r="I105" i="5"/>
  <c r="H105" i="5"/>
  <c r="G105" i="5"/>
  <c r="F105" i="5"/>
  <c r="M99" i="5"/>
  <c r="L99" i="5"/>
  <c r="K99" i="5"/>
  <c r="J99" i="5"/>
  <c r="I99" i="5"/>
  <c r="H99" i="5"/>
  <c r="G99" i="5"/>
  <c r="F99" i="5"/>
  <c r="E99" i="5"/>
  <c r="A98" i="5"/>
  <c r="A214" i="5"/>
  <c r="M215" i="5"/>
  <c r="M220" i="5"/>
  <c r="M216" i="5"/>
  <c r="M217" i="5"/>
  <c r="M218" i="5"/>
  <c r="M219" i="5"/>
  <c r="M222" i="5"/>
  <c r="U14" i="27"/>
  <c r="L215" i="5"/>
  <c r="L220" i="5"/>
  <c r="L216" i="5"/>
  <c r="L217" i="5"/>
  <c r="L218" i="5"/>
  <c r="L219" i="5"/>
  <c r="L222" i="5"/>
  <c r="T14" i="27"/>
  <c r="K215" i="5"/>
  <c r="K220" i="5"/>
  <c r="K216" i="5"/>
  <c r="K217" i="5"/>
  <c r="K218" i="5"/>
  <c r="K219" i="5"/>
  <c r="K222" i="5"/>
  <c r="S14" i="27"/>
  <c r="J215" i="5"/>
  <c r="J220" i="5"/>
  <c r="J216" i="5"/>
  <c r="J217" i="5"/>
  <c r="J218" i="5"/>
  <c r="J219" i="5"/>
  <c r="J222" i="5"/>
  <c r="R14" i="27"/>
  <c r="I215" i="5"/>
  <c r="I220" i="5"/>
  <c r="I216" i="5"/>
  <c r="I217" i="5"/>
  <c r="I218" i="5"/>
  <c r="I219" i="5"/>
  <c r="I222" i="5"/>
  <c r="Q14" i="27"/>
  <c r="H215" i="5"/>
  <c r="H220" i="5"/>
  <c r="H216" i="5"/>
  <c r="H217" i="5"/>
  <c r="H218" i="5"/>
  <c r="H219" i="5"/>
  <c r="H222" i="5"/>
  <c r="P14" i="27"/>
  <c r="G215" i="5"/>
  <c r="G220" i="5"/>
  <c r="G216" i="5"/>
  <c r="G217" i="5"/>
  <c r="G218" i="5"/>
  <c r="G219" i="5"/>
  <c r="G222" i="5"/>
  <c r="O14" i="27"/>
  <c r="F215" i="5"/>
  <c r="F220" i="5"/>
  <c r="F216" i="5"/>
  <c r="F217" i="5"/>
  <c r="F218" i="5"/>
  <c r="F219" i="5"/>
  <c r="F222" i="5"/>
  <c r="N14" i="27"/>
  <c r="M14" i="27"/>
  <c r="U12" i="27"/>
  <c r="T12" i="27"/>
  <c r="S12" i="27"/>
  <c r="R12" i="27"/>
  <c r="Q12" i="27"/>
  <c r="P12" i="27"/>
  <c r="O12" i="27"/>
  <c r="N12" i="27"/>
  <c r="E220" i="5"/>
  <c r="M12" i="27"/>
  <c r="U11" i="27"/>
  <c r="T11" i="27"/>
  <c r="S11" i="27"/>
  <c r="R11" i="27"/>
  <c r="Q11" i="27"/>
  <c r="P11" i="27"/>
  <c r="O11" i="27"/>
  <c r="N11" i="27"/>
  <c r="E219" i="5"/>
  <c r="M11" i="27"/>
  <c r="U10" i="27"/>
  <c r="T10" i="27"/>
  <c r="S10" i="27"/>
  <c r="R10" i="27"/>
  <c r="Q10" i="27"/>
  <c r="P10" i="27"/>
  <c r="O10" i="27"/>
  <c r="N10" i="27"/>
  <c r="E218" i="5"/>
  <c r="M10" i="27"/>
  <c r="U9" i="27"/>
  <c r="T9" i="27"/>
  <c r="S9" i="27"/>
  <c r="R9" i="27"/>
  <c r="Q9" i="27"/>
  <c r="P9" i="27"/>
  <c r="O9" i="27"/>
  <c r="N9" i="27"/>
  <c r="E217" i="5"/>
  <c r="M9" i="27"/>
  <c r="U8" i="27"/>
  <c r="T8" i="27"/>
  <c r="S8" i="27"/>
  <c r="R8" i="27"/>
  <c r="Q8" i="27"/>
  <c r="P8" i="27"/>
  <c r="O8" i="27"/>
  <c r="N8" i="27"/>
  <c r="E216" i="5"/>
  <c r="M8" i="27"/>
  <c r="U7" i="27"/>
  <c r="T7" i="27"/>
  <c r="S7" i="27"/>
  <c r="R7" i="27"/>
  <c r="Q7" i="27"/>
  <c r="P7" i="27"/>
  <c r="O7" i="27"/>
  <c r="N7" i="27"/>
  <c r="E215" i="5"/>
  <c r="M7" i="27"/>
  <c r="N217" i="5"/>
  <c r="O217" i="5"/>
  <c r="L29" i="24"/>
  <c r="C5" i="35"/>
  <c r="M29" i="24"/>
  <c r="D5" i="35"/>
  <c r="N29" i="24"/>
  <c r="E5" i="35"/>
  <c r="O29" i="24"/>
  <c r="F5" i="35"/>
  <c r="G5" i="35"/>
  <c r="H5" i="35"/>
  <c r="B5" i="35"/>
  <c r="E1" i="35"/>
  <c r="D1" i="35"/>
  <c r="E8" i="35"/>
  <c r="F1" i="35"/>
  <c r="F8" i="35"/>
  <c r="G1" i="35"/>
  <c r="G8" i="35"/>
  <c r="H1" i="35"/>
  <c r="H8" i="35"/>
  <c r="C1" i="35"/>
  <c r="D8" i="35"/>
  <c r="B1" i="35"/>
  <c r="C3" i="35"/>
  <c r="D3" i="35"/>
  <c r="E3" i="35"/>
  <c r="F3" i="35"/>
  <c r="G3" i="35"/>
  <c r="H3" i="35"/>
  <c r="B3" i="35"/>
  <c r="E14" i="5"/>
  <c r="A1" i="36"/>
  <c r="K2" i="24"/>
  <c r="AG51" i="24"/>
  <c r="AF51" i="24"/>
  <c r="AE51" i="24"/>
  <c r="AD51" i="24"/>
  <c r="AC51" i="24"/>
  <c r="AB51" i="24"/>
  <c r="AA51" i="24"/>
  <c r="AG37" i="24"/>
  <c r="AG50" i="24"/>
  <c r="AF37" i="24"/>
  <c r="AF6" i="24"/>
  <c r="AF50" i="24"/>
  <c r="AE37" i="24"/>
  <c r="AE6" i="24"/>
  <c r="AE50" i="24"/>
  <c r="AD37" i="24"/>
  <c r="AD6" i="24"/>
  <c r="AD50" i="24"/>
  <c r="AC37" i="24"/>
  <c r="AC6" i="24"/>
  <c r="AC50" i="24"/>
  <c r="AB37" i="24"/>
  <c r="AB6" i="24"/>
  <c r="AB50" i="24"/>
  <c r="AA37" i="24"/>
  <c r="AA6" i="24"/>
  <c r="AA50" i="24"/>
  <c r="AG36" i="24"/>
  <c r="AG49" i="24"/>
  <c r="AF36" i="24"/>
  <c r="AF49" i="24"/>
  <c r="AE36" i="24"/>
  <c r="AE49" i="24"/>
  <c r="AD36" i="24"/>
  <c r="AD49" i="24"/>
  <c r="AC36" i="24"/>
  <c r="AC49" i="24"/>
  <c r="AB36" i="24"/>
  <c r="AB49" i="24"/>
  <c r="AA36" i="24"/>
  <c r="AA49" i="24"/>
  <c r="AG35" i="24"/>
  <c r="AG48" i="24"/>
  <c r="AF35" i="24"/>
  <c r="AF48" i="24"/>
  <c r="AE35" i="24"/>
  <c r="AE48" i="24"/>
  <c r="AD35" i="24"/>
  <c r="AD48" i="24"/>
  <c r="AC35" i="24"/>
  <c r="AC48" i="24"/>
  <c r="AB35" i="24"/>
  <c r="AB48" i="24"/>
  <c r="AA35" i="24"/>
  <c r="AA48" i="24"/>
  <c r="AG34" i="24"/>
  <c r="AG47" i="24"/>
  <c r="AF34" i="24"/>
  <c r="AF47" i="24"/>
  <c r="AE34" i="24"/>
  <c r="AE47" i="24"/>
  <c r="AD34" i="24"/>
  <c r="AD47" i="24"/>
  <c r="AC34" i="24"/>
  <c r="AC47" i="24"/>
  <c r="AB34" i="24"/>
  <c r="AB47" i="24"/>
  <c r="AA34" i="24"/>
  <c r="AA47" i="24"/>
  <c r="AG33" i="24"/>
  <c r="AG46" i="24"/>
  <c r="AF33" i="24"/>
  <c r="AF46" i="24"/>
  <c r="AE33" i="24"/>
  <c r="AE46" i="24"/>
  <c r="AD33" i="24"/>
  <c r="AD46" i="24"/>
  <c r="AC33" i="24"/>
  <c r="AC46" i="24"/>
  <c r="AB33" i="24"/>
  <c r="AB46" i="24"/>
  <c r="AA33" i="24"/>
  <c r="AA46" i="24"/>
  <c r="AG32" i="24"/>
  <c r="AG45" i="24"/>
  <c r="AF32" i="24"/>
  <c r="AF45" i="24"/>
  <c r="AE32" i="24"/>
  <c r="AE45" i="24"/>
  <c r="AD32" i="24"/>
  <c r="AD45" i="24"/>
  <c r="AC32" i="24"/>
  <c r="AC45" i="24"/>
  <c r="AB32" i="24"/>
  <c r="AB45" i="24"/>
  <c r="AA32" i="24"/>
  <c r="AA45" i="24"/>
  <c r="AG44" i="24"/>
  <c r="AF44" i="24"/>
  <c r="AE44" i="24"/>
  <c r="AD44" i="24"/>
  <c r="AC44" i="24"/>
  <c r="AB44" i="24"/>
  <c r="AA44" i="24"/>
  <c r="AG30" i="24"/>
  <c r="AG43" i="24"/>
  <c r="AF30" i="24"/>
  <c r="AF43" i="24"/>
  <c r="AE30" i="24"/>
  <c r="AE43" i="24"/>
  <c r="AD30" i="24"/>
  <c r="AD43" i="24"/>
  <c r="AC30" i="24"/>
  <c r="AC43" i="24"/>
  <c r="AB30" i="24"/>
  <c r="AB43" i="24"/>
  <c r="AA30" i="24"/>
  <c r="AA43" i="24"/>
  <c r="AG42" i="24"/>
  <c r="AF42" i="24"/>
  <c r="AE42" i="24"/>
  <c r="AD42" i="24"/>
  <c r="AC42" i="24"/>
  <c r="AB42" i="24"/>
  <c r="AA42" i="24"/>
  <c r="Y51" i="24"/>
  <c r="X51" i="24"/>
  <c r="W51" i="24"/>
  <c r="V51" i="24"/>
  <c r="U51" i="24"/>
  <c r="T51" i="24"/>
  <c r="S51" i="24"/>
  <c r="Y37" i="24"/>
  <c r="Y50" i="24"/>
  <c r="X37" i="24"/>
  <c r="X6" i="24"/>
  <c r="X50" i="24"/>
  <c r="W37" i="24"/>
  <c r="W6" i="24"/>
  <c r="W50" i="24"/>
  <c r="V37" i="24"/>
  <c r="V6" i="24"/>
  <c r="V50" i="24"/>
  <c r="U37" i="24"/>
  <c r="U6" i="24"/>
  <c r="U50" i="24"/>
  <c r="T37" i="24"/>
  <c r="T6" i="24"/>
  <c r="T50" i="24"/>
  <c r="S37" i="24"/>
  <c r="S6" i="24"/>
  <c r="S50" i="24"/>
  <c r="Y36" i="24"/>
  <c r="Y49" i="24"/>
  <c r="X36" i="24"/>
  <c r="X49" i="24"/>
  <c r="W36" i="24"/>
  <c r="W49" i="24"/>
  <c r="V36" i="24"/>
  <c r="V49" i="24"/>
  <c r="U36" i="24"/>
  <c r="U49" i="24"/>
  <c r="T36" i="24"/>
  <c r="T49" i="24"/>
  <c r="S36" i="24"/>
  <c r="S49" i="24"/>
  <c r="Y35" i="24"/>
  <c r="Y48" i="24"/>
  <c r="X35" i="24"/>
  <c r="X48" i="24"/>
  <c r="W35" i="24"/>
  <c r="W48" i="24"/>
  <c r="V35" i="24"/>
  <c r="V48" i="24"/>
  <c r="U35" i="24"/>
  <c r="U48" i="24"/>
  <c r="T35" i="24"/>
  <c r="T48" i="24"/>
  <c r="S35" i="24"/>
  <c r="S48" i="24"/>
  <c r="Y34" i="24"/>
  <c r="Y47" i="24"/>
  <c r="X34" i="24"/>
  <c r="X47" i="24"/>
  <c r="W34" i="24"/>
  <c r="W47" i="24"/>
  <c r="V34" i="24"/>
  <c r="V47" i="24"/>
  <c r="U34" i="24"/>
  <c r="U47" i="24"/>
  <c r="T34" i="24"/>
  <c r="T47" i="24"/>
  <c r="S34" i="24"/>
  <c r="S47" i="24"/>
  <c r="Y33" i="24"/>
  <c r="Y46" i="24"/>
  <c r="X33" i="24"/>
  <c r="X46" i="24"/>
  <c r="W33" i="24"/>
  <c r="W46" i="24"/>
  <c r="V33" i="24"/>
  <c r="V46" i="24"/>
  <c r="U33" i="24"/>
  <c r="U46" i="24"/>
  <c r="T33" i="24"/>
  <c r="T46" i="24"/>
  <c r="S33" i="24"/>
  <c r="S46" i="24"/>
  <c r="Y32" i="24"/>
  <c r="Y45" i="24"/>
  <c r="X32" i="24"/>
  <c r="X45" i="24"/>
  <c r="W32" i="24"/>
  <c r="W45" i="24"/>
  <c r="V32" i="24"/>
  <c r="V45" i="24"/>
  <c r="U32" i="24"/>
  <c r="U45" i="24"/>
  <c r="T32" i="24"/>
  <c r="T45" i="24"/>
  <c r="S32" i="24"/>
  <c r="S45" i="24"/>
  <c r="Y44" i="24"/>
  <c r="X44" i="24"/>
  <c r="W44" i="24"/>
  <c r="V44" i="24"/>
  <c r="U44" i="24"/>
  <c r="T44" i="24"/>
  <c r="S44" i="24"/>
  <c r="Y30" i="24"/>
  <c r="Y43" i="24"/>
  <c r="X30" i="24"/>
  <c r="X43" i="24"/>
  <c r="W30" i="24"/>
  <c r="W43" i="24"/>
  <c r="V30" i="24"/>
  <c r="V43" i="24"/>
  <c r="U30" i="24"/>
  <c r="U43" i="24"/>
  <c r="T30" i="24"/>
  <c r="T43" i="24"/>
  <c r="S30" i="24"/>
  <c r="S43" i="24"/>
  <c r="Y42" i="24"/>
  <c r="X42" i="24"/>
  <c r="W42" i="24"/>
  <c r="V42" i="24"/>
  <c r="U42" i="24"/>
  <c r="T42" i="24"/>
  <c r="S42" i="24"/>
  <c r="O38" i="24"/>
  <c r="N38" i="24"/>
  <c r="M38" i="24"/>
  <c r="L38" i="24"/>
  <c r="S41" i="24"/>
  <c r="T41" i="24"/>
  <c r="U41" i="24"/>
  <c r="V41" i="24"/>
  <c r="W41" i="24"/>
  <c r="X41" i="24"/>
  <c r="Y41" i="24"/>
  <c r="K30" i="24"/>
  <c r="K43" i="24"/>
  <c r="L30" i="24"/>
  <c r="L43" i="24"/>
  <c r="M30" i="24"/>
  <c r="M43" i="24"/>
  <c r="N30" i="24"/>
  <c r="N43" i="24"/>
  <c r="O30" i="24"/>
  <c r="O43" i="24"/>
  <c r="P30" i="24"/>
  <c r="P43" i="24"/>
  <c r="Q30" i="24"/>
  <c r="Q43" i="24"/>
  <c r="K44" i="24"/>
  <c r="L44" i="24"/>
  <c r="M44" i="24"/>
  <c r="N44" i="24"/>
  <c r="O44" i="24"/>
  <c r="P44" i="24"/>
  <c r="Q44" i="24"/>
  <c r="K32" i="24"/>
  <c r="K45" i="24"/>
  <c r="L32" i="24"/>
  <c r="L45" i="24"/>
  <c r="M32" i="24"/>
  <c r="M45" i="24"/>
  <c r="N32" i="24"/>
  <c r="N45" i="24"/>
  <c r="O32" i="24"/>
  <c r="O45" i="24"/>
  <c r="P32" i="24"/>
  <c r="P45" i="24"/>
  <c r="Q32" i="24"/>
  <c r="Q45" i="24"/>
  <c r="K33" i="24"/>
  <c r="K46" i="24"/>
  <c r="L33" i="24"/>
  <c r="L46" i="24"/>
  <c r="M33" i="24"/>
  <c r="M46" i="24"/>
  <c r="N33" i="24"/>
  <c r="N46" i="24"/>
  <c r="O33" i="24"/>
  <c r="O46" i="24"/>
  <c r="P33" i="24"/>
  <c r="P46" i="24"/>
  <c r="Q33" i="24"/>
  <c r="Q46" i="24"/>
  <c r="K34" i="24"/>
  <c r="K47" i="24"/>
  <c r="L34" i="24"/>
  <c r="L47" i="24"/>
  <c r="M34" i="24"/>
  <c r="M47" i="24"/>
  <c r="N34" i="24"/>
  <c r="N47" i="24"/>
  <c r="O34" i="24"/>
  <c r="O47" i="24"/>
  <c r="P34" i="24"/>
  <c r="P47" i="24"/>
  <c r="Q34" i="24"/>
  <c r="Q47" i="24"/>
  <c r="K35" i="24"/>
  <c r="K48" i="24"/>
  <c r="L35" i="24"/>
  <c r="L48" i="24"/>
  <c r="M35" i="24"/>
  <c r="M48" i="24"/>
  <c r="N35" i="24"/>
  <c r="N48" i="24"/>
  <c r="O35" i="24"/>
  <c r="O48" i="24"/>
  <c r="P35" i="24"/>
  <c r="P48" i="24"/>
  <c r="Q35" i="24"/>
  <c r="Q48" i="24"/>
  <c r="K36" i="24"/>
  <c r="K49" i="24"/>
  <c r="L36" i="24"/>
  <c r="L49" i="24"/>
  <c r="M36" i="24"/>
  <c r="M49" i="24"/>
  <c r="N36" i="24"/>
  <c r="N49" i="24"/>
  <c r="O36" i="24"/>
  <c r="O49" i="24"/>
  <c r="P36" i="24"/>
  <c r="P49" i="24"/>
  <c r="Q36" i="24"/>
  <c r="Q49" i="24"/>
  <c r="K37" i="24"/>
  <c r="K6" i="24"/>
  <c r="K50" i="24"/>
  <c r="L37" i="24"/>
  <c r="L6" i="24"/>
  <c r="L50" i="24"/>
  <c r="M37" i="24"/>
  <c r="M6" i="24"/>
  <c r="M50" i="24"/>
  <c r="N37" i="24"/>
  <c r="N6" i="24"/>
  <c r="N50" i="24"/>
  <c r="O37" i="24"/>
  <c r="O6" i="24"/>
  <c r="O50" i="24"/>
  <c r="P37" i="24"/>
  <c r="P50" i="24"/>
  <c r="Q37" i="24"/>
  <c r="Q50" i="24"/>
  <c r="K4" i="24"/>
  <c r="L4" i="24"/>
  <c r="L25" i="24"/>
  <c r="L51" i="24"/>
  <c r="M4" i="24"/>
  <c r="M25" i="24"/>
  <c r="M51" i="24"/>
  <c r="N4" i="24"/>
  <c r="N25" i="24"/>
  <c r="N51" i="24"/>
  <c r="O4" i="24"/>
  <c r="O25" i="24"/>
  <c r="O51" i="24"/>
  <c r="P4" i="24"/>
  <c r="P51" i="24"/>
  <c r="Q4" i="24"/>
  <c r="Q51" i="24"/>
  <c r="L42" i="24"/>
  <c r="M42" i="24"/>
  <c r="N42" i="24"/>
  <c r="O42" i="24"/>
  <c r="P42" i="24"/>
  <c r="Q42" i="24"/>
  <c r="K42" i="24"/>
  <c r="J30" i="24"/>
  <c r="J43" i="24"/>
  <c r="J31" i="24"/>
  <c r="J44" i="24"/>
  <c r="J32" i="24"/>
  <c r="J45" i="24"/>
  <c r="J33" i="24"/>
  <c r="J46" i="24"/>
  <c r="J34" i="24"/>
  <c r="J47" i="24"/>
  <c r="J35" i="24"/>
  <c r="J48" i="24"/>
  <c r="J36" i="24"/>
  <c r="J49" i="24"/>
  <c r="J37" i="24"/>
  <c r="J50" i="24"/>
  <c r="J38" i="24"/>
  <c r="J51" i="24"/>
  <c r="J15" i="24"/>
  <c r="J41" i="24"/>
  <c r="J29" i="24"/>
  <c r="J42" i="24"/>
  <c r="P6" i="24"/>
  <c r="B19" i="24"/>
  <c r="A124" i="5"/>
  <c r="A176" i="5"/>
  <c r="A168" i="5"/>
  <c r="A144" i="5"/>
  <c r="A134" i="5"/>
  <c r="A126" i="5"/>
  <c r="A113" i="5"/>
  <c r="A74" i="5"/>
  <c r="A61" i="5"/>
  <c r="A34" i="5"/>
  <c r="A28" i="5"/>
  <c r="A22" i="5"/>
  <c r="A16" i="5"/>
  <c r="A142" i="5"/>
  <c r="AF4" i="42"/>
  <c r="AF6" i="42"/>
  <c r="AE4" i="42"/>
  <c r="AE6" i="42"/>
  <c r="AD4" i="42"/>
  <c r="AD6" i="42"/>
  <c r="AC4" i="42"/>
  <c r="AC6" i="42"/>
  <c r="AB4" i="42"/>
  <c r="AB6" i="42"/>
  <c r="AA4" i="42"/>
  <c r="AA6" i="42"/>
  <c r="X4" i="42"/>
  <c r="X6" i="42"/>
  <c r="W4" i="42"/>
  <c r="W6" i="42"/>
  <c r="V4" i="42"/>
  <c r="V6" i="42"/>
  <c r="U4" i="42"/>
  <c r="U6" i="42"/>
  <c r="T4" i="42"/>
  <c r="T6" i="42"/>
  <c r="S4" i="42"/>
  <c r="S6" i="42"/>
  <c r="P4" i="42"/>
  <c r="P6" i="42"/>
  <c r="O4" i="42"/>
  <c r="O6" i="42"/>
  <c r="N4" i="42"/>
  <c r="N6" i="42"/>
  <c r="M4" i="42"/>
  <c r="M6" i="42"/>
  <c r="L4" i="42"/>
  <c r="L6" i="42"/>
  <c r="K4" i="42"/>
  <c r="K6" i="42"/>
  <c r="J44" i="42"/>
  <c r="AG43" i="42"/>
  <c r="AF43" i="42"/>
  <c r="AE43" i="42"/>
  <c r="AD43" i="42"/>
  <c r="AC43" i="42"/>
  <c r="AB43" i="42"/>
  <c r="AA43" i="42"/>
  <c r="Y43" i="42"/>
  <c r="X43" i="42"/>
  <c r="W43" i="42"/>
  <c r="V43" i="42"/>
  <c r="U43" i="42"/>
  <c r="T43" i="42"/>
  <c r="S43" i="42"/>
  <c r="Q43" i="42"/>
  <c r="P43" i="42"/>
  <c r="O43" i="42"/>
  <c r="N43" i="42"/>
  <c r="M43" i="42"/>
  <c r="L43" i="42"/>
  <c r="K43" i="42"/>
  <c r="J17" i="42"/>
  <c r="J43" i="42"/>
  <c r="AG4" i="42"/>
  <c r="Y4" i="42"/>
  <c r="Q4" i="42"/>
  <c r="B40" i="42"/>
  <c r="B39" i="42"/>
  <c r="B38" i="42"/>
  <c r="B37" i="42"/>
  <c r="B36" i="42"/>
  <c r="B35" i="42"/>
  <c r="B34" i="42"/>
  <c r="B33" i="42"/>
  <c r="B32" i="42"/>
  <c r="B31" i="42"/>
  <c r="J30" i="42"/>
  <c r="I30" i="42"/>
  <c r="B26" i="42"/>
  <c r="B25" i="42"/>
  <c r="B24" i="42"/>
  <c r="B23" i="42"/>
  <c r="B22" i="42"/>
  <c r="B21" i="42"/>
  <c r="B20" i="42"/>
  <c r="B19" i="42"/>
  <c r="B18" i="42"/>
  <c r="I17" i="42"/>
  <c r="I15" i="42"/>
  <c r="I13" i="42"/>
  <c r="AG7" i="42"/>
  <c r="Y7" i="42"/>
  <c r="Q7" i="42"/>
  <c r="AG6" i="42"/>
  <c r="Y6" i="42"/>
  <c r="Q6" i="42"/>
  <c r="J3" i="42"/>
  <c r="AF4" i="24"/>
  <c r="AE4" i="24"/>
  <c r="AD4" i="24"/>
  <c r="AC4" i="24"/>
  <c r="AB4" i="24"/>
  <c r="AA4" i="24"/>
  <c r="X4" i="24"/>
  <c r="W4" i="24"/>
  <c r="V4" i="24"/>
  <c r="U4" i="24"/>
  <c r="T4" i="24"/>
  <c r="S4" i="24"/>
  <c r="M28" i="5"/>
  <c r="L28" i="5"/>
  <c r="K28" i="5"/>
  <c r="J28" i="5"/>
  <c r="I28" i="5"/>
  <c r="H28" i="5"/>
  <c r="G28" i="5"/>
  <c r="F28" i="5"/>
  <c r="F87" i="5"/>
  <c r="N54" i="5"/>
  <c r="O54" i="5"/>
  <c r="A166" i="5"/>
  <c r="F168" i="5"/>
  <c r="F134" i="5"/>
  <c r="F8" i="5"/>
  <c r="F126" i="5"/>
  <c r="F113" i="5"/>
  <c r="F74" i="5"/>
  <c r="F61" i="5"/>
  <c r="M11" i="5"/>
  <c r="B3" i="5"/>
  <c r="E72" i="5"/>
  <c r="B3" i="27"/>
  <c r="B4" i="27"/>
  <c r="E214" i="5"/>
  <c r="M6" i="27"/>
  <c r="F214" i="5"/>
  <c r="N6" i="27"/>
  <c r="G214" i="5"/>
  <c r="O6" i="27"/>
  <c r="H214" i="5"/>
  <c r="P6" i="27"/>
  <c r="I214" i="5"/>
  <c r="Q6" i="27"/>
  <c r="J214" i="5"/>
  <c r="R6" i="27"/>
  <c r="K214" i="5"/>
  <c r="S6" i="27"/>
  <c r="L214" i="5"/>
  <c r="T6" i="27"/>
  <c r="AG4" i="24"/>
  <c r="Y4" i="24"/>
  <c r="C1" i="37"/>
  <c r="C5" i="37"/>
  <c r="D1" i="37"/>
  <c r="D5" i="37"/>
  <c r="E1" i="37"/>
  <c r="E5" i="37"/>
  <c r="F1" i="37"/>
  <c r="F5" i="37"/>
  <c r="G1" i="37"/>
  <c r="G5" i="37"/>
  <c r="H1" i="37"/>
  <c r="H5" i="37"/>
  <c r="B1" i="37"/>
  <c r="B5" i="37"/>
  <c r="A1" i="37"/>
  <c r="C1" i="38"/>
  <c r="C5" i="38"/>
  <c r="D1" i="38"/>
  <c r="D5" i="38"/>
  <c r="E1" i="38"/>
  <c r="E5" i="38"/>
  <c r="F1" i="38"/>
  <c r="F5" i="38"/>
  <c r="G1" i="38"/>
  <c r="G5" i="38"/>
  <c r="H1" i="38"/>
  <c r="H5" i="38"/>
  <c r="B1" i="38"/>
  <c r="B5" i="38"/>
  <c r="A1" i="38"/>
  <c r="D6" i="39"/>
  <c r="D22" i="39"/>
  <c r="E6" i="39"/>
  <c r="E22" i="39"/>
  <c r="F22" i="39"/>
  <c r="G6" i="39"/>
  <c r="G22" i="39"/>
  <c r="H6" i="39"/>
  <c r="H22" i="39"/>
  <c r="H1" i="39"/>
  <c r="G1" i="39"/>
  <c r="H8" i="39"/>
  <c r="F1" i="39"/>
  <c r="G8" i="39"/>
  <c r="E1" i="39"/>
  <c r="F8" i="39"/>
  <c r="D1" i="39"/>
  <c r="E8" i="39"/>
  <c r="C1" i="39"/>
  <c r="D8" i="39"/>
  <c r="B1" i="39"/>
  <c r="C8" i="39"/>
  <c r="A1" i="39"/>
  <c r="D1" i="36"/>
  <c r="D3" i="36"/>
  <c r="E1" i="36"/>
  <c r="E3" i="36"/>
  <c r="F1" i="36"/>
  <c r="F3" i="36"/>
  <c r="G1" i="36"/>
  <c r="G3" i="36"/>
  <c r="H1" i="36"/>
  <c r="H3" i="36"/>
  <c r="B1" i="36"/>
  <c r="B3" i="36"/>
  <c r="L24" i="38"/>
  <c r="F24" i="38"/>
  <c r="E24" i="38"/>
  <c r="D24" i="38"/>
  <c r="C24" i="38"/>
  <c r="B24" i="38"/>
  <c r="H23" i="38"/>
  <c r="G23" i="38"/>
  <c r="F23" i="38"/>
  <c r="E23" i="38"/>
  <c r="D23" i="38"/>
  <c r="C23" i="38"/>
  <c r="B23" i="38"/>
  <c r="A1" i="35"/>
  <c r="H6" i="35"/>
  <c r="H20" i="35"/>
  <c r="G6" i="35"/>
  <c r="G20" i="35"/>
  <c r="F6" i="35"/>
  <c r="F20" i="35"/>
  <c r="E6" i="35"/>
  <c r="E20" i="35"/>
  <c r="D6" i="35"/>
  <c r="D20" i="35"/>
  <c r="M24" i="37"/>
  <c r="H24" i="37"/>
  <c r="G24" i="37"/>
  <c r="F24" i="37"/>
  <c r="E24" i="37"/>
  <c r="D24" i="37"/>
  <c r="C24" i="37"/>
  <c r="B24" i="37"/>
  <c r="H23" i="37"/>
  <c r="G23" i="37"/>
  <c r="F23" i="37"/>
  <c r="E23" i="37"/>
  <c r="D23" i="37"/>
  <c r="C23" i="37"/>
  <c r="B23" i="37"/>
  <c r="H22" i="36"/>
  <c r="G21" i="36"/>
  <c r="G22" i="36"/>
  <c r="F22" i="36"/>
  <c r="E22" i="36"/>
  <c r="D22" i="36"/>
  <c r="C22" i="36"/>
  <c r="B22" i="36"/>
  <c r="H21" i="36"/>
  <c r="F21" i="36"/>
  <c r="E21" i="36"/>
  <c r="D21" i="36"/>
  <c r="C21" i="36"/>
  <c r="B21" i="36"/>
  <c r="C3" i="30"/>
  <c r="C3" i="29"/>
  <c r="M214" i="5"/>
  <c r="U6" i="27"/>
  <c r="N222" i="5"/>
  <c r="G74" i="5"/>
  <c r="E197" i="5"/>
  <c r="H74" i="5"/>
  <c r="E198" i="5"/>
  <c r="I74" i="5"/>
  <c r="E199" i="5"/>
  <c r="J74" i="5"/>
  <c r="E200" i="5"/>
  <c r="K74" i="5"/>
  <c r="E201" i="5"/>
  <c r="L74" i="5"/>
  <c r="E202" i="5"/>
  <c r="M74" i="5"/>
  <c r="E203" i="5"/>
  <c r="E204" i="5"/>
  <c r="N56" i="5"/>
  <c r="A178" i="5"/>
  <c r="A174" i="5"/>
  <c r="M178" i="5"/>
  <c r="A177" i="5"/>
  <c r="M177" i="5"/>
  <c r="M180" i="5"/>
  <c r="M185" i="5"/>
  <c r="L178" i="5"/>
  <c r="L177" i="5"/>
  <c r="L180" i="5"/>
  <c r="L185" i="5"/>
  <c r="K178" i="5"/>
  <c r="K177" i="5"/>
  <c r="K180" i="5"/>
  <c r="K185" i="5"/>
  <c r="J178" i="5"/>
  <c r="J177" i="5"/>
  <c r="J180" i="5"/>
  <c r="J185" i="5"/>
  <c r="I178" i="5"/>
  <c r="I177" i="5"/>
  <c r="I180" i="5"/>
  <c r="I185" i="5"/>
  <c r="H178" i="5"/>
  <c r="H177" i="5"/>
  <c r="H180" i="5"/>
  <c r="H185" i="5"/>
  <c r="G178" i="5"/>
  <c r="G177" i="5"/>
  <c r="G180" i="5"/>
  <c r="G185" i="5"/>
  <c r="F178" i="5"/>
  <c r="F177" i="5"/>
  <c r="F180" i="5"/>
  <c r="F185" i="5"/>
  <c r="M176" i="5"/>
  <c r="M179" i="5"/>
  <c r="M184" i="5"/>
  <c r="L176" i="5"/>
  <c r="L179" i="5"/>
  <c r="L184" i="5"/>
  <c r="K176" i="5"/>
  <c r="K179" i="5"/>
  <c r="K184" i="5"/>
  <c r="J176" i="5"/>
  <c r="J179" i="5"/>
  <c r="J184" i="5"/>
  <c r="I176" i="5"/>
  <c r="I179" i="5"/>
  <c r="I184" i="5"/>
  <c r="H176" i="5"/>
  <c r="H179" i="5"/>
  <c r="H184" i="5"/>
  <c r="G176" i="5"/>
  <c r="G179" i="5"/>
  <c r="G184" i="5"/>
  <c r="F176" i="5"/>
  <c r="F179" i="5"/>
  <c r="F184" i="5"/>
  <c r="M183" i="5"/>
  <c r="L183" i="5"/>
  <c r="K183" i="5"/>
  <c r="J183" i="5"/>
  <c r="I183" i="5"/>
  <c r="H183" i="5"/>
  <c r="G183" i="5"/>
  <c r="F183" i="5"/>
  <c r="M182" i="5"/>
  <c r="L182" i="5"/>
  <c r="K182" i="5"/>
  <c r="J182" i="5"/>
  <c r="I182" i="5"/>
  <c r="H182" i="5"/>
  <c r="G182" i="5"/>
  <c r="F182" i="5"/>
  <c r="M181" i="5"/>
  <c r="L181" i="5"/>
  <c r="K181" i="5"/>
  <c r="J181" i="5"/>
  <c r="I181" i="5"/>
  <c r="H181" i="5"/>
  <c r="G181" i="5"/>
  <c r="F181" i="5"/>
  <c r="A115" i="5"/>
  <c r="M115" i="5"/>
  <c r="A114" i="5"/>
  <c r="M114" i="5"/>
  <c r="M117" i="5"/>
  <c r="M122" i="5"/>
  <c r="L115" i="5"/>
  <c r="L114" i="5"/>
  <c r="L117" i="5"/>
  <c r="L122" i="5"/>
  <c r="K115" i="5"/>
  <c r="K114" i="5"/>
  <c r="K117" i="5"/>
  <c r="K122" i="5"/>
  <c r="J115" i="5"/>
  <c r="J114" i="5"/>
  <c r="J117" i="5"/>
  <c r="J122" i="5"/>
  <c r="I115" i="5"/>
  <c r="I114" i="5"/>
  <c r="I117" i="5"/>
  <c r="I122" i="5"/>
  <c r="H115" i="5"/>
  <c r="H114" i="5"/>
  <c r="H117" i="5"/>
  <c r="H122" i="5"/>
  <c r="G115" i="5"/>
  <c r="G114" i="5"/>
  <c r="G117" i="5"/>
  <c r="G122" i="5"/>
  <c r="F115" i="5"/>
  <c r="F114" i="5"/>
  <c r="F117" i="5"/>
  <c r="F122" i="5"/>
  <c r="M113" i="5"/>
  <c r="M116" i="5"/>
  <c r="M121" i="5"/>
  <c r="L113" i="5"/>
  <c r="L116" i="5"/>
  <c r="L121" i="5"/>
  <c r="K113" i="5"/>
  <c r="K116" i="5"/>
  <c r="K121" i="5"/>
  <c r="J113" i="5"/>
  <c r="J116" i="5"/>
  <c r="J121" i="5"/>
  <c r="I113" i="5"/>
  <c r="I116" i="5"/>
  <c r="I121" i="5"/>
  <c r="H113" i="5"/>
  <c r="H116" i="5"/>
  <c r="H121" i="5"/>
  <c r="G113" i="5"/>
  <c r="G116" i="5"/>
  <c r="G121" i="5"/>
  <c r="F116" i="5"/>
  <c r="F121" i="5"/>
  <c r="M120" i="5"/>
  <c r="L120" i="5"/>
  <c r="K120" i="5"/>
  <c r="J120" i="5"/>
  <c r="I120" i="5"/>
  <c r="H120" i="5"/>
  <c r="G120" i="5"/>
  <c r="F120" i="5"/>
  <c r="M119" i="5"/>
  <c r="L119" i="5"/>
  <c r="K119" i="5"/>
  <c r="J119" i="5"/>
  <c r="I119" i="5"/>
  <c r="H119" i="5"/>
  <c r="G119" i="5"/>
  <c r="F119" i="5"/>
  <c r="M118" i="5"/>
  <c r="L118" i="5"/>
  <c r="K118" i="5"/>
  <c r="J118" i="5"/>
  <c r="I118" i="5"/>
  <c r="H118" i="5"/>
  <c r="G118" i="5"/>
  <c r="F118" i="5"/>
  <c r="M89" i="5"/>
  <c r="M88" i="5"/>
  <c r="M91" i="5"/>
  <c r="M96" i="5"/>
  <c r="L89" i="5"/>
  <c r="L88" i="5"/>
  <c r="L91" i="5"/>
  <c r="L96" i="5"/>
  <c r="K89" i="5"/>
  <c r="K88" i="5"/>
  <c r="K91" i="5"/>
  <c r="K96" i="5"/>
  <c r="J89" i="5"/>
  <c r="J88" i="5"/>
  <c r="J91" i="5"/>
  <c r="J96" i="5"/>
  <c r="I89" i="5"/>
  <c r="I88" i="5"/>
  <c r="I91" i="5"/>
  <c r="I96" i="5"/>
  <c r="H89" i="5"/>
  <c r="H88" i="5"/>
  <c r="H91" i="5"/>
  <c r="H96" i="5"/>
  <c r="G89" i="5"/>
  <c r="G88" i="5"/>
  <c r="G91" i="5"/>
  <c r="G96" i="5"/>
  <c r="F89" i="5"/>
  <c r="F88" i="5"/>
  <c r="F91" i="5"/>
  <c r="F96" i="5"/>
  <c r="M87" i="5"/>
  <c r="M90" i="5"/>
  <c r="M95" i="5"/>
  <c r="L87" i="5"/>
  <c r="L90" i="5"/>
  <c r="L95" i="5"/>
  <c r="K87" i="5"/>
  <c r="K90" i="5"/>
  <c r="K95" i="5"/>
  <c r="J87" i="5"/>
  <c r="J90" i="5"/>
  <c r="J95" i="5"/>
  <c r="I87" i="5"/>
  <c r="I90" i="5"/>
  <c r="I95" i="5"/>
  <c r="H87" i="5"/>
  <c r="H90" i="5"/>
  <c r="H95" i="5"/>
  <c r="G87" i="5"/>
  <c r="G90" i="5"/>
  <c r="G95" i="5"/>
  <c r="F90" i="5"/>
  <c r="F95" i="5"/>
  <c r="M94" i="5"/>
  <c r="L94" i="5"/>
  <c r="K94" i="5"/>
  <c r="J94" i="5"/>
  <c r="I94" i="5"/>
  <c r="H94" i="5"/>
  <c r="G94" i="5"/>
  <c r="F94" i="5"/>
  <c r="M93" i="5"/>
  <c r="L93" i="5"/>
  <c r="K93" i="5"/>
  <c r="J93" i="5"/>
  <c r="I93" i="5"/>
  <c r="H93" i="5"/>
  <c r="G93" i="5"/>
  <c r="F93" i="5"/>
  <c r="M92" i="5"/>
  <c r="L92" i="5"/>
  <c r="K92" i="5"/>
  <c r="J92" i="5"/>
  <c r="I92" i="5"/>
  <c r="H92" i="5"/>
  <c r="G92" i="5"/>
  <c r="F92" i="5"/>
  <c r="A76" i="5"/>
  <c r="M76" i="5"/>
  <c r="A75" i="5"/>
  <c r="M75" i="5"/>
  <c r="M78" i="5"/>
  <c r="M83" i="5"/>
  <c r="L76" i="5"/>
  <c r="L75" i="5"/>
  <c r="L78" i="5"/>
  <c r="L83" i="5"/>
  <c r="K76" i="5"/>
  <c r="K75" i="5"/>
  <c r="K78" i="5"/>
  <c r="K83" i="5"/>
  <c r="J76" i="5"/>
  <c r="J75" i="5"/>
  <c r="J78" i="5"/>
  <c r="J83" i="5"/>
  <c r="I76" i="5"/>
  <c r="I75" i="5"/>
  <c r="I78" i="5"/>
  <c r="I83" i="5"/>
  <c r="H76" i="5"/>
  <c r="H75" i="5"/>
  <c r="H78" i="5"/>
  <c r="H83" i="5"/>
  <c r="G76" i="5"/>
  <c r="G75" i="5"/>
  <c r="G78" i="5"/>
  <c r="G83" i="5"/>
  <c r="F76" i="5"/>
  <c r="F75" i="5"/>
  <c r="F78" i="5"/>
  <c r="F83" i="5"/>
  <c r="M77" i="5"/>
  <c r="M82" i="5"/>
  <c r="L77" i="5"/>
  <c r="L82" i="5"/>
  <c r="K77" i="5"/>
  <c r="K82" i="5"/>
  <c r="J77" i="5"/>
  <c r="J82" i="5"/>
  <c r="I77" i="5"/>
  <c r="I82" i="5"/>
  <c r="H77" i="5"/>
  <c r="H82" i="5"/>
  <c r="G77" i="5"/>
  <c r="G82" i="5"/>
  <c r="F77" i="5"/>
  <c r="F82" i="5"/>
  <c r="M81" i="5"/>
  <c r="L81" i="5"/>
  <c r="K81" i="5"/>
  <c r="J81" i="5"/>
  <c r="I81" i="5"/>
  <c r="H81" i="5"/>
  <c r="G81" i="5"/>
  <c r="F81" i="5"/>
  <c r="M80" i="5"/>
  <c r="L80" i="5"/>
  <c r="K80" i="5"/>
  <c r="J80" i="5"/>
  <c r="I80" i="5"/>
  <c r="H80" i="5"/>
  <c r="G80" i="5"/>
  <c r="F80" i="5"/>
  <c r="M79" i="5"/>
  <c r="L79" i="5"/>
  <c r="K79" i="5"/>
  <c r="J79" i="5"/>
  <c r="I79" i="5"/>
  <c r="H79" i="5"/>
  <c r="G79" i="5"/>
  <c r="F79" i="5"/>
  <c r="G61" i="5"/>
  <c r="G66" i="5"/>
  <c r="H61" i="5"/>
  <c r="H66" i="5"/>
  <c r="I61" i="5"/>
  <c r="I66" i="5"/>
  <c r="J61" i="5"/>
  <c r="J66" i="5"/>
  <c r="K61" i="5"/>
  <c r="K66" i="5"/>
  <c r="L61" i="5"/>
  <c r="L66" i="5"/>
  <c r="M61" i="5"/>
  <c r="M66" i="5"/>
  <c r="A62" i="5"/>
  <c r="G62" i="5"/>
  <c r="G67" i="5"/>
  <c r="H62" i="5"/>
  <c r="H67" i="5"/>
  <c r="I62" i="5"/>
  <c r="I67" i="5"/>
  <c r="J62" i="5"/>
  <c r="J67" i="5"/>
  <c r="K62" i="5"/>
  <c r="K67" i="5"/>
  <c r="L62" i="5"/>
  <c r="L67" i="5"/>
  <c r="M62" i="5"/>
  <c r="M67" i="5"/>
  <c r="A63" i="5"/>
  <c r="G63" i="5"/>
  <c r="G68" i="5"/>
  <c r="H63" i="5"/>
  <c r="H68" i="5"/>
  <c r="I63" i="5"/>
  <c r="I68" i="5"/>
  <c r="J63" i="5"/>
  <c r="J68" i="5"/>
  <c r="K63" i="5"/>
  <c r="K68" i="5"/>
  <c r="L63" i="5"/>
  <c r="L68" i="5"/>
  <c r="M63" i="5"/>
  <c r="M68" i="5"/>
  <c r="G64" i="5"/>
  <c r="G69" i="5"/>
  <c r="H64" i="5"/>
  <c r="H69" i="5"/>
  <c r="I64" i="5"/>
  <c r="I69" i="5"/>
  <c r="J64" i="5"/>
  <c r="J69" i="5"/>
  <c r="K64" i="5"/>
  <c r="K69" i="5"/>
  <c r="L64" i="5"/>
  <c r="L69" i="5"/>
  <c r="M64" i="5"/>
  <c r="M69" i="5"/>
  <c r="G65" i="5"/>
  <c r="G70" i="5"/>
  <c r="H65" i="5"/>
  <c r="H70" i="5"/>
  <c r="I65" i="5"/>
  <c r="I70" i="5"/>
  <c r="J65" i="5"/>
  <c r="J70" i="5"/>
  <c r="K65" i="5"/>
  <c r="K70" i="5"/>
  <c r="L65" i="5"/>
  <c r="L70" i="5"/>
  <c r="M65" i="5"/>
  <c r="M70" i="5"/>
  <c r="F63" i="5"/>
  <c r="F62" i="5"/>
  <c r="F65" i="5"/>
  <c r="F70" i="5"/>
  <c r="F64" i="5"/>
  <c r="F69" i="5"/>
  <c r="F68" i="5"/>
  <c r="F67" i="5"/>
  <c r="F66" i="5"/>
  <c r="E51" i="5"/>
  <c r="C2" i="30"/>
  <c r="C4" i="29"/>
  <c r="C2" i="29"/>
  <c r="C3" i="22"/>
  <c r="E111" i="5"/>
  <c r="C4" i="30"/>
  <c r="G168" i="5"/>
  <c r="H168" i="5"/>
  <c r="I168" i="5"/>
  <c r="J168" i="5"/>
  <c r="K168" i="5"/>
  <c r="L168" i="5"/>
  <c r="M168" i="5"/>
  <c r="A169" i="5"/>
  <c r="G169" i="5"/>
  <c r="H169" i="5"/>
  <c r="I169" i="5"/>
  <c r="J169" i="5"/>
  <c r="K169" i="5"/>
  <c r="L169" i="5"/>
  <c r="M169" i="5"/>
  <c r="A170" i="5"/>
  <c r="G170" i="5"/>
  <c r="H170" i="5"/>
  <c r="I170" i="5"/>
  <c r="J170" i="5"/>
  <c r="K170" i="5"/>
  <c r="L170" i="5"/>
  <c r="M170" i="5"/>
  <c r="F170" i="5"/>
  <c r="F169" i="5"/>
  <c r="G8" i="5"/>
  <c r="G144" i="5"/>
  <c r="H8" i="5"/>
  <c r="H144" i="5"/>
  <c r="I8" i="5"/>
  <c r="I144" i="5"/>
  <c r="J8" i="5"/>
  <c r="J144" i="5"/>
  <c r="K8" i="5"/>
  <c r="K144" i="5"/>
  <c r="L8" i="5"/>
  <c r="L144" i="5"/>
  <c r="M8" i="5"/>
  <c r="M144" i="5"/>
  <c r="A145" i="5"/>
  <c r="G145" i="5"/>
  <c r="H145" i="5"/>
  <c r="I145" i="5"/>
  <c r="J145" i="5"/>
  <c r="K145" i="5"/>
  <c r="L145" i="5"/>
  <c r="M145" i="5"/>
  <c r="A146" i="5"/>
  <c r="G146" i="5"/>
  <c r="H146" i="5"/>
  <c r="I146" i="5"/>
  <c r="J146" i="5"/>
  <c r="K146" i="5"/>
  <c r="L146" i="5"/>
  <c r="M146" i="5"/>
  <c r="F146" i="5"/>
  <c r="F145" i="5"/>
  <c r="F144" i="5"/>
  <c r="G134" i="5"/>
  <c r="H134" i="5"/>
  <c r="I134" i="5"/>
  <c r="J134" i="5"/>
  <c r="K134" i="5"/>
  <c r="L134" i="5"/>
  <c r="M134" i="5"/>
  <c r="A135" i="5"/>
  <c r="G135" i="5"/>
  <c r="H135" i="5"/>
  <c r="I135" i="5"/>
  <c r="J135" i="5"/>
  <c r="K135" i="5"/>
  <c r="L135" i="5"/>
  <c r="M135" i="5"/>
  <c r="A136" i="5"/>
  <c r="G136" i="5"/>
  <c r="H136" i="5"/>
  <c r="I136" i="5"/>
  <c r="J136" i="5"/>
  <c r="K136" i="5"/>
  <c r="L136" i="5"/>
  <c r="M136" i="5"/>
  <c r="F135" i="5"/>
  <c r="F136" i="5"/>
  <c r="G126" i="5"/>
  <c r="H126" i="5"/>
  <c r="I126" i="5"/>
  <c r="J126" i="5"/>
  <c r="K126" i="5"/>
  <c r="L126" i="5"/>
  <c r="M126" i="5"/>
  <c r="A127" i="5"/>
  <c r="G127" i="5"/>
  <c r="H127" i="5"/>
  <c r="I127" i="5"/>
  <c r="J127" i="5"/>
  <c r="K127" i="5"/>
  <c r="L127" i="5"/>
  <c r="M127" i="5"/>
  <c r="A128" i="5"/>
  <c r="G128" i="5"/>
  <c r="H128" i="5"/>
  <c r="I128" i="5"/>
  <c r="J128" i="5"/>
  <c r="K128" i="5"/>
  <c r="L128" i="5"/>
  <c r="M128" i="5"/>
  <c r="F128" i="5"/>
  <c r="F127" i="5"/>
  <c r="G34" i="5"/>
  <c r="H34" i="5"/>
  <c r="I34" i="5"/>
  <c r="J34" i="5"/>
  <c r="K34" i="5"/>
  <c r="L34" i="5"/>
  <c r="M34" i="5"/>
  <c r="F34" i="5"/>
  <c r="G22" i="5"/>
  <c r="H22" i="5"/>
  <c r="I22" i="5"/>
  <c r="J22" i="5"/>
  <c r="K22" i="5"/>
  <c r="L22" i="5"/>
  <c r="M22" i="5"/>
  <c r="F22" i="5"/>
  <c r="M16" i="5"/>
  <c r="G16" i="5"/>
  <c r="H16" i="5"/>
  <c r="I16" i="5"/>
  <c r="J16" i="5"/>
  <c r="K16" i="5"/>
  <c r="L16" i="5"/>
  <c r="F16" i="5"/>
  <c r="F10" i="5"/>
  <c r="F24" i="5"/>
  <c r="G24" i="5"/>
  <c r="H24" i="5"/>
  <c r="I24" i="5"/>
  <c r="J24" i="5"/>
  <c r="K24" i="5"/>
  <c r="L24" i="5"/>
  <c r="N116" i="5"/>
  <c r="M112" i="5"/>
  <c r="L112" i="5"/>
  <c r="K112" i="5"/>
  <c r="J112" i="5"/>
  <c r="I112" i="5"/>
  <c r="H112" i="5"/>
  <c r="G112" i="5"/>
  <c r="F112" i="5"/>
  <c r="E112" i="5"/>
  <c r="B3" i="26"/>
  <c r="E142" i="5"/>
  <c r="C6" i="25"/>
  <c r="E124" i="5"/>
  <c r="C5" i="25"/>
  <c r="E132" i="5"/>
  <c r="C4" i="25"/>
  <c r="C3" i="25"/>
  <c r="E59" i="5"/>
  <c r="C4" i="22"/>
  <c r="C5" i="22"/>
  <c r="E166" i="5"/>
  <c r="C6" i="22"/>
  <c r="E174" i="5"/>
  <c r="G10" i="5"/>
  <c r="H10" i="5"/>
  <c r="I10" i="5"/>
  <c r="J10" i="5"/>
  <c r="K10" i="5"/>
  <c r="L10" i="5"/>
  <c r="M10" i="5"/>
  <c r="D48" i="5"/>
  <c r="D46" i="5"/>
  <c r="M49" i="5"/>
  <c r="L49" i="5"/>
  <c r="K49" i="5"/>
  <c r="J49" i="5"/>
  <c r="I49" i="5"/>
  <c r="H49" i="5"/>
  <c r="G49" i="5"/>
  <c r="F49" i="5"/>
  <c r="E49" i="5"/>
  <c r="M48" i="5"/>
  <c r="L48" i="5"/>
  <c r="K48" i="5"/>
  <c r="J48" i="5"/>
  <c r="I48" i="5"/>
  <c r="H48" i="5"/>
  <c r="G48" i="5"/>
  <c r="F48" i="5"/>
  <c r="E48" i="5"/>
  <c r="M47" i="5"/>
  <c r="L47" i="5"/>
  <c r="K47" i="5"/>
  <c r="J47" i="5"/>
  <c r="I47" i="5"/>
  <c r="H47" i="5"/>
  <c r="G47" i="5"/>
  <c r="F47" i="5"/>
  <c r="E47" i="5"/>
  <c r="M46" i="5"/>
  <c r="L46" i="5"/>
  <c r="K46" i="5"/>
  <c r="J46" i="5"/>
  <c r="I46" i="5"/>
  <c r="H46" i="5"/>
  <c r="G46" i="5"/>
  <c r="F46" i="5"/>
  <c r="E46" i="5"/>
  <c r="E7" i="5"/>
  <c r="E45" i="5"/>
  <c r="B42" i="5"/>
  <c r="E143" i="5"/>
  <c r="AG41" i="24"/>
  <c r="AF41" i="24"/>
  <c r="AE41" i="24"/>
  <c r="AD41" i="24"/>
  <c r="AC41" i="24"/>
  <c r="AB41" i="24"/>
  <c r="AA41" i="24"/>
  <c r="AG7" i="24"/>
  <c r="AG6" i="24"/>
  <c r="Y7" i="24"/>
  <c r="Y6" i="24"/>
  <c r="I11" i="24"/>
  <c r="I13" i="24"/>
  <c r="B16" i="24"/>
  <c r="Q41" i="24"/>
  <c r="P41" i="24"/>
  <c r="O41" i="24"/>
  <c r="N41" i="24"/>
  <c r="M41" i="24"/>
  <c r="L41" i="24"/>
  <c r="K41" i="24"/>
  <c r="Q7" i="24"/>
  <c r="Q6" i="24"/>
  <c r="J3" i="24"/>
  <c r="F15" i="5"/>
  <c r="J28" i="24"/>
  <c r="I15" i="24"/>
  <c r="E175" i="5"/>
  <c r="E167" i="5"/>
  <c r="E133" i="5"/>
  <c r="E125" i="5"/>
  <c r="E86" i="5"/>
  <c r="E73" i="5"/>
  <c r="E52" i="5"/>
  <c r="E33" i="5"/>
  <c r="E27" i="5"/>
  <c r="E21" i="5"/>
  <c r="E15" i="5"/>
  <c r="E16" i="5"/>
  <c r="B10" i="5"/>
  <c r="C11" i="33"/>
  <c r="F2" i="5"/>
  <c r="G15" i="5"/>
  <c r="H15" i="5"/>
  <c r="I15" i="5"/>
  <c r="J15" i="5"/>
  <c r="K15" i="5"/>
  <c r="L15" i="5"/>
  <c r="M15" i="5"/>
  <c r="E17" i="5"/>
  <c r="F18" i="5"/>
  <c r="G18" i="5"/>
  <c r="H18" i="5"/>
  <c r="I18" i="5"/>
  <c r="J18" i="5"/>
  <c r="K18" i="5"/>
  <c r="L18" i="5"/>
  <c r="F21" i="5"/>
  <c r="G21" i="5"/>
  <c r="H21" i="5"/>
  <c r="I21" i="5"/>
  <c r="J21" i="5"/>
  <c r="K21" i="5"/>
  <c r="L21" i="5"/>
  <c r="M21" i="5"/>
  <c r="E22" i="5"/>
  <c r="E23" i="5"/>
  <c r="F27" i="5"/>
  <c r="G27" i="5"/>
  <c r="H27" i="5"/>
  <c r="I27" i="5"/>
  <c r="J27" i="5"/>
  <c r="K27" i="5"/>
  <c r="L27" i="5"/>
  <c r="M27" i="5"/>
  <c r="E28" i="5"/>
  <c r="E29" i="5"/>
  <c r="H30" i="5"/>
  <c r="I30" i="5"/>
  <c r="J30" i="5"/>
  <c r="K30" i="5"/>
  <c r="L30" i="5"/>
  <c r="F33" i="5"/>
  <c r="G33" i="5"/>
  <c r="H33" i="5"/>
  <c r="I33" i="5"/>
  <c r="J33" i="5"/>
  <c r="K33" i="5"/>
  <c r="L33" i="5"/>
  <c r="M33" i="5"/>
  <c r="E34" i="5"/>
  <c r="E35" i="5"/>
  <c r="F36" i="5"/>
  <c r="G36" i="5"/>
  <c r="H36" i="5"/>
  <c r="I36" i="5"/>
  <c r="J36" i="5"/>
  <c r="K36" i="5"/>
  <c r="L36" i="5"/>
  <c r="F52" i="5"/>
  <c r="G52" i="5"/>
  <c r="H52" i="5"/>
  <c r="I52" i="5"/>
  <c r="J52" i="5"/>
  <c r="K52" i="5"/>
  <c r="L52" i="5"/>
  <c r="M52" i="5"/>
  <c r="E54" i="5"/>
  <c r="E55" i="5"/>
  <c r="F60" i="5"/>
  <c r="G60" i="5"/>
  <c r="H60" i="5"/>
  <c r="I60" i="5"/>
  <c r="J60" i="5"/>
  <c r="K60" i="5"/>
  <c r="L60" i="5"/>
  <c r="M60" i="5"/>
  <c r="N64" i="5"/>
  <c r="F73" i="5"/>
  <c r="G73" i="5"/>
  <c r="H73" i="5"/>
  <c r="I73" i="5"/>
  <c r="J73" i="5"/>
  <c r="K73" i="5"/>
  <c r="L73" i="5"/>
  <c r="M73" i="5"/>
  <c r="N77" i="5"/>
  <c r="F86" i="5"/>
  <c r="G86" i="5"/>
  <c r="H86" i="5"/>
  <c r="I86" i="5"/>
  <c r="J86" i="5"/>
  <c r="K86" i="5"/>
  <c r="L86" i="5"/>
  <c r="M86" i="5"/>
  <c r="N90" i="5"/>
  <c r="F125" i="5"/>
  <c r="G125" i="5"/>
  <c r="H125" i="5"/>
  <c r="I125" i="5"/>
  <c r="J125" i="5"/>
  <c r="K125" i="5"/>
  <c r="L125" i="5"/>
  <c r="M125" i="5"/>
  <c r="F129" i="5"/>
  <c r="G129" i="5"/>
  <c r="H129" i="5"/>
  <c r="I129" i="5"/>
  <c r="J129" i="5"/>
  <c r="K129" i="5"/>
  <c r="L129" i="5"/>
  <c r="M129" i="5"/>
  <c r="N129" i="5"/>
  <c r="F130" i="5"/>
  <c r="G130" i="5"/>
  <c r="H130" i="5"/>
  <c r="I130" i="5"/>
  <c r="J130" i="5"/>
  <c r="K130" i="5"/>
  <c r="L130" i="5"/>
  <c r="M130" i="5"/>
  <c r="F133" i="5"/>
  <c r="G133" i="5"/>
  <c r="H133" i="5"/>
  <c r="I133" i="5"/>
  <c r="J133" i="5"/>
  <c r="K133" i="5"/>
  <c r="L133" i="5"/>
  <c r="M133" i="5"/>
  <c r="F137" i="5"/>
  <c r="G137" i="5"/>
  <c r="H137" i="5"/>
  <c r="I137" i="5"/>
  <c r="J137" i="5"/>
  <c r="K137" i="5"/>
  <c r="L137" i="5"/>
  <c r="M137" i="5"/>
  <c r="N137" i="5"/>
  <c r="F138" i="5"/>
  <c r="G138" i="5"/>
  <c r="H138" i="5"/>
  <c r="I138" i="5"/>
  <c r="J138" i="5"/>
  <c r="K138" i="5"/>
  <c r="L138" i="5"/>
  <c r="M138" i="5"/>
  <c r="F139" i="5"/>
  <c r="G139" i="5"/>
  <c r="H139" i="5"/>
  <c r="I139" i="5"/>
  <c r="J139" i="5"/>
  <c r="K139" i="5"/>
  <c r="L139" i="5"/>
  <c r="M139" i="5"/>
  <c r="F143" i="5"/>
  <c r="G143" i="5"/>
  <c r="H143" i="5"/>
  <c r="I143" i="5"/>
  <c r="J143" i="5"/>
  <c r="K143" i="5"/>
  <c r="L143" i="5"/>
  <c r="M143" i="5"/>
  <c r="F147" i="5"/>
  <c r="G147" i="5"/>
  <c r="H147" i="5"/>
  <c r="I147" i="5"/>
  <c r="J147" i="5"/>
  <c r="K147" i="5"/>
  <c r="L147" i="5"/>
  <c r="M147" i="5"/>
  <c r="N147" i="5"/>
  <c r="F148" i="5"/>
  <c r="G148" i="5"/>
  <c r="H148" i="5"/>
  <c r="I148" i="5"/>
  <c r="J148" i="5"/>
  <c r="K148" i="5"/>
  <c r="L148" i="5"/>
  <c r="M148" i="5"/>
  <c r="F149" i="5"/>
  <c r="G149" i="5"/>
  <c r="H149" i="5"/>
  <c r="I149" i="5"/>
  <c r="J149" i="5"/>
  <c r="K149" i="5"/>
  <c r="L149" i="5"/>
  <c r="M149" i="5"/>
  <c r="N157" i="5"/>
  <c r="F167" i="5"/>
  <c r="G167" i="5"/>
  <c r="H167" i="5"/>
  <c r="I167" i="5"/>
  <c r="J167" i="5"/>
  <c r="K167" i="5"/>
  <c r="L167" i="5"/>
  <c r="M167" i="5"/>
  <c r="F171" i="5"/>
  <c r="G171" i="5"/>
  <c r="H171" i="5"/>
  <c r="I171" i="5"/>
  <c r="J171" i="5"/>
  <c r="K171" i="5"/>
  <c r="L171" i="5"/>
  <c r="M171" i="5"/>
  <c r="N171" i="5"/>
  <c r="F172" i="5"/>
  <c r="G172" i="5"/>
  <c r="H172" i="5"/>
  <c r="I172" i="5"/>
  <c r="J172" i="5"/>
  <c r="K172" i="5"/>
  <c r="L172" i="5"/>
  <c r="M172" i="5"/>
  <c r="F175" i="5"/>
  <c r="G175" i="5"/>
  <c r="H175" i="5"/>
  <c r="I175" i="5"/>
  <c r="J175" i="5"/>
  <c r="K175" i="5"/>
  <c r="L175" i="5"/>
  <c r="M175" i="5"/>
  <c r="N179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J204" i="5"/>
  <c r="B17" i="24"/>
  <c r="B18" i="24"/>
  <c r="B20" i="24"/>
  <c r="B21" i="24"/>
  <c r="B22" i="24"/>
  <c r="B23" i="24"/>
  <c r="B24" i="24"/>
  <c r="F206" i="5"/>
  <c r="D197" i="5"/>
  <c r="D198" i="5"/>
  <c r="D199" i="5"/>
  <c r="D200" i="5"/>
  <c r="D201" i="5"/>
  <c r="D202" i="5"/>
  <c r="D203" i="5"/>
  <c r="D204" i="5"/>
  <c r="F197" i="5"/>
  <c r="G197" i="5"/>
  <c r="G198" i="5"/>
  <c r="G199" i="5"/>
  <c r="G200" i="5"/>
  <c r="G201" i="5"/>
  <c r="G202" i="5"/>
  <c r="G203" i="5"/>
</calcChain>
</file>

<file path=xl/sharedStrings.xml><?xml version="1.0" encoding="utf-8"?>
<sst xmlns="http://schemas.openxmlformats.org/spreadsheetml/2006/main" count="1027" uniqueCount="336">
  <si>
    <t>Currency</t>
  </si>
  <si>
    <t>Phase</t>
  </si>
  <si>
    <t>Activity</t>
  </si>
  <si>
    <t>CONTEXTE</t>
  </si>
  <si>
    <t>Cube</t>
  </si>
  <si>
    <t>Année du plan</t>
  </si>
  <si>
    <t>Devise</t>
  </si>
  <si>
    <t>Pondération</t>
  </si>
  <si>
    <t>Activité</t>
  </si>
  <si>
    <t>Legal Orga</t>
  </si>
  <si>
    <t>Prior year version</t>
  </si>
  <si>
    <t>Language</t>
  </si>
  <si>
    <t>Variation</t>
  </si>
  <si>
    <t>Variance</t>
  </si>
  <si>
    <t>OpLease_Value_of_assets</t>
  </si>
  <si>
    <t>NFI150</t>
  </si>
  <si>
    <t>Total</t>
  </si>
  <si>
    <t>TPL10</t>
  </si>
  <si>
    <t>ZGP &amp; Action &amp; Disposals</t>
  </si>
  <si>
    <t>Gwth</t>
  </si>
  <si>
    <t xml:space="preserve">Organic </t>
  </si>
  <si>
    <t>External</t>
  </si>
  <si>
    <t>CAFOP %</t>
  </si>
  <si>
    <t>TPL9</t>
  </si>
  <si>
    <t>RNPG %</t>
  </si>
  <si>
    <t>Valeurs
à entrer</t>
  </si>
  <si>
    <t>Valeur Départ</t>
  </si>
  <si>
    <t>Valeurs
masquées</t>
  </si>
  <si>
    <t>Valeurs
positives</t>
  </si>
  <si>
    <t>Valeurs
négatives</t>
  </si>
  <si>
    <t>Valeur Total</t>
  </si>
  <si>
    <t>Somme</t>
  </si>
  <si>
    <t>Ne pas supprimer ni copier cette ligne</t>
  </si>
  <si>
    <t>Ne pas copier cette ligne</t>
  </si>
  <si>
    <t>sous total</t>
  </si>
  <si>
    <t>Sélectionnez la ligne entière avant de la copier</t>
  </si>
  <si>
    <t>English</t>
  </si>
  <si>
    <t>Legal Organization</t>
  </si>
  <si>
    <t>Weighting</t>
  </si>
  <si>
    <t>TX_CLOTURE</t>
  </si>
  <si>
    <t>TX_MOYEN</t>
  </si>
  <si>
    <t>CUBE:</t>
  </si>
  <si>
    <t>-</t>
  </si>
  <si>
    <t>Net Industrial CAPEX</t>
  </si>
  <si>
    <t>Change in Working Capital</t>
  </si>
  <si>
    <t>TD</t>
  </si>
  <si>
    <t>Keolis</t>
  </si>
  <si>
    <t>RATP Dev</t>
  </si>
  <si>
    <t>Others</t>
  </si>
  <si>
    <t>Est</t>
  </si>
  <si>
    <t>Ouest</t>
  </si>
  <si>
    <t>Nord</t>
  </si>
  <si>
    <t>Segment 2</t>
  </si>
  <si>
    <t>Segment 1</t>
  </si>
  <si>
    <t>Segment 3</t>
  </si>
  <si>
    <t>Legal_Organization</t>
  </si>
  <si>
    <t>n/a</t>
  </si>
  <si>
    <t>CHANGE IN WC</t>
  </si>
  <si>
    <t>Net FINAN CAPEX</t>
  </si>
  <si>
    <t>Operating  FCF</t>
  </si>
  <si>
    <t>NFD</t>
  </si>
  <si>
    <t>VARIANCES</t>
  </si>
  <si>
    <t>CAFOP Bef MF</t>
  </si>
  <si>
    <t>Total long term plan - Key indicators 1</t>
  </si>
  <si>
    <t>Total long term plan - Key indicators 2</t>
  </si>
  <si>
    <t>Zero Growth Plan - revenue &amp; assumptions</t>
  </si>
  <si>
    <t>Organic Growth</t>
  </si>
  <si>
    <t>External Growth</t>
  </si>
  <si>
    <t>Current Version</t>
  </si>
  <si>
    <t xml:space="preserve">        NB : data are extracted in EUR and converted in local currency</t>
  </si>
  <si>
    <t>CAD</t>
  </si>
  <si>
    <t>USD</t>
  </si>
  <si>
    <t>GBP</t>
  </si>
  <si>
    <t>SEK</t>
  </si>
  <si>
    <t>AUD</t>
  </si>
  <si>
    <t>CLP</t>
  </si>
  <si>
    <t>MAD</t>
  </si>
  <si>
    <t>Design your own presentation in TANGO</t>
  </si>
  <si>
    <t>Year Plan</t>
  </si>
  <si>
    <t>Copy-past each tab in the PPT presentation</t>
  </si>
  <si>
    <t>Refresh Data</t>
  </si>
  <si>
    <t>Context selection</t>
  </si>
  <si>
    <t>REVENUE</t>
  </si>
  <si>
    <t>CNY</t>
  </si>
  <si>
    <t>COP</t>
  </si>
  <si>
    <t>CZK</t>
  </si>
  <si>
    <t>DKK</t>
  </si>
  <si>
    <t>DZD</t>
  </si>
  <si>
    <t>HKD</t>
  </si>
  <si>
    <t>HRK</t>
  </si>
  <si>
    <t>ILS</t>
  </si>
  <si>
    <t>INR</t>
  </si>
  <si>
    <t>KRW</t>
  </si>
  <si>
    <t>LBP</t>
  </si>
  <si>
    <t>MOP</t>
  </si>
  <si>
    <t>NZD</t>
  </si>
  <si>
    <t>PLN</t>
  </si>
  <si>
    <t>RSD</t>
  </si>
  <si>
    <t>XPF</t>
  </si>
  <si>
    <t>Revenue</t>
  </si>
  <si>
    <t>EBIT %</t>
  </si>
  <si>
    <t>Net CAPEX</t>
  </si>
  <si>
    <t>CAPEM</t>
  </si>
  <si>
    <t>Operating FCF</t>
  </si>
  <si>
    <t>EBITDAR</t>
  </si>
  <si>
    <t>NFD/ CAFOP</t>
  </si>
  <si>
    <t>Financial CAPEX (Net of NFD)</t>
  </si>
  <si>
    <t>Financial CAPEX</t>
  </si>
  <si>
    <t>Net CAPEX / Revenue</t>
  </si>
  <si>
    <t>Fi CAPEX / Revenue</t>
  </si>
  <si>
    <t>EBITDAR/ Revenue</t>
  </si>
  <si>
    <t>EBIT BRIDGE</t>
  </si>
  <si>
    <t>ctrl</t>
  </si>
  <si>
    <t>RTPL1004S</t>
  </si>
  <si>
    <t>RTPL1005S</t>
  </si>
  <si>
    <t>Bridge</t>
  </si>
  <si>
    <t>Zero Growth Plan - EBIT and bridge CAFOP =&gt; EBIT</t>
  </si>
  <si>
    <t>EUR</t>
  </si>
  <si>
    <t>NFD (- = net debt)</t>
  </si>
  <si>
    <t>revenue variance N/N-1</t>
  </si>
  <si>
    <t>Detail of year on year variance</t>
  </si>
  <si>
    <t>Indexation effect</t>
  </si>
  <si>
    <t>Renewals</t>
  </si>
  <si>
    <t>Terminations</t>
  </si>
  <si>
    <t>Change in services / volumes (when available)</t>
  </si>
  <si>
    <t>Not analysed / detailed</t>
  </si>
  <si>
    <t>Cells to be filled in</t>
  </si>
  <si>
    <t>In this model, on growth, contracts are either selected or not (no weighting)</t>
  </si>
  <si>
    <t>Renewals &amp; Losses - In MLCL</t>
  </si>
  <si>
    <t>Contract end</t>
  </si>
  <si>
    <t>Growth - offensive tenders - In MLCL</t>
  </si>
  <si>
    <t>Mode</t>
  </si>
  <si>
    <t>Current op.</t>
  </si>
  <si>
    <t>Current contract N°1 &gt; 10M€</t>
  </si>
  <si>
    <t>XXX</t>
  </si>
  <si>
    <t>Contract name &gt; 10M€</t>
  </si>
  <si>
    <t>Bus</t>
  </si>
  <si>
    <t>Current contract N°2 &gt; 10M€</t>
  </si>
  <si>
    <t>YYY</t>
  </si>
  <si>
    <t>…</t>
  </si>
  <si>
    <t>Arriva</t>
  </si>
  <si>
    <t>Current contract N°3 &gt; 10M€</t>
  </si>
  <si>
    <t>YYY'</t>
  </si>
  <si>
    <t>Date</t>
  </si>
  <si>
    <t>Current contract N°4 &gt; 10M€</t>
  </si>
  <si>
    <t>YYY''</t>
  </si>
  <si>
    <t>Current contract N°5 &gt; 10M€</t>
  </si>
  <si>
    <t>ZZZ</t>
  </si>
  <si>
    <t>Current contract N°6 &gt; 10M€</t>
  </si>
  <si>
    <t>ZZZ'</t>
  </si>
  <si>
    <t>margin rate</t>
  </si>
  <si>
    <t>Current contract N°7 &gt; 10M€</t>
  </si>
  <si>
    <t>ZZZ''</t>
  </si>
  <si>
    <t>Current contract N°8 &gt; 10M€</t>
  </si>
  <si>
    <t>WWW</t>
  </si>
  <si>
    <t>Current contract N°9 &gt; 10M€</t>
  </si>
  <si>
    <t>WWW'</t>
  </si>
  <si>
    <t>Current contract N°10 &gt; 10M€</t>
  </si>
  <si>
    <t>WWW''</t>
  </si>
  <si>
    <t>Current contract N°11 &gt; 10M€</t>
  </si>
  <si>
    <t>WWW'''</t>
  </si>
  <si>
    <t>Current contract N°12 &gt; 10M€</t>
  </si>
  <si>
    <t>QQQ</t>
  </si>
  <si>
    <t>WWW'''''</t>
  </si>
  <si>
    <t>Current contract N°13 &gt; 10M€</t>
  </si>
  <si>
    <t>QQQ'</t>
  </si>
  <si>
    <t>Current contract N°14 &gt; 10M€</t>
  </si>
  <si>
    <t>KKK</t>
  </si>
  <si>
    <t>Current contract N°15 &gt; 10M€</t>
  </si>
  <si>
    <t>LLL</t>
  </si>
  <si>
    <t>Total revenue all defensive tenders</t>
  </si>
  <si>
    <t>Total revenue all offensive tenders</t>
  </si>
  <si>
    <t>Revenue on contract renewed</t>
  </si>
  <si>
    <t>Revenue on contracts selected</t>
  </si>
  <si>
    <t>Revenue - contracts renewed</t>
  </si>
  <si>
    <t>Revenue - contracts included in growth</t>
  </si>
  <si>
    <t>Revenue - contracts lost</t>
  </si>
  <si>
    <t>In this model, on growth, contracts are weighted with a win rate</t>
  </si>
  <si>
    <t>Win rate</t>
  </si>
  <si>
    <t>In this model, all contracts are selected but with a different win rate level</t>
  </si>
  <si>
    <t>EBIT variance N/N-1</t>
  </si>
  <si>
    <t>SG&amp;A / Performance</t>
  </si>
  <si>
    <t>Operations</t>
  </si>
  <si>
    <t>Non recurring effects (one off, restructuring, gain on sales…)</t>
  </si>
  <si>
    <t>Country / Activity - Total LTP - In MLCL</t>
  </si>
  <si>
    <t>Growth / new contracts</t>
  </si>
  <si>
    <t>Country / Activity - ZGP - In MLCL</t>
  </si>
  <si>
    <t>Net Income Group Share</t>
  </si>
  <si>
    <t>CAPEX - Right of use IFRS 16</t>
  </si>
  <si>
    <t>TCI2</t>
  </si>
  <si>
    <t>Currency_List</t>
  </si>
  <si>
    <t>All activity</t>
  </si>
  <si>
    <t>RESOP_Bef_MF</t>
  </si>
  <si>
    <t>THB</t>
  </si>
  <si>
    <t>IDR</t>
  </si>
  <si>
    <t>Activity selection</t>
  </si>
  <si>
    <t>Value of CAPEX financed through Operating lease (Plan 2018) vs Right of use IFRS 16 (Plan 2019)</t>
  </si>
  <si>
    <t>CAFOP_Bef_MF</t>
  </si>
  <si>
    <t>tango_core_model:RP_LTP</t>
  </si>
  <si>
    <t>Market share / competition (in % of 2020 revenue)</t>
  </si>
  <si>
    <t>Net Result</t>
  </si>
  <si>
    <t>Net INDUS CAPEX</t>
  </si>
  <si>
    <t>Net_Fi_CAPEX</t>
  </si>
  <si>
    <t>NFI400</t>
  </si>
  <si>
    <t>EBIT margin</t>
  </si>
  <si>
    <t>EBIT Bef Mfees</t>
  </si>
  <si>
    <t>CAFOP bef.  MF</t>
  </si>
  <si>
    <t>EBIT bef.  MF</t>
  </si>
  <si>
    <t>TPL1_40</t>
  </si>
  <si>
    <t>TPL1_prov</t>
  </si>
  <si>
    <t>IFRS11</t>
  </si>
  <si>
    <t>TPLIFRS11</t>
  </si>
  <si>
    <t>TPL1_Other</t>
  </si>
  <si>
    <t>Zero Growth Plan - Investments - Net industrial capex</t>
  </si>
  <si>
    <t>EBIT bef. MF</t>
  </si>
  <si>
    <t>YYY'''</t>
  </si>
  <si>
    <t>Period</t>
  </si>
  <si>
    <t>AutoRefresh_Output</t>
  </si>
  <si>
    <t>xServer</t>
  </si>
  <si>
    <t>Server Name :</t>
  </si>
  <si>
    <t>tango_core_model:</t>
  </si>
  <si>
    <t>LTP component</t>
  </si>
  <si>
    <t>Legal organization</t>
  </si>
  <si>
    <t>Indicator_LTP</t>
  </si>
  <si>
    <t>RTPL1001S</t>
  </si>
  <si>
    <t>RTPL1002S</t>
  </si>
  <si>
    <t>Calcul</t>
  </si>
  <si>
    <t>TPL1_op_costs</t>
  </si>
  <si>
    <t>TPL1_other</t>
  </si>
  <si>
    <t>RTPL1003S20</t>
  </si>
  <si>
    <t>TPL1</t>
  </si>
  <si>
    <t>TPL21_tot</t>
  </si>
  <si>
    <t>TPL22</t>
  </si>
  <si>
    <t>TPL3</t>
  </si>
  <si>
    <t>TPL4</t>
  </si>
  <si>
    <t>TPL6</t>
  </si>
  <si>
    <t>TPL7</t>
  </si>
  <si>
    <t>PL8000</t>
  </si>
  <si>
    <t/>
  </si>
  <si>
    <t>NFIOPE</t>
  </si>
  <si>
    <t>NFIFIN</t>
  </si>
  <si>
    <t>RNFINPRS</t>
  </si>
  <si>
    <t>NFILEV</t>
  </si>
  <si>
    <t>NFI165</t>
  </si>
  <si>
    <t>NFI200</t>
  </si>
  <si>
    <t>CAPEX_Other</t>
  </si>
  <si>
    <t>CAPEX_RS</t>
  </si>
  <si>
    <t>CAPEX_IFRS16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</si>
  <si>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</si>
  <si>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</si>
  <si>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</si>
  <si>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</si>
  <si>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</si>
  <si>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</si>
  <si>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</si>
  <si>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</si>
  <si>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</si>
  <si>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</si>
  <si>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</si>
  <si>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IFRS16_Liability_Var2</t>
  </si>
  <si>
    <t>IFRS16_Liability_Var1</t>
  </si>
  <si>
    <t>NFI300</t>
  </si>
  <si>
    <t>NFI480_wo</t>
  </si>
  <si>
    <t>PL2103</t>
  </si>
  <si>
    <t>NFI4401</t>
  </si>
  <si>
    <t>NFI4402</t>
  </si>
  <si>
    <t>RNFI400S</t>
  </si>
  <si>
    <t>NFI420</t>
  </si>
  <si>
    <t>NFI492</t>
  </si>
  <si>
    <t>NFI494</t>
  </si>
  <si>
    <t>NFI500</t>
  </si>
  <si>
    <t>R_NFI500SC</t>
  </si>
  <si>
    <t>NFI550</t>
  </si>
  <si>
    <t>R_TAS</t>
  </si>
  <si>
    <t>R_TAS43</t>
  </si>
  <si>
    <t>R_TT102</t>
  </si>
  <si>
    <t>R_TT101</t>
  </si>
  <si>
    <t>R_TT20</t>
  </si>
  <si>
    <t>TCI1</t>
  </si>
  <si>
    <t>R_TCI3</t>
  </si>
  <si>
    <t>TCI1B</t>
  </si>
  <si>
    <t>R_TT40</t>
  </si>
  <si>
    <t>TCI4</t>
  </si>
  <si>
    <t>TAS90</t>
  </si>
  <si>
    <t>R_AS4400</t>
  </si>
  <si>
    <t>RAS4401S</t>
  </si>
  <si>
    <t>R_TLI11</t>
  </si>
  <si>
    <t>R_TLI12</t>
  </si>
  <si>
    <t>R_TLI10</t>
  </si>
  <si>
    <t>Balance_Sheet_C</t>
  </si>
  <si>
    <t>GROSS_IND_CAPEX</t>
  </si>
  <si>
    <t>NFI220_OL_FL</t>
  </si>
  <si>
    <t>NFI220_OBS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</si>
  <si>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</si>
  <si>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</si>
  <si>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</si>
  <si>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</si>
  <si>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</si>
  <si>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</si>
  <si>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Result bef TAX</t>
  </si>
  <si>
    <t>Result post theoritical MF &amp; Tax</t>
  </si>
  <si>
    <t>ROCE new definition</t>
  </si>
  <si>
    <t>tango_core_model:Report_LTP</t>
  </si>
  <si>
    <t>Revenues from operating financial assets (IFRIC12)</t>
  </si>
  <si>
    <t>CAPITAL EMPLOYED</t>
  </si>
  <si>
    <t>Pondération Y-1</t>
  </si>
  <si>
    <t>Pondération Y</t>
  </si>
  <si>
    <t>Weighting Y</t>
  </si>
  <si>
    <t>Weighting Y-1</t>
  </si>
  <si>
    <t>Sales of goods and services</t>
  </si>
  <si>
    <t>ROCE*</t>
  </si>
  <si>
    <t>ROCE calculation Detail</t>
  </si>
  <si>
    <t>Total Net CAPEX</t>
  </si>
  <si>
    <t>Capex requirement</t>
  </si>
  <si>
    <t>Amount &amp; Year</t>
  </si>
  <si>
    <t>Amount &amp; year</t>
  </si>
  <si>
    <t>LTP_2023_VC</t>
  </si>
  <si>
    <t>LTP_2022_V6</t>
  </si>
  <si>
    <t>Total net capex IFRIC12</t>
  </si>
  <si>
    <t>Total net capex (excl IFRIC12)</t>
  </si>
  <si>
    <t>Project N°2</t>
  </si>
  <si>
    <t>Project N°1</t>
  </si>
  <si>
    <t>Project N°3</t>
  </si>
  <si>
    <t>Project N°4</t>
  </si>
  <si>
    <t>Project N°5</t>
  </si>
  <si>
    <t>Project N°6</t>
  </si>
  <si>
    <t>Project N°7</t>
  </si>
  <si>
    <t>Project N°8</t>
  </si>
  <si>
    <t>Project N°9</t>
  </si>
  <si>
    <t>Project N°10</t>
  </si>
  <si>
    <t>Project N°11</t>
  </si>
  <si>
    <t>Project N°12</t>
  </si>
  <si>
    <t>Disposal N°1</t>
  </si>
  <si>
    <t>Organic growth - Investments - Net industrial capex</t>
  </si>
  <si>
    <t>Details on main net Capex per project 
(incl IFRIC 12)</t>
  </si>
  <si>
    <t>Theoritical MF -0,80%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</si>
</sst>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9">
    <numFmt numFmtId="164" formatCode="_-* #,##0_-;\-* #,##0_-;_-* &quot;-&quot;_-;_-@_-"/>
    <numFmt numFmtId="165" formatCode="0.0%"/>
    <numFmt numFmtId="166" formatCode="\x0.0"/>
    <numFmt numFmtId="167" formatCode="#,##0;\(#,##0\);&quot;-&quot;"/>
    <numFmt numFmtId="168" formatCode="0.0;\(0.0\);"/>
    <numFmt numFmtId="169" formatCode="0.0;;"/>
    <numFmt numFmtId="170" formatCode="0.0"/>
    <numFmt numFmtId="171" formatCode="\(0.0\);;"/>
    <numFmt numFmtId="172" formatCode="_-* #,##0.00\ _F_-;\-* #,##0.00\ _F_-;_-* &quot;-&quot;??\ _F_-;_-@_-"/>
    <numFmt numFmtId="173" formatCode="_(* #,##0.00_);_(* \(#,##0.00\);_(* &quot;-&quot;??_);_(@_)"/>
    <numFmt numFmtId="174" formatCode="#,###,##0.00"/>
    <numFmt numFmtId="175" formatCode="#,###,##0.0"/>
    <numFmt numFmtId="176" formatCode="#,###,##0"/>
    <numFmt numFmtId="177" formatCode="0.00_)"/>
    <numFmt numFmtId="178" formatCode="#,###,##0.000"/>
    <numFmt numFmtId="179" formatCode="0.000"/>
    <numFmt numFmtId="180" formatCode="#,##0.0"/>
    <numFmt numFmtId="181" formatCode="[$-409]d/m/yy\ h:mm\ AM/PM;@"/>
    <numFmt numFmtId="182" formatCode="#,##0_);\(#,##0\)"/>
    <numFmt numFmtId="183" formatCode="&quot;$&quot;\ \ \ #,##0;\(&quot;$&quot;\ \ \ #,##0\)"/>
    <numFmt numFmtId="184" formatCode="#,##0;\(#,##0\)"/>
    <numFmt numFmtId="185" formatCode="#,##0.0;\(#,##0.0\);\-"/>
    <numFmt numFmtId="186" formatCode="_(&quot;$&quot;* #,##0.00_);_(&quot;$&quot;* \(#,##0.00\);_(&quot;$&quot;* &quot;-&quot;??_);_(@_)"/>
    <numFmt numFmtId="187" formatCode="_(* #,##0_);_(* \(#,##0\);_(* &quot;&quot;\ \-\ &quot;&quot;_);_(@_)"/>
    <numFmt numFmtId="188" formatCode="_(&quot;€&quot;* #,##0.00_);_(&quot;€&quot;* \(#,##0.00\);_(&quot;€&quot;* &quot;-&quot;??_);_(@_)"/>
    <numFmt numFmtId="189" formatCode="_(* #,##0.0_%_);_(* \(#,##0.0_%\);_(* &quot; - &quot;_%_);_(@_)"/>
    <numFmt numFmtId="190" formatCode="_(\ #,##0.0_%_);_(\ \(#,##0.0_%\);_(\ &quot; - &quot;_%_);_(@_)"/>
    <numFmt numFmtId="191" formatCode="_(* #,##0.0%_);_(* \(#,##0.0%\);_(* &quot; - &quot;\%_);_(@_)"/>
    <numFmt numFmtId="192" formatCode="_(\ #,##0.0%_);_(\ \(#,##0.0%\);_(\ &quot; - &quot;\%_);_(@_)"/>
    <numFmt numFmtId="193" formatCode="_(* #,##0_);_(* \(#,##0\);_(* &quot; - &quot;_);_(@_)"/>
    <numFmt numFmtId="194" formatCode="#,##0_);\(#,##0\);&quot; - &quot;_);@_)"/>
    <numFmt numFmtId="195" formatCode="_(* #,##0.0_);_(* \(#,##0.0\);_(* &quot; - &quot;_);_(@_)"/>
    <numFmt numFmtId="196" formatCode="\ #,##0.0_);\(#,##0.0\);&quot; - &quot;_);@_)"/>
    <numFmt numFmtId="197" formatCode="_(* #,##0.00_);_(* \(#,##0.00\);_(* &quot; - &quot;_);_(@_)"/>
    <numFmt numFmtId="198" formatCode="\ #,##0.00_);\(#,##0.00\);&quot; - &quot;_);@_)"/>
    <numFmt numFmtId="199" formatCode="_(* #,##0.000_);_(* \(#,##0.000\);_(* &quot; - &quot;_);_(@_)"/>
    <numFmt numFmtId="200" formatCode="\ #,##0.000_);\(#,##0.000\);&quot; - &quot;_);@_)"/>
    <numFmt numFmtId="201" formatCode="d\ mmmm\ yyyy"/>
    <numFmt numFmtId="202" formatCode="#,##0;[Red]\(#,##0\);0"/>
    <numFmt numFmtId="203" formatCode="#,##0.00;\(#,##0.00\)"/>
    <numFmt numFmtId="204" formatCode="###0.0%;\(###0.0%\)"/>
    <numFmt numFmtId="205" formatCode="#,##0.0_)\x;\(#,##0.0\)\x;#,##0.0_)\x;@_)_x"/>
    <numFmt numFmtId="206" formatCode="0.00;[Red]0.00"/>
    <numFmt numFmtId="207" formatCode="#,##0.0&quot; &quot;;\(#,##0.0\)&quot;&quot;;&quot;- &quot;"/>
    <numFmt numFmtId="208" formatCode="_-* #,##0.000\ [$€]_-;\-* #,##0.000\ [$€]_-;_-* &quot;-&quot;??\ [$€]_-;_-@_-"/>
    <numFmt numFmtId="209" formatCode="_-* #,##0.00\ [$€]_-;\-* #,##0.00\ [$€]_-;_-* &quot;-&quot;??\ [$€]_-;_-@_-"/>
    <numFmt numFmtId="210" formatCode="_ * #,##0_)\ [$€-1]_ ;_ * \(#,##0\)\ [$€-1]_ ;_ * &quot;-&quot;??_)\ [$€-1]_ "/>
    <numFmt numFmtId="211" formatCode="_(* #,##0_);_(* \(#,##0\);_(* &quot;-&quot;_);@_)"/>
    <numFmt numFmtId="212" formatCode="0%_);\(0%\)"/>
  </numFmts>
  <fonts count="2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8"/>
      <color theme="5" tint="-0.249977111117893"/>
      <name val="Calibri"/>
      <family val="2"/>
    </font>
    <font>
      <b/>
      <sz val="8"/>
      <name val="Calibri"/>
      <family val="2"/>
    </font>
    <font>
      <b/>
      <sz val="8"/>
      <color indexed="9"/>
      <name val="Calibri"/>
      <family val="2"/>
    </font>
    <font>
      <b/>
      <sz val="8"/>
      <color indexed="20"/>
      <name val="Calibri"/>
      <family val="2"/>
    </font>
    <font>
      <sz val="10"/>
      <name val="Times New Roman"/>
      <family val="1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14"/>
      <name val="Calibri"/>
      <family val="2"/>
      <scheme val="minor"/>
    </font>
    <font>
      <b/>
      <sz val="8"/>
      <color indexed="61"/>
      <name val="Calibri"/>
      <family val="2"/>
      <scheme val="minor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indexed="9"/>
      <name val="Calibri"/>
      <family val="2"/>
    </font>
    <font>
      <sz val="10"/>
      <color rgb="FFFF0000"/>
      <name val="Calibri"/>
      <family val="2"/>
      <scheme val="minor"/>
    </font>
    <font>
      <b/>
      <sz val="12"/>
      <color indexed="9"/>
      <name val="Calibri"/>
      <family val="2"/>
    </font>
    <font>
      <sz val="12"/>
      <color theme="1"/>
      <name val="Calibri"/>
      <family val="2"/>
      <scheme val="minor"/>
    </font>
    <font>
      <b/>
      <sz val="14"/>
      <name val="Calibri"/>
      <family val="2"/>
    </font>
    <font>
      <b/>
      <sz val="13"/>
      <color indexed="9"/>
      <name val="Calibri"/>
      <family val="2"/>
    </font>
    <font>
      <sz val="13"/>
      <name val="Calibri"/>
      <family val="2"/>
    </font>
    <font>
      <b/>
      <sz val="13"/>
      <name val="Calibri"/>
      <family val="2"/>
    </font>
    <font>
      <sz val="1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sz val="12"/>
      <name val="SWISS"/>
    </font>
    <font>
      <i/>
      <sz val="15"/>
      <name val="Calibri"/>
      <family val="2"/>
      <scheme val="minor"/>
    </font>
    <font>
      <sz val="15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8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9"/>
      <color rgb="FF7F7F7F"/>
      <name val="Calibri"/>
      <family val="2"/>
      <scheme val="minor"/>
    </font>
    <font>
      <i/>
      <sz val="8"/>
      <name val="Calibri"/>
      <family val="2"/>
    </font>
    <font>
      <b/>
      <sz val="13"/>
      <color rgb="FFFF0000"/>
      <name val="Calibri"/>
      <family val="2"/>
      <scheme val="minor"/>
    </font>
    <font>
      <b/>
      <sz val="8"/>
      <color rgb="FFFF0000"/>
      <name val="Calibri"/>
      <family val="2"/>
    </font>
    <font>
      <sz val="12"/>
      <name val="Calibri"/>
      <family val="2"/>
    </font>
    <font>
      <i/>
      <sz val="8"/>
      <color rgb="FFFF0000"/>
      <name val="Calibri"/>
      <family val="2"/>
    </font>
    <font>
      <b/>
      <i/>
      <sz val="12"/>
      <color rgb="FFFF0000"/>
      <name val="Calibri"/>
      <family val="2"/>
    </font>
    <font>
      <b/>
      <i/>
      <sz val="8"/>
      <color rgb="FFFF0000"/>
      <name val="Calibri"/>
      <family val="2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9"/>
      <name val="Calibri"/>
      <family val="2"/>
    </font>
    <font>
      <b/>
      <sz val="11"/>
      <name val="Calibri"/>
      <family val="2"/>
    </font>
    <font>
      <i/>
      <sz val="12"/>
      <color indexed="63"/>
      <name val="Calibri"/>
      <family val="2"/>
    </font>
    <font>
      <sz val="14"/>
      <color indexed="9"/>
      <name val="Calibri"/>
      <family val="2"/>
    </font>
    <font>
      <sz val="26"/>
      <name val="Calibri"/>
      <family val="2"/>
    </font>
    <font>
      <sz val="32"/>
      <name val="Calibri"/>
      <family val="2"/>
    </font>
    <font>
      <b/>
      <sz val="12"/>
      <name val="Calibri"/>
      <family val="2"/>
    </font>
    <font>
      <b/>
      <sz val="9"/>
      <name val="Calibri"/>
      <family val="2"/>
    </font>
    <font>
      <i/>
      <sz val="12"/>
      <name val="Calibri"/>
      <family val="2"/>
    </font>
    <font>
      <i/>
      <sz val="9"/>
      <name val="Calibri"/>
      <family val="2"/>
    </font>
    <font>
      <i/>
      <sz val="1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sz val="12"/>
      <color indexed="63"/>
      <name val="Calibri"/>
      <family val="2"/>
    </font>
    <font>
      <b/>
      <i/>
      <sz val="12"/>
      <color indexed="63"/>
      <name val="Calibri"/>
      <family val="2"/>
    </font>
    <font>
      <b/>
      <i/>
      <sz val="11"/>
      <color indexed="63"/>
      <name val="Calibri"/>
      <family val="2"/>
    </font>
    <font>
      <sz val="13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25"/>
      <color theme="8" tint="-0.499984740745262"/>
      <name val="Calibri"/>
      <family val="2"/>
      <scheme val="minor"/>
    </font>
    <font>
      <b/>
      <i/>
      <sz val="10"/>
      <color rgb="FFFF0000"/>
      <name val="Calibri"/>
      <family val="2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indexed="9"/>
      <name val="Calibri"/>
      <family val="2"/>
      <scheme val="minor"/>
    </font>
    <font>
      <sz val="10"/>
      <name val="Arial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rgb="FF7E408F"/>
      <name val="Arial"/>
      <family val="2"/>
    </font>
    <font>
      <b/>
      <sz val="18"/>
      <name val="Calibri"/>
      <family val="2"/>
    </font>
    <font>
      <b/>
      <sz val="26"/>
      <name val="Calibri"/>
      <family val="2"/>
      <scheme val="minor"/>
    </font>
    <font>
      <sz val="26"/>
      <color indexed="9"/>
      <name val="Calibri"/>
      <family val="2"/>
      <scheme val="minor"/>
    </font>
    <font>
      <b/>
      <sz val="26"/>
      <color indexed="9"/>
      <name val="Calibri"/>
      <family val="2"/>
      <scheme val="minor"/>
    </font>
    <font>
      <sz val="26"/>
      <name val="Calibri"/>
      <family val="2"/>
      <scheme val="minor"/>
    </font>
    <font>
      <i/>
      <sz val="26"/>
      <color indexed="9"/>
      <name val="Calibri"/>
      <family val="2"/>
      <scheme val="minor"/>
    </font>
    <font>
      <i/>
      <sz val="18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sz val="18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Calibri"/>
      <family val="2"/>
    </font>
    <font>
      <i/>
      <sz val="2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  <scheme val="minor"/>
    </font>
    <font>
      <i/>
      <sz val="20"/>
      <color rgb="FF3391AA"/>
      <name val="Calibri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b/>
      <sz val="18"/>
      <color indexed="10"/>
      <name val="Calibri"/>
      <family val="2"/>
    </font>
    <font>
      <sz val="20"/>
      <color indexed="9"/>
      <name val="Calibri"/>
      <family val="2"/>
      <scheme val="minor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18"/>
      <color theme="0"/>
      <name val="Calibri"/>
      <family val="2"/>
      <scheme val="minor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MS Sans Serif"/>
      <family val="2"/>
    </font>
    <font>
      <sz val="11"/>
      <color indexed="8"/>
      <name val="Calibri"/>
      <family val="2"/>
      <charset val="238"/>
    </font>
    <font>
      <sz val="6"/>
      <name val="MS Serif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10"/>
      <color rgb="FF3391AA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b/>
      <sz val="22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2"/>
      <color indexed="63"/>
      <name val="Calibri"/>
      <family val="2"/>
    </font>
  </fonts>
  <fills count="7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9C5C9"/>
        <bgColor indexed="8"/>
      </patternFill>
    </fill>
    <fill>
      <patternFill patternType="solid">
        <fgColor rgb="FFDDDDDD"/>
        <bgColor indexed="8"/>
      </patternFill>
    </fill>
    <fill>
      <patternFill patternType="lightUp">
        <fgColor theme="1"/>
        <bgColor rgb="FFDDDDDD"/>
      </patternFill>
    </fill>
    <fill>
      <patternFill patternType="solid">
        <fgColor rgb="FF92D050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rgb="FFC9C5C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8"/>
      </patternFill>
    </fill>
    <fill>
      <patternFill patternType="solid">
        <fgColor indexed="5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  <fill>
      <patternFill patternType="solid">
        <fgColor rgb="FFDDDDD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59999389629810485"/>
        <bgColor indexed="8"/>
      </patternFill>
    </fill>
    <fill>
      <patternFill patternType="solid">
        <fgColor theme="9" tint="0.79998168889431442"/>
        <bgColor indexed="8"/>
      </patternFill>
    </fill>
    <fill>
      <patternFill patternType="solid">
        <fgColor theme="0" tint="-0.14999847407452621"/>
        <bgColor indexed="8"/>
      </patternFill>
    </fill>
  </fills>
  <borders count="7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14"/>
      </left>
      <right/>
      <top style="medium">
        <color indexed="1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medium">
        <color indexed="14"/>
      </left>
      <right/>
      <top/>
      <bottom/>
      <diagonal/>
    </border>
    <border>
      <left/>
      <right style="medium">
        <color indexed="14"/>
      </right>
      <top/>
      <bottom/>
      <diagonal/>
    </border>
    <border>
      <left style="medium">
        <color indexed="14"/>
      </left>
      <right style="thin">
        <color indexed="33"/>
      </right>
      <top style="medium">
        <color indexed="14"/>
      </top>
      <bottom style="thin">
        <color indexed="33"/>
      </bottom>
      <diagonal/>
    </border>
    <border>
      <left style="medium">
        <color indexed="24"/>
      </left>
      <right style="medium">
        <color indexed="24"/>
      </right>
      <top style="medium">
        <color indexed="24"/>
      </top>
      <bottom style="medium">
        <color indexed="24"/>
      </bottom>
      <diagonal/>
    </border>
    <border>
      <left style="medium">
        <color indexed="24"/>
      </left>
      <right style="thin">
        <color indexed="27"/>
      </right>
      <top style="thin">
        <color indexed="27"/>
      </top>
      <bottom style="thin">
        <color indexed="27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 style="thin">
        <color indexed="27"/>
      </left>
      <right style="thin">
        <color indexed="27"/>
      </right>
      <top style="thin">
        <color indexed="27"/>
      </top>
      <bottom style="thin">
        <color indexed="27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/>
      <right/>
      <top style="hair">
        <color theme="0"/>
      </top>
      <bottom style="hair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hair">
        <color theme="0"/>
      </bottom>
      <diagonal/>
    </border>
    <border>
      <left/>
      <right/>
      <top style="hair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indexed="9"/>
      </left>
      <right style="thin">
        <color indexed="22"/>
      </right>
      <top/>
      <bottom/>
      <diagonal/>
    </border>
    <border>
      <left style="medium">
        <color theme="5" tint="-0.24994659260841701"/>
      </left>
      <right/>
      <top style="medium">
        <color theme="5" tint="-0.24994659260841701"/>
      </top>
      <bottom style="medium">
        <color theme="5" tint="-0.24994659260841701"/>
      </bottom>
      <diagonal/>
    </border>
    <border>
      <left/>
      <right/>
      <top style="medium">
        <color theme="5" tint="-0.24994659260841701"/>
      </top>
      <bottom style="medium">
        <color theme="5" tint="-0.24994659260841701"/>
      </bottom>
      <diagonal/>
    </border>
    <border>
      <left/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 style="medium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indexed="9"/>
      </right>
      <top style="medium">
        <color auto="1"/>
      </top>
      <bottom/>
      <diagonal/>
    </border>
    <border>
      <left style="thin">
        <color indexed="9"/>
      </left>
      <right/>
      <top style="medium">
        <color auto="1"/>
      </top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/>
      </top>
      <bottom style="medium">
        <color rgb="FF3391AA"/>
      </bottom>
      <diagonal/>
    </border>
    <border>
      <left/>
      <right/>
      <top style="hair">
        <color theme="0" tint="-0.499984740745262"/>
      </top>
      <bottom style="medium">
        <color rgb="FF3391AA"/>
      </bottom>
      <diagonal/>
    </border>
  </borders>
  <cellStyleXfs count="3600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13" fillId="0" borderId="0"/>
    <xf numFmtId="0" fontId="1" fillId="0" borderId="0"/>
    <xf numFmtId="0" fontId="1" fillId="0" borderId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20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20" fillId="5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20" fillId="12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20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1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20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20" fillId="21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20" fillId="18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20" fillId="4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14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19" borderId="0" applyNumberFormat="0" applyBorder="0" applyAlignment="0" applyProtection="0"/>
    <xf numFmtId="0" fontId="21" fillId="19" borderId="0" applyNumberFormat="0" applyBorder="0" applyAlignment="0" applyProtection="0"/>
    <xf numFmtId="0" fontId="21" fillId="19" borderId="0" applyNumberFormat="0" applyBorder="0" applyAlignment="0" applyProtection="0"/>
    <xf numFmtId="0" fontId="21" fillId="19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18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14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3" fillId="18" borderId="13" applyNumberFormat="0" applyAlignment="0" applyProtection="0"/>
    <xf numFmtId="0" fontId="23" fillId="18" borderId="13" applyNumberFormat="0" applyAlignment="0" applyProtection="0"/>
    <xf numFmtId="0" fontId="23" fillId="18" borderId="13" applyNumberFormat="0" applyAlignment="0" applyProtection="0"/>
    <xf numFmtId="0" fontId="23" fillId="18" borderId="13" applyNumberFormat="0" applyAlignment="0" applyProtection="0"/>
    <xf numFmtId="0" fontId="23" fillId="18" borderId="13" applyNumberFormat="0" applyAlignment="0" applyProtection="0"/>
    <xf numFmtId="0" fontId="24" fillId="31" borderId="14" applyNumberFormat="0" applyAlignment="0" applyProtection="0"/>
    <xf numFmtId="0" fontId="24" fillId="31" borderId="14" applyNumberFormat="0" applyAlignment="0" applyProtection="0"/>
    <xf numFmtId="0" fontId="24" fillId="31" borderId="14" applyNumberFormat="0" applyAlignment="0" applyProtection="0"/>
    <xf numFmtId="0" fontId="24" fillId="31" borderId="14" applyNumberFormat="0" applyAlignment="0" applyProtection="0"/>
    <xf numFmtId="0" fontId="24" fillId="31" borderId="14" applyNumberFormat="0" applyAlignment="0" applyProtection="0"/>
    <xf numFmtId="0" fontId="24" fillId="31" borderId="14" applyNumberFormat="0" applyAlignment="0" applyProtection="0"/>
    <xf numFmtId="0" fontId="25" fillId="0" borderId="15">
      <alignment horizontal="left" wrapText="1"/>
    </xf>
    <xf numFmtId="172" fontId="5" fillId="0" borderId="0" applyFont="0" applyFill="0" applyBorder="0" applyAlignment="0" applyProtection="0"/>
    <xf numFmtId="172" fontId="5" fillId="0" borderId="0" applyFont="0" applyFill="0" applyBorder="0" applyAlignment="0" applyProtection="0"/>
    <xf numFmtId="173" fontId="5" fillId="0" borderId="0" applyFont="0" applyFill="0" applyBorder="0" applyAlignment="0" applyProtection="0"/>
    <xf numFmtId="172" fontId="5" fillId="0" borderId="0" applyFont="0" applyFill="0" applyBorder="0" applyAlignment="0" applyProtection="0"/>
    <xf numFmtId="172" fontId="5" fillId="0" borderId="0" applyFont="0" applyFill="0" applyBorder="0" applyAlignment="0" applyProtection="0"/>
    <xf numFmtId="172" fontId="5" fillId="0" borderId="0" applyFont="0" applyFill="0" applyBorder="0" applyAlignment="0" applyProtection="0"/>
    <xf numFmtId="173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9" fillId="0" borderId="17" applyNumberFormat="0" applyFill="0" applyAlignment="0" applyProtection="0"/>
    <xf numFmtId="0" fontId="28" fillId="0" borderId="16" applyNumberFormat="0" applyFill="0" applyAlignment="0" applyProtection="0"/>
    <xf numFmtId="0" fontId="30" fillId="0" borderId="18" applyNumberFormat="0" applyFill="0" applyAlignment="0" applyProtection="0"/>
    <xf numFmtId="0" fontId="31" fillId="0" borderId="18" applyNumberFormat="0" applyFill="0" applyAlignment="0" applyProtection="0"/>
    <xf numFmtId="0" fontId="31" fillId="0" borderId="18" applyNumberFormat="0" applyFill="0" applyAlignment="0" applyProtection="0"/>
    <xf numFmtId="0" fontId="31" fillId="0" borderId="18" applyNumberFormat="0" applyFill="0" applyAlignment="0" applyProtection="0"/>
    <xf numFmtId="0" fontId="31" fillId="0" borderId="18" applyNumberFormat="0" applyFill="0" applyAlignment="0" applyProtection="0"/>
    <xf numFmtId="0" fontId="30" fillId="0" borderId="18" applyNumberFormat="0" applyFill="0" applyAlignment="0" applyProtection="0"/>
    <xf numFmtId="0" fontId="32" fillId="0" borderId="19" applyNumberFormat="0" applyFill="0" applyAlignment="0" applyProtection="0"/>
    <xf numFmtId="0" fontId="33" fillId="0" borderId="20" applyNumberFormat="0" applyFill="0" applyAlignment="0" applyProtection="0"/>
    <xf numFmtId="0" fontId="33" fillId="0" borderId="20" applyNumberFormat="0" applyFill="0" applyAlignment="0" applyProtection="0"/>
    <xf numFmtId="0" fontId="33" fillId="0" borderId="20" applyNumberFormat="0" applyFill="0" applyAlignment="0" applyProtection="0"/>
    <xf numFmtId="0" fontId="33" fillId="0" borderId="20" applyNumberFormat="0" applyFill="0" applyAlignment="0" applyProtection="0"/>
    <xf numFmtId="0" fontId="32" fillId="0" borderId="19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18" borderId="13" applyNumberFormat="0" applyAlignment="0" applyProtection="0"/>
    <xf numFmtId="0" fontId="36" fillId="18" borderId="13" applyNumberFormat="0" applyAlignment="0" applyProtection="0"/>
    <xf numFmtId="0" fontId="36" fillId="18" borderId="13" applyNumberFormat="0" applyAlignment="0" applyProtection="0"/>
    <xf numFmtId="0" fontId="36" fillId="18" borderId="13" applyNumberFormat="0" applyAlignment="0" applyProtection="0"/>
    <xf numFmtId="0" fontId="36" fillId="18" borderId="13" applyNumberFormat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174" fontId="37" fillId="32" borderId="0" applyNumberFormat="0" applyBorder="0">
      <alignment horizontal="right"/>
      <protection locked="0"/>
    </xf>
    <xf numFmtId="0" fontId="38" fillId="0" borderId="21" applyNumberFormat="0" applyFill="0" applyAlignment="0" applyProtection="0"/>
    <xf numFmtId="0" fontId="38" fillId="0" borderId="21" applyNumberFormat="0" applyFill="0" applyAlignment="0" applyProtection="0"/>
    <xf numFmtId="0" fontId="38" fillId="0" borderId="21" applyNumberFormat="0" applyFill="0" applyAlignment="0" applyProtection="0"/>
    <xf numFmtId="0" fontId="38" fillId="0" borderId="21" applyNumberFormat="0" applyFill="0" applyAlignment="0" applyProtection="0"/>
    <xf numFmtId="0" fontId="38" fillId="0" borderId="21" applyNumberFormat="0" applyFill="0" applyAlignment="0" applyProtection="0"/>
    <xf numFmtId="0" fontId="38" fillId="0" borderId="21" applyNumberFormat="0" applyFill="0" applyAlignment="0" applyProtection="0"/>
    <xf numFmtId="175" fontId="39" fillId="33" borderId="0" applyNumberFormat="0" applyBorder="0">
      <alignment horizontal="right" vertical="center"/>
      <protection locked="0"/>
    </xf>
    <xf numFmtId="176" fontId="39" fillId="34" borderId="0" applyNumberFormat="0" applyBorder="0">
      <alignment horizontal="right" vertical="center"/>
      <protection locked="0"/>
    </xf>
    <xf numFmtId="173" fontId="5" fillId="0" borderId="0" applyFont="0" applyFill="0" applyBorder="0" applyAlignment="0" applyProtection="0"/>
    <xf numFmtId="172" fontId="5" fillId="0" borderId="0" applyFont="0" applyFill="0" applyBorder="0" applyAlignment="0" applyProtection="0"/>
    <xf numFmtId="173" fontId="5" fillId="0" borderId="0" applyFont="0" applyFill="0" applyBorder="0" applyAlignment="0" applyProtection="0"/>
    <xf numFmtId="0" fontId="40" fillId="35" borderId="0"/>
    <xf numFmtId="0" fontId="41" fillId="21" borderId="0" applyNumberFormat="0" applyBorder="0" applyAlignment="0" applyProtection="0"/>
    <xf numFmtId="0" fontId="41" fillId="21" borderId="0" applyNumberFormat="0" applyBorder="0" applyAlignment="0" applyProtection="0"/>
    <xf numFmtId="0" fontId="41" fillId="21" borderId="0" applyNumberFormat="0" applyBorder="0" applyAlignment="0" applyProtection="0"/>
    <xf numFmtId="0" fontId="41" fillId="21" borderId="0" applyNumberFormat="0" applyBorder="0" applyAlignment="0" applyProtection="0"/>
    <xf numFmtId="0" fontId="41" fillId="21" borderId="0" applyNumberFormat="0" applyBorder="0" applyAlignment="0" applyProtection="0"/>
    <xf numFmtId="0" fontId="41" fillId="21" borderId="0" applyNumberFormat="0" applyBorder="0" applyAlignment="0" applyProtection="0"/>
    <xf numFmtId="0" fontId="40" fillId="35" borderId="0"/>
    <xf numFmtId="0" fontId="40" fillId="35" borderId="0"/>
    <xf numFmtId="177" fontId="42" fillId="0" borderId="0"/>
    <xf numFmtId="0" fontId="5" fillId="0" borderId="0"/>
    <xf numFmtId="0" fontId="19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5" borderId="22" applyNumberFormat="0" applyFont="0" applyAlignment="0" applyProtection="0"/>
    <xf numFmtId="0" fontId="19" fillId="5" borderId="22" applyNumberFormat="0" applyFont="0" applyAlignment="0" applyProtection="0"/>
    <xf numFmtId="0" fontId="19" fillId="5" borderId="22" applyNumberFormat="0" applyFont="0" applyAlignment="0" applyProtection="0"/>
    <xf numFmtId="0" fontId="19" fillId="5" borderId="22" applyNumberFormat="0" applyFont="0" applyAlignment="0" applyProtection="0"/>
    <xf numFmtId="0" fontId="19" fillId="5" borderId="22" applyNumberFormat="0" applyFont="0" applyAlignment="0" applyProtection="0"/>
    <xf numFmtId="0" fontId="40" fillId="35" borderId="0"/>
    <xf numFmtId="0" fontId="43" fillId="12" borderId="23" applyNumberFormat="0" applyAlignment="0" applyProtection="0"/>
    <xf numFmtId="0" fontId="43" fillId="18" borderId="23" applyNumberFormat="0" applyAlignment="0" applyProtection="0"/>
    <xf numFmtId="0" fontId="43" fillId="18" borderId="23" applyNumberFormat="0" applyAlignment="0" applyProtection="0"/>
    <xf numFmtId="0" fontId="43" fillId="18" borderId="23" applyNumberFormat="0" applyAlignment="0" applyProtection="0"/>
    <xf numFmtId="0" fontId="43" fillId="18" borderId="23" applyNumberFormat="0" applyAlignment="0" applyProtection="0"/>
    <xf numFmtId="0" fontId="43" fillId="12" borderId="23" applyNumberForma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78" fontId="46" fillId="36" borderId="0" applyNumberFormat="0" applyBorder="0">
      <alignment horizontal="left" vertical="center"/>
      <protection locked="0"/>
    </xf>
    <xf numFmtId="178" fontId="47" fillId="32" borderId="0" applyNumberFormat="0" applyBorder="0">
      <alignment horizontal="left"/>
      <protection locked="0"/>
    </xf>
    <xf numFmtId="0" fontId="32" fillId="0" borderId="24" applyNumberFormat="0" applyFill="0" applyAlignment="0" applyProtection="0"/>
    <xf numFmtId="0" fontId="32" fillId="0" borderId="24" applyNumberFormat="0" applyFill="0" applyAlignment="0" applyProtection="0"/>
    <xf numFmtId="0" fontId="32" fillId="0" borderId="24" applyNumberFormat="0" applyFill="0" applyAlignment="0" applyProtection="0"/>
    <xf numFmtId="0" fontId="32" fillId="0" borderId="24" applyNumberFormat="0" applyFill="0" applyAlignment="0" applyProtection="0"/>
    <xf numFmtId="0" fontId="32" fillId="0" borderId="24" applyNumberFormat="0" applyFill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9" fontId="1" fillId="0" borderId="0" applyFont="0" applyFill="0" applyBorder="0" applyAlignment="0" applyProtection="0"/>
    <xf numFmtId="181" fontId="5" fillId="0" borderId="0"/>
    <xf numFmtId="182" fontId="74" fillId="0" borderId="0"/>
    <xf numFmtId="183" fontId="77" fillId="0" borderId="0" applyAlignment="0"/>
    <xf numFmtId="10" fontId="78" fillId="0" borderId="0"/>
    <xf numFmtId="9" fontId="79" fillId="0" borderId="0"/>
    <xf numFmtId="0" fontId="79" fillId="0" borderId="0"/>
    <xf numFmtId="10" fontId="79" fillId="0" borderId="0"/>
    <xf numFmtId="0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184" fontId="79" fillId="0" borderId="0"/>
    <xf numFmtId="3" fontId="77" fillId="0" borderId="0"/>
    <xf numFmtId="2" fontId="77" fillId="0" borderId="0"/>
    <xf numFmtId="10" fontId="77" fillId="0" borderId="0" applyFont="0" applyBorder="0" applyAlignment="0">
      <alignment horizontal="centerContinuous"/>
    </xf>
    <xf numFmtId="0" fontId="80" fillId="0" borderId="35" applyFont="0" applyFill="0" applyBorder="0" applyAlignment="0" applyProtection="0"/>
    <xf numFmtId="184" fontId="79" fillId="0" borderId="0"/>
    <xf numFmtId="184" fontId="79" fillId="0" borderId="0"/>
    <xf numFmtId="184" fontId="79" fillId="0" borderId="0"/>
    <xf numFmtId="1" fontId="77" fillId="0" borderId="0" applyFont="0" applyAlignment="0">
      <alignment horizontal="centerContinuous"/>
    </xf>
    <xf numFmtId="0" fontId="81" fillId="0" borderId="30" applyFont="0">
      <alignment horizontal="centerContinuous"/>
    </xf>
    <xf numFmtId="0" fontId="47" fillId="0" borderId="0"/>
    <xf numFmtId="9" fontId="78" fillId="0" borderId="0"/>
    <xf numFmtId="0" fontId="78" fillId="0" borderId="0"/>
    <xf numFmtId="0" fontId="7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78" fillId="0" borderId="0"/>
    <xf numFmtId="0" fontId="78" fillId="0" borderId="0"/>
    <xf numFmtId="0" fontId="5" fillId="0" borderId="0"/>
    <xf numFmtId="0" fontId="79" fillId="0" borderId="0"/>
    <xf numFmtId="38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79" fillId="0" borderId="0"/>
    <xf numFmtId="0" fontId="81" fillId="0" borderId="30" applyNumberFormat="0" applyFill="0" applyAlignment="0" applyProtection="0"/>
    <xf numFmtId="0" fontId="82" fillId="0" borderId="30" applyNumberFormat="0" applyFont="0" applyFill="0" applyAlignment="0" applyProtection="0"/>
    <xf numFmtId="0" fontId="47" fillId="0" borderId="28"/>
    <xf numFmtId="0" fontId="79" fillId="0" borderId="30">
      <alignment horizontal="centerContinuous"/>
    </xf>
    <xf numFmtId="0" fontId="5" fillId="0" borderId="36" applyBorder="0">
      <alignment horizontal="centerContinuous"/>
    </xf>
    <xf numFmtId="0" fontId="79" fillId="0" borderId="0" applyFont="0" applyFill="0" applyBorder="0" applyAlignment="0" applyProtection="0"/>
    <xf numFmtId="0" fontId="84" fillId="0" borderId="0"/>
    <xf numFmtId="0" fontId="84" fillId="0" borderId="0"/>
    <xf numFmtId="0" fontId="84" fillId="0" borderId="0"/>
    <xf numFmtId="0" fontId="78" fillId="0" borderId="0"/>
    <xf numFmtId="0" fontId="84" fillId="0" borderId="0"/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84" fillId="0" borderId="0"/>
    <xf numFmtId="37" fontId="79" fillId="0" borderId="0">
      <alignment horizontal="center"/>
    </xf>
    <xf numFmtId="0" fontId="81" fillId="0" borderId="0"/>
    <xf numFmtId="185" fontId="5" fillId="0" borderId="0">
      <alignment horizontal="right" wrapText="1"/>
    </xf>
    <xf numFmtId="0" fontId="79" fillId="0" borderId="0"/>
    <xf numFmtId="0" fontId="85" fillId="0" borderId="0" applyFont="0" applyFill="0" applyBorder="0" applyAlignment="0" applyProtection="0"/>
    <xf numFmtId="40" fontId="85" fillId="0" borderId="0" applyFont="0" applyFill="0" applyBorder="0" applyAlignment="0" applyProtection="0"/>
    <xf numFmtId="173" fontId="5" fillId="0" borderId="0" applyFont="0" applyFill="0" applyBorder="0" applyAlignment="0" applyProtection="0"/>
    <xf numFmtId="0" fontId="86" fillId="0" borderId="0" applyFont="0" applyFill="0" applyBorder="0" applyAlignment="0" applyProtection="0"/>
    <xf numFmtId="0" fontId="86" fillId="0" borderId="0" applyFont="0" applyFill="0" applyBorder="0" applyAlignment="0" applyProtection="0"/>
    <xf numFmtId="186" fontId="5" fillId="0" borderId="0" applyFont="0" applyFill="0" applyBorder="0" applyAlignment="0" applyProtection="0"/>
    <xf numFmtId="49" fontId="87" fillId="40" borderId="0">
      <alignment vertical="center"/>
    </xf>
    <xf numFmtId="0" fontId="79" fillId="0" borderId="0" applyFont="0" applyFill="0" applyBorder="0" applyAlignment="0" applyProtection="0"/>
    <xf numFmtId="187" fontId="8" fillId="41" borderId="0">
      <alignment horizontal="right"/>
    </xf>
    <xf numFmtId="173" fontId="5" fillId="0" borderId="0" applyFont="0" applyFill="0" applyBorder="0" applyAlignment="0" applyProtection="0"/>
    <xf numFmtId="188" fontId="5" fillId="0" borderId="0" applyFont="0" applyFill="0" applyBorder="0" applyAlignment="0" applyProtection="0"/>
    <xf numFmtId="49" fontId="88" fillId="0" borderId="0" applyNumberFormat="0" applyFill="0" applyBorder="0" applyProtection="0">
      <alignment horizontal="center" vertical="top"/>
    </xf>
    <xf numFmtId="189" fontId="89" fillId="0" borderId="0">
      <alignment horizontal="right" vertical="top"/>
    </xf>
    <xf numFmtId="190" fontId="90" fillId="0" borderId="0" applyBorder="0">
      <alignment horizontal="right" vertical="top"/>
    </xf>
    <xf numFmtId="191" fontId="91" fillId="0" borderId="0">
      <alignment horizontal="right" vertical="top"/>
    </xf>
    <xf numFmtId="192" fontId="88" fillId="0" borderId="0" applyBorder="0">
      <alignment horizontal="right" vertical="top"/>
    </xf>
    <xf numFmtId="191" fontId="89" fillId="0" borderId="0">
      <alignment horizontal="right" vertical="top"/>
    </xf>
    <xf numFmtId="192" fontId="90" fillId="0" borderId="0" applyBorder="0">
      <alignment horizontal="right" vertical="top"/>
    </xf>
    <xf numFmtId="193" fontId="91" fillId="0" borderId="0" applyFill="0" applyBorder="0">
      <alignment horizontal="right" vertical="top"/>
    </xf>
    <xf numFmtId="194" fontId="88" fillId="0" borderId="0" applyFill="0" applyBorder="0">
      <alignment horizontal="right" vertical="top"/>
    </xf>
    <xf numFmtId="195" fontId="91" fillId="0" borderId="0" applyFill="0" applyBorder="0">
      <alignment horizontal="right" vertical="top"/>
    </xf>
    <xf numFmtId="196" fontId="88" fillId="0" borderId="0" applyFill="0" applyBorder="0">
      <alignment horizontal="right" vertical="top"/>
    </xf>
    <xf numFmtId="197" fontId="91" fillId="0" borderId="0" applyFill="0" applyBorder="0">
      <alignment horizontal="right" vertical="top"/>
    </xf>
    <xf numFmtId="198" fontId="88" fillId="0" borderId="0" applyFill="0" applyBorder="0">
      <alignment horizontal="right" vertical="top"/>
    </xf>
    <xf numFmtId="199" fontId="91" fillId="0" borderId="0" applyFill="0" applyBorder="0">
      <alignment horizontal="right" vertical="top"/>
    </xf>
    <xf numFmtId="200" fontId="88" fillId="0" borderId="0" applyFill="0" applyBorder="0">
      <alignment horizontal="right" vertical="top"/>
    </xf>
    <xf numFmtId="181" fontId="92" fillId="0" borderId="0">
      <alignment horizontal="center" wrapText="1"/>
    </xf>
    <xf numFmtId="0" fontId="93" fillId="0" borderId="37">
      <alignment horizontal="right"/>
    </xf>
    <xf numFmtId="0" fontId="92" fillId="0" borderId="0">
      <alignment horizontal="center" wrapText="1"/>
    </xf>
    <xf numFmtId="167" fontId="94" fillId="0" borderId="37">
      <alignment horizontal="left"/>
    </xf>
    <xf numFmtId="0" fontId="95" fillId="0" borderId="0">
      <alignment vertical="center"/>
    </xf>
    <xf numFmtId="201" fontId="95" fillId="0" borderId="0">
      <alignment horizontal="left" vertical="center"/>
    </xf>
    <xf numFmtId="202" fontId="96" fillId="0" borderId="0">
      <alignment vertical="center"/>
    </xf>
    <xf numFmtId="0" fontId="97" fillId="0" borderId="0">
      <alignment vertical="center"/>
    </xf>
    <xf numFmtId="167" fontId="94" fillId="0" borderId="37">
      <alignment horizontal="left"/>
    </xf>
    <xf numFmtId="167" fontId="98" fillId="0" borderId="0" applyFill="0" applyBorder="0">
      <alignment vertical="top"/>
    </xf>
    <xf numFmtId="167" fontId="99" fillId="0" borderId="0" applyFill="0" applyBorder="0" applyProtection="0">
      <alignment vertical="top"/>
    </xf>
    <xf numFmtId="167" fontId="100" fillId="0" borderId="0">
      <alignment vertical="top"/>
    </xf>
    <xf numFmtId="167" fontId="88" fillId="0" borderId="0">
      <alignment horizontal="center"/>
    </xf>
    <xf numFmtId="167" fontId="101" fillId="0" borderId="37">
      <alignment horizontal="center"/>
    </xf>
    <xf numFmtId="164" fontId="91" fillId="0" borderId="0" applyFill="0" applyBorder="0" applyAlignment="0" applyProtection="0">
      <alignment horizontal="right" vertical="top"/>
    </xf>
    <xf numFmtId="164" fontId="88" fillId="0" borderId="37" applyFill="0" applyBorder="0" applyProtection="0">
      <alignment horizontal="right" vertical="top"/>
    </xf>
    <xf numFmtId="167" fontId="102" fillId="0" borderId="0"/>
    <xf numFmtId="167" fontId="103" fillId="0" borderId="0"/>
    <xf numFmtId="167" fontId="104" fillId="0" borderId="0"/>
    <xf numFmtId="167" fontId="5" fillId="0" borderId="0"/>
    <xf numFmtId="167" fontId="105" fillId="0" borderId="0">
      <alignment horizontal="left" vertical="top"/>
    </xf>
    <xf numFmtId="181" fontId="91" fillId="0" borderId="0" applyFill="0" applyBorder="0">
      <alignment horizontal="left" vertical="top"/>
    </xf>
    <xf numFmtId="0" fontId="88" fillId="0" borderId="0" applyFill="0" applyBorder="0">
      <alignment horizontal="left" vertical="top" wrapText="1"/>
    </xf>
    <xf numFmtId="0" fontId="91" fillId="0" borderId="0" applyFill="0" applyBorder="0">
      <alignment horizontal="left" vertical="top"/>
    </xf>
    <xf numFmtId="0" fontId="106" fillId="0" borderId="0">
      <alignment horizontal="left" vertical="top" wrapText="1"/>
    </xf>
    <xf numFmtId="0" fontId="107" fillId="0" borderId="0">
      <alignment horizontal="left" vertical="top" wrapText="1"/>
    </xf>
    <xf numFmtId="0" fontId="90" fillId="0" borderId="0">
      <alignment horizontal="left" vertical="top" wrapText="1"/>
    </xf>
    <xf numFmtId="0" fontId="108" fillId="0" borderId="0" applyNumberFormat="0" applyFill="0" applyBorder="0" applyAlignment="0" applyProtection="0"/>
    <xf numFmtId="0" fontId="87" fillId="42" borderId="0">
      <alignment horizontal="right" vertical="center"/>
    </xf>
    <xf numFmtId="0" fontId="5" fillId="43" borderId="0"/>
    <xf numFmtId="203" fontId="109" fillId="0" borderId="0"/>
    <xf numFmtId="204" fontId="109" fillId="0" borderId="0"/>
    <xf numFmtId="0" fontId="110" fillId="0" borderId="0" applyNumberFormat="0" applyFill="0" applyProtection="0">
      <alignment horizontal="left"/>
    </xf>
    <xf numFmtId="0" fontId="111" fillId="0" borderId="0" applyNumberFormat="0" applyFill="0" applyBorder="0" applyAlignment="0" applyProtection="0"/>
    <xf numFmtId="0" fontId="78" fillId="0" borderId="0" applyNumberFormat="0" applyFill="0" applyBorder="0" applyAlignment="0">
      <protection locked="0"/>
    </xf>
    <xf numFmtId="0" fontId="112" fillId="0" borderId="0" applyNumberFormat="0" applyFill="0" applyBorder="0" applyAlignment="0"/>
    <xf numFmtId="38" fontId="113" fillId="0" borderId="0"/>
    <xf numFmtId="38" fontId="114" fillId="0" borderId="0"/>
    <xf numFmtId="38" fontId="115" fillId="0" borderId="0"/>
    <xf numFmtId="38" fontId="116" fillId="0" borderId="0"/>
    <xf numFmtId="0" fontId="117" fillId="0" borderId="0"/>
    <xf numFmtId="0" fontId="117" fillId="0" borderId="0"/>
    <xf numFmtId="0" fontId="87" fillId="44" borderId="0">
      <alignment horizontal="right" vertical="center"/>
    </xf>
    <xf numFmtId="205" fontId="5" fillId="0" borderId="0" applyFont="0" applyFill="0" applyBorder="0" applyAlignment="0" applyProtection="0"/>
    <xf numFmtId="49" fontId="118" fillId="40" borderId="0">
      <alignment horizontal="centerContinuous" vertical="center"/>
    </xf>
    <xf numFmtId="0" fontId="119" fillId="0" borderId="0"/>
    <xf numFmtId="0" fontId="47" fillId="0" borderId="0">
      <alignment horizontal="left"/>
    </xf>
    <xf numFmtId="181" fontId="120" fillId="0" borderId="0"/>
    <xf numFmtId="181" fontId="120" fillId="0" borderId="0"/>
    <xf numFmtId="0" fontId="120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2" fillId="41" borderId="0">
      <alignment horizontal="left" vertical="top" wrapText="1"/>
    </xf>
    <xf numFmtId="10" fontId="79" fillId="0" borderId="27"/>
    <xf numFmtId="10" fontId="79" fillId="0" borderId="27"/>
    <xf numFmtId="10" fontId="79" fillId="0" borderId="27"/>
    <xf numFmtId="10" fontId="79" fillId="0" borderId="27"/>
    <xf numFmtId="49" fontId="123" fillId="0" borderId="30" applyFill="0" applyProtection="0">
      <alignment vertical="center"/>
    </xf>
    <xf numFmtId="0" fontId="47" fillId="0" borderId="0"/>
    <xf numFmtId="0" fontId="124" fillId="0" borderId="0"/>
    <xf numFmtId="9" fontId="82" fillId="0" borderId="0" applyFont="0" applyFill="0" applyBorder="0" applyAlignment="0" applyProtection="0"/>
    <xf numFmtId="0" fontId="125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26" fillId="0" borderId="0" applyFont="0" applyFill="0" applyBorder="0" applyAlignment="0" applyProtection="0">
      <alignment horizontal="center"/>
    </xf>
    <xf numFmtId="0" fontId="126" fillId="0" borderId="0" applyFont="0" applyFill="0" applyBorder="0" applyAlignment="0" applyProtection="0">
      <alignment horizontal="center"/>
    </xf>
    <xf numFmtId="0" fontId="126" fillId="0" borderId="0" applyFont="0" applyFill="0" applyBorder="0" applyAlignment="0" applyProtection="0">
      <alignment horizont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27" fillId="0" borderId="30"/>
    <xf numFmtId="10" fontId="47" fillId="0" borderId="15"/>
    <xf numFmtId="10" fontId="5" fillId="0" borderId="0"/>
    <xf numFmtId="2" fontId="79" fillId="0" borderId="0">
      <alignment horizontal="right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0"/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13" fillId="0" borderId="0">
      <alignment horizontal="center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25" fillId="42" borderId="38" applyNumberFormat="0" applyProtection="0">
      <alignment horizontal="left" vertical="center" indent="1"/>
    </xf>
    <xf numFmtId="206" fontId="128" fillId="45" borderId="38" applyProtection="0">
      <alignment horizontal="right" vertical="center"/>
    </xf>
    <xf numFmtId="0" fontId="129" fillId="43" borderId="0" applyNumberFormat="0" applyFont="0" applyBorder="0" applyAlignment="0" applyProtection="0"/>
    <xf numFmtId="0" fontId="87" fillId="40" borderId="0">
      <alignment horizontal="right" vertical="center"/>
    </xf>
    <xf numFmtId="0" fontId="5" fillId="0" borderId="0"/>
    <xf numFmtId="0" fontId="5" fillId="0" borderId="0"/>
    <xf numFmtId="181" fontId="128" fillId="0" borderId="0" applyNumberFormat="0" applyBorder="0" applyAlignment="0"/>
    <xf numFmtId="0" fontId="128" fillId="0" borderId="0" applyNumberFormat="0" applyBorder="0" applyAlignment="0"/>
    <xf numFmtId="181" fontId="130" fillId="0" borderId="0" applyNumberFormat="0" applyBorder="0" applyAlignment="0"/>
    <xf numFmtId="0" fontId="130" fillId="0" borderId="0" applyNumberFormat="0" applyBorder="0" applyAlignment="0"/>
    <xf numFmtId="181" fontId="131" fillId="0" borderId="0" applyNumberFormat="0" applyBorder="0" applyAlignment="0"/>
    <xf numFmtId="0" fontId="131" fillId="0" borderId="0" applyNumberFormat="0" applyBorder="0" applyAlignment="0"/>
    <xf numFmtId="181" fontId="131" fillId="0" borderId="0" applyNumberFormat="0" applyBorder="0" applyAlignment="0"/>
    <xf numFmtId="0" fontId="131" fillId="0" borderId="0" applyNumberFormat="0" applyBorder="0" applyAlignment="0"/>
    <xf numFmtId="181" fontId="132" fillId="0" borderId="0" applyNumberFormat="0" applyBorder="0" applyAlignment="0"/>
    <xf numFmtId="0" fontId="132" fillId="0" borderId="0" applyNumberFormat="0" applyBorder="0" applyAlignment="0"/>
    <xf numFmtId="181" fontId="133" fillId="15" borderId="0" applyNumberFormat="0" applyBorder="0" applyAlignment="0"/>
    <xf numFmtId="0" fontId="133" fillId="15" borderId="0" applyNumberFormat="0" applyBorder="0" applyAlignment="0"/>
    <xf numFmtId="181" fontId="134" fillId="15" borderId="0" applyNumberFormat="0" applyBorder="0" applyAlignment="0"/>
    <xf numFmtId="0" fontId="134" fillId="15" borderId="0" applyNumberFormat="0" applyBorder="0" applyAlignment="0"/>
    <xf numFmtId="181" fontId="135" fillId="0" borderId="0" applyNumberFormat="0" applyBorder="0" applyAlignment="0"/>
    <xf numFmtId="0" fontId="135" fillId="0" borderId="0" applyNumberFormat="0" applyBorder="0" applyAlignment="0"/>
    <xf numFmtId="181" fontId="135" fillId="0" borderId="0" applyNumberFormat="0" applyBorder="0" applyAlignment="0"/>
    <xf numFmtId="0" fontId="135" fillId="0" borderId="0" applyNumberFormat="0" applyBorder="0" applyAlignment="0"/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"/>
    </xf>
    <xf numFmtId="0" fontId="136" fillId="41" borderId="0"/>
    <xf numFmtId="0" fontId="8" fillId="41" borderId="0">
      <alignment horizontal="left"/>
    </xf>
    <xf numFmtId="0" fontId="8" fillId="41" borderId="0">
      <alignment horizontal="left" indent="1"/>
    </xf>
    <xf numFmtId="0" fontId="8" fillId="41" borderId="0">
      <alignment horizontal="left" vertical="center" indent="2"/>
    </xf>
    <xf numFmtId="0" fontId="137" fillId="0" borderId="39" applyNumberFormat="0" applyFill="0" applyBorder="0" applyAlignment="0" applyProtection="0">
      <alignment horizontal="left"/>
    </xf>
    <xf numFmtId="0" fontId="82" fillId="0" borderId="40" applyNumberFormat="0" applyFont="0" applyFill="0" applyAlignment="0" applyProtection="0"/>
    <xf numFmtId="0" fontId="138" fillId="0" borderId="0"/>
    <xf numFmtId="1" fontId="139" fillId="0" borderId="30">
      <alignment horizontal="center"/>
    </xf>
    <xf numFmtId="207" fontId="79" fillId="0" borderId="0" applyFont="0" applyFill="0" applyBorder="0" applyAlignment="0" applyProtection="0">
      <alignment horizontal="right" vertical="center"/>
    </xf>
    <xf numFmtId="0" fontId="5" fillId="0" borderId="0"/>
    <xf numFmtId="0" fontId="5" fillId="0" borderId="0"/>
    <xf numFmtId="0" fontId="8" fillId="0" borderId="0"/>
    <xf numFmtId="0" fontId="183" fillId="0" borderId="0"/>
    <xf numFmtId="0" fontId="5" fillId="0" borderId="0"/>
    <xf numFmtId="0" fontId="220" fillId="0" borderId="0"/>
    <xf numFmtId="0" fontId="220" fillId="0" borderId="0"/>
    <xf numFmtId="0" fontId="220" fillId="0" borderId="0"/>
    <xf numFmtId="2" fontId="77" fillId="0" borderId="0"/>
    <xf numFmtId="184" fontId="79" fillId="0" borderId="0"/>
    <xf numFmtId="184" fontId="79" fillId="0" borderId="0"/>
    <xf numFmtId="184" fontId="79" fillId="0" borderId="0"/>
    <xf numFmtId="184" fontId="79" fillId="0" borderId="0"/>
    <xf numFmtId="0" fontId="19" fillId="11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221" fillId="13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4" borderId="0" applyNumberFormat="0" applyBorder="0" applyAlignment="0" applyProtection="0"/>
    <xf numFmtId="0" fontId="19" fillId="4" borderId="0" applyNumberFormat="0" applyBorder="0" applyAlignment="0" applyProtection="0"/>
    <xf numFmtId="0" fontId="19" fillId="14" borderId="0" applyNumberFormat="0" applyBorder="0" applyAlignment="0" applyProtection="0"/>
    <xf numFmtId="0" fontId="19" fillId="20" borderId="0" applyNumberFormat="0" applyBorder="0" applyAlignment="0" applyProtection="0"/>
    <xf numFmtId="0" fontId="19" fillId="16" borderId="0" applyNumberFormat="0" applyBorder="0" applyAlignment="0" applyProtection="0"/>
    <xf numFmtId="0" fontId="19" fillId="4" borderId="0" applyNumberFormat="0" applyBorder="0" applyAlignment="0" applyProtection="0"/>
    <xf numFmtId="0" fontId="19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5" borderId="0" applyNumberFormat="0" applyBorder="0" applyAlignment="0" applyProtection="0"/>
    <xf numFmtId="0" fontId="21" fillId="24" borderId="0" applyNumberFormat="0" applyBorder="0" applyAlignment="0" applyProtection="0"/>
    <xf numFmtId="0" fontId="21" fillId="26" borderId="0" applyNumberFormat="0" applyBorder="0" applyAlignment="0" applyProtection="0"/>
    <xf numFmtId="0" fontId="21" fillId="19" borderId="0" applyNumberFormat="0" applyBorder="0" applyAlignment="0" applyProtection="0"/>
    <xf numFmtId="0" fontId="21" fillId="24" borderId="0" applyNumberFormat="0" applyBorder="0" applyAlignment="0" applyProtection="0"/>
    <xf numFmtId="0" fontId="48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208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208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208" fontId="47" fillId="0" borderId="0"/>
    <xf numFmtId="0" fontId="47" fillId="0" borderId="0"/>
    <xf numFmtId="208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208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22" fillId="13" borderId="0" applyNumberFormat="0" applyBorder="0" applyAlignment="0" applyProtection="0"/>
    <xf numFmtId="0" fontId="24" fillId="70" borderId="0"/>
    <xf numFmtId="3" fontId="222" fillId="0" borderId="69"/>
    <xf numFmtId="0" fontId="5" fillId="0" borderId="70" applyBorder="0">
      <alignment horizontal="center" vertical="center"/>
    </xf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208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208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208" fontId="84" fillId="0" borderId="0"/>
    <xf numFmtId="0" fontId="84" fillId="0" borderId="0"/>
    <xf numFmtId="208" fontId="78" fillId="0" borderId="0"/>
    <xf numFmtId="0" fontId="78" fillId="0" borderId="0"/>
    <xf numFmtId="0" fontId="78" fillId="0" borderId="0"/>
    <xf numFmtId="0" fontId="78" fillId="0" borderId="0"/>
    <xf numFmtId="208" fontId="84" fillId="0" borderId="0"/>
    <xf numFmtId="0" fontId="84" fillId="0" borderId="0"/>
    <xf numFmtId="0" fontId="84" fillId="0" borderId="0"/>
    <xf numFmtId="0" fontId="84" fillId="0" borderId="0"/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208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47" fillId="0" borderId="0">
      <alignment horizontal="right"/>
    </xf>
    <xf numFmtId="0" fontId="84" fillId="0" borderId="0"/>
    <xf numFmtId="0" fontId="84" fillId="0" borderId="0"/>
    <xf numFmtId="208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23" fillId="18" borderId="13" applyNumberFormat="0" applyAlignment="0" applyProtection="0"/>
    <xf numFmtId="0" fontId="23" fillId="18" borderId="13" applyNumberFormat="0" applyAlignment="0" applyProtection="0"/>
    <xf numFmtId="0" fontId="38" fillId="0" borderId="21" applyNumberFormat="0" applyFill="0" applyAlignment="0" applyProtection="0"/>
    <xf numFmtId="0" fontId="24" fillId="31" borderId="14" applyNumberFormat="0" applyAlignment="0" applyProtection="0"/>
    <xf numFmtId="0" fontId="5" fillId="5" borderId="22" applyNumberFormat="0" applyFont="0" applyAlignment="0" applyProtection="0"/>
    <xf numFmtId="0" fontId="5" fillId="5" borderId="22" applyNumberFormat="0" applyFont="0" applyAlignment="0" applyProtection="0"/>
    <xf numFmtId="0" fontId="5" fillId="5" borderId="22" applyNumberFormat="0" applyFont="0" applyAlignment="0" applyProtection="0"/>
    <xf numFmtId="0" fontId="36" fillId="14" borderId="13" applyNumberFormat="0" applyAlignment="0" applyProtection="0"/>
    <xf numFmtId="188" fontId="5" fillId="0" borderId="0" applyFont="0" applyFill="0" applyBorder="0" applyAlignment="0" applyProtection="0"/>
    <xf numFmtId="188" fontId="5" fillId="0" borderId="0" applyFont="0" applyFill="0" applyBorder="0" applyAlignment="0" applyProtection="0"/>
    <xf numFmtId="188" fontId="5" fillId="0" borderId="0" applyFont="0" applyFill="0" applyBorder="0" applyAlignment="0" applyProtection="0"/>
    <xf numFmtId="209" fontId="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92" fillId="0" borderId="0">
      <alignment horizontal="center" wrapText="1"/>
    </xf>
    <xf numFmtId="0" fontId="91" fillId="0" borderId="0" applyFill="0" applyBorder="0">
      <alignment horizontal="left" vertical="top"/>
    </xf>
    <xf numFmtId="0" fontId="27" fillId="15" borderId="0" applyNumberFormat="0" applyBorder="0" applyAlignment="0" applyProtection="0"/>
    <xf numFmtId="0" fontId="28" fillId="0" borderId="16" applyNumberFormat="0" applyFill="0" applyAlignment="0" applyProtection="0"/>
    <xf numFmtId="0" fontId="30" fillId="0" borderId="18" applyNumberFormat="0" applyFill="0" applyAlignment="0" applyProtection="0"/>
    <xf numFmtId="0" fontId="32" fillId="0" borderId="19" applyNumberFormat="0" applyFill="0" applyAlignment="0" applyProtection="0"/>
    <xf numFmtId="0" fontId="32" fillId="0" borderId="0" applyNumberFormat="0" applyFill="0" applyBorder="0" applyAlignment="0" applyProtection="0"/>
    <xf numFmtId="0" fontId="36" fillId="18" borderId="13" applyNumberFormat="0" applyAlignment="0" applyProtection="0"/>
    <xf numFmtId="0" fontId="22" fillId="13" borderId="0" applyNumberFormat="0" applyBorder="0" applyAlignment="0" applyProtection="0"/>
    <xf numFmtId="208" fontId="117" fillId="0" borderId="0"/>
    <xf numFmtId="0" fontId="223" fillId="0" borderId="0" applyNumberFormat="0" applyFill="0" applyBorder="0" applyAlignment="0" applyProtection="0">
      <alignment vertical="top"/>
      <protection locked="0"/>
    </xf>
    <xf numFmtId="173" fontId="5" fillId="0" borderId="0" applyFont="0" applyFill="0" applyBorder="0" applyAlignment="0" applyProtection="0"/>
    <xf numFmtId="173" fontId="5" fillId="0" borderId="0" applyFont="0" applyFill="0" applyBorder="0" applyAlignment="0" applyProtection="0"/>
    <xf numFmtId="173" fontId="19" fillId="0" borderId="0" applyFont="0" applyFill="0" applyBorder="0" applyAlignment="0" applyProtection="0"/>
    <xf numFmtId="173" fontId="5" fillId="0" borderId="0" applyFont="0" applyFill="0" applyBorder="0" applyAlignment="0" applyProtection="0"/>
    <xf numFmtId="173" fontId="19" fillId="0" borderId="0" applyFont="0" applyFill="0" applyBorder="0" applyAlignment="0" applyProtection="0"/>
    <xf numFmtId="188" fontId="224" fillId="0" borderId="0" applyFont="0" applyFill="0" applyBorder="0" applyAlignment="0" applyProtection="0"/>
    <xf numFmtId="0" fontId="41" fillId="21" borderId="0" applyNumberFormat="0" applyBorder="0" applyAlignment="0" applyProtection="0"/>
    <xf numFmtId="0" fontId="41" fillId="21" borderId="0" applyNumberFormat="0" applyBorder="0" applyAlignment="0" applyProtection="0"/>
    <xf numFmtId="0" fontId="12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19" fillId="0" borderId="0"/>
    <xf numFmtId="0" fontId="19" fillId="0" borderId="0"/>
    <xf numFmtId="0" fontId="5" fillId="0" borderId="0"/>
    <xf numFmtId="0" fontId="19" fillId="0" borderId="0"/>
    <xf numFmtId="208" fontId="19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0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08" fontId="5" fillId="0" borderId="0"/>
    <xf numFmtId="0" fontId="19" fillId="0" borderId="0"/>
    <xf numFmtId="0" fontId="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10" fontId="5" fillId="0" borderId="0"/>
    <xf numFmtId="0" fontId="5" fillId="0" borderId="0"/>
    <xf numFmtId="0" fontId="19" fillId="0" borderId="0"/>
    <xf numFmtId="208" fontId="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1" fontId="5" fillId="0" borderId="0"/>
    <xf numFmtId="0" fontId="19" fillId="0" borderId="0"/>
    <xf numFmtId="0" fontId="19" fillId="0" borderId="0"/>
    <xf numFmtId="181" fontId="5" fillId="0" borderId="0"/>
    <xf numFmtId="0" fontId="19" fillId="0" borderId="0"/>
    <xf numFmtId="0" fontId="19" fillId="0" borderId="0"/>
    <xf numFmtId="0" fontId="19" fillId="0" borderId="0"/>
    <xf numFmtId="0" fontId="5" fillId="0" borderId="0"/>
    <xf numFmtId="0" fontId="5" fillId="0" borderId="0"/>
    <xf numFmtId="0" fontId="19" fillId="0" borderId="0"/>
    <xf numFmtId="0" fontId="19" fillId="0" borderId="0"/>
    <xf numFmtId="0" fontId="19" fillId="0" borderId="0"/>
    <xf numFmtId="0" fontId="5" fillId="0" borderId="0"/>
    <xf numFmtId="208" fontId="19" fillId="0" borderId="0"/>
    <xf numFmtId="0" fontId="5" fillId="0" borderId="0"/>
    <xf numFmtId="208" fontId="19" fillId="0" borderId="0"/>
    <xf numFmtId="0" fontId="5" fillId="0" borderId="0"/>
    <xf numFmtId="208" fontId="19" fillId="0" borderId="0"/>
    <xf numFmtId="0" fontId="5" fillId="0" borderId="0"/>
    <xf numFmtId="0" fontId="19" fillId="5" borderId="22" applyNumberFormat="0" applyFont="0" applyAlignment="0" applyProtection="0"/>
    <xf numFmtId="0" fontId="43" fillId="12" borderId="23" applyNumberFormat="0" applyAlignment="0" applyProtection="0"/>
    <xf numFmtId="10" fontId="79" fillId="0" borderId="27"/>
    <xf numFmtId="10" fontId="79" fillId="0" borderId="27"/>
    <xf numFmtId="10" fontId="79" fillId="0" borderId="27"/>
    <xf numFmtId="10" fontId="79" fillId="0" borderId="27"/>
    <xf numFmtId="10" fontId="79" fillId="0" borderId="27"/>
    <xf numFmtId="10" fontId="79" fillId="0" borderId="27"/>
    <xf numFmtId="10" fontId="79" fillId="0" borderId="27"/>
    <xf numFmtId="10" fontId="79" fillId="0" borderId="27"/>
    <xf numFmtId="10" fontId="79" fillId="0" borderId="27"/>
    <xf numFmtId="10" fontId="79" fillId="0" borderId="27"/>
    <xf numFmtId="10" fontId="79" fillId="0" borderId="27"/>
    <xf numFmtId="10" fontId="79" fillId="0" borderId="27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08" fontId="126" fillId="0" borderId="0" applyFont="0" applyFill="0" applyBorder="0" applyAlignment="0" applyProtection="0">
      <alignment horizontal="center"/>
    </xf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208" fontId="37" fillId="0" borderId="35">
      <protection locked="0"/>
    </xf>
    <xf numFmtId="0" fontId="37" fillId="0" borderId="35">
      <protection locked="0"/>
    </xf>
    <xf numFmtId="0" fontId="37" fillId="0" borderId="35">
      <protection locked="0"/>
    </xf>
    <xf numFmtId="208" fontId="37" fillId="0" borderId="35">
      <protection locked="0"/>
    </xf>
    <xf numFmtId="208" fontId="37" fillId="0" borderId="35">
      <protection locked="0"/>
    </xf>
    <xf numFmtId="0" fontId="37" fillId="0" borderId="0"/>
    <xf numFmtId="0" fontId="37" fillId="0" borderId="0"/>
    <xf numFmtId="0" fontId="37" fillId="0" borderId="0"/>
    <xf numFmtId="208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208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208" fontId="37" fillId="0" borderId="0"/>
    <xf numFmtId="0" fontId="37" fillId="0" borderId="0"/>
    <xf numFmtId="208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208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208" fontId="13" fillId="0" borderId="0">
      <alignment horizontal="center"/>
    </xf>
    <xf numFmtId="0" fontId="13" fillId="0" borderId="0">
      <alignment horizontal="center"/>
    </xf>
    <xf numFmtId="0" fontId="13" fillId="0" borderId="0">
      <alignment horizontal="center"/>
    </xf>
    <xf numFmtId="0" fontId="13" fillId="0" borderId="0">
      <alignment horizontal="center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37" fillId="0" borderId="35">
      <alignment horizontal="centerContinuous"/>
    </xf>
    <xf numFmtId="0" fontId="37" fillId="0" borderId="35">
      <alignment horizontal="centerContinuous"/>
    </xf>
    <xf numFmtId="208" fontId="37" fillId="0" borderId="35">
      <alignment horizontal="centerContinuous"/>
    </xf>
    <xf numFmtId="208" fontId="37" fillId="0" borderId="35">
      <alignment horizontal="centerContinuous"/>
    </xf>
    <xf numFmtId="0" fontId="27" fillId="15" borderId="0" applyNumberFormat="0" applyBorder="0" applyAlignment="0" applyProtection="0"/>
    <xf numFmtId="211" fontId="225" fillId="0" borderId="0" applyNumberFormat="0" applyFill="0" applyBorder="0" applyAlignment="0" applyProtection="0"/>
    <xf numFmtId="211" fontId="226" fillId="71" borderId="0" applyNumberFormat="0" applyFont="0" applyBorder="0" applyAlignment="0" applyProtection="0"/>
    <xf numFmtId="0" fontId="226" fillId="0" borderId="0" applyFill="0" applyBorder="0" applyProtection="0"/>
    <xf numFmtId="211" fontId="226" fillId="63" borderId="0" applyNumberFormat="0" applyFont="0" applyBorder="0" applyAlignment="0" applyProtection="0"/>
    <xf numFmtId="212" fontId="226" fillId="0" borderId="0" applyFill="0" applyBorder="0" applyAlignment="0" applyProtection="0"/>
    <xf numFmtId="211" fontId="227" fillId="0" borderId="0" applyNumberFormat="0" applyAlignment="0" applyProtection="0"/>
    <xf numFmtId="0" fontId="228" fillId="0" borderId="71" applyProtection="0">
      <alignment horizontal="right" wrapText="1"/>
    </xf>
    <xf numFmtId="0" fontId="228" fillId="0" borderId="0" applyProtection="0">
      <alignment wrapText="1"/>
    </xf>
    <xf numFmtId="211" fontId="229" fillId="0" borderId="72" applyNumberFormat="0" applyFill="0" applyAlignment="0" applyProtection="0"/>
    <xf numFmtId="0" fontId="230" fillId="0" borderId="0" applyAlignment="0" applyProtection="0"/>
    <xf numFmtId="211" fontId="229" fillId="0" borderId="73" applyNumberFormat="0" applyFill="0" applyAlignment="0" applyProtection="0"/>
    <xf numFmtId="0" fontId="43" fillId="18" borderId="23" applyNumberForma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Continuous"/>
    </xf>
    <xf numFmtId="0" fontId="81" fillId="0" borderId="30">
      <alignment horizontal="centerContinuous"/>
    </xf>
    <xf numFmtId="208" fontId="81" fillId="0" borderId="30">
      <alignment horizontal="centerContinuous"/>
    </xf>
    <xf numFmtId="208" fontId="81" fillId="0" borderId="30">
      <alignment horizontal="centerContinuous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208" fontId="81" fillId="0" borderId="30">
      <alignment horizontal="center"/>
    </xf>
    <xf numFmtId="0" fontId="81" fillId="0" borderId="30">
      <alignment horizontal="center"/>
    </xf>
    <xf numFmtId="0" fontId="81" fillId="0" borderId="30">
      <alignment horizontal="center"/>
    </xf>
    <xf numFmtId="208" fontId="81" fillId="0" borderId="30">
      <alignment horizontal="center"/>
    </xf>
    <xf numFmtId="208" fontId="81" fillId="0" borderId="30">
      <alignment horizontal="center"/>
    </xf>
    <xf numFmtId="0" fontId="26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17" applyNumberFormat="0" applyFill="0" applyAlignment="0" applyProtection="0"/>
    <xf numFmtId="0" fontId="31" fillId="0" borderId="18" applyNumberFormat="0" applyFill="0" applyAlignment="0" applyProtection="0"/>
    <xf numFmtId="0" fontId="33" fillId="0" borderId="20" applyNumberFormat="0" applyFill="0" applyAlignment="0" applyProtection="0"/>
    <xf numFmtId="0" fontId="33" fillId="0" borderId="0" applyNumberFormat="0" applyFill="0" applyBorder="0" applyAlignment="0" applyProtection="0"/>
    <xf numFmtId="0" fontId="24" fillId="31" borderId="14" applyNumberFormat="0" applyAlignment="0" applyProtection="0"/>
    <xf numFmtId="0" fontId="48" fillId="0" borderId="0" applyNumberFormat="0" applyFill="0" applyBorder="0" applyAlignment="0" applyProtection="0"/>
  </cellStyleXfs>
  <cellXfs count="492">
    <xf numFmtId="0" fontId="0" fillId="0" borderId="0" xfId="0"/>
    <xf numFmtId="0" fontId="2" fillId="0" borderId="0" xfId="0" applyFont="1"/>
    <xf numFmtId="0" fontId="6" fillId="0" borderId="0" xfId="3" applyFont="1"/>
    <xf numFmtId="0" fontId="7" fillId="3" borderId="0" xfId="2" applyFont="1"/>
    <xf numFmtId="0" fontId="8" fillId="0" borderId="0" xfId="3" applyFont="1"/>
    <xf numFmtId="0" fontId="11" fillId="7" borderId="0" xfId="3" applyFont="1" applyFill="1"/>
    <xf numFmtId="0" fontId="11" fillId="7" borderId="0" xfId="3" applyFont="1" applyFill="1" applyAlignment="1">
      <alignment horizontal="center"/>
    </xf>
    <xf numFmtId="0" fontId="8" fillId="0" borderId="0" xfId="3" applyFont="1" applyFill="1"/>
    <xf numFmtId="0" fontId="12" fillId="0" borderId="0" xfId="3" applyFont="1"/>
    <xf numFmtId="0" fontId="12" fillId="0" borderId="0" xfId="3" applyFont="1" applyAlignment="1">
      <alignment horizontal="right"/>
    </xf>
    <xf numFmtId="3" fontId="6" fillId="0" borderId="0" xfId="3" applyNumberFormat="1" applyFont="1"/>
    <xf numFmtId="0" fontId="10" fillId="0" borderId="1" xfId="3" applyFont="1" applyBorder="1"/>
    <xf numFmtId="3" fontId="10" fillId="0" borderId="1" xfId="3" applyNumberFormat="1" applyFont="1" applyBorder="1"/>
    <xf numFmtId="165" fontId="6" fillId="0" borderId="0" xfId="4" applyNumberFormat="1" applyFont="1" applyAlignment="1">
      <alignment horizontal="center"/>
    </xf>
    <xf numFmtId="166" fontId="6" fillId="0" borderId="0" xfId="3" applyNumberFormat="1" applyFont="1"/>
    <xf numFmtId="0" fontId="14" fillId="0" borderId="0" xfId="5" applyFont="1" applyAlignment="1">
      <alignment horizontal="center"/>
    </xf>
    <xf numFmtId="0" fontId="15" fillId="0" borderId="0" xfId="5" applyFont="1"/>
    <xf numFmtId="0" fontId="16" fillId="0" borderId="0" xfId="5" applyFont="1"/>
    <xf numFmtId="0" fontId="17" fillId="0" borderId="0" xfId="5" applyFont="1" applyAlignment="1">
      <alignment horizontal="center" wrapText="1"/>
    </xf>
    <xf numFmtId="0" fontId="16" fillId="0" borderId="0" xfId="5" applyFont="1" applyAlignment="1">
      <alignment horizontal="center" wrapText="1"/>
    </xf>
    <xf numFmtId="0" fontId="16" fillId="0" borderId="0" xfId="5" applyFont="1" applyAlignment="1">
      <alignment horizontal="center"/>
    </xf>
    <xf numFmtId="0" fontId="14" fillId="0" borderId="0" xfId="5" applyFont="1"/>
    <xf numFmtId="0" fontId="17" fillId="0" borderId="2" xfId="5" applyFont="1" applyBorder="1" applyAlignment="1">
      <alignment horizontal="left" wrapText="1"/>
    </xf>
    <xf numFmtId="167" fontId="17" fillId="0" borderId="3" xfId="5" applyNumberFormat="1" applyFont="1" applyFill="1" applyBorder="1" applyAlignment="1">
      <alignment horizontal="center"/>
    </xf>
    <xf numFmtId="167" fontId="16" fillId="9" borderId="4" xfId="5" applyNumberFormat="1" applyFont="1" applyFill="1" applyBorder="1" applyAlignment="1">
      <alignment horizontal="center"/>
    </xf>
    <xf numFmtId="167" fontId="16" fillId="10" borderId="5" xfId="5" applyNumberFormat="1" applyFont="1" applyFill="1" applyBorder="1" applyAlignment="1">
      <alignment horizontal="center"/>
    </xf>
    <xf numFmtId="167" fontId="16" fillId="9" borderId="5" xfId="5" applyNumberFormat="1" applyFont="1" applyFill="1" applyBorder="1" applyAlignment="1">
      <alignment horizontal="center"/>
    </xf>
    <xf numFmtId="0" fontId="18" fillId="0" borderId="0" xfId="5" applyFont="1" applyAlignment="1">
      <alignment horizontal="left"/>
    </xf>
    <xf numFmtId="0" fontId="17" fillId="0" borderId="6" xfId="5" applyFont="1" applyBorder="1" applyAlignment="1">
      <alignment horizontal="left" wrapText="1"/>
    </xf>
    <xf numFmtId="167" fontId="17" fillId="0" borderId="7" xfId="5" applyNumberFormat="1" applyFont="1" applyFill="1" applyBorder="1" applyAlignment="1">
      <alignment horizontal="center"/>
    </xf>
    <xf numFmtId="167" fontId="16" fillId="10" borderId="4" xfId="5" applyNumberFormat="1" applyFont="1" applyFill="1" applyBorder="1" applyAlignment="1">
      <alignment horizontal="center"/>
    </xf>
    <xf numFmtId="167" fontId="17" fillId="9" borderId="8" xfId="5" applyNumberFormat="1" applyFont="1" applyFill="1" applyBorder="1" applyAlignment="1">
      <alignment horizontal="center"/>
    </xf>
    <xf numFmtId="0" fontId="17" fillId="0" borderId="9" xfId="5" applyFont="1" applyBorder="1"/>
    <xf numFmtId="168" fontId="17" fillId="9" borderId="10" xfId="5" applyNumberFormat="1" applyFont="1" applyFill="1" applyBorder="1" applyAlignment="1">
      <alignment horizontal="center"/>
    </xf>
    <xf numFmtId="169" fontId="16" fillId="10" borderId="4" xfId="5" applyNumberFormat="1" applyFont="1" applyFill="1" applyBorder="1" applyAlignment="1">
      <alignment horizontal="center"/>
    </xf>
    <xf numFmtId="170" fontId="16" fillId="10" borderId="5" xfId="5" applyNumberFormat="1" applyFont="1" applyFill="1" applyBorder="1" applyAlignment="1">
      <alignment horizontal="center"/>
    </xf>
    <xf numFmtId="169" fontId="16" fillId="9" borderId="5" xfId="5" applyNumberFormat="1" applyFont="1" applyFill="1" applyBorder="1" applyAlignment="1">
      <alignment horizontal="center"/>
    </xf>
    <xf numFmtId="171" fontId="16" fillId="9" borderId="5" xfId="5" applyNumberFormat="1" applyFont="1" applyFill="1" applyBorder="1" applyAlignment="1">
      <alignment horizontal="center"/>
    </xf>
    <xf numFmtId="0" fontId="16" fillId="10" borderId="11" xfId="5" applyFont="1" applyFill="1" applyBorder="1" applyAlignment="1">
      <alignment horizontal="center"/>
    </xf>
    <xf numFmtId="0" fontId="16" fillId="9" borderId="12" xfId="5" applyFont="1" applyFill="1" applyBorder="1"/>
    <xf numFmtId="0" fontId="7" fillId="0" borderId="0" xfId="6" applyFont="1"/>
    <xf numFmtId="0" fontId="6" fillId="37" borderId="0" xfId="3" applyFont="1" applyFill="1"/>
    <xf numFmtId="0" fontId="6" fillId="37" borderId="0" xfId="3" applyFont="1" applyFill="1" applyAlignment="1">
      <alignment horizontal="center"/>
    </xf>
    <xf numFmtId="0" fontId="52" fillId="6" borderId="0" xfId="3" applyFont="1" applyFill="1" applyAlignment="1">
      <alignment horizontal="center"/>
    </xf>
    <xf numFmtId="0" fontId="53" fillId="37" borderId="0" xfId="0" applyFont="1" applyFill="1"/>
    <xf numFmtId="0" fontId="52" fillId="37" borderId="0" xfId="3" applyFont="1" applyFill="1"/>
    <xf numFmtId="0" fontId="54" fillId="6" borderId="0" xfId="3" applyFont="1" applyFill="1"/>
    <xf numFmtId="0" fontId="54" fillId="37" borderId="0" xfId="3" applyFont="1" applyFill="1"/>
    <xf numFmtId="0" fontId="55" fillId="7" borderId="0" xfId="3" applyFont="1" applyFill="1"/>
    <xf numFmtId="0" fontId="55" fillId="7" borderId="0" xfId="3" applyFont="1" applyFill="1" applyAlignment="1">
      <alignment horizontal="center"/>
    </xf>
    <xf numFmtId="0" fontId="56" fillId="6" borderId="0" xfId="3" applyFont="1" applyFill="1"/>
    <xf numFmtId="3" fontId="56" fillId="6" borderId="0" xfId="3" applyNumberFormat="1" applyFont="1" applyFill="1" applyAlignment="1">
      <alignment horizontal="center"/>
    </xf>
    <xf numFmtId="0" fontId="57" fillId="8" borderId="1" xfId="3" applyFont="1" applyFill="1" applyBorder="1"/>
    <xf numFmtId="3" fontId="57" fillId="8" borderId="1" xfId="3" applyNumberFormat="1" applyFont="1" applyFill="1" applyBorder="1" applyAlignment="1">
      <alignment horizontal="center"/>
    </xf>
    <xf numFmtId="0" fontId="0" fillId="0" borderId="0" xfId="0" applyAlignment="1"/>
    <xf numFmtId="3" fontId="10" fillId="0" borderId="1" xfId="3" applyNumberFormat="1" applyFont="1" applyBorder="1" applyAlignment="1">
      <alignment horizontal="center"/>
    </xf>
    <xf numFmtId="0" fontId="53" fillId="8" borderId="0" xfId="6" applyFont="1" applyFill="1"/>
    <xf numFmtId="179" fontId="0" fillId="0" borderId="0" xfId="0" applyNumberFormat="1"/>
    <xf numFmtId="9" fontId="0" fillId="0" borderId="0" xfId="0" applyNumberFormat="1"/>
    <xf numFmtId="0" fontId="25" fillId="0" borderId="28" xfId="0" applyFont="1" applyBorder="1"/>
    <xf numFmtId="0" fontId="25" fillId="0" borderId="29" xfId="0" applyFont="1" applyBorder="1"/>
    <xf numFmtId="0" fontId="0" fillId="0" borderId="0" xfId="0" applyBorder="1"/>
    <xf numFmtId="0" fontId="0" fillId="0" borderId="27" xfId="0" applyBorder="1"/>
    <xf numFmtId="0" fontId="0" fillId="0" borderId="30" xfId="0" applyBorder="1"/>
    <xf numFmtId="0" fontId="0" fillId="0" borderId="31" xfId="0" applyBorder="1"/>
    <xf numFmtId="9" fontId="0" fillId="0" borderId="28" xfId="0" applyNumberFormat="1" applyBorder="1"/>
    <xf numFmtId="9" fontId="0" fillId="0" borderId="29" xfId="0" applyNumberFormat="1" applyBorder="1"/>
    <xf numFmtId="0" fontId="0" fillId="0" borderId="32" xfId="0" applyBorder="1"/>
    <xf numFmtId="0" fontId="0" fillId="0" borderId="33" xfId="0" applyBorder="1"/>
    <xf numFmtId="0" fontId="0" fillId="0" borderId="15" xfId="0" applyBorder="1"/>
    <xf numFmtId="0" fontId="0" fillId="0" borderId="0" xfId="0" applyFill="1"/>
    <xf numFmtId="0" fontId="0" fillId="0" borderId="0" xfId="0" applyAlignment="1">
      <alignment vertical="center"/>
    </xf>
    <xf numFmtId="0" fontId="6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1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49" fillId="0" borderId="0" xfId="0" applyFont="1" applyAlignment="1">
      <alignment vertical="center"/>
    </xf>
    <xf numFmtId="0" fontId="63" fillId="0" borderId="0" xfId="0" applyFont="1" applyFill="1" applyAlignment="1">
      <alignment vertical="center" textRotation="90"/>
    </xf>
    <xf numFmtId="0" fontId="65" fillId="0" borderId="0" xfId="0" applyFont="1" applyFill="1" applyBorder="1" applyAlignment="1">
      <alignment vertical="center"/>
    </xf>
    <xf numFmtId="0" fontId="64" fillId="0" borderId="0" xfId="0" applyFont="1" applyFill="1" applyAlignment="1">
      <alignment vertical="center" textRotation="90"/>
    </xf>
    <xf numFmtId="0" fontId="66" fillId="0" borderId="0" xfId="0" applyFont="1" applyFill="1" applyAlignment="1">
      <alignment vertical="center"/>
    </xf>
    <xf numFmtId="0" fontId="67" fillId="0" borderId="0" xfId="0" applyFont="1" applyFill="1" applyAlignment="1">
      <alignment vertical="center"/>
    </xf>
    <xf numFmtId="0" fontId="66" fillId="0" borderId="0" xfId="0" applyFont="1" applyAlignment="1">
      <alignment vertical="center"/>
    </xf>
    <xf numFmtId="180" fontId="0" fillId="0" borderId="0" xfId="0" applyNumberFormat="1" applyAlignment="1">
      <alignment vertical="center"/>
    </xf>
    <xf numFmtId="0" fontId="2" fillId="0" borderId="0" xfId="0" applyFont="1" applyFill="1" applyAlignment="1">
      <alignment vertical="center"/>
    </xf>
    <xf numFmtId="3" fontId="0" fillId="0" borderId="0" xfId="0" applyNumberFormat="1" applyAlignment="1">
      <alignment horizontal="right" vertical="center"/>
    </xf>
    <xf numFmtId="0" fontId="64" fillId="0" borderId="0" xfId="0" applyFont="1" applyFill="1" applyAlignment="1">
      <alignment horizontal="center" vertical="center" textRotation="90"/>
    </xf>
    <xf numFmtId="0" fontId="2" fillId="0" borderId="0" xfId="0" applyFont="1" applyFill="1"/>
    <xf numFmtId="181" fontId="71" fillId="37" borderId="0" xfId="312" applyFont="1" applyFill="1" applyBorder="1" applyAlignment="1">
      <alignment vertical="center"/>
    </xf>
    <xf numFmtId="181" fontId="71" fillId="0" borderId="0" xfId="312" applyFont="1" applyAlignment="1">
      <alignment vertical="center"/>
    </xf>
    <xf numFmtId="181" fontId="70" fillId="37" borderId="0" xfId="312" applyFont="1" applyFill="1" applyBorder="1" applyAlignment="1">
      <alignment vertical="center"/>
    </xf>
    <xf numFmtId="181" fontId="73" fillId="0" borderId="0" xfId="312" applyFont="1" applyAlignment="1">
      <alignment vertical="center"/>
    </xf>
    <xf numFmtId="181" fontId="70" fillId="0" borderId="0" xfId="312" applyFont="1" applyFill="1" applyAlignment="1">
      <alignment vertical="center"/>
    </xf>
    <xf numFmtId="181" fontId="69" fillId="0" borderId="0" xfId="312" applyFont="1"/>
    <xf numFmtId="181" fontId="69" fillId="37" borderId="0" xfId="312" applyFont="1" applyFill="1" applyBorder="1" applyAlignment="1">
      <alignment vertical="center"/>
    </xf>
    <xf numFmtId="181" fontId="69" fillId="0" borderId="0" xfId="312" applyFont="1" applyAlignment="1">
      <alignment horizontal="right" vertical="center"/>
    </xf>
    <xf numFmtId="181" fontId="69" fillId="0" borderId="0" xfId="312" applyFont="1" applyAlignment="1">
      <alignment vertical="center"/>
    </xf>
    <xf numFmtId="0" fontId="69" fillId="0" borderId="0" xfId="312" applyNumberFormat="1" applyFont="1" applyAlignment="1">
      <alignment vertical="center"/>
    </xf>
    <xf numFmtId="181" fontId="69" fillId="0" borderId="0" xfId="312" applyFont="1" applyFill="1"/>
    <xf numFmtId="181" fontId="69" fillId="0" borderId="0" xfId="312" applyFont="1" applyFill="1" applyAlignment="1">
      <alignment horizontal="left"/>
    </xf>
    <xf numFmtId="181" fontId="75" fillId="0" borderId="0" xfId="312" applyFont="1" applyFill="1" applyAlignment="1">
      <alignment horizontal="left"/>
    </xf>
    <xf numFmtId="181" fontId="76" fillId="0" borderId="0" xfId="312" applyFont="1" applyFill="1"/>
    <xf numFmtId="181" fontId="69" fillId="37" borderId="0" xfId="312" applyFont="1" applyFill="1" applyBorder="1"/>
    <xf numFmtId="0" fontId="7" fillId="46" borderId="0" xfId="2" applyFont="1" applyFill="1"/>
    <xf numFmtId="179" fontId="7" fillId="3" borderId="0" xfId="2" applyNumberFormat="1" applyFont="1"/>
    <xf numFmtId="0" fontId="7" fillId="3" borderId="0" xfId="2" applyFont="1" applyAlignment="1"/>
    <xf numFmtId="179" fontId="7" fillId="46" borderId="0" xfId="2" applyNumberFormat="1" applyFont="1" applyFill="1"/>
    <xf numFmtId="0" fontId="140" fillId="3" borderId="0" xfId="2" applyFont="1"/>
    <xf numFmtId="179" fontId="140" fillId="3" borderId="0" xfId="2" applyNumberFormat="1" applyFont="1"/>
    <xf numFmtId="0" fontId="140" fillId="46" borderId="0" xfId="2" applyFont="1" applyFill="1"/>
    <xf numFmtId="179" fontId="140" fillId="46" borderId="0" xfId="2" applyNumberFormat="1" applyFont="1" applyFill="1"/>
    <xf numFmtId="181" fontId="51" fillId="0" borderId="0" xfId="312" applyFont="1" applyAlignment="1">
      <alignment vertical="center"/>
    </xf>
    <xf numFmtId="181" fontId="141" fillId="0" borderId="0" xfId="312" applyFont="1" applyFill="1" applyAlignment="1">
      <alignment vertical="center"/>
    </xf>
    <xf numFmtId="181" fontId="51" fillId="0" borderId="0" xfId="312" applyFont="1"/>
    <xf numFmtId="0" fontId="1" fillId="3" borderId="0" xfId="2" applyFont="1"/>
    <xf numFmtId="0" fontId="1" fillId="46" borderId="0" xfId="2" applyFont="1" applyFill="1"/>
    <xf numFmtId="179" fontId="1" fillId="46" borderId="0" xfId="2" applyNumberFormat="1" applyFont="1" applyFill="1"/>
    <xf numFmtId="0" fontId="68" fillId="46" borderId="0" xfId="2" applyFont="1" applyFill="1"/>
    <xf numFmtId="179" fontId="68" fillId="46" borderId="0" xfId="2" applyNumberFormat="1" applyFont="1" applyFill="1"/>
    <xf numFmtId="0" fontId="1" fillId="48" borderId="0" xfId="2" applyFont="1" applyFill="1"/>
    <xf numFmtId="179" fontId="1" fillId="48" borderId="0" xfId="2" applyNumberFormat="1" applyFont="1" applyFill="1"/>
    <xf numFmtId="0" fontId="68" fillId="48" borderId="0" xfId="2" applyFont="1" applyFill="1"/>
    <xf numFmtId="179" fontId="68" fillId="48" borderId="0" xfId="2" applyNumberFormat="1" applyFont="1" applyFill="1"/>
    <xf numFmtId="0" fontId="1" fillId="3" borderId="0" xfId="2" applyFont="1" applyAlignment="1">
      <alignment wrapText="1"/>
    </xf>
    <xf numFmtId="0" fontId="4" fillId="2" borderId="0" xfId="1" applyFont="1" applyAlignment="1"/>
    <xf numFmtId="0" fontId="6" fillId="0" borderId="0" xfId="3" applyFont="1" applyAlignment="1"/>
    <xf numFmtId="0" fontId="50" fillId="47" borderId="0" xfId="3" applyFont="1" applyFill="1" applyAlignment="1">
      <alignment horizontal="center"/>
    </xf>
    <xf numFmtId="0" fontId="8" fillId="46" borderId="0" xfId="3" applyFont="1" applyFill="1" applyAlignment="1">
      <alignment horizontal="left"/>
    </xf>
    <xf numFmtId="0" fontId="143" fillId="3" borderId="0" xfId="2" applyFont="1" applyAlignment="1">
      <alignment horizontal="left"/>
    </xf>
    <xf numFmtId="0" fontId="0" fillId="0" borderId="0" xfId="0" applyAlignment="1">
      <alignment horizontal="left"/>
    </xf>
    <xf numFmtId="0" fontId="144" fillId="0" borderId="0" xfId="0" applyFont="1" applyAlignment="1">
      <alignment horizontal="left" vertical="center"/>
    </xf>
    <xf numFmtId="0" fontId="145" fillId="0" borderId="0" xfId="3" applyFont="1"/>
    <xf numFmtId="181" fontId="58" fillId="0" borderId="0" xfId="312" applyFont="1" applyAlignment="1">
      <alignment horizontal="right" vertical="center"/>
    </xf>
    <xf numFmtId="181" fontId="58" fillId="0" borderId="0" xfId="312" applyFont="1" applyAlignment="1">
      <alignment vertical="center"/>
    </xf>
    <xf numFmtId="0" fontId="146" fillId="39" borderId="34" xfId="313" applyNumberFormat="1" applyFont="1" applyFill="1" applyBorder="1" applyAlignment="1" applyProtection="1">
      <alignment horizontal="center" vertical="center"/>
    </xf>
    <xf numFmtId="0" fontId="58" fillId="0" borderId="0" xfId="312" applyNumberFormat="1" applyFont="1" applyAlignment="1">
      <alignment vertical="center"/>
    </xf>
    <xf numFmtId="0" fontId="49" fillId="0" borderId="0" xfId="0" applyFont="1"/>
    <xf numFmtId="0" fontId="49" fillId="0" borderId="0" xfId="0" applyFont="1" applyAlignment="1"/>
    <xf numFmtId="0" fontId="147" fillId="0" borderId="0" xfId="3" applyFont="1"/>
    <xf numFmtId="165" fontId="147" fillId="0" borderId="0" xfId="4" applyNumberFormat="1" applyFont="1" applyAlignment="1">
      <alignment horizontal="right"/>
    </xf>
    <xf numFmtId="0" fontId="141" fillId="0" borderId="0" xfId="5" applyFont="1" applyAlignment="1">
      <alignment horizontal="center"/>
    </xf>
    <xf numFmtId="0" fontId="141" fillId="0" borderId="0" xfId="5" applyFont="1"/>
    <xf numFmtId="0" fontId="148" fillId="0" borderId="0" xfId="3" applyFont="1"/>
    <xf numFmtId="3" fontId="148" fillId="0" borderId="0" xfId="3" applyNumberFormat="1" applyFont="1"/>
    <xf numFmtId="0" fontId="149" fillId="0" borderId="0" xfId="3" applyFont="1" applyBorder="1"/>
    <xf numFmtId="0" fontId="150" fillId="0" borderId="28" xfId="3" applyFont="1" applyBorder="1"/>
    <xf numFmtId="3" fontId="150" fillId="0" borderId="28" xfId="3" applyNumberFormat="1" applyFont="1" applyBorder="1"/>
    <xf numFmtId="165" fontId="151" fillId="0" borderId="0" xfId="4" applyNumberFormat="1" applyFont="1" applyBorder="1" applyAlignment="1">
      <alignment horizontal="right"/>
    </xf>
    <xf numFmtId="0" fontId="152" fillId="0" borderId="0" xfId="0" applyFont="1" applyBorder="1"/>
    <xf numFmtId="0" fontId="153" fillId="8" borderId="0" xfId="6" applyFont="1" applyFill="1"/>
    <xf numFmtId="0" fontId="154" fillId="0" borderId="0" xfId="3" applyFont="1"/>
    <xf numFmtId="0" fontId="157" fillId="0" borderId="0" xfId="0" applyFont="1" applyBorder="1" applyAlignment="1" applyProtection="1">
      <alignment horizontal="left" vertical="center"/>
    </xf>
    <xf numFmtId="3" fontId="157" fillId="0" borderId="0" xfId="0" applyNumberFormat="1" applyFont="1" applyFill="1" applyBorder="1" applyAlignment="1" applyProtection="1">
      <alignment horizontal="right" vertical="center" indent="1"/>
    </xf>
    <xf numFmtId="3" fontId="157" fillId="0" borderId="0" xfId="0" applyNumberFormat="1" applyFont="1" applyFill="1" applyBorder="1" applyAlignment="1" applyProtection="1">
      <alignment horizontal="center" vertical="center"/>
    </xf>
    <xf numFmtId="0" fontId="159" fillId="50" borderId="0" xfId="682" applyFont="1" applyFill="1" applyBorder="1" applyAlignment="1" applyProtection="1">
      <alignment horizontal="right" vertical="center" indent="1"/>
    </xf>
    <xf numFmtId="180" fontId="157" fillId="51" borderId="43" xfId="0" applyNumberFormat="1" applyFont="1" applyFill="1" applyBorder="1" applyAlignment="1" applyProtection="1">
      <alignment horizontal="right" vertical="center" indent="1"/>
    </xf>
    <xf numFmtId="180" fontId="43" fillId="50" borderId="44" xfId="682" applyNumberFormat="1" applyFont="1" applyFill="1" applyBorder="1" applyAlignment="1" applyProtection="1">
      <alignment horizontal="center" vertical="center" wrapText="1"/>
    </xf>
    <xf numFmtId="0" fontId="154" fillId="0" borderId="0" xfId="246" applyFont="1" applyFill="1" applyBorder="1" applyAlignment="1" applyProtection="1">
      <alignment vertical="center"/>
    </xf>
    <xf numFmtId="0" fontId="160" fillId="0" borderId="0" xfId="0" applyFont="1" applyFill="1" applyBorder="1" applyAlignment="1" applyProtection="1">
      <alignment horizontal="right" vertical="center" wrapText="1" indent="1"/>
    </xf>
    <xf numFmtId="0" fontId="160" fillId="0" borderId="0" xfId="0" applyFont="1" applyFill="1" applyBorder="1" applyAlignment="1" applyProtection="1">
      <alignment horizontal="center" vertical="center" wrapText="1"/>
    </xf>
    <xf numFmtId="0" fontId="156" fillId="0" borderId="41" xfId="0" applyFont="1" applyFill="1" applyBorder="1" applyAlignment="1" applyProtection="1">
      <alignment horizontal="left" vertical="center" wrapText="1" indent="1"/>
    </xf>
    <xf numFmtId="0" fontId="162" fillId="0" borderId="41" xfId="0" applyFont="1" applyFill="1" applyBorder="1" applyAlignment="1" applyProtection="1">
      <alignment horizontal="center" vertical="center" wrapText="1"/>
    </xf>
    <xf numFmtId="0" fontId="156" fillId="0" borderId="41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3" fillId="50" borderId="45" xfId="682" applyFont="1" applyFill="1" applyBorder="1" applyAlignment="1" applyProtection="1">
      <alignment horizontal="left" vertical="center"/>
    </xf>
    <xf numFmtId="180" fontId="164" fillId="51" borderId="46" xfId="0" applyNumberFormat="1" applyFont="1" applyFill="1" applyBorder="1" applyAlignment="1" applyProtection="1">
      <alignment horizontal="right" vertical="center" indent="1"/>
    </xf>
    <xf numFmtId="0" fontId="165" fillId="50" borderId="0" xfId="682" applyFont="1" applyFill="1" applyBorder="1" applyAlignment="1" applyProtection="1">
      <alignment horizontal="left" vertical="center" indent="2"/>
    </xf>
    <xf numFmtId="180" fontId="166" fillId="51" borderId="43" xfId="0" applyNumberFormat="1" applyFont="1" applyFill="1" applyBorder="1" applyAlignment="1" applyProtection="1">
      <alignment horizontal="right" vertical="center" indent="1"/>
    </xf>
    <xf numFmtId="180" fontId="167" fillId="37" borderId="0" xfId="0" applyNumberFormat="1" applyFont="1" applyFill="1" applyBorder="1" applyAlignment="1" applyProtection="1">
      <alignment horizontal="center" vertical="center"/>
      <protection locked="0"/>
    </xf>
    <xf numFmtId="0" fontId="168" fillId="0" borderId="0" xfId="0" applyFont="1"/>
    <xf numFmtId="0" fontId="163" fillId="50" borderId="0" xfId="682" applyFont="1" applyFill="1" applyBorder="1" applyAlignment="1" applyProtection="1">
      <alignment horizontal="left" vertical="center"/>
    </xf>
    <xf numFmtId="0" fontId="157" fillId="0" borderId="41" xfId="0" applyFont="1" applyBorder="1" applyAlignment="1" applyProtection="1">
      <alignment horizontal="left" vertical="center"/>
    </xf>
    <xf numFmtId="3" fontId="157" fillId="0" borderId="41" xfId="0" applyNumberFormat="1" applyFont="1" applyFill="1" applyBorder="1" applyAlignment="1" applyProtection="1">
      <alignment vertical="center"/>
    </xf>
    <xf numFmtId="3" fontId="157" fillId="0" borderId="4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169" fillId="0" borderId="0" xfId="0" applyFont="1"/>
    <xf numFmtId="0" fontId="0" fillId="0" borderId="42" xfId="0" applyBorder="1"/>
    <xf numFmtId="0" fontId="170" fillId="50" borderId="47" xfId="682" applyFont="1" applyFill="1" applyBorder="1" applyAlignment="1" applyProtection="1">
      <alignment horizontal="left" vertical="center"/>
    </xf>
    <xf numFmtId="180" fontId="20" fillId="52" borderId="48" xfId="682" applyNumberFormat="1" applyFont="1" applyFill="1" applyBorder="1" applyAlignment="1" applyProtection="1">
      <alignment horizontal="center" vertical="center" wrapText="1"/>
    </xf>
    <xf numFmtId="180" fontId="20" fillId="53" borderId="48" xfId="682" applyNumberFormat="1" applyFont="1" applyFill="1" applyBorder="1" applyAlignment="1" applyProtection="1">
      <alignment horizontal="center" vertical="center" wrapText="1"/>
    </xf>
    <xf numFmtId="14" fontId="20" fillId="53" borderId="48" xfId="682" applyNumberFormat="1" applyFont="1" applyFill="1" applyBorder="1" applyAlignment="1" applyProtection="1">
      <alignment horizontal="center" vertical="center" wrapText="1"/>
    </xf>
    <xf numFmtId="9" fontId="20" fillId="53" borderId="48" xfId="682" applyNumberFormat="1" applyFont="1" applyFill="1" applyBorder="1" applyAlignment="1" applyProtection="1">
      <alignment horizontal="center" vertical="center" wrapText="1"/>
    </xf>
    <xf numFmtId="0" fontId="171" fillId="50" borderId="47" xfId="682" applyFont="1" applyFill="1" applyBorder="1" applyAlignment="1" applyProtection="1">
      <alignment horizontal="left" vertical="center"/>
    </xf>
    <xf numFmtId="180" fontId="20" fillId="53" borderId="49" xfId="682" applyNumberFormat="1" applyFont="1" applyFill="1" applyBorder="1" applyAlignment="1" applyProtection="1">
      <alignment horizontal="center" vertical="center" wrapText="1"/>
    </xf>
    <xf numFmtId="14" fontId="20" fillId="53" borderId="49" xfId="682" applyNumberFormat="1" applyFont="1" applyFill="1" applyBorder="1" applyAlignment="1" applyProtection="1">
      <alignment horizontal="center" vertical="center" wrapText="1"/>
    </xf>
    <xf numFmtId="0" fontId="171" fillId="50" borderId="50" xfId="682" applyFont="1" applyFill="1" applyBorder="1" applyAlignment="1" applyProtection="1">
      <alignment horizontal="left" vertical="center"/>
    </xf>
    <xf numFmtId="180" fontId="172" fillId="53" borderId="51" xfId="682" applyNumberFormat="1" applyFont="1" applyFill="1" applyBorder="1" applyAlignment="1" applyProtection="1">
      <alignment horizontal="center" vertical="center" wrapText="1"/>
    </xf>
    <xf numFmtId="0" fontId="57" fillId="49" borderId="41" xfId="0" applyFont="1" applyFill="1" applyBorder="1" applyAlignment="1" applyProtection="1">
      <alignment horizontal="left" vertical="center"/>
    </xf>
    <xf numFmtId="180" fontId="57" fillId="54" borderId="41" xfId="0" applyNumberFormat="1" applyFont="1" applyFill="1" applyBorder="1" applyAlignment="1" applyProtection="1">
      <alignment horizontal="center" vertical="center"/>
    </xf>
    <xf numFmtId="0" fontId="173" fillId="0" borderId="0" xfId="0" applyFont="1"/>
    <xf numFmtId="9" fontId="172" fillId="53" borderId="51" xfId="682" applyNumberFormat="1" applyFont="1" applyFill="1" applyBorder="1" applyAlignment="1" applyProtection="1">
      <alignment horizontal="center" vertical="center" wrapText="1"/>
    </xf>
    <xf numFmtId="180" fontId="20" fillId="53" borderId="0" xfId="682" applyNumberFormat="1" applyFont="1" applyFill="1" applyBorder="1" applyAlignment="1" applyProtection="1">
      <alignment horizontal="left" vertical="center"/>
    </xf>
    <xf numFmtId="3" fontId="0" fillId="0" borderId="0" xfId="0" applyNumberFormat="1" applyAlignment="1">
      <alignment vertical="center"/>
    </xf>
    <xf numFmtId="0" fontId="155" fillId="37" borderId="0" xfId="0" applyFont="1" applyFill="1" applyAlignment="1">
      <alignment horizontal="left" vertical="center" wrapText="1"/>
    </xf>
    <xf numFmtId="0" fontId="157" fillId="37" borderId="0" xfId="0" applyFont="1" applyFill="1" applyBorder="1" applyAlignment="1" applyProtection="1">
      <alignment horizontal="left" vertical="center"/>
    </xf>
    <xf numFmtId="3" fontId="157" fillId="37" borderId="0" xfId="0" applyNumberFormat="1" applyFont="1" applyFill="1" applyBorder="1" applyAlignment="1" applyProtection="1">
      <alignment horizontal="right" vertical="center" indent="1"/>
    </xf>
    <xf numFmtId="3" fontId="157" fillId="37" borderId="0" xfId="0" applyNumberFormat="1" applyFont="1" applyFill="1" applyBorder="1" applyAlignment="1" applyProtection="1">
      <alignment horizontal="center" vertical="center"/>
    </xf>
    <xf numFmtId="0" fontId="154" fillId="37" borderId="0" xfId="246" applyFont="1" applyFill="1" applyBorder="1" applyAlignment="1" applyProtection="1">
      <alignment vertical="center"/>
    </xf>
    <xf numFmtId="0" fontId="50" fillId="37" borderId="0" xfId="236" applyFont="1" applyFill="1" applyBorder="1" applyAlignment="1" applyProtection="1">
      <alignment horizontal="right" vertical="center" wrapText="1" indent="1"/>
    </xf>
    <xf numFmtId="0" fontId="160" fillId="37" borderId="0" xfId="0" applyFont="1" applyFill="1" applyBorder="1" applyAlignment="1" applyProtection="1">
      <alignment horizontal="right" vertical="center" wrapText="1" indent="1"/>
    </xf>
    <xf numFmtId="0" fontId="160" fillId="37" borderId="0" xfId="0" applyFont="1" applyFill="1" applyBorder="1" applyAlignment="1" applyProtection="1">
      <alignment horizontal="center" vertical="center" wrapText="1"/>
    </xf>
    <xf numFmtId="0" fontId="156" fillId="37" borderId="41" xfId="0" applyFont="1" applyFill="1" applyBorder="1" applyAlignment="1" applyProtection="1">
      <alignment horizontal="left" vertical="center" wrapText="1" indent="1"/>
    </xf>
    <xf numFmtId="0" fontId="161" fillId="37" borderId="41" xfId="0" applyFont="1" applyFill="1" applyBorder="1" applyAlignment="1" applyProtection="1">
      <alignment horizontal="center" vertical="center" wrapText="1"/>
    </xf>
    <xf numFmtId="0" fontId="162" fillId="37" borderId="41" xfId="0" applyFont="1" applyFill="1" applyBorder="1" applyAlignment="1" applyProtection="1">
      <alignment horizontal="center" vertical="center" wrapText="1"/>
    </xf>
    <xf numFmtId="0" fontId="156" fillId="37" borderId="41" xfId="0" applyFont="1" applyFill="1" applyBorder="1" applyAlignment="1" applyProtection="1">
      <alignment horizontal="center" vertical="center" wrapText="1"/>
    </xf>
    <xf numFmtId="0" fontId="157" fillId="37" borderId="41" xfId="0" applyFont="1" applyFill="1" applyBorder="1" applyAlignment="1" applyProtection="1">
      <alignment horizontal="left" vertical="center"/>
    </xf>
    <xf numFmtId="3" fontId="157" fillId="37" borderId="41" xfId="0" applyNumberFormat="1" applyFont="1" applyFill="1" applyBorder="1" applyAlignment="1" applyProtection="1">
      <alignment vertical="center"/>
    </xf>
    <xf numFmtId="3" fontId="157" fillId="37" borderId="41" xfId="0" applyNumberFormat="1" applyFont="1" applyFill="1" applyBorder="1" applyAlignment="1" applyProtection="1">
      <alignment horizontal="center" vertical="center"/>
    </xf>
    <xf numFmtId="0" fontId="0" fillId="37" borderId="0" xfId="0" applyFill="1"/>
    <xf numFmtId="0" fontId="0" fillId="37" borderId="0" xfId="0" applyFill="1" applyAlignment="1">
      <alignment horizontal="center"/>
    </xf>
    <xf numFmtId="165" fontId="2" fillId="0" borderId="0" xfId="311" applyNumberFormat="1" applyFont="1" applyAlignment="1">
      <alignment vertical="center"/>
    </xf>
    <xf numFmtId="165" fontId="64" fillId="0" borderId="0" xfId="311" applyNumberFormat="1" applyFont="1" applyFill="1" applyAlignment="1">
      <alignment vertical="center" textRotation="90"/>
    </xf>
    <xf numFmtId="165" fontId="63" fillId="0" borderId="0" xfId="311" applyNumberFormat="1" applyFont="1" applyFill="1" applyAlignment="1">
      <alignment vertical="center" textRotation="90"/>
    </xf>
    <xf numFmtId="165" fontId="0" fillId="0" borderId="0" xfId="311" applyNumberFormat="1" applyFont="1" applyAlignment="1">
      <alignment vertical="center"/>
    </xf>
    <xf numFmtId="165" fontId="0" fillId="0" borderId="0" xfId="311" applyNumberFormat="1" applyFont="1" applyAlignment="1">
      <alignment horizontal="right" vertical="center"/>
    </xf>
    <xf numFmtId="0" fontId="2" fillId="37" borderId="0" xfId="0" applyFont="1" applyFill="1" applyAlignment="1">
      <alignment vertical="center"/>
    </xf>
    <xf numFmtId="0" fontId="64" fillId="37" borderId="0" xfId="0" applyFont="1" applyFill="1" applyAlignment="1">
      <alignment vertical="center" textRotation="90"/>
    </xf>
    <xf numFmtId="0" fontId="63" fillId="37" borderId="0" xfId="0" applyFont="1" applyFill="1" applyAlignment="1">
      <alignment vertical="center" textRotation="90"/>
    </xf>
    <xf numFmtId="3" fontId="0" fillId="37" borderId="0" xfId="0" applyNumberFormat="1" applyFill="1" applyAlignment="1">
      <alignment vertical="center"/>
    </xf>
    <xf numFmtId="3" fontId="0" fillId="37" borderId="0" xfId="0" applyNumberFormat="1" applyFill="1" applyAlignment="1">
      <alignment horizontal="right" vertical="center"/>
    </xf>
    <xf numFmtId="0" fontId="0" fillId="37" borderId="0" xfId="0" applyFill="1" applyAlignment="1">
      <alignment vertical="center"/>
    </xf>
    <xf numFmtId="0" fontId="57" fillId="37" borderId="0" xfId="3" applyFont="1" applyFill="1" applyBorder="1"/>
    <xf numFmtId="3" fontId="57" fillId="37" borderId="0" xfId="3" applyNumberFormat="1" applyFont="1" applyFill="1" applyBorder="1" applyAlignment="1">
      <alignment horizontal="center"/>
    </xf>
    <xf numFmtId="0" fontId="153" fillId="0" borderId="0" xfId="0" applyFont="1" applyAlignment="1">
      <alignment vertical="center"/>
    </xf>
    <xf numFmtId="0" fontId="146" fillId="56" borderId="34" xfId="313" applyNumberFormat="1" applyFont="1" applyFill="1" applyBorder="1" applyAlignment="1" applyProtection="1">
      <alignment horizontal="center" vertical="center"/>
      <protection locked="0"/>
    </xf>
    <xf numFmtId="181" fontId="176" fillId="0" borderId="0" xfId="312" applyFont="1" applyAlignment="1">
      <alignment vertical="center"/>
    </xf>
    <xf numFmtId="0" fontId="59" fillId="55" borderId="0" xfId="0" applyFont="1" applyFill="1" applyAlignment="1">
      <alignment horizontal="center" vertical="center"/>
    </xf>
    <xf numFmtId="0" fontId="59" fillId="55" borderId="0" xfId="0" applyFont="1" applyFill="1" applyAlignment="1">
      <alignment horizontal="center" vertical="center" wrapText="1"/>
    </xf>
    <xf numFmtId="0" fontId="7" fillId="57" borderId="0" xfId="2" applyFont="1" applyFill="1"/>
    <xf numFmtId="0" fontId="4" fillId="57" borderId="0" xfId="1" applyFont="1" applyFill="1" applyAlignment="1"/>
    <xf numFmtId="0" fontId="62" fillId="59" borderId="0" xfId="0" applyFont="1" applyFill="1" applyAlignment="1">
      <alignment vertical="center"/>
    </xf>
    <xf numFmtId="0" fontId="142" fillId="59" borderId="0" xfId="0" applyFont="1" applyFill="1" applyAlignment="1">
      <alignment vertical="center"/>
    </xf>
    <xf numFmtId="0" fontId="62" fillId="59" borderId="0" xfId="0" applyFont="1" applyFill="1" applyAlignment="1">
      <alignment horizontal="right" vertical="center"/>
    </xf>
    <xf numFmtId="0" fontId="60" fillId="55" borderId="0" xfId="0" applyFont="1" applyFill="1" applyAlignment="1">
      <alignment horizontal="left" vertical="center" readingOrder="1"/>
    </xf>
    <xf numFmtId="0" fontId="3" fillId="55" borderId="0" xfId="0" applyFont="1" applyFill="1"/>
    <xf numFmtId="180" fontId="43" fillId="58" borderId="0" xfId="682" applyNumberFormat="1" applyFont="1" applyFill="1" applyBorder="1" applyAlignment="1" applyProtection="1">
      <alignment horizontal="center" vertical="center" wrapText="1"/>
    </xf>
    <xf numFmtId="180" fontId="20" fillId="60" borderId="0" xfId="682" applyNumberFormat="1" applyFont="1" applyFill="1" applyBorder="1" applyAlignment="1" applyProtection="1">
      <alignment horizontal="left" vertical="center" wrapText="1"/>
    </xf>
    <xf numFmtId="0" fontId="54" fillId="49" borderId="0" xfId="0" applyFont="1" applyFill="1" applyBorder="1" applyAlignment="1" applyProtection="1">
      <alignment horizontal="left" vertical="center"/>
    </xf>
    <xf numFmtId="180" fontId="158" fillId="38" borderId="52" xfId="0" applyNumberFormat="1" applyFont="1" applyFill="1" applyBorder="1" applyAlignment="1" applyProtection="1">
      <alignment horizontal="right" vertical="center" indent="1"/>
    </xf>
    <xf numFmtId="3" fontId="69" fillId="8" borderId="0" xfId="6" applyNumberFormat="1" applyFont="1" applyFill="1" applyBorder="1" applyAlignment="1" applyProtection="1">
      <alignment horizontal="right" vertical="center"/>
    </xf>
    <xf numFmtId="3" fontId="148" fillId="0" borderId="0" xfId="3" applyNumberFormat="1" applyFont="1" applyAlignment="1">
      <alignment horizontal="right"/>
    </xf>
    <xf numFmtId="0" fontId="60" fillId="55" borderId="0" xfId="0" applyFont="1" applyFill="1" applyAlignment="1">
      <alignment horizontal="center" vertical="center" wrapText="1"/>
    </xf>
    <xf numFmtId="3" fontId="14" fillId="8" borderId="0" xfId="6" applyNumberFormat="1" applyFont="1" applyFill="1" applyBorder="1" applyAlignment="1" applyProtection="1">
      <alignment horizontal="right" vertical="center"/>
    </xf>
    <xf numFmtId="3" fontId="154" fillId="0" borderId="0" xfId="3" applyNumberFormat="1" applyFont="1" applyAlignment="1">
      <alignment horizontal="right"/>
    </xf>
    <xf numFmtId="0" fontId="153" fillId="0" borderId="0" xfId="0" applyFont="1"/>
    <xf numFmtId="0" fontId="177" fillId="0" borderId="28" xfId="3" applyFont="1" applyBorder="1"/>
    <xf numFmtId="3" fontId="177" fillId="0" borderId="28" xfId="3" applyNumberFormat="1" applyFont="1" applyBorder="1"/>
    <xf numFmtId="0" fontId="174" fillId="59" borderId="53" xfId="2" applyFont="1" applyFill="1" applyBorder="1"/>
    <xf numFmtId="0" fontId="178" fillId="37" borderId="0" xfId="246" applyFont="1" applyFill="1" applyBorder="1" applyAlignment="1" applyProtection="1">
      <alignment horizontal="center" vertical="center"/>
    </xf>
    <xf numFmtId="0" fontId="178" fillId="37" borderId="0" xfId="246" applyFont="1" applyFill="1" applyBorder="1" applyAlignment="1" applyProtection="1">
      <alignment horizontal="center" vertical="center"/>
      <protection locked="0"/>
    </xf>
    <xf numFmtId="0" fontId="179" fillId="37" borderId="15" xfId="683" applyFont="1" applyFill="1" applyBorder="1" applyProtection="1"/>
    <xf numFmtId="0" fontId="180" fillId="37" borderId="15" xfId="683" applyFont="1" applyFill="1" applyBorder="1" applyProtection="1"/>
    <xf numFmtId="0" fontId="180" fillId="37" borderId="0" xfId="246" applyFont="1" applyFill="1" applyBorder="1" applyAlignment="1" applyProtection="1">
      <alignment vertical="center"/>
    </xf>
    <xf numFmtId="0" fontId="181" fillId="37" borderId="0" xfId="246" applyFont="1" applyFill="1" applyBorder="1" applyAlignment="1" applyProtection="1">
      <alignment vertical="center"/>
    </xf>
    <xf numFmtId="0" fontId="182" fillId="0" borderId="0" xfId="246" applyFont="1" applyFill="1" applyBorder="1" applyAlignment="1" applyProtection="1">
      <alignment vertical="center"/>
    </xf>
    <xf numFmtId="0" fontId="180" fillId="37" borderId="0" xfId="684" applyFont="1" applyFill="1" applyProtection="1"/>
    <xf numFmtId="0" fontId="180" fillId="37" borderId="25" xfId="683" applyFont="1" applyFill="1" applyBorder="1" applyProtection="1"/>
    <xf numFmtId="0" fontId="179" fillId="37" borderId="15" xfId="683" applyFont="1" applyFill="1" applyBorder="1" applyAlignment="1" applyProtection="1">
      <alignment horizontal="center"/>
    </xf>
    <xf numFmtId="0" fontId="181" fillId="37" borderId="0" xfId="683" applyFont="1" applyFill="1" applyAlignment="1" applyProtection="1">
      <alignment horizontal="center"/>
    </xf>
    <xf numFmtId="0" fontId="180" fillId="37" borderId="0" xfId="683" applyFont="1" applyFill="1" applyAlignment="1" applyProtection="1">
      <alignment horizontal="center"/>
    </xf>
    <xf numFmtId="0" fontId="180" fillId="0" borderId="0" xfId="683" applyFont="1" applyFill="1" applyAlignment="1" applyProtection="1">
      <alignment horizontal="center"/>
    </xf>
    <xf numFmtId="0" fontId="184" fillId="61" borderId="15" xfId="684" applyFont="1" applyFill="1" applyBorder="1" applyAlignment="1" applyProtection="1">
      <alignment horizontal="center"/>
    </xf>
    <xf numFmtId="0" fontId="180" fillId="37" borderId="15" xfId="683" applyFont="1" applyFill="1" applyBorder="1" applyAlignment="1" applyProtection="1">
      <alignment horizontal="center"/>
    </xf>
    <xf numFmtId="0" fontId="185" fillId="37" borderId="0" xfId="236" applyFont="1" applyFill="1" applyBorder="1" applyAlignment="1" applyProtection="1">
      <alignment vertical="center"/>
    </xf>
    <xf numFmtId="0" fontId="180" fillId="37" borderId="0" xfId="246" applyFont="1" applyFill="1" applyBorder="1" applyAlignment="1" applyProtection="1">
      <alignment horizontal="left" vertical="center"/>
    </xf>
    <xf numFmtId="0" fontId="186" fillId="37" borderId="0" xfId="682" applyFont="1" applyFill="1" applyBorder="1" applyAlignment="1" applyProtection="1">
      <alignment horizontal="right" vertical="center"/>
    </xf>
    <xf numFmtId="0" fontId="181" fillId="37" borderId="0" xfId="682" applyFont="1" applyFill="1" applyBorder="1" applyAlignment="1" applyProtection="1">
      <alignment vertical="center"/>
    </xf>
    <xf numFmtId="0" fontId="180" fillId="37" borderId="0" xfId="682" applyFont="1" applyFill="1" applyBorder="1" applyAlignment="1" applyProtection="1">
      <alignment vertical="center"/>
    </xf>
    <xf numFmtId="0" fontId="178" fillId="37" borderId="0" xfId="246" applyFont="1" applyFill="1" applyBorder="1" applyAlignment="1" applyProtection="1">
      <alignment vertical="center"/>
    </xf>
    <xf numFmtId="0" fontId="187" fillId="62" borderId="56" xfId="684" applyFont="1" applyFill="1" applyBorder="1" applyProtection="1"/>
    <xf numFmtId="0" fontId="188" fillId="0" borderId="57" xfId="684" applyFont="1" applyBorder="1" applyProtection="1"/>
    <xf numFmtId="0" fontId="188" fillId="63" borderId="57" xfId="684" applyFont="1" applyFill="1" applyBorder="1" applyProtection="1"/>
    <xf numFmtId="0" fontId="189" fillId="8" borderId="58" xfId="236" applyFont="1" applyFill="1" applyBorder="1" applyAlignment="1">
      <alignment horizontal="left" vertical="center"/>
    </xf>
    <xf numFmtId="0" fontId="189" fillId="0" borderId="0" xfId="246" applyFont="1" applyFill="1" applyBorder="1" applyAlignment="1" applyProtection="1">
      <alignment horizontal="left" vertical="center"/>
      <protection locked="0"/>
    </xf>
    <xf numFmtId="0" fontId="183" fillId="0" borderId="0" xfId="684"/>
    <xf numFmtId="0" fontId="189" fillId="58" borderId="0" xfId="246" applyFont="1" applyFill="1" applyBorder="1" applyAlignment="1" applyProtection="1">
      <alignment horizontal="left" vertical="center"/>
      <protection locked="0"/>
    </xf>
    <xf numFmtId="0" fontId="186" fillId="0" borderId="0" xfId="682" applyFont="1" applyFill="1" applyBorder="1" applyAlignment="1" applyProtection="1">
      <alignment horizontal="left" vertical="center"/>
    </xf>
    <xf numFmtId="0" fontId="2" fillId="0" borderId="0" xfId="684" applyFont="1"/>
    <xf numFmtId="0" fontId="180" fillId="0" borderId="0" xfId="682" applyFont="1" applyFill="1" applyBorder="1" applyAlignment="1" applyProtection="1">
      <alignment vertical="center"/>
    </xf>
    <xf numFmtId="0" fontId="189" fillId="0" borderId="0" xfId="246" applyFont="1" applyFill="1" applyBorder="1" applyAlignment="1" applyProtection="1">
      <alignment vertical="center"/>
      <protection locked="0"/>
    </xf>
    <xf numFmtId="0" fontId="178" fillId="8" borderId="0" xfId="246" applyFont="1" applyFill="1" applyBorder="1" applyAlignment="1" applyProtection="1">
      <alignment horizontal="center" vertical="center"/>
    </xf>
    <xf numFmtId="0" fontId="180" fillId="0" borderId="0" xfId="246" applyFont="1" applyFill="1" applyBorder="1" applyAlignment="1" applyProtection="1">
      <alignment horizontal="left" vertical="center"/>
    </xf>
    <xf numFmtId="0" fontId="180" fillId="0" borderId="0" xfId="246" applyFont="1" applyFill="1" applyBorder="1" applyAlignment="1" applyProtection="1">
      <alignment vertical="center"/>
    </xf>
    <xf numFmtId="0" fontId="181" fillId="0" borderId="0" xfId="246" applyFont="1" applyFill="1" applyBorder="1" applyAlignment="1" applyProtection="1">
      <alignment vertical="center"/>
    </xf>
    <xf numFmtId="0" fontId="180" fillId="0" borderId="0" xfId="684" applyFont="1" applyFill="1" applyProtection="1"/>
    <xf numFmtId="0" fontId="190" fillId="8" borderId="0" xfId="246" applyFont="1" applyFill="1" applyBorder="1" applyAlignment="1" applyProtection="1">
      <alignment horizontal="center" vertical="center"/>
    </xf>
    <xf numFmtId="0" fontId="190" fillId="37" borderId="0" xfId="246" applyFont="1" applyFill="1" applyBorder="1" applyAlignment="1" applyProtection="1">
      <alignment horizontal="center" vertical="center"/>
    </xf>
    <xf numFmtId="0" fontId="190" fillId="0" borderId="0" xfId="246" applyFont="1" applyFill="1" applyBorder="1" applyAlignment="1" applyProtection="1">
      <alignment horizontal="center" vertical="center"/>
      <protection locked="0"/>
    </xf>
    <xf numFmtId="0" fontId="191" fillId="64" borderId="0" xfId="684" applyFont="1" applyFill="1" applyBorder="1" applyAlignment="1" applyProtection="1">
      <alignment vertical="center" wrapText="1"/>
    </xf>
    <xf numFmtId="0" fontId="191" fillId="0" borderId="0" xfId="246" applyFont="1" applyFill="1" applyBorder="1" applyAlignment="1" applyProtection="1">
      <alignment vertical="center"/>
    </xf>
    <xf numFmtId="0" fontId="193" fillId="0" borderId="0" xfId="684" applyFont="1" applyProtection="1"/>
    <xf numFmtId="0" fontId="193" fillId="0" borderId="0" xfId="246" applyFont="1" applyFill="1" applyBorder="1" applyAlignment="1" applyProtection="1">
      <alignment vertical="center"/>
    </xf>
    <xf numFmtId="0" fontId="193" fillId="64" borderId="0" xfId="246" applyFont="1" applyFill="1" applyBorder="1" applyAlignment="1" applyProtection="1">
      <alignment horizontal="left" vertical="center"/>
    </xf>
    <xf numFmtId="0" fontId="194" fillId="64" borderId="0" xfId="684" applyFont="1" applyFill="1" applyBorder="1" applyAlignment="1" applyProtection="1">
      <alignment vertical="center" wrapText="1"/>
    </xf>
    <xf numFmtId="0" fontId="178" fillId="0" borderId="0" xfId="246" applyFont="1" applyFill="1" applyBorder="1" applyAlignment="1" applyProtection="1">
      <alignment horizontal="center" vertical="center"/>
      <protection locked="0"/>
    </xf>
    <xf numFmtId="14" fontId="195" fillId="0" borderId="0" xfId="684" applyNumberFormat="1" applyFont="1" applyFill="1" applyAlignment="1" applyProtection="1">
      <alignment horizontal="left" indent="1"/>
    </xf>
    <xf numFmtId="0" fontId="180" fillId="0" borderId="0" xfId="684" applyFont="1" applyFill="1" applyAlignment="1" applyProtection="1">
      <alignment horizontal="left" indent="1"/>
    </xf>
    <xf numFmtId="0" fontId="180" fillId="0" borderId="0" xfId="684" applyFont="1" applyFill="1" applyBorder="1" applyAlignment="1" applyProtection="1"/>
    <xf numFmtId="0" fontId="181" fillId="0" borderId="0" xfId="684" applyFont="1" applyFill="1" applyBorder="1" applyAlignment="1" applyProtection="1"/>
    <xf numFmtId="0" fontId="180" fillId="0" borderId="0" xfId="684" applyFont="1" applyProtection="1"/>
    <xf numFmtId="0" fontId="196" fillId="8" borderId="0" xfId="246" applyFont="1" applyFill="1" applyBorder="1" applyAlignment="1" applyProtection="1">
      <alignment horizontal="center" vertical="center"/>
    </xf>
    <xf numFmtId="0" fontId="196" fillId="37" borderId="0" xfId="246" applyFont="1" applyFill="1" applyBorder="1" applyAlignment="1" applyProtection="1">
      <alignment horizontal="center" vertical="center"/>
    </xf>
    <xf numFmtId="0" fontId="196" fillId="0" borderId="0" xfId="246" applyFont="1" applyFill="1" applyBorder="1" applyAlignment="1" applyProtection="1">
      <alignment horizontal="center" vertical="center"/>
      <protection locked="0"/>
    </xf>
    <xf numFmtId="0" fontId="70" fillId="64" borderId="0" xfId="684" applyFont="1" applyFill="1" applyAlignment="1" applyProtection="1">
      <alignment horizontal="center" vertical="center"/>
    </xf>
    <xf numFmtId="0" fontId="197" fillId="0" borderId="0" xfId="246" applyFont="1" applyFill="1" applyAlignment="1" applyProtection="1">
      <alignment vertical="center"/>
    </xf>
    <xf numFmtId="0" fontId="181" fillId="64" borderId="0" xfId="684" applyFont="1" applyFill="1" applyAlignment="1" applyProtection="1">
      <alignment horizontal="center" vertical="center"/>
    </xf>
    <xf numFmtId="0" fontId="181" fillId="64" borderId="0" xfId="684" applyFont="1" applyFill="1" applyBorder="1" applyAlignment="1" applyProtection="1">
      <alignment horizontal="center" vertical="center"/>
    </xf>
    <xf numFmtId="0" fontId="198" fillId="0" borderId="0" xfId="246" applyFont="1" applyFill="1" applyBorder="1" applyAlignment="1" applyProtection="1">
      <alignment vertical="center"/>
    </xf>
    <xf numFmtId="0" fontId="198" fillId="0" borderId="0" xfId="684" applyFont="1" applyProtection="1"/>
    <xf numFmtId="0" fontId="198" fillId="0" borderId="0" xfId="246" applyFont="1" applyFill="1" applyAlignment="1" applyProtection="1">
      <alignment vertical="center"/>
    </xf>
    <xf numFmtId="0" fontId="178" fillId="0" borderId="0" xfId="246" applyFont="1" applyFill="1" applyBorder="1" applyAlignment="1" applyProtection="1">
      <alignment horizontal="center" vertical="center"/>
    </xf>
    <xf numFmtId="0" fontId="198" fillId="0" borderId="59" xfId="684" applyFont="1" applyBorder="1" applyAlignment="1" applyProtection="1">
      <alignment horizontal="left" vertical="center"/>
    </xf>
    <xf numFmtId="0" fontId="198" fillId="0" borderId="59" xfId="684" applyFont="1" applyFill="1" applyBorder="1" applyAlignment="1" applyProtection="1">
      <alignment vertical="center"/>
    </xf>
    <xf numFmtId="3" fontId="197" fillId="0" borderId="59" xfId="684" applyNumberFormat="1" applyFont="1" applyFill="1" applyBorder="1" applyAlignment="1" applyProtection="1">
      <alignment vertical="center"/>
    </xf>
    <xf numFmtId="3" fontId="180" fillId="0" borderId="59" xfId="684" applyNumberFormat="1" applyFont="1" applyFill="1" applyBorder="1" applyAlignment="1" applyProtection="1">
      <alignment vertical="center"/>
    </xf>
    <xf numFmtId="0" fontId="189" fillId="10" borderId="0" xfId="246" applyFont="1" applyFill="1" applyBorder="1" applyAlignment="1" applyProtection="1">
      <alignment horizontal="left" vertical="center"/>
    </xf>
    <xf numFmtId="180" fontId="199" fillId="0" borderId="45" xfId="684" applyNumberFormat="1" applyFont="1" applyFill="1" applyBorder="1" applyAlignment="1" applyProtection="1">
      <alignment horizontal="right" vertical="center" indent="1"/>
    </xf>
    <xf numFmtId="180" fontId="199" fillId="0" borderId="43" xfId="684" applyNumberFormat="1" applyFont="1" applyFill="1" applyBorder="1" applyAlignment="1" applyProtection="1">
      <alignment horizontal="right" vertical="center" indent="1"/>
    </xf>
    <xf numFmtId="180" fontId="199" fillId="0" borderId="46" xfId="684" applyNumberFormat="1" applyFont="1" applyFill="1" applyBorder="1" applyAlignment="1" applyProtection="1">
      <alignment horizontal="right" vertical="center" indent="1"/>
    </xf>
    <xf numFmtId="180" fontId="200" fillId="0" borderId="0" xfId="684" applyNumberFormat="1" applyFont="1" applyFill="1" applyBorder="1" applyAlignment="1" applyProtection="1">
      <alignment horizontal="right" vertical="center" indent="1"/>
    </xf>
    <xf numFmtId="165" fontId="201" fillId="0" borderId="61" xfId="684" applyNumberFormat="1" applyFont="1" applyFill="1" applyBorder="1" applyAlignment="1" applyProtection="1">
      <alignment horizontal="right" vertical="center" indent="1"/>
    </xf>
    <xf numFmtId="165" fontId="201" fillId="0" borderId="46" xfId="684" applyNumberFormat="1" applyFont="1" applyFill="1" applyBorder="1" applyAlignment="1" applyProtection="1">
      <alignment horizontal="right" vertical="center" indent="1"/>
    </xf>
    <xf numFmtId="180" fontId="180" fillId="37" borderId="0" xfId="246" applyNumberFormat="1" applyFont="1" applyFill="1" applyBorder="1" applyAlignment="1" applyProtection="1">
      <alignment vertical="center"/>
    </xf>
    <xf numFmtId="180" fontId="202" fillId="66" borderId="62" xfId="684" applyNumberFormat="1" applyFont="1" applyFill="1" applyBorder="1" applyAlignment="1" applyProtection="1">
      <alignment horizontal="right" vertical="center" indent="1"/>
    </xf>
    <xf numFmtId="4" fontId="204" fillId="0" borderId="0" xfId="246" applyNumberFormat="1" applyFont="1" applyFill="1" applyAlignment="1" applyProtection="1">
      <alignment vertical="center"/>
    </xf>
    <xf numFmtId="165" fontId="189" fillId="66" borderId="62" xfId="684" applyNumberFormat="1" applyFont="1" applyFill="1" applyBorder="1" applyAlignment="1" applyProtection="1">
      <alignment horizontal="right" vertical="center" indent="1"/>
    </xf>
    <xf numFmtId="0" fontId="205" fillId="67" borderId="0" xfId="684" applyFont="1" applyFill="1" applyBorder="1"/>
    <xf numFmtId="0" fontId="180" fillId="0" borderId="0" xfId="246" applyFont="1" applyFill="1" applyAlignment="1" applyProtection="1">
      <alignment vertical="center"/>
    </xf>
    <xf numFmtId="0" fontId="206" fillId="10" borderId="0" xfId="246" applyFont="1" applyFill="1" applyBorder="1" applyAlignment="1" applyProtection="1">
      <alignment horizontal="left" vertical="center"/>
    </xf>
    <xf numFmtId="0" fontId="178" fillId="8" borderId="0" xfId="246" applyFont="1" applyFill="1" applyBorder="1" applyAlignment="1" applyProtection="1">
      <alignment horizontal="left" vertical="center"/>
    </xf>
    <xf numFmtId="0" fontId="208" fillId="67" borderId="0" xfId="684" applyFont="1" applyFill="1" applyBorder="1"/>
    <xf numFmtId="0" fontId="209" fillId="8" borderId="0" xfId="246" applyFont="1" applyFill="1" applyBorder="1" applyAlignment="1" applyProtection="1">
      <alignment horizontal="left" vertical="center"/>
    </xf>
    <xf numFmtId="0" fontId="209" fillId="8" borderId="0" xfId="246" applyFont="1" applyFill="1" applyBorder="1" applyAlignment="1" applyProtection="1">
      <alignment horizontal="center" vertical="center"/>
    </xf>
    <xf numFmtId="0" fontId="209" fillId="37" borderId="0" xfId="246" applyFont="1" applyFill="1" applyBorder="1" applyAlignment="1" applyProtection="1">
      <alignment horizontal="center" vertical="center"/>
    </xf>
    <xf numFmtId="0" fontId="209" fillId="0" borderId="0" xfId="246" applyFont="1" applyFill="1" applyBorder="1" applyAlignment="1" applyProtection="1">
      <alignment horizontal="center" vertical="center"/>
      <protection locked="0"/>
    </xf>
    <xf numFmtId="0" fontId="210" fillId="6" borderId="0" xfId="682" applyFont="1" applyFill="1" applyBorder="1" applyAlignment="1" applyProtection="1">
      <alignment horizontal="left" vertical="center"/>
    </xf>
    <xf numFmtId="165" fontId="210" fillId="6" borderId="0" xfId="4" applyNumberFormat="1" applyFont="1" applyFill="1" applyBorder="1" applyAlignment="1" applyProtection="1">
      <alignment horizontal="right" vertical="center" indent="1"/>
    </xf>
    <xf numFmtId="165" fontId="211" fillId="6" borderId="0" xfId="684" applyNumberFormat="1" applyFont="1" applyFill="1" applyBorder="1" applyAlignment="1" applyProtection="1">
      <alignment horizontal="right" vertical="center" indent="1"/>
    </xf>
    <xf numFmtId="0" fontId="212" fillId="0" borderId="0" xfId="246" applyFont="1" applyFill="1" applyBorder="1" applyAlignment="1" applyProtection="1">
      <alignment vertical="center"/>
    </xf>
    <xf numFmtId="0" fontId="212" fillId="0" borderId="0" xfId="684" applyFont="1" applyProtection="1"/>
    <xf numFmtId="0" fontId="212" fillId="0" borderId="0" xfId="246" applyFont="1" applyFill="1" applyAlignment="1" applyProtection="1">
      <alignment vertical="center"/>
    </xf>
    <xf numFmtId="165" fontId="201" fillId="0" borderId="0" xfId="684" applyNumberFormat="1" applyFont="1" applyFill="1" applyBorder="1" applyAlignment="1" applyProtection="1">
      <alignment horizontal="right" vertical="center" indent="1"/>
    </xf>
    <xf numFmtId="165" fontId="189" fillId="68" borderId="62" xfId="684" applyNumberFormat="1" applyFont="1" applyFill="1" applyBorder="1" applyAlignment="1" applyProtection="1">
      <alignment horizontal="right" vertical="center" indent="1"/>
    </xf>
    <xf numFmtId="0" fontId="179" fillId="8" borderId="0" xfId="246" applyFont="1" applyFill="1" applyBorder="1" applyAlignment="1" applyProtection="1">
      <alignment horizontal="center" vertical="center"/>
    </xf>
    <xf numFmtId="180" fontId="202" fillId="68" borderId="62" xfId="684" applyNumberFormat="1" applyFont="1" applyFill="1" applyBorder="1" applyAlignment="1" applyProtection="1">
      <alignment horizontal="right" vertical="center" indent="1"/>
    </xf>
    <xf numFmtId="0" fontId="196" fillId="0" borderId="0" xfId="684" applyFont="1" applyFill="1" applyBorder="1" applyAlignment="1" applyProtection="1">
      <alignment horizontal="left" vertical="center"/>
    </xf>
    <xf numFmtId="0" fontId="196" fillId="0" borderId="0" xfId="684" applyFont="1" applyFill="1" applyBorder="1" applyAlignment="1" applyProtection="1">
      <alignment vertical="center"/>
    </xf>
    <xf numFmtId="3" fontId="196" fillId="0" borderId="0" xfId="684" applyNumberFormat="1" applyFont="1" applyFill="1" applyBorder="1" applyAlignment="1" applyProtection="1">
      <alignment vertical="center"/>
    </xf>
    <xf numFmtId="180" fontId="202" fillId="68" borderId="0" xfId="684" applyNumberFormat="1" applyFont="1" applyFill="1" applyBorder="1" applyAlignment="1" applyProtection="1">
      <alignment horizontal="right" vertical="center" indent="1"/>
    </xf>
    <xf numFmtId="165" fontId="189" fillId="68" borderId="0" xfId="684" applyNumberFormat="1" applyFont="1" applyFill="1" applyBorder="1" applyAlignment="1" applyProtection="1">
      <alignment horizontal="right" vertical="center" indent="1"/>
    </xf>
    <xf numFmtId="180" fontId="199" fillId="0" borderId="63" xfId="684" applyNumberFormat="1" applyFont="1" applyFill="1" applyBorder="1" applyAlignment="1" applyProtection="1">
      <alignment horizontal="right" vertical="center" indent="1"/>
    </xf>
    <xf numFmtId="165" fontId="201" fillId="0" borderId="64" xfId="684" applyNumberFormat="1" applyFont="1" applyFill="1" applyBorder="1" applyAlignment="1" applyProtection="1">
      <alignment horizontal="right" vertical="center" indent="1"/>
    </xf>
    <xf numFmtId="165" fontId="201" fillId="0" borderId="65" xfId="684" applyNumberFormat="1" applyFont="1" applyFill="1" applyBorder="1" applyAlignment="1" applyProtection="1">
      <alignment horizontal="right" vertical="center" indent="1"/>
    </xf>
    <xf numFmtId="0" fontId="213" fillId="69" borderId="0" xfId="685" applyFont="1" applyFill="1" applyBorder="1" applyAlignment="1" applyProtection="1">
      <alignment horizontal="left" vertical="center"/>
    </xf>
    <xf numFmtId="180" fontId="199" fillId="37" borderId="45" xfId="684" applyNumberFormat="1" applyFont="1" applyFill="1" applyBorder="1" applyAlignment="1" applyProtection="1">
      <alignment horizontal="right" vertical="center" indent="1"/>
    </xf>
    <xf numFmtId="165" fontId="201" fillId="37" borderId="61" xfId="684" applyNumberFormat="1" applyFont="1" applyFill="1" applyBorder="1" applyAlignment="1" applyProtection="1">
      <alignment horizontal="right" vertical="center" indent="1"/>
    </xf>
    <xf numFmtId="165" fontId="201" fillId="37" borderId="46" xfId="684" applyNumberFormat="1" applyFont="1" applyFill="1" applyBorder="1" applyAlignment="1" applyProtection="1">
      <alignment horizontal="right" vertical="center" indent="1"/>
    </xf>
    <xf numFmtId="180" fontId="199" fillId="37" borderId="43" xfId="684" applyNumberFormat="1" applyFont="1" applyFill="1" applyBorder="1" applyAlignment="1" applyProtection="1">
      <alignment horizontal="right" vertical="center" indent="1"/>
    </xf>
    <xf numFmtId="180" fontId="199" fillId="37" borderId="46" xfId="684" applyNumberFormat="1" applyFont="1" applyFill="1" applyBorder="1" applyAlignment="1" applyProtection="1">
      <alignment horizontal="right" vertical="center" indent="1"/>
    </xf>
    <xf numFmtId="180" fontId="202" fillId="0" borderId="66" xfId="684" applyNumberFormat="1" applyFont="1" applyFill="1" applyBorder="1" applyAlignment="1" applyProtection="1">
      <alignment horizontal="right" vertical="center" indent="1"/>
    </xf>
    <xf numFmtId="180" fontId="202" fillId="0" borderId="43" xfId="684" applyNumberFormat="1" applyFont="1" applyFill="1" applyBorder="1" applyAlignment="1" applyProtection="1">
      <alignment horizontal="right" vertical="center" indent="1"/>
    </xf>
    <xf numFmtId="180" fontId="202" fillId="0" borderId="0" xfId="684" applyNumberFormat="1" applyFont="1" applyFill="1" applyBorder="1" applyAlignment="1" applyProtection="1">
      <alignment horizontal="right" vertical="center" indent="1"/>
    </xf>
    <xf numFmtId="165" fontId="189" fillId="0" borderId="67" xfId="684" applyNumberFormat="1" applyFont="1" applyFill="1" applyBorder="1" applyAlignment="1" applyProtection="1">
      <alignment horizontal="right" vertical="center" indent="1"/>
    </xf>
    <xf numFmtId="165" fontId="189" fillId="0" borderId="0" xfId="684" applyNumberFormat="1" applyFont="1" applyFill="1" applyBorder="1" applyAlignment="1" applyProtection="1">
      <alignment horizontal="right" vertical="center" indent="1"/>
    </xf>
    <xf numFmtId="165" fontId="201" fillId="0" borderId="43" xfId="684" applyNumberFormat="1" applyFont="1" applyFill="1" applyBorder="1" applyAlignment="1" applyProtection="1">
      <alignment horizontal="right" vertical="center" indent="1"/>
    </xf>
    <xf numFmtId="180" fontId="204" fillId="0" borderId="0" xfId="246" applyNumberFormat="1" applyFont="1" applyFill="1" applyAlignment="1" applyProtection="1">
      <alignment vertical="center"/>
    </xf>
    <xf numFmtId="0" fontId="205" fillId="67" borderId="68" xfId="684" applyFont="1" applyFill="1" applyBorder="1"/>
    <xf numFmtId="0" fontId="180" fillId="8" borderId="0" xfId="246" applyFont="1" applyFill="1" applyBorder="1" applyAlignment="1" applyProtection="1">
      <alignment horizontal="center" vertical="center"/>
    </xf>
    <xf numFmtId="0" fontId="180" fillId="37" borderId="0" xfId="246" applyFont="1" applyFill="1" applyBorder="1" applyAlignment="1" applyProtection="1">
      <alignment horizontal="center" vertical="center"/>
    </xf>
    <xf numFmtId="0" fontId="180" fillId="0" borderId="0" xfId="246" applyFont="1" applyFill="1" applyBorder="1" applyAlignment="1" applyProtection="1">
      <alignment horizontal="center" vertical="center"/>
      <protection locked="0"/>
    </xf>
    <xf numFmtId="0" fontId="207" fillId="37" borderId="0" xfId="682" applyFont="1" applyFill="1" applyBorder="1" applyAlignment="1" applyProtection="1">
      <alignment horizontal="left" vertical="center"/>
    </xf>
    <xf numFmtId="0" fontId="207" fillId="37" borderId="60" xfId="682" applyFont="1" applyFill="1" applyBorder="1" applyAlignment="1" applyProtection="1">
      <alignment vertical="center"/>
    </xf>
    <xf numFmtId="180" fontId="207" fillId="0" borderId="43" xfId="684" applyNumberFormat="1" applyFont="1" applyFill="1" applyBorder="1" applyAlignment="1" applyProtection="1">
      <alignment vertical="center"/>
    </xf>
    <xf numFmtId="0" fontId="198" fillId="0" borderId="0" xfId="246" applyFont="1" applyFill="1" applyBorder="1" applyAlignment="1" applyProtection="1">
      <alignment horizontal="left" vertical="center"/>
    </xf>
    <xf numFmtId="0" fontId="198" fillId="0" borderId="0" xfId="684" applyFont="1" applyFill="1" applyAlignment="1" applyProtection="1">
      <alignment horizontal="left" indent="1"/>
    </xf>
    <xf numFmtId="0" fontId="198" fillId="0" borderId="0" xfId="684" applyFont="1" applyFill="1" applyBorder="1" applyAlignment="1" applyProtection="1"/>
    <xf numFmtId="180" fontId="198" fillId="0" borderId="0" xfId="684" applyNumberFormat="1" applyFont="1" applyFill="1" applyBorder="1" applyAlignment="1" applyProtection="1"/>
    <xf numFmtId="0" fontId="202" fillId="10" borderId="0" xfId="246" applyFont="1" applyFill="1" applyBorder="1" applyAlignment="1" applyProtection="1">
      <alignment horizontal="left" vertical="center"/>
    </xf>
    <xf numFmtId="0" fontId="214" fillId="0" borderId="0" xfId="246" applyFont="1" applyFill="1" applyBorder="1" applyAlignment="1" applyProtection="1">
      <alignment vertical="center"/>
    </xf>
    <xf numFmtId="180" fontId="199" fillId="0" borderId="0" xfId="684" applyNumberFormat="1" applyFont="1" applyFill="1" applyBorder="1" applyAlignment="1" applyProtection="1">
      <alignment horizontal="right" vertical="center" indent="1"/>
    </xf>
    <xf numFmtId="0" fontId="199" fillId="0" borderId="0" xfId="682" applyFont="1" applyFill="1" applyBorder="1" applyAlignment="1" applyProtection="1">
      <alignment horizontal="left" vertical="center"/>
    </xf>
    <xf numFmtId="0" fontId="199" fillId="0" borderId="60" xfId="682" applyFont="1" applyFill="1" applyBorder="1" applyAlignment="1" applyProtection="1">
      <alignment horizontal="left" vertical="center"/>
    </xf>
    <xf numFmtId="0" fontId="196" fillId="8" borderId="0" xfId="246" applyFont="1" applyFill="1" applyBorder="1" applyAlignment="1" applyProtection="1">
      <alignment horizontal="left" vertical="center"/>
    </xf>
    <xf numFmtId="0" fontId="215" fillId="0" borderId="0" xfId="246" applyFont="1" applyFill="1" applyBorder="1" applyAlignment="1" applyProtection="1">
      <alignment vertical="center"/>
    </xf>
    <xf numFmtId="165" fontId="215" fillId="0" borderId="0" xfId="4" applyNumberFormat="1" applyFont="1" applyFill="1" applyBorder="1" applyAlignment="1" applyProtection="1">
      <alignment vertical="center"/>
    </xf>
    <xf numFmtId="0" fontId="209" fillId="0" borderId="0" xfId="246" applyFont="1" applyFill="1" applyBorder="1" applyAlignment="1" applyProtection="1">
      <alignment horizontal="center" vertical="center"/>
    </xf>
    <xf numFmtId="0" fontId="216" fillId="0" borderId="0" xfId="682" applyFont="1" applyFill="1" applyBorder="1" applyAlignment="1" applyProtection="1">
      <alignment horizontal="left" vertical="center"/>
    </xf>
    <xf numFmtId="0" fontId="216" fillId="0" borderId="60" xfId="682" applyFont="1" applyFill="1" applyBorder="1" applyAlignment="1" applyProtection="1">
      <alignment vertical="center"/>
    </xf>
    <xf numFmtId="165" fontId="215" fillId="0" borderId="0" xfId="4" applyNumberFormat="1" applyFont="1" applyFill="1" applyBorder="1" applyAlignment="1" applyProtection="1">
      <alignment horizontal="right" vertical="center"/>
    </xf>
    <xf numFmtId="0" fontId="181" fillId="0" borderId="0" xfId="246" applyFont="1" applyFill="1" applyAlignment="1" applyProtection="1">
      <alignment vertical="center"/>
    </xf>
    <xf numFmtId="0" fontId="181" fillId="37" borderId="0" xfId="246" applyFont="1" applyFill="1" applyAlignment="1" applyProtection="1">
      <alignment vertical="center"/>
    </xf>
    <xf numFmtId="0" fontId="180" fillId="6" borderId="0" xfId="246" applyFont="1" applyFill="1" applyBorder="1" applyAlignment="1" applyProtection="1">
      <alignment horizontal="left" vertical="center"/>
    </xf>
    <xf numFmtId="0" fontId="180" fillId="6" borderId="0" xfId="246" applyFont="1" applyFill="1" applyBorder="1" applyAlignment="1" applyProtection="1">
      <alignment vertical="center"/>
    </xf>
    <xf numFmtId="165" fontId="218" fillId="6" borderId="0" xfId="4" applyNumberFormat="1" applyFont="1" applyFill="1" applyAlignment="1">
      <alignment horizontal="right"/>
    </xf>
    <xf numFmtId="0" fontId="14" fillId="0" borderId="0" xfId="683" applyFont="1" applyAlignment="1">
      <alignment horizontal="center"/>
    </xf>
    <xf numFmtId="0" fontId="14" fillId="0" borderId="0" xfId="683" applyFont="1"/>
    <xf numFmtId="180" fontId="201" fillId="0" borderId="45" xfId="684" applyNumberFormat="1" applyFont="1" applyFill="1" applyBorder="1" applyAlignment="1" applyProtection="1">
      <alignment horizontal="right" vertical="center" indent="1"/>
    </xf>
    <xf numFmtId="9" fontId="14" fillId="0" borderId="0" xfId="4" applyFont="1" applyAlignment="1">
      <alignment horizontal="center"/>
    </xf>
    <xf numFmtId="0" fontId="178" fillId="0" borderId="0" xfId="246" applyFont="1" applyFill="1" applyBorder="1" applyAlignment="1" applyProtection="1">
      <alignment horizontal="left" vertical="center"/>
    </xf>
    <xf numFmtId="9" fontId="219" fillId="0" borderId="0" xfId="4" applyFont="1" applyAlignment="1">
      <alignment horizontal="center"/>
    </xf>
    <xf numFmtId="180" fontId="189" fillId="0" borderId="45" xfId="684" applyNumberFormat="1" applyFont="1" applyFill="1" applyBorder="1" applyAlignment="1" applyProtection="1">
      <alignment horizontal="right" vertical="center" indent="1"/>
    </xf>
    <xf numFmtId="165" fontId="212" fillId="0" borderId="0" xfId="4" applyNumberFormat="1" applyFont="1" applyFill="1" applyBorder="1" applyAlignment="1" applyProtection="1">
      <alignment vertical="center"/>
    </xf>
    <xf numFmtId="180" fontId="180" fillId="0" borderId="0" xfId="246" applyNumberFormat="1" applyFont="1" applyFill="1" applyBorder="1" applyAlignment="1" applyProtection="1">
      <alignment vertical="center"/>
    </xf>
    <xf numFmtId="165" fontId="180" fillId="0" borderId="0" xfId="4" applyNumberFormat="1" applyFont="1" applyFill="1" applyBorder="1" applyAlignment="1" applyProtection="1">
      <alignment vertical="center"/>
    </xf>
    <xf numFmtId="0" fontId="9" fillId="0" borderId="0" xfId="3" quotePrefix="1" applyFont="1"/>
    <xf numFmtId="0" fontId="64" fillId="8" borderId="0" xfId="0" applyFont="1" applyFill="1" applyAlignment="1">
      <alignment horizontal="center" vertical="center" textRotation="90"/>
    </xf>
    <xf numFmtId="0" fontId="0" fillId="3" borderId="0" xfId="2" applyFont="1"/>
    <xf numFmtId="0" fontId="141" fillId="0" borderId="0" xfId="0" applyFont="1" applyAlignment="1">
      <alignment vertical="center"/>
    </xf>
    <xf numFmtId="0" fontId="153" fillId="0" borderId="0" xfId="0" applyFont="1" applyFill="1" applyAlignment="1">
      <alignment vertical="center"/>
    </xf>
    <xf numFmtId="0" fontId="141" fillId="0" borderId="0" xfId="0" applyFont="1" applyFill="1" applyAlignment="1">
      <alignment vertical="center" textRotation="90"/>
    </xf>
    <xf numFmtId="0" fontId="60" fillId="55" borderId="0" xfId="0" applyFont="1" applyFill="1" applyAlignment="1">
      <alignment horizontal="center" vertical="center"/>
    </xf>
    <xf numFmtId="0" fontId="65" fillId="0" borderId="0" xfId="0" applyFont="1" applyAlignment="1">
      <alignment vertical="center"/>
    </xf>
    <xf numFmtId="0" fontId="14" fillId="6" borderId="0" xfId="246" applyFont="1" applyFill="1" applyBorder="1" applyAlignment="1" applyProtection="1">
      <alignment horizontal="left" vertical="center"/>
    </xf>
    <xf numFmtId="3" fontId="153" fillId="0" borderId="0" xfId="0" applyNumberFormat="1" applyFont="1" applyAlignment="1">
      <alignment horizontal="right" vertical="center"/>
    </xf>
    <xf numFmtId="0" fontId="14" fillId="6" borderId="0" xfId="246" applyFont="1" applyFill="1" applyBorder="1" applyAlignment="1" applyProtection="1">
      <alignment vertical="center"/>
    </xf>
    <xf numFmtId="165" fontId="231" fillId="6" borderId="0" xfId="4" applyNumberFormat="1" applyFont="1" applyFill="1" applyAlignment="1">
      <alignment horizontal="right"/>
    </xf>
    <xf numFmtId="3" fontId="153" fillId="0" borderId="0" xfId="0" applyNumberFormat="1" applyFont="1" applyAlignment="1">
      <alignment vertical="center"/>
    </xf>
    <xf numFmtId="0" fontId="153" fillId="37" borderId="0" xfId="0" applyFont="1" applyFill="1" applyAlignment="1">
      <alignment vertical="center"/>
    </xf>
    <xf numFmtId="0" fontId="65" fillId="37" borderId="0" xfId="0" applyFont="1" applyFill="1" applyAlignment="1">
      <alignment vertical="center"/>
    </xf>
    <xf numFmtId="0" fontId="141" fillId="37" borderId="0" xfId="0" applyFont="1" applyFill="1" applyAlignment="1">
      <alignment vertical="center" textRotation="90"/>
    </xf>
    <xf numFmtId="3" fontId="153" fillId="37" borderId="0" xfId="0" applyNumberFormat="1" applyFont="1" applyFill="1" applyAlignment="1">
      <alignment vertical="center"/>
    </xf>
    <xf numFmtId="0" fontId="51" fillId="0" borderId="0" xfId="0" applyFont="1" applyAlignment="1">
      <alignment vertical="center"/>
    </xf>
    <xf numFmtId="0" fontId="51" fillId="0" borderId="0" xfId="0" applyFont="1" applyFill="1" applyAlignment="1">
      <alignment vertical="center" textRotation="90"/>
    </xf>
    <xf numFmtId="3" fontId="51" fillId="0" borderId="0" xfId="0" applyNumberFormat="1" applyFont="1" applyAlignment="1">
      <alignment horizontal="right" vertical="center"/>
    </xf>
    <xf numFmtId="165" fontId="51" fillId="0" borderId="0" xfId="4" applyNumberFormat="1" applyFont="1" applyFill="1" applyBorder="1" applyAlignment="1" applyProtection="1">
      <alignment horizontal="right" vertical="center"/>
    </xf>
    <xf numFmtId="3" fontId="51" fillId="0" borderId="0" xfId="0" applyNumberFormat="1" applyFont="1" applyAlignment="1">
      <alignment vertical="center"/>
    </xf>
    <xf numFmtId="165" fontId="232" fillId="0" borderId="0" xfId="311" applyNumberFormat="1" applyFont="1" applyAlignment="1">
      <alignment vertical="center"/>
    </xf>
    <xf numFmtId="165" fontId="233" fillId="0" borderId="0" xfId="311" applyNumberFormat="1" applyFont="1" applyAlignment="1">
      <alignment horizontal="right" vertical="center"/>
    </xf>
    <xf numFmtId="165" fontId="234" fillId="0" borderId="0" xfId="311" applyNumberFormat="1" applyFont="1" applyAlignment="1">
      <alignment vertical="center"/>
    </xf>
    <xf numFmtId="165" fontId="234" fillId="0" borderId="0" xfId="311" applyNumberFormat="1" applyFont="1" applyAlignment="1">
      <alignment horizontal="right" vertical="center"/>
    </xf>
    <xf numFmtId="0" fontId="235" fillId="0" borderId="0" xfId="0" applyFont="1" applyAlignment="1">
      <alignment vertical="center"/>
    </xf>
    <xf numFmtId="165" fontId="233" fillId="0" borderId="0" xfId="311" applyNumberFormat="1" applyFont="1" applyAlignment="1">
      <alignment vertical="center"/>
    </xf>
    <xf numFmtId="165" fontId="236" fillId="0" borderId="0" xfId="311" applyNumberFormat="1" applyFont="1" applyFill="1" applyAlignment="1">
      <alignment vertical="center" textRotation="90"/>
    </xf>
    <xf numFmtId="165" fontId="175" fillId="0" borderId="0" xfId="311" applyNumberFormat="1" applyFont="1" applyFill="1" applyAlignment="1">
      <alignment vertical="center" textRotation="90"/>
    </xf>
    <xf numFmtId="165" fontId="237" fillId="0" borderId="0" xfId="311" applyNumberFormat="1" applyFont="1" applyAlignment="1">
      <alignment vertical="center"/>
    </xf>
    <xf numFmtId="180" fontId="20" fillId="72" borderId="48" xfId="682" applyNumberFormat="1" applyFont="1" applyFill="1" applyBorder="1" applyAlignment="1" applyProtection="1">
      <alignment horizontal="center" vertical="center" wrapText="1"/>
    </xf>
    <xf numFmtId="180" fontId="20" fillId="73" borderId="48" xfId="682" applyNumberFormat="1" applyFont="1" applyFill="1" applyBorder="1" applyAlignment="1" applyProtection="1">
      <alignment horizontal="center" vertical="center" wrapText="1"/>
    </xf>
    <xf numFmtId="0" fontId="0" fillId="73" borderId="0" xfId="0" applyFill="1" applyAlignment="1">
      <alignment horizontal="left" vertical="center" wrapText="1"/>
    </xf>
    <xf numFmtId="180" fontId="20" fillId="72" borderId="0" xfId="682" applyNumberFormat="1" applyFont="1" applyFill="1" applyBorder="1" applyAlignment="1" applyProtection="1">
      <alignment horizontal="left" vertical="center" wrapText="1"/>
    </xf>
    <xf numFmtId="0" fontId="59" fillId="55" borderId="0" xfId="0" applyFont="1" applyFill="1" applyAlignment="1">
      <alignment horizontal="center" vertical="center" wrapText="1"/>
    </xf>
    <xf numFmtId="0" fontId="170" fillId="50" borderId="49" xfId="682" applyFont="1" applyFill="1" applyBorder="1" applyAlignment="1" applyProtection="1">
      <alignment horizontal="left" vertical="center"/>
    </xf>
    <xf numFmtId="180" fontId="20" fillId="53" borderId="74" xfId="682" applyNumberFormat="1" applyFont="1" applyFill="1" applyBorder="1" applyAlignment="1" applyProtection="1">
      <alignment horizontal="center" vertical="center" wrapText="1"/>
    </xf>
    <xf numFmtId="180" fontId="20" fillId="72" borderId="74" xfId="682" applyNumberFormat="1" applyFont="1" applyFill="1" applyBorder="1" applyAlignment="1" applyProtection="1">
      <alignment horizontal="center" vertical="center" wrapText="1"/>
    </xf>
    <xf numFmtId="0" fontId="170" fillId="50" borderId="75" xfId="682" applyFont="1" applyFill="1" applyBorder="1" applyAlignment="1" applyProtection="1">
      <alignment horizontal="left" vertical="center"/>
    </xf>
    <xf numFmtId="180" fontId="20" fillId="53" borderId="76" xfId="682" applyNumberFormat="1" applyFont="1" applyFill="1" applyBorder="1" applyAlignment="1" applyProtection="1">
      <alignment horizontal="center" vertical="center" wrapText="1"/>
    </xf>
    <xf numFmtId="180" fontId="20" fillId="72" borderId="76" xfId="682" applyNumberFormat="1" applyFont="1" applyFill="1" applyBorder="1" applyAlignment="1" applyProtection="1">
      <alignment horizontal="center" vertical="center" wrapText="1"/>
    </xf>
    <xf numFmtId="0" fontId="238" fillId="74" borderId="59" xfId="682" applyFont="1" applyFill="1" applyBorder="1" applyAlignment="1" applyProtection="1">
      <alignment horizontal="left" vertical="center"/>
    </xf>
    <xf numFmtId="180" fontId="20" fillId="0" borderId="59" xfId="682" applyNumberFormat="1" applyFont="1" applyFill="1" applyBorder="1" applyAlignment="1" applyProtection="1">
      <alignment horizontal="center" vertical="center" wrapText="1"/>
    </xf>
    <xf numFmtId="180" fontId="43" fillId="0" borderId="59" xfId="682" applyNumberFormat="1" applyFont="1" applyFill="1" applyBorder="1" applyAlignment="1" applyProtection="1">
      <alignment horizontal="center" vertical="center" wrapText="1"/>
    </xf>
    <xf numFmtId="0" fontId="59" fillId="55" borderId="0" xfId="0" applyFont="1" applyFill="1" applyAlignment="1">
      <alignment horizontal="center" vertical="center" wrapText="1"/>
    </xf>
    <xf numFmtId="0" fontId="49" fillId="37" borderId="0" xfId="0" applyFont="1" applyFill="1" applyAlignment="1">
      <alignment horizontal="left" vertical="center" wrapText="1"/>
    </xf>
    <xf numFmtId="181" fontId="72" fillId="55" borderId="0" xfId="312" applyFont="1" applyFill="1" applyBorder="1" applyAlignment="1">
      <alignment horizontal="center" vertical="center"/>
    </xf>
    <xf numFmtId="0" fontId="70" fillId="64" borderId="0" xfId="682" applyFont="1" applyFill="1" applyBorder="1" applyAlignment="1" applyProtection="1">
      <alignment horizontal="left" vertical="center"/>
    </xf>
    <xf numFmtId="0" fontId="217" fillId="64" borderId="0" xfId="682" applyFont="1" applyFill="1" applyBorder="1" applyAlignment="1" applyProtection="1">
      <alignment horizontal="left" vertical="center"/>
    </xf>
    <xf numFmtId="0" fontId="202" fillId="68" borderId="62" xfId="682" applyFont="1" applyFill="1" applyBorder="1" applyAlignment="1" applyProtection="1">
      <alignment horizontal="left" vertical="center"/>
    </xf>
    <xf numFmtId="0" fontId="199" fillId="0" borderId="0" xfId="682" applyFont="1" applyFill="1" applyBorder="1" applyAlignment="1" applyProtection="1">
      <alignment horizontal="left" vertical="center"/>
    </xf>
    <xf numFmtId="0" fontId="199" fillId="0" borderId="60" xfId="682" applyFont="1" applyFill="1" applyBorder="1" applyAlignment="1" applyProtection="1">
      <alignment horizontal="left" vertical="center"/>
    </xf>
    <xf numFmtId="0" fontId="202" fillId="0" borderId="0" xfId="682" applyFont="1" applyFill="1" applyBorder="1" applyAlignment="1" applyProtection="1">
      <alignment horizontal="left" vertical="center"/>
    </xf>
    <xf numFmtId="0" fontId="202" fillId="0" borderId="60" xfId="682" applyFont="1" applyFill="1" applyBorder="1" applyAlignment="1" applyProtection="1">
      <alignment horizontal="left" vertical="center"/>
    </xf>
    <xf numFmtId="0" fontId="199" fillId="37" borderId="0" xfId="682" applyFont="1" applyFill="1" applyBorder="1" applyAlignment="1" applyProtection="1">
      <alignment horizontal="left" vertical="center"/>
    </xf>
    <xf numFmtId="0" fontId="199" fillId="37" borderId="60" xfId="682" applyFont="1" applyFill="1" applyBorder="1" applyAlignment="1" applyProtection="1">
      <alignment horizontal="left" vertical="center"/>
    </xf>
    <xf numFmtId="0" fontId="202" fillId="68" borderId="62" xfId="684" applyFont="1" applyFill="1" applyBorder="1" applyAlignment="1" applyProtection="1">
      <alignment horizontal="left" vertical="center"/>
    </xf>
    <xf numFmtId="0" fontId="203" fillId="68" borderId="62" xfId="684" applyFont="1" applyFill="1" applyBorder="1" applyAlignment="1" applyProtection="1">
      <alignment horizontal="left" vertical="center"/>
    </xf>
    <xf numFmtId="0" fontId="202" fillId="68" borderId="0" xfId="682" applyFont="1" applyFill="1" applyBorder="1" applyAlignment="1" applyProtection="1">
      <alignment horizontal="left" vertical="center"/>
    </xf>
    <xf numFmtId="0" fontId="199" fillId="0" borderId="63" xfId="682" applyFont="1" applyFill="1" applyBorder="1" applyAlignment="1" applyProtection="1">
      <alignment horizontal="left" vertical="center"/>
    </xf>
    <xf numFmtId="0" fontId="202" fillId="66" borderId="62" xfId="684" applyFont="1" applyFill="1" applyBorder="1" applyAlignment="1" applyProtection="1">
      <alignment horizontal="left" vertical="center"/>
    </xf>
    <xf numFmtId="0" fontId="203" fillId="66" borderId="62" xfId="684" applyFont="1" applyFill="1" applyBorder="1" applyAlignment="1" applyProtection="1">
      <alignment horizontal="left" vertical="center"/>
    </xf>
    <xf numFmtId="0" fontId="199" fillId="0" borderId="0" xfId="682" applyFont="1" applyFill="1" applyBorder="1" applyAlignment="1" applyProtection="1">
      <alignment horizontal="left" vertical="center" indent="3"/>
    </xf>
    <xf numFmtId="0" fontId="199" fillId="0" borderId="60" xfId="682" applyFont="1" applyFill="1" applyBorder="1" applyAlignment="1" applyProtection="1">
      <alignment horizontal="left" vertical="center" indent="3"/>
    </xf>
    <xf numFmtId="0" fontId="207" fillId="66" borderId="62" xfId="682" applyFont="1" applyFill="1" applyBorder="1" applyAlignment="1" applyProtection="1">
      <alignment horizontal="left" vertical="center"/>
    </xf>
    <xf numFmtId="0" fontId="202" fillId="66" borderId="62" xfId="682" applyFont="1" applyFill="1" applyBorder="1" applyAlignment="1" applyProtection="1">
      <alignment horizontal="left" vertical="center"/>
    </xf>
    <xf numFmtId="0" fontId="192" fillId="65" borderId="0" xfId="684" applyFont="1" applyFill="1" applyBorder="1" applyAlignment="1" applyProtection="1">
      <alignment horizontal="center" vertical="center" wrapText="1"/>
    </xf>
    <xf numFmtId="0" fontId="191" fillId="65" borderId="0" xfId="684" applyFont="1" applyFill="1" applyBorder="1" applyAlignment="1" applyProtection="1">
      <alignment horizontal="center" vertical="center" wrapText="1"/>
    </xf>
    <xf numFmtId="0" fontId="194" fillId="65" borderId="0" xfId="684" applyFont="1" applyFill="1" applyBorder="1" applyAlignment="1" applyProtection="1">
      <alignment horizontal="center" vertical="center" wrapText="1"/>
    </xf>
    <xf numFmtId="0" fontId="141" fillId="8" borderId="0" xfId="0" applyFont="1" applyFill="1" applyAlignment="1">
      <alignment horizontal="center" vertical="center" textRotation="90"/>
    </xf>
    <xf numFmtId="0" fontId="64" fillId="8" borderId="0" xfId="0" applyFont="1" applyFill="1" applyAlignment="1">
      <alignment horizontal="center" vertical="center" textRotation="90"/>
    </xf>
    <xf numFmtId="0" fontId="175" fillId="37" borderId="54" xfId="313" applyNumberFormat="1" applyFont="1" applyFill="1" applyBorder="1" applyAlignment="1" applyProtection="1">
      <alignment horizontal="center" vertical="center"/>
      <protection locked="0"/>
    </xf>
    <xf numFmtId="0" fontId="175" fillId="37" borderId="55" xfId="313" applyNumberFormat="1" applyFont="1" applyFill="1" applyBorder="1" applyAlignment="1" applyProtection="1">
      <alignment horizontal="center" vertical="center"/>
      <protection locked="0"/>
    </xf>
    <xf numFmtId="0" fontId="4" fillId="2" borderId="0" xfId="1" applyFont="1" applyAlignment="1">
      <alignment horizontal="center"/>
    </xf>
    <xf numFmtId="0" fontId="6" fillId="0" borderId="25" xfId="3" applyFont="1" applyFill="1" applyBorder="1" applyAlignment="1">
      <alignment horizontal="center"/>
    </xf>
    <xf numFmtId="0" fontId="6" fillId="0" borderId="1" xfId="3" applyFont="1" applyFill="1" applyBorder="1" applyAlignment="1">
      <alignment horizontal="center"/>
    </xf>
    <xf numFmtId="0" fontId="6" fillId="0" borderId="26" xfId="3" applyFont="1" applyFill="1" applyBorder="1" applyAlignment="1">
      <alignment horizontal="center"/>
    </xf>
    <xf numFmtId="0" fontId="7" fillId="3" borderId="0" xfId="2" applyFont="1" applyAlignment="1">
      <alignment horizontal="center"/>
    </xf>
    <xf numFmtId="3" fontId="0" fillId="0" borderId="0" xfId="0" applyNumberFormat="1" applyFont="1" applyAlignment="1">
      <alignment vertical="center"/>
    </xf>
    <xf numFmtId="3" fontId="0" fillId="0" borderId="0" xfId="0" applyNumberFormat="1" applyFont="1" applyAlignment="1">
      <alignment horizontal="right" vertical="center"/>
    </xf>
    <xf numFmtId="3" fontId="0" fillId="37" borderId="0" xfId="0" applyNumberFormat="1" applyFont="1" applyFill="1" applyAlignment="1">
      <alignment vertical="center"/>
    </xf>
    <xf numFmtId="3" fontId="68" fillId="0" borderId="0" xfId="0" applyNumberFormat="1" applyFont="1" applyAlignment="1">
      <alignment horizontal="right" vertical="center"/>
    </xf>
    <xf numFmtId="3" fontId="68" fillId="0" borderId="0" xfId="4" applyNumberFormat="1" applyFont="1" applyFill="1" applyBorder="1" applyAlignment="1" applyProtection="1">
      <alignment horizontal="right" vertical="center"/>
    </xf>
    <xf numFmtId="3" fontId="68" fillId="0" borderId="0" xfId="0" applyNumberFormat="1" applyFont="1" applyAlignment="1">
      <alignment vertical="center"/>
    </xf>
    <xf numFmtId="180" fontId="20" fillId="0" borderId="76" xfId="682" applyNumberFormat="1" applyFont="1" applyFill="1" applyBorder="1" applyAlignment="1" applyProtection="1">
      <alignment horizontal="center" vertical="center" wrapText="1"/>
    </xf>
  </cellXfs>
  <cellStyles count="3600">
    <cellStyle name="_x000a_386grabber=M" xfId="686"/>
    <cellStyle name="_x000a_386grabber=M 2" xfId="687"/>
    <cellStyle name="_x000a_386grabber=M 2 2" xfId="688"/>
    <cellStyle name="$   0,000" xfId="314"/>
    <cellStyle name="%" xfId="315"/>
    <cellStyle name="%0" xfId="316"/>
    <cellStyle name="%1" xfId="317"/>
    <cellStyle name="%2" xfId="318"/>
    <cellStyle name="£ BP" xfId="319"/>
    <cellStyle name="¥ JY" xfId="320"/>
    <cellStyle name="0" xfId="321"/>
    <cellStyle name="0,000" xfId="322"/>
    <cellStyle name="0.00" xfId="323"/>
    <cellStyle name="0.00%" xfId="324"/>
    <cellStyle name="0.00_CAPEM BY COUNTRY" xfId="689"/>
    <cellStyle name="0.0x" xfId="325"/>
    <cellStyle name="0_Actualisation provision contrat déficitaire SNCM 2010 V Def" xfId="326"/>
    <cellStyle name="0_Actualisation provision contrat déficitaire SNCM 2010 V Def_Bridge_Zone_Sud" xfId="690"/>
    <cellStyle name="0_Actualisation provision contrat déficitaire SNCM 2011 V3 30 05 2011" xfId="327"/>
    <cellStyle name="0_Actualisation provision contrat déficitaire SNCM 2011 V3 30 05 2011_Bridge_Zone_Sud" xfId="691"/>
    <cellStyle name="0_Bridge_Zone_Sud" xfId="692"/>
    <cellStyle name="0_PPA SNCM - présentation CAC 28 06 2011" xfId="328"/>
    <cellStyle name="0_PPA SNCM - présentation CAC 28 06 2011_Bridge_Zone_Sud" xfId="693"/>
    <cellStyle name="0_Simul location facturée par Trenitalia" xfId="329"/>
    <cellStyle name="20 % - Accent1 2" xfId="694"/>
    <cellStyle name="20 % - Accent2" xfId="2" builtinId="34"/>
    <cellStyle name="20 % - Accent2 2" xfId="695"/>
    <cellStyle name="20 % - Accent2 3" xfId="696"/>
    <cellStyle name="20 % - Accent2 4" xfId="697"/>
    <cellStyle name="20 % - Accent2 5" xfId="698"/>
    <cellStyle name="20 % - Accent2 6" xfId="699"/>
    <cellStyle name="20 % - Accent3 2" xfId="700"/>
    <cellStyle name="20 % - Accent4 2" xfId="701"/>
    <cellStyle name="20 % - Accent5 2" xfId="702"/>
    <cellStyle name="20 % - Accent6 2" xfId="703"/>
    <cellStyle name="20% - Accent1" xfId="8"/>
    <cellStyle name="20% - Accent1 2" xfId="9"/>
    <cellStyle name="20% - Accent1 3" xfId="10"/>
    <cellStyle name="20% - Accent1 4" xfId="11"/>
    <cellStyle name="20% - Accent1 5" xfId="12"/>
    <cellStyle name="20% - Accent1_Business Review - Saisie" xfId="13"/>
    <cellStyle name="20% - Accent2" xfId="14"/>
    <cellStyle name="20% - Accent2 2" xfId="15"/>
    <cellStyle name="20% - Accent2 3" xfId="16"/>
    <cellStyle name="20% - Accent2 4" xfId="17"/>
    <cellStyle name="20% - Accent2 5" xfId="18"/>
    <cellStyle name="20% - Accent2_Business Review - Saisie" xfId="19"/>
    <cellStyle name="20% - Accent3" xfId="20"/>
    <cellStyle name="20% - Accent3 2" xfId="21"/>
    <cellStyle name="20% - Accent3 3" xfId="22"/>
    <cellStyle name="20% - Accent3 4" xfId="23"/>
    <cellStyle name="20% - Accent3 5" xfId="24"/>
    <cellStyle name="20% - Accent3_Business Review - Saisie" xfId="25"/>
    <cellStyle name="20% - Accent4" xfId="26"/>
    <cellStyle name="20% - Accent4 2" xfId="27"/>
    <cellStyle name="20% - Accent4 3" xfId="28"/>
    <cellStyle name="20% - Accent4 4" xfId="29"/>
    <cellStyle name="20% - Accent4 5" xfId="30"/>
    <cellStyle name="20% - Accent4_Business Review - Saisie" xfId="31"/>
    <cellStyle name="20% - Accent5" xfId="32"/>
    <cellStyle name="20% - Accent5 2" xfId="33"/>
    <cellStyle name="20% - Accent5 3" xfId="34"/>
    <cellStyle name="20% - Accent5 4" xfId="35"/>
    <cellStyle name="20% - Accent5 5" xfId="36"/>
    <cellStyle name="20% - Accent5_Business Review - Saisie" xfId="37"/>
    <cellStyle name="20% - Accent6" xfId="38"/>
    <cellStyle name="20% - Accent6 2" xfId="39"/>
    <cellStyle name="20% - Accent6 3" xfId="40"/>
    <cellStyle name="20% - Accent6 4" xfId="41"/>
    <cellStyle name="20% - Accent6 5" xfId="42"/>
    <cellStyle name="20% - Accent6_Business Review - Saisie" xfId="43"/>
    <cellStyle name="40 % - Accent1 2" xfId="704"/>
    <cellStyle name="40 % - Accent2 2" xfId="705"/>
    <cellStyle name="40 % - Accent3 2" xfId="706"/>
    <cellStyle name="40 % - Accent4 2" xfId="707"/>
    <cellStyle name="40 % - Accent5 2" xfId="708"/>
    <cellStyle name="40 % - Accent6 2" xfId="709"/>
    <cellStyle name="40% - Accent1" xfId="44"/>
    <cellStyle name="40% - Accent1 2" xfId="45"/>
    <cellStyle name="40% - Accent1 3" xfId="46"/>
    <cellStyle name="40% - Accent1 4" xfId="47"/>
    <cellStyle name="40% - Accent1 5" xfId="48"/>
    <cellStyle name="40% - Accent1_Business Review - Saisie" xfId="49"/>
    <cellStyle name="40% - Accent2" xfId="50"/>
    <cellStyle name="40% - Accent2 2" xfId="51"/>
    <cellStyle name="40% - Accent2 3" xfId="52"/>
    <cellStyle name="40% - Accent2 4" xfId="53"/>
    <cellStyle name="40% - Accent2 5" xfId="54"/>
    <cellStyle name="40% - Accent2_Business Review - Saisie" xfId="55"/>
    <cellStyle name="40% - Accent3" xfId="56"/>
    <cellStyle name="40% - Accent3 2" xfId="57"/>
    <cellStyle name="40% - Accent3 3" xfId="58"/>
    <cellStyle name="40% - Accent3 4" xfId="59"/>
    <cellStyle name="40% - Accent3 5" xfId="60"/>
    <cellStyle name="40% - Accent3_Business Review - Saisie" xfId="61"/>
    <cellStyle name="40% - Accent4" xfId="62"/>
    <cellStyle name="40% - Accent4 2" xfId="63"/>
    <cellStyle name="40% - Accent4 3" xfId="64"/>
    <cellStyle name="40% - Accent4 4" xfId="65"/>
    <cellStyle name="40% - Accent4 5" xfId="66"/>
    <cellStyle name="40% - Accent4_Business Review - Saisie" xfId="67"/>
    <cellStyle name="40% - Accent5" xfId="68"/>
    <cellStyle name="40% - Accent5 2" xfId="69"/>
    <cellStyle name="40% - Accent5 3" xfId="70"/>
    <cellStyle name="40% - Accent5 4" xfId="71"/>
    <cellStyle name="40% - Accent5 5" xfId="72"/>
    <cellStyle name="40% - Accent5_Business Review - Saisie" xfId="73"/>
    <cellStyle name="40% - Accent6" xfId="74"/>
    <cellStyle name="40% - Accent6 2" xfId="75"/>
    <cellStyle name="40% - Accent6 3" xfId="76"/>
    <cellStyle name="40% - Accent6 4" xfId="77"/>
    <cellStyle name="40% - Accent6 5" xfId="78"/>
    <cellStyle name="40% - Accent6_Business Review - Saisie" xfId="79"/>
    <cellStyle name="60 % - Accent1 2" xfId="710"/>
    <cellStyle name="60 % - Accent2 2" xfId="711"/>
    <cellStyle name="60 % - Accent3 2" xfId="712"/>
    <cellStyle name="60 % - Accent4 2" xfId="713"/>
    <cellStyle name="60 % - Accent5 2" xfId="714"/>
    <cellStyle name="60 % - Accent6 2" xfId="715"/>
    <cellStyle name="60% - Accent1" xfId="80"/>
    <cellStyle name="60% - Accent1 2" xfId="81"/>
    <cellStyle name="60% - Accent1 3" xfId="82"/>
    <cellStyle name="60% - Accent1 4" xfId="83"/>
    <cellStyle name="60% - Accent1 5" xfId="84"/>
    <cellStyle name="60% - Accent1_Business Review - Saisie" xfId="85"/>
    <cellStyle name="60% - Accent2" xfId="86"/>
    <cellStyle name="60% - Accent2 2" xfId="87"/>
    <cellStyle name="60% - Accent2 3" xfId="88"/>
    <cellStyle name="60% - Accent2 4" xfId="89"/>
    <cellStyle name="60% - Accent2 5" xfId="90"/>
    <cellStyle name="60% - Accent2_Feuil1" xfId="716"/>
    <cellStyle name="60% - Accent3" xfId="91"/>
    <cellStyle name="60% - Accent3 2" xfId="92"/>
    <cellStyle name="60% - Accent3 3" xfId="93"/>
    <cellStyle name="60% - Accent3 4" xfId="94"/>
    <cellStyle name="60% - Accent3 5" xfId="95"/>
    <cellStyle name="60% - Accent3_Business Review - Saisie" xfId="96"/>
    <cellStyle name="60% - Accent4" xfId="97"/>
    <cellStyle name="60% - Accent4 2" xfId="98"/>
    <cellStyle name="60% - Accent4 3" xfId="99"/>
    <cellStyle name="60% - Accent4 4" xfId="100"/>
    <cellStyle name="60% - Accent4 5" xfId="101"/>
    <cellStyle name="60% - Accent4_Business Review - Saisie" xfId="102"/>
    <cellStyle name="60% - Accent5" xfId="103"/>
    <cellStyle name="60% - Accent5 2" xfId="104"/>
    <cellStyle name="60% - Accent5 3" xfId="105"/>
    <cellStyle name="60% - Accent5 4" xfId="106"/>
    <cellStyle name="60% - Accent5 5" xfId="107"/>
    <cellStyle name="60% - Accent5_Feuil1" xfId="717"/>
    <cellStyle name="60% - Accent6" xfId="108"/>
    <cellStyle name="60% - Accent6 2" xfId="109"/>
    <cellStyle name="60% - Accent6 3" xfId="110"/>
    <cellStyle name="60% - Accent6 4" xfId="111"/>
    <cellStyle name="60% - Accent6 5" xfId="112"/>
    <cellStyle name="60% - Accent6_Business Review - Saisie" xfId="113"/>
    <cellStyle name="Accent1 2" xfId="114"/>
    <cellStyle name="Accent1 3" xfId="115"/>
    <cellStyle name="Accent1 4" xfId="116"/>
    <cellStyle name="Accent1 5" xfId="117"/>
    <cellStyle name="Accent1 6" xfId="118"/>
    <cellStyle name="Accent2" xfId="1" builtinId="33"/>
    <cellStyle name="Accent2 2" xfId="119"/>
    <cellStyle name="Accent2 3" xfId="120"/>
    <cellStyle name="Accent2 4" xfId="121"/>
    <cellStyle name="Accent2 5" xfId="122"/>
    <cellStyle name="Accent2 6" xfId="123"/>
    <cellStyle name="Accent3 2" xfId="124"/>
    <cellStyle name="Accent3 3" xfId="125"/>
    <cellStyle name="Accent3 4" xfId="126"/>
    <cellStyle name="Accent3 5" xfId="127"/>
    <cellStyle name="Accent3 6" xfId="128"/>
    <cellStyle name="Accent4 2" xfId="129"/>
    <cellStyle name="Accent4 3" xfId="130"/>
    <cellStyle name="Accent4 4" xfId="131"/>
    <cellStyle name="Accent4 5" xfId="132"/>
    <cellStyle name="Accent4 6" xfId="133"/>
    <cellStyle name="Accent5 2" xfId="134"/>
    <cellStyle name="Accent5 3" xfId="135"/>
    <cellStyle name="Accent5 4" xfId="136"/>
    <cellStyle name="Accent5 5" xfId="137"/>
    <cellStyle name="Accent5 6" xfId="138"/>
    <cellStyle name="Accent6 2" xfId="139"/>
    <cellStyle name="Accent6 3" xfId="140"/>
    <cellStyle name="Accent6 4" xfId="141"/>
    <cellStyle name="Accent6 5" xfId="142"/>
    <cellStyle name="Accent6 6" xfId="143"/>
    <cellStyle name="at" xfId="330"/>
    <cellStyle name="Avertissement 2" xfId="718"/>
    <cellStyle name="b" xfId="331"/>
    <cellStyle name="b%0" xfId="332"/>
    <cellStyle name="b%1" xfId="333"/>
    <cellStyle name="b%2" xfId="334"/>
    <cellStyle name="b_Actualisation provision contrat déficitaire SNCM 2010 V Def" xfId="335"/>
    <cellStyle name="b_Actualisation provision contrat déficitaire SNCM 2010 V Def_B14_E2_2210" xfId="719"/>
    <cellStyle name="b_Actualisation provision contrat déficitaire SNCM 2010 V Def_B14_E2_2210_Bridge_Zone_Sud" xfId="720"/>
    <cellStyle name="b_Actualisation provision contrat déficitaire SNCM 2010 V Def_B14_Frais_Pôles" xfId="721"/>
    <cellStyle name="b_Actualisation provision contrat déficitaire SNCM 2010 V Def_B14_Frais_Pôles_Bridge_Zone_Sud" xfId="722"/>
    <cellStyle name="b_Actualisation provision contrat déficitaire SNCM 2010 V Def_Bridge_Zone_Sud" xfId="723"/>
    <cellStyle name="b_Actualisation provision contrat déficitaire SNCM 2010 V Def_CAPEM BY COUNTRY" xfId="724"/>
    <cellStyle name="b_Actualisation provision contrat déficitaire SNCM 2010 V Def_Context" xfId="725"/>
    <cellStyle name="b_Actualisation provision contrat déficitaire SNCM 2010 V Def_focus par entités CAFOPE2AMF" xfId="726"/>
    <cellStyle name="b_Actualisation provision contrat déficitaire SNCM 2010 V Def_focus par entités CAFOPE2AMF_Bridge_Zone_Sud" xfId="727"/>
    <cellStyle name="b_Actualisation provision contrat déficitaire SNCM 2010 V Def_Maquette PLT" xfId="728"/>
    <cellStyle name="b_Actualisation provision contrat déficitaire SNCM 2010 V Def_Output" xfId="729"/>
    <cellStyle name="b_Actualisation provision contrat déficitaire SNCM 2010 V Def_PAO-CAF-RESOP_04_13_pro_format_variante T1" xfId="730"/>
    <cellStyle name="b_Actualisation provision contrat déficitaire SNCM 2010 V Def_PAO-CAF-RESOP_04_13_pro_format_variante T1_Bridge_Zone_Sud" xfId="731"/>
    <cellStyle name="b_Actualisation provision contrat déficitaire SNCM 2010 V Def_PAO-CAF-RESOP_06_13" xfId="732"/>
    <cellStyle name="b_Actualisation provision contrat déficitaire SNCM 2010 V Def_PAO-CAF-RESOP_06_13_Bridge_Zone_Sud" xfId="733"/>
    <cellStyle name="b_Actualisation provision contrat déficitaire SNCM 2010 V Def_PAO-CAF-RESOP_08_13" xfId="734"/>
    <cellStyle name="b_Actualisation provision contrat déficitaire SNCM 2010 V Def_PAO-CAF-RESOP_08_13_Bridge_Zone_Sud" xfId="735"/>
    <cellStyle name="b_Actualisation provision contrat déficitaire SNCM 2010 V Def_PAO-CAF-RESOP_09_13" xfId="736"/>
    <cellStyle name="b_Actualisation provision contrat déficitaire SNCM 2010 V Def_PAO-CAF-RESOP_09_13_Bridge_Zone_Sud" xfId="737"/>
    <cellStyle name="b_Actualisation provision contrat déficitaire SNCM 2010 V Def_PAO-CAF-RESOP_09_2013_Zone_IDF (version 2)" xfId="738"/>
    <cellStyle name="b_Actualisation provision contrat déficitaire SNCM 2010 V Def_PAO-CAF-RESOP_10_12" xfId="739"/>
    <cellStyle name="b_Actualisation provision contrat déficitaire SNCM 2010 V Def_PAO-CAF-RESOP_10_12_Bridge_Zone_Sud" xfId="740"/>
    <cellStyle name="b_Actualisation provision contrat déficitaire SNCM 2010 V Def_PAO-CAF-RESOP_10_12_focus par entités CAFOP" xfId="741"/>
    <cellStyle name="b_Actualisation provision contrat déficitaire SNCM 2010 V Def_PAO-CAF-RESOP_10_12_focus par entités CAFOP_Bridge_Zone_Sud" xfId="742"/>
    <cellStyle name="b_Actualisation provision contrat déficitaire SNCM 2010 V Def_PAO-CAF-RESOP_11_13" xfId="743"/>
    <cellStyle name="b_Actualisation provision contrat déficitaire SNCM 2010 V Def_PAO-CAF-RESOP_B13" xfId="744"/>
    <cellStyle name="b_Actualisation provision contrat déficitaire SNCM 2010 V Def_PAO-CAF-RESOP_B13_Bridge_Zone_Sud" xfId="745"/>
    <cellStyle name="b_Actualisation provision contrat déficitaire SNCM 2010 V Def_PAO-CAF-RESOP_B13_focus par entités CAFOP" xfId="746"/>
    <cellStyle name="b_Actualisation provision contrat déficitaire SNCM 2010 V Def_PAO-CAF-RESOP_B13_focus par entités CAFOP_Bridge_Zone_Sud" xfId="747"/>
    <cellStyle name="b_Actualisation provision contrat déficitaire SNCM 2010 V Def_PAO-CAF-RESOP_B2014" xfId="748"/>
    <cellStyle name="b_Actualisation provision contrat déficitaire SNCM 2010 V Def_PAO-CAF-RESOP_B2014_Bridge_Zone_Sud" xfId="749"/>
    <cellStyle name="b_Actualisation provision contrat déficitaire SNCM 2010 V Def_PAO-CAF-RESOP_B2014_v2" xfId="750"/>
    <cellStyle name="b_Actualisation provision contrat déficitaire SNCM 2010 V Def_PAO-CAF-RESOP_E2_13" xfId="751"/>
    <cellStyle name="b_Actualisation provision contrat déficitaire SNCM 2010 V Def_PAO-CAF-RESOP_E2_13_Bridge_Zone_Sud" xfId="752"/>
    <cellStyle name="b_Actualisation provision contrat déficitaire SNCM 2010 V Def_PAO-CAF-RESOP_E2_2013_03_10_19H" xfId="753"/>
    <cellStyle name="b_Actualisation provision contrat déficitaire SNCM 2010 V Def_PAO-CAF-RESOP_E2_2013_03_10_19H_Bridge_Zone_Sud" xfId="754"/>
    <cellStyle name="b_Actualisation provision contrat déficitaire SNCM 2010 V Def_Synthèse_Présentation_conso_retraitée" xfId="755"/>
    <cellStyle name="b_Actualisation provision contrat déficitaire SNCM 2011 V3 30 05 2011" xfId="336"/>
    <cellStyle name="b_Actualisation provision contrat déficitaire SNCM 2011 V3 30 05 2011_B14_E2_2210" xfId="756"/>
    <cellStyle name="b_Actualisation provision contrat déficitaire SNCM 2011 V3 30 05 2011_B14_E2_2210_Bridge_Zone_Sud" xfId="757"/>
    <cellStyle name="b_Actualisation provision contrat déficitaire SNCM 2011 V3 30 05 2011_B14_Frais_Pôles" xfId="758"/>
    <cellStyle name="b_Actualisation provision contrat déficitaire SNCM 2011 V3 30 05 2011_B14_Frais_Pôles_Bridge_Zone_Sud" xfId="759"/>
    <cellStyle name="b_Actualisation provision contrat déficitaire SNCM 2011 V3 30 05 2011_Bridge_Zone_Sud" xfId="760"/>
    <cellStyle name="b_Actualisation provision contrat déficitaire SNCM 2011 V3 30 05 2011_CAPEM BY COUNTRY" xfId="761"/>
    <cellStyle name="b_Actualisation provision contrat déficitaire SNCM 2011 V3 30 05 2011_Context" xfId="762"/>
    <cellStyle name="b_Actualisation provision contrat déficitaire SNCM 2011 V3 30 05 2011_focus par entités CAFOPE2AMF" xfId="763"/>
    <cellStyle name="b_Actualisation provision contrat déficitaire SNCM 2011 V3 30 05 2011_focus par entités CAFOPE2AMF_Bridge_Zone_Sud" xfId="764"/>
    <cellStyle name="b_Actualisation provision contrat déficitaire SNCM 2011 V3 30 05 2011_Maquette PLT" xfId="765"/>
    <cellStyle name="b_Actualisation provision contrat déficitaire SNCM 2011 V3 30 05 2011_Output" xfId="766"/>
    <cellStyle name="b_Actualisation provision contrat déficitaire SNCM 2011 V3 30 05 2011_PAO-CAF-RESOP_04_13_pro_format_variante T1" xfId="767"/>
    <cellStyle name="b_Actualisation provision contrat déficitaire SNCM 2011 V3 30 05 2011_PAO-CAF-RESOP_04_13_pro_format_variante T1_Bridge_Zone_Sud" xfId="768"/>
    <cellStyle name="b_Actualisation provision contrat déficitaire SNCM 2011 V3 30 05 2011_PAO-CAF-RESOP_06_13" xfId="769"/>
    <cellStyle name="b_Actualisation provision contrat déficitaire SNCM 2011 V3 30 05 2011_PAO-CAF-RESOP_06_13_Bridge_Zone_Sud" xfId="770"/>
    <cellStyle name="b_Actualisation provision contrat déficitaire SNCM 2011 V3 30 05 2011_PAO-CAF-RESOP_08_13" xfId="771"/>
    <cellStyle name="b_Actualisation provision contrat déficitaire SNCM 2011 V3 30 05 2011_PAO-CAF-RESOP_08_13_Bridge_Zone_Sud" xfId="772"/>
    <cellStyle name="b_Actualisation provision contrat déficitaire SNCM 2011 V3 30 05 2011_PAO-CAF-RESOP_09_13" xfId="773"/>
    <cellStyle name="b_Actualisation provision contrat déficitaire SNCM 2011 V3 30 05 2011_PAO-CAF-RESOP_09_13_Bridge_Zone_Sud" xfId="774"/>
    <cellStyle name="b_Actualisation provision contrat déficitaire SNCM 2011 V3 30 05 2011_PAO-CAF-RESOP_09_2013_Zone_IDF (version 2)" xfId="775"/>
    <cellStyle name="b_Actualisation provision contrat déficitaire SNCM 2011 V3 30 05 2011_PAO-CAF-RESOP_10_12" xfId="776"/>
    <cellStyle name="b_Actualisation provision contrat déficitaire SNCM 2011 V3 30 05 2011_PAO-CAF-RESOP_10_12_Bridge_Zone_Sud" xfId="777"/>
    <cellStyle name="b_Actualisation provision contrat déficitaire SNCM 2011 V3 30 05 2011_PAO-CAF-RESOP_10_12_focus par entités CAFOP" xfId="778"/>
    <cellStyle name="b_Actualisation provision contrat déficitaire SNCM 2011 V3 30 05 2011_PAO-CAF-RESOP_10_12_focus par entités CAFOP_Bridge_Zone_Sud" xfId="779"/>
    <cellStyle name="b_Actualisation provision contrat déficitaire SNCM 2011 V3 30 05 2011_PAO-CAF-RESOP_11_13" xfId="780"/>
    <cellStyle name="b_Actualisation provision contrat déficitaire SNCM 2011 V3 30 05 2011_PAO-CAF-RESOP_B13" xfId="781"/>
    <cellStyle name="b_Actualisation provision contrat déficitaire SNCM 2011 V3 30 05 2011_PAO-CAF-RESOP_B13_Bridge_Zone_Sud" xfId="782"/>
    <cellStyle name="b_Actualisation provision contrat déficitaire SNCM 2011 V3 30 05 2011_PAO-CAF-RESOP_B13_focus par entités CAFOP" xfId="783"/>
    <cellStyle name="b_Actualisation provision contrat déficitaire SNCM 2011 V3 30 05 2011_PAO-CAF-RESOP_B13_focus par entités CAFOP_Bridge_Zone_Sud" xfId="784"/>
    <cellStyle name="b_Actualisation provision contrat déficitaire SNCM 2011 V3 30 05 2011_PAO-CAF-RESOP_B2014" xfId="785"/>
    <cellStyle name="b_Actualisation provision contrat déficitaire SNCM 2011 V3 30 05 2011_PAO-CAF-RESOP_B2014_Bridge_Zone_Sud" xfId="786"/>
    <cellStyle name="b_Actualisation provision contrat déficitaire SNCM 2011 V3 30 05 2011_PAO-CAF-RESOP_B2014_v2" xfId="787"/>
    <cellStyle name="b_Actualisation provision contrat déficitaire SNCM 2011 V3 30 05 2011_PAO-CAF-RESOP_E2_13" xfId="788"/>
    <cellStyle name="b_Actualisation provision contrat déficitaire SNCM 2011 V3 30 05 2011_PAO-CAF-RESOP_E2_13_Bridge_Zone_Sud" xfId="789"/>
    <cellStyle name="b_Actualisation provision contrat déficitaire SNCM 2011 V3 30 05 2011_PAO-CAF-RESOP_E2_2013_03_10_19H" xfId="790"/>
    <cellStyle name="b_Actualisation provision contrat déficitaire SNCM 2011 V3 30 05 2011_PAO-CAF-RESOP_E2_2013_03_10_19H_Bridge_Zone_Sud" xfId="791"/>
    <cellStyle name="b_Actualisation provision contrat déficitaire SNCM 2011 V3 30 05 2011_Synthèse_Présentation_conso_retraitée" xfId="792"/>
    <cellStyle name="b_BFR_TD_2014.02" xfId="793"/>
    <cellStyle name="b_Bridge_Zone_Nord" xfId="794"/>
    <cellStyle name="b_CAPEM BY COUNTRY" xfId="795"/>
    <cellStyle name="b_Context" xfId="796"/>
    <cellStyle name="b_LI819L_B13" xfId="337"/>
    <cellStyle name="b_LI819L_B13_CAPEM BY COUNTRY" xfId="797"/>
    <cellStyle name="b_LI819L_B13_Context" xfId="798"/>
    <cellStyle name="b_LI819L_B13_Maquette PLT" xfId="799"/>
    <cellStyle name="b_LI819L_B13_Output" xfId="800"/>
    <cellStyle name="b_Maquette PLT" xfId="801"/>
    <cellStyle name="b_Output" xfId="802"/>
    <cellStyle name="b_PAO-CAF-RESOP_14_01_13 à 20h" xfId="338"/>
    <cellStyle name="b_PAO-CAF-RESOP_14_01_13 à 20h_CAPEM BY COUNTRY" xfId="803"/>
    <cellStyle name="b_PAO-CAF-RESOP_14_01_13 à 20h_Context" xfId="804"/>
    <cellStyle name="b_PAO-CAF-RESOP_14_01_13 à 20h_Maquette PLT" xfId="805"/>
    <cellStyle name="b_PAO-CAF-RESOP_14_01_13 à 20h_Output" xfId="806"/>
    <cellStyle name="b_PAO-CAF-RESOP_2014.02" xfId="807"/>
    <cellStyle name="b_PAO-CAF-RESOP_2014.02_Bridge_Zone_Sud" xfId="808"/>
    <cellStyle name="b0" xfId="339"/>
    <cellStyle name="b09" xfId="340"/>
    <cellStyle name="b1" xfId="341"/>
    <cellStyle name="b2" xfId="342"/>
    <cellStyle name="Bad" xfId="144"/>
    <cellStyle name="Bad 2" xfId="145"/>
    <cellStyle name="Bad 3" xfId="146"/>
    <cellStyle name="Bad 4" xfId="147"/>
    <cellStyle name="Bad 5" xfId="148"/>
    <cellStyle name="Bad 6" xfId="149"/>
    <cellStyle name="Bad_Decote croissance organique" xfId="809"/>
    <cellStyle name="Black" xfId="343"/>
    <cellStyle name="blp_column_header" xfId="810"/>
    <cellStyle name="blue" xfId="344"/>
    <cellStyle name="bo" xfId="345"/>
    <cellStyle name="Bold/Border" xfId="346"/>
    <cellStyle name="Bottom" xfId="347"/>
    <cellStyle name="bout" xfId="348"/>
    <cellStyle name="bt" xfId="349"/>
    <cellStyle name="btit" xfId="350"/>
    <cellStyle name="budget" xfId="811"/>
    <cellStyle name="budget1" xfId="812"/>
    <cellStyle name="Bullet" xfId="351"/>
    <cellStyle name="c" xfId="352"/>
    <cellStyle name="c_Actualisation provision contrat déficitaire SNCM 2010 V Def" xfId="353"/>
    <cellStyle name="c_Actualisation provision contrat déficitaire SNCM 2010 V Def_B14_E2_2210" xfId="813"/>
    <cellStyle name="c_Actualisation provision contrat déficitaire SNCM 2010 V Def_B14_E2_2210_Bridge_Zone_Sud" xfId="814"/>
    <cellStyle name="c_Actualisation provision contrat déficitaire SNCM 2010 V Def_B14_Frais_Pôles" xfId="815"/>
    <cellStyle name="c_Actualisation provision contrat déficitaire SNCM 2010 V Def_B14_Frais_Pôles_Bridge_Zone_Sud" xfId="816"/>
    <cellStyle name="c_Actualisation provision contrat déficitaire SNCM 2010 V Def_Bridge_Zone_Sud" xfId="817"/>
    <cellStyle name="c_Actualisation provision contrat déficitaire SNCM 2010 V Def_CAPEM BY COUNTRY" xfId="818"/>
    <cellStyle name="c_Actualisation provision contrat déficitaire SNCM 2010 V Def_Context" xfId="819"/>
    <cellStyle name="c_Actualisation provision contrat déficitaire SNCM 2010 V Def_focus par entités CAFOPE2AMF" xfId="820"/>
    <cellStyle name="c_Actualisation provision contrat déficitaire SNCM 2010 V Def_focus par entités CAFOPE2AMF_Bridge_Zone_Sud" xfId="821"/>
    <cellStyle name="c_Actualisation provision contrat déficitaire SNCM 2010 V Def_Maquette PLT" xfId="822"/>
    <cellStyle name="c_Actualisation provision contrat déficitaire SNCM 2010 V Def_Output" xfId="823"/>
    <cellStyle name="c_Actualisation provision contrat déficitaire SNCM 2010 V Def_PAO-CAF-RESOP_04_13_pro_format_variante T1" xfId="824"/>
    <cellStyle name="c_Actualisation provision contrat déficitaire SNCM 2010 V Def_PAO-CAF-RESOP_04_13_pro_format_variante T1_Bridge_Zone_Sud" xfId="825"/>
    <cellStyle name="c_Actualisation provision contrat déficitaire SNCM 2010 V Def_PAO-CAF-RESOP_06_13" xfId="826"/>
    <cellStyle name="c_Actualisation provision contrat déficitaire SNCM 2010 V Def_PAO-CAF-RESOP_06_13_Bridge_Zone_Sud" xfId="827"/>
    <cellStyle name="c_Actualisation provision contrat déficitaire SNCM 2010 V Def_PAO-CAF-RESOP_08_13" xfId="828"/>
    <cellStyle name="c_Actualisation provision contrat déficitaire SNCM 2010 V Def_PAO-CAF-RESOP_08_13_Bridge_Zone_Sud" xfId="829"/>
    <cellStyle name="c_Actualisation provision contrat déficitaire SNCM 2010 V Def_PAO-CAF-RESOP_09_13" xfId="830"/>
    <cellStyle name="c_Actualisation provision contrat déficitaire SNCM 2010 V Def_PAO-CAF-RESOP_09_13_Bridge_Zone_Sud" xfId="831"/>
    <cellStyle name="c_Actualisation provision contrat déficitaire SNCM 2010 V Def_PAO-CAF-RESOP_09_2013_Zone_IDF (version 2)" xfId="832"/>
    <cellStyle name="c_Actualisation provision contrat déficitaire SNCM 2010 V Def_PAO-CAF-RESOP_10_12" xfId="833"/>
    <cellStyle name="c_Actualisation provision contrat déficitaire SNCM 2010 V Def_PAO-CAF-RESOP_10_12_Bridge_Zone_Sud" xfId="834"/>
    <cellStyle name="c_Actualisation provision contrat déficitaire SNCM 2010 V Def_PAO-CAF-RESOP_10_12_focus par entités CAFOP" xfId="835"/>
    <cellStyle name="c_Actualisation provision contrat déficitaire SNCM 2010 V Def_PAO-CAF-RESOP_10_12_focus par entités CAFOP_Bridge_Zone_Sud" xfId="836"/>
    <cellStyle name="c_Actualisation provision contrat déficitaire SNCM 2010 V Def_PAO-CAF-RESOP_11_13" xfId="837"/>
    <cellStyle name="c_Actualisation provision contrat déficitaire SNCM 2010 V Def_PAO-CAF-RESOP_B13" xfId="838"/>
    <cellStyle name="c_Actualisation provision contrat déficitaire SNCM 2010 V Def_PAO-CAF-RESOP_B13_Bridge_Zone_Sud" xfId="839"/>
    <cellStyle name="c_Actualisation provision contrat déficitaire SNCM 2010 V Def_PAO-CAF-RESOP_B13_focus par entités CAFOP" xfId="840"/>
    <cellStyle name="c_Actualisation provision contrat déficitaire SNCM 2010 V Def_PAO-CAF-RESOP_B13_focus par entités CAFOP_Bridge_Zone_Sud" xfId="841"/>
    <cellStyle name="c_Actualisation provision contrat déficitaire SNCM 2010 V Def_PAO-CAF-RESOP_B2014" xfId="842"/>
    <cellStyle name="c_Actualisation provision contrat déficitaire SNCM 2010 V Def_PAO-CAF-RESOP_B2014_Bridge_Zone_Sud" xfId="843"/>
    <cellStyle name="c_Actualisation provision contrat déficitaire SNCM 2010 V Def_PAO-CAF-RESOP_B2014_v2" xfId="844"/>
    <cellStyle name="c_Actualisation provision contrat déficitaire SNCM 2010 V Def_PAO-CAF-RESOP_E2_13" xfId="845"/>
    <cellStyle name="c_Actualisation provision contrat déficitaire SNCM 2010 V Def_PAO-CAF-RESOP_E2_13_Bridge_Zone_Sud" xfId="846"/>
    <cellStyle name="c_Actualisation provision contrat déficitaire SNCM 2010 V Def_PAO-CAF-RESOP_E2_2013_03_10_19H" xfId="847"/>
    <cellStyle name="c_Actualisation provision contrat déficitaire SNCM 2010 V Def_PAO-CAF-RESOP_E2_2013_03_10_19H_Bridge_Zone_Sud" xfId="848"/>
    <cellStyle name="c_Actualisation provision contrat déficitaire SNCM 2010 V Def_Synthèse_Présentation_conso_retraitée" xfId="849"/>
    <cellStyle name="c_Actualisation provision contrat déficitaire SNCM 2011 V3 30 05 2011" xfId="354"/>
    <cellStyle name="c_Actualisation provision contrat déficitaire SNCM 2011 V3 30 05 2011_B14_E2_2210" xfId="850"/>
    <cellStyle name="c_Actualisation provision contrat déficitaire SNCM 2011 V3 30 05 2011_B14_E2_2210_Bridge_Zone_Sud" xfId="851"/>
    <cellStyle name="c_Actualisation provision contrat déficitaire SNCM 2011 V3 30 05 2011_Bridge_Zone_Sud" xfId="852"/>
    <cellStyle name="c_Actualisation provision contrat déficitaire SNCM 2011 V3 30 05 2011_CAPEM BY COUNTRY" xfId="853"/>
    <cellStyle name="c_Actualisation provision contrat déficitaire SNCM 2011 V3 30 05 2011_Context" xfId="854"/>
    <cellStyle name="c_Actualisation provision contrat déficitaire SNCM 2011 V3 30 05 2011_focus par entités CAFOPE2AMF" xfId="855"/>
    <cellStyle name="c_Actualisation provision contrat déficitaire SNCM 2011 V3 30 05 2011_focus par entités CAFOPE2AMF_Bridge_Zone_Sud" xfId="856"/>
    <cellStyle name="c_Actualisation provision contrat déficitaire SNCM 2011 V3 30 05 2011_Maquette PLT" xfId="857"/>
    <cellStyle name="c_Actualisation provision contrat déficitaire SNCM 2011 V3 30 05 2011_Output" xfId="858"/>
    <cellStyle name="c_Actualisation provision contrat déficitaire SNCM 2011 V3 30 05 2011_PAO-CAF-RESOP_04_13_pro_format_variante T1" xfId="859"/>
    <cellStyle name="c_Actualisation provision contrat déficitaire SNCM 2011 V3 30 05 2011_PAO-CAF-RESOP_04_13_pro_format_variante T1_Bridge_Zone_Sud" xfId="860"/>
    <cellStyle name="c_Actualisation provision contrat déficitaire SNCM 2011 V3 30 05 2011_PAO-CAF-RESOP_06_13" xfId="861"/>
    <cellStyle name="c_Actualisation provision contrat déficitaire SNCM 2011 V3 30 05 2011_PAO-CAF-RESOP_06_13_Bridge_Zone_Sud" xfId="862"/>
    <cellStyle name="c_Actualisation provision contrat déficitaire SNCM 2011 V3 30 05 2011_PAO-CAF-RESOP_08_13" xfId="863"/>
    <cellStyle name="c_Actualisation provision contrat déficitaire SNCM 2011 V3 30 05 2011_PAO-CAF-RESOP_08_13_Bridge_Zone_Sud" xfId="864"/>
    <cellStyle name="c_Actualisation provision contrat déficitaire SNCM 2011 V3 30 05 2011_PAO-CAF-RESOP_09_13" xfId="865"/>
    <cellStyle name="c_Actualisation provision contrat déficitaire SNCM 2011 V3 30 05 2011_PAO-CAF-RESOP_09_13_Bridge_Zone_Sud" xfId="866"/>
    <cellStyle name="c_Actualisation provision contrat déficitaire SNCM 2011 V3 30 05 2011_PAO-CAF-RESOP_09_2013_Zone_IDF (version 2)" xfId="867"/>
    <cellStyle name="c_Actualisation provision contrat déficitaire SNCM 2011 V3 30 05 2011_PAO-CAF-RESOP_10_12" xfId="868"/>
    <cellStyle name="c_Actualisation provision contrat déficitaire SNCM 2011 V3 30 05 2011_PAO-CAF-RESOP_10_12_Bridge_Zone_Sud" xfId="869"/>
    <cellStyle name="c_Actualisation provision contrat déficitaire SNCM 2011 V3 30 05 2011_PAO-CAF-RESOP_10_12_focus par entités CAFOP" xfId="870"/>
    <cellStyle name="c_Actualisation provision contrat déficitaire SNCM 2011 V3 30 05 2011_PAO-CAF-RESOP_10_12_focus par entités CAFOP_Bridge_Zone_Sud" xfId="871"/>
    <cellStyle name="c_Actualisation provision contrat déficitaire SNCM 2011 V3 30 05 2011_PAO-CAF-RESOP_11_13" xfId="872"/>
    <cellStyle name="c_Actualisation provision contrat déficitaire SNCM 2011 V3 30 05 2011_PAO-CAF-RESOP_B13" xfId="873"/>
    <cellStyle name="c_Actualisation provision contrat déficitaire SNCM 2011 V3 30 05 2011_PAO-CAF-RESOP_B13_Bridge_Zone_Sud" xfId="874"/>
    <cellStyle name="c_Actualisation provision contrat déficitaire SNCM 2011 V3 30 05 2011_PAO-CAF-RESOP_B13_focus par entités CAFOP" xfId="875"/>
    <cellStyle name="c_Actualisation provision contrat déficitaire SNCM 2011 V3 30 05 2011_PAO-CAF-RESOP_B13_focus par entités CAFOP_Bridge_Zone_Sud" xfId="876"/>
    <cellStyle name="c_Actualisation provision contrat déficitaire SNCM 2011 V3 30 05 2011_PAO-CAF-RESOP_B2014" xfId="877"/>
    <cellStyle name="c_Actualisation provision contrat déficitaire SNCM 2011 V3 30 05 2011_PAO-CAF-RESOP_B2014_Bridge_Zone_Sud" xfId="878"/>
    <cellStyle name="c_Actualisation provision contrat déficitaire SNCM 2011 V3 30 05 2011_PAO-CAF-RESOP_B2014_v2" xfId="879"/>
    <cellStyle name="c_Actualisation provision contrat déficitaire SNCM 2011 V3 30 05 2011_PAO-CAF-RESOP_E2_13" xfId="880"/>
    <cellStyle name="c_Actualisation provision contrat déficitaire SNCM 2011 V3 30 05 2011_PAO-CAF-RESOP_E2_13_Bridge_Zone_Sud" xfId="881"/>
    <cellStyle name="c_Actualisation provision contrat déficitaire SNCM 2011 V3 30 05 2011_PAO-CAF-RESOP_E2_2013_03_10_19H" xfId="882"/>
    <cellStyle name="c_Actualisation provision contrat déficitaire SNCM 2011 V3 30 05 2011_PAO-CAF-RESOP_E2_2013_03_10_19H_Bridge_Zone_Sud" xfId="883"/>
    <cellStyle name="c_Actualisation provision contrat déficitaire SNCM 2011 V3 30 05 2011_Synthèse_Présentation_conso_retraitée" xfId="884"/>
    <cellStyle name="c_BFR_TD_2014.02" xfId="885"/>
    <cellStyle name="c_Bridge_Zone_Nord" xfId="886"/>
    <cellStyle name="c_CAPEM BY COUNTRY" xfId="887"/>
    <cellStyle name="c_Context" xfId="888"/>
    <cellStyle name="c_Grouse+Pelican" xfId="355"/>
    <cellStyle name="c_Grouse+Pelican_CAPEM BY COUNTRY" xfId="889"/>
    <cellStyle name="c_Grouse+Pelican_Context" xfId="890"/>
    <cellStyle name="c_Grouse+Pelican_Maquette PLT" xfId="891"/>
    <cellStyle name="c_Grouse+Pelican_Output" xfId="892"/>
    <cellStyle name="c_LI819L_B13" xfId="356"/>
    <cellStyle name="c_LI819L_B13_CAPEM BY COUNTRY" xfId="893"/>
    <cellStyle name="c_LI819L_B13_Context" xfId="894"/>
    <cellStyle name="c_LI819L_B13_Maquette PLT" xfId="895"/>
    <cellStyle name="c_LI819L_B13_Output" xfId="896"/>
    <cellStyle name="c_Macros" xfId="357"/>
    <cellStyle name="c_Macros (2)" xfId="358"/>
    <cellStyle name="c_Macros (2)_Actualisation provision contrat déficitaire SNCM 2010 V Def" xfId="359"/>
    <cellStyle name="c_Macros (2)_Actualisation provision contrat déficitaire SNCM 2010 V Def_B14_E2_2210" xfId="897"/>
    <cellStyle name="c_Macros (2)_Actualisation provision contrat déficitaire SNCM 2010 V Def_B14_E2_2210_Bridge_Zone_Sud" xfId="898"/>
    <cellStyle name="c_Macros (2)_Actualisation provision contrat déficitaire SNCM 2010 V Def_Bridge_Zone_Sud" xfId="899"/>
    <cellStyle name="c_Macros (2)_Actualisation provision contrat déficitaire SNCM 2010 V Def_CAPEM BY COUNTRY" xfId="900"/>
    <cellStyle name="c_Macros (2)_Actualisation provision contrat déficitaire SNCM 2010 V Def_Context" xfId="901"/>
    <cellStyle name="c_Macros (2)_Actualisation provision contrat déficitaire SNCM 2010 V Def_focus par entités CAFOPE2AMF" xfId="902"/>
    <cellStyle name="c_Macros (2)_Actualisation provision contrat déficitaire SNCM 2010 V Def_focus par entités CAFOPE2AMF_Bridge_Zone_Sud" xfId="903"/>
    <cellStyle name="c_Macros (2)_Actualisation provision contrat déficitaire SNCM 2010 V Def_Maquette PLT" xfId="904"/>
    <cellStyle name="c_Macros (2)_Actualisation provision contrat déficitaire SNCM 2010 V Def_Output" xfId="905"/>
    <cellStyle name="c_Macros (2)_Actualisation provision contrat déficitaire SNCM 2010 V Def_PAO-CAF-RESOP_04_13_pro_format_variante T1" xfId="906"/>
    <cellStyle name="c_Macros (2)_Actualisation provision contrat déficitaire SNCM 2010 V Def_PAO-CAF-RESOP_04_13_pro_format_variante T1_Bridge_Zone_Sud" xfId="907"/>
    <cellStyle name="c_Macros (2)_Actualisation provision contrat déficitaire SNCM 2010 V Def_PAO-CAF-RESOP_06_13" xfId="908"/>
    <cellStyle name="c_Macros (2)_Actualisation provision contrat déficitaire SNCM 2010 V Def_PAO-CAF-RESOP_06_13_Bridge_Zone_Sud" xfId="909"/>
    <cellStyle name="c_Macros (2)_Actualisation provision contrat déficitaire SNCM 2010 V Def_PAO-CAF-RESOP_08_13" xfId="910"/>
    <cellStyle name="c_Macros (2)_Actualisation provision contrat déficitaire SNCM 2010 V Def_PAO-CAF-RESOP_08_13_Bridge_Zone_Sud" xfId="911"/>
    <cellStyle name="c_Macros (2)_Actualisation provision contrat déficitaire SNCM 2010 V Def_PAO-CAF-RESOP_09_13" xfId="912"/>
    <cellStyle name="c_Macros (2)_Actualisation provision contrat déficitaire SNCM 2010 V Def_PAO-CAF-RESOP_09_13_Bridge_Zone_Sud" xfId="913"/>
    <cellStyle name="c_Macros (2)_Actualisation provision contrat déficitaire SNCM 2010 V Def_PAO-CAF-RESOP_09_2013_Zone_IDF (version 2)" xfId="914"/>
    <cellStyle name="c_Macros (2)_Actualisation provision contrat déficitaire SNCM 2010 V Def_PAO-CAF-RESOP_10_12" xfId="915"/>
    <cellStyle name="c_Macros (2)_Actualisation provision contrat déficitaire SNCM 2010 V Def_PAO-CAF-RESOP_10_12_Bridge_Zone_Sud" xfId="916"/>
    <cellStyle name="c_Macros (2)_Actualisation provision contrat déficitaire SNCM 2010 V Def_PAO-CAF-RESOP_10_12_focus par entités CAFOP" xfId="917"/>
    <cellStyle name="c_Macros (2)_Actualisation provision contrat déficitaire SNCM 2010 V Def_PAO-CAF-RESOP_10_12_focus par entités CAFOP_Bridge_Zone_Sud" xfId="918"/>
    <cellStyle name="c_Macros (2)_Actualisation provision contrat déficitaire SNCM 2010 V Def_PAO-CAF-RESOP_11_13" xfId="919"/>
    <cellStyle name="c_Macros (2)_Actualisation provision contrat déficitaire SNCM 2010 V Def_PAO-CAF-RESOP_B13" xfId="920"/>
    <cellStyle name="c_Macros (2)_Actualisation provision contrat déficitaire SNCM 2010 V Def_PAO-CAF-RESOP_B13_Bridge_Zone_Sud" xfId="921"/>
    <cellStyle name="c_Macros (2)_Actualisation provision contrat déficitaire SNCM 2010 V Def_PAO-CAF-RESOP_B13_focus par entités CAFOP" xfId="922"/>
    <cellStyle name="c_Macros (2)_Actualisation provision contrat déficitaire SNCM 2010 V Def_PAO-CAF-RESOP_B13_focus par entités CAFOP_Bridge_Zone_Sud" xfId="923"/>
    <cellStyle name="c_Macros (2)_Actualisation provision contrat déficitaire SNCM 2010 V Def_PAO-CAF-RESOP_B2014" xfId="924"/>
    <cellStyle name="c_Macros (2)_Actualisation provision contrat déficitaire SNCM 2010 V Def_PAO-CAF-RESOP_B2014_Bridge_Zone_Sud" xfId="925"/>
    <cellStyle name="c_Macros (2)_Actualisation provision contrat déficitaire SNCM 2010 V Def_PAO-CAF-RESOP_B2014_v2" xfId="926"/>
    <cellStyle name="c_Macros (2)_Actualisation provision contrat déficitaire SNCM 2010 V Def_PAO-CAF-RESOP_E2_13" xfId="927"/>
    <cellStyle name="c_Macros (2)_Actualisation provision contrat déficitaire SNCM 2010 V Def_PAO-CAF-RESOP_E2_13_Bridge_Zone_Sud" xfId="928"/>
    <cellStyle name="c_Macros (2)_Actualisation provision contrat déficitaire SNCM 2010 V Def_PAO-CAF-RESOP_E2_2013_03_10_19H" xfId="929"/>
    <cellStyle name="c_Macros (2)_Actualisation provision contrat déficitaire SNCM 2010 V Def_PAO-CAF-RESOP_E2_2013_03_10_19H_Bridge_Zone_Sud" xfId="930"/>
    <cellStyle name="c_Macros (2)_Actualisation provision contrat déficitaire SNCM 2010 V Def_Synthèse_Présentation_conso_retraitée" xfId="931"/>
    <cellStyle name="c_Macros (2)_Actualisation provision contrat déficitaire SNCM 2011 V3 30 05 2011" xfId="360"/>
    <cellStyle name="c_Macros (2)_Actualisation provision contrat déficitaire SNCM 2011 V3 30 05 2011_B14_E2_2210" xfId="932"/>
    <cellStyle name="c_Macros (2)_Actualisation provision contrat déficitaire SNCM 2011 V3 30 05 2011_B14_E2_2210_Bridge_Zone_Sud" xfId="933"/>
    <cellStyle name="c_Macros (2)_Actualisation provision contrat déficitaire SNCM 2011 V3 30 05 2011_Bridge_Zone_Sud" xfId="934"/>
    <cellStyle name="c_Macros (2)_Actualisation provision contrat déficitaire SNCM 2011 V3 30 05 2011_CAPEM BY COUNTRY" xfId="935"/>
    <cellStyle name="c_Macros (2)_Actualisation provision contrat déficitaire SNCM 2011 V3 30 05 2011_Context" xfId="936"/>
    <cellStyle name="c_Macros (2)_Actualisation provision contrat déficitaire SNCM 2011 V3 30 05 2011_focus par entités CAFOPE2AMF" xfId="937"/>
    <cellStyle name="c_Macros (2)_Actualisation provision contrat déficitaire SNCM 2011 V3 30 05 2011_focus par entités CAFOPE2AMF_Bridge_Zone_Sud" xfId="938"/>
    <cellStyle name="c_Macros (2)_Actualisation provision contrat déficitaire SNCM 2011 V3 30 05 2011_Maquette PLT" xfId="939"/>
    <cellStyle name="c_Macros (2)_Actualisation provision contrat déficitaire SNCM 2011 V3 30 05 2011_Output" xfId="940"/>
    <cellStyle name="c_Macros (2)_Actualisation provision contrat déficitaire SNCM 2011 V3 30 05 2011_PAO-CAF-RESOP_04_13_pro_format_variante T1" xfId="941"/>
    <cellStyle name="c_Macros (2)_Actualisation provision contrat déficitaire SNCM 2011 V3 30 05 2011_PAO-CAF-RESOP_04_13_pro_format_variante T1_Bridge_Zone_Sud" xfId="942"/>
    <cellStyle name="c_Macros (2)_Actualisation provision contrat déficitaire SNCM 2011 V3 30 05 2011_PAO-CAF-RESOP_06_13" xfId="943"/>
    <cellStyle name="c_Macros (2)_Actualisation provision contrat déficitaire SNCM 2011 V3 30 05 2011_PAO-CAF-RESOP_06_13_Bridge_Zone_Sud" xfId="944"/>
    <cellStyle name="c_Macros (2)_Actualisation provision contrat déficitaire SNCM 2011 V3 30 05 2011_PAO-CAF-RESOP_08_13" xfId="945"/>
    <cellStyle name="c_Macros (2)_Actualisation provision contrat déficitaire SNCM 2011 V3 30 05 2011_PAO-CAF-RESOP_08_13_Bridge_Zone_Sud" xfId="946"/>
    <cellStyle name="c_Macros (2)_Actualisation provision contrat déficitaire SNCM 2011 V3 30 05 2011_PAO-CAF-RESOP_09_13" xfId="947"/>
    <cellStyle name="c_Macros (2)_Actualisation provision contrat déficitaire SNCM 2011 V3 30 05 2011_PAO-CAF-RESOP_09_13_Bridge_Zone_Sud" xfId="948"/>
    <cellStyle name="c_Macros (2)_Actualisation provision contrat déficitaire SNCM 2011 V3 30 05 2011_PAO-CAF-RESOP_09_2013_Zone_IDF (version 2)" xfId="949"/>
    <cellStyle name="c_Macros (2)_Actualisation provision contrat déficitaire SNCM 2011 V3 30 05 2011_PAO-CAF-RESOP_10_12" xfId="950"/>
    <cellStyle name="c_Macros (2)_Actualisation provision contrat déficitaire SNCM 2011 V3 30 05 2011_PAO-CAF-RESOP_10_12_Bridge_Zone_Sud" xfId="951"/>
    <cellStyle name="c_Macros (2)_Actualisation provision contrat déficitaire SNCM 2011 V3 30 05 2011_PAO-CAF-RESOP_10_12_focus par entités CAFOP" xfId="952"/>
    <cellStyle name="c_Macros (2)_Actualisation provision contrat déficitaire SNCM 2011 V3 30 05 2011_PAO-CAF-RESOP_10_12_focus par entités CAFOP_Bridge_Zone_Sud" xfId="953"/>
    <cellStyle name="c_Macros (2)_Actualisation provision contrat déficitaire SNCM 2011 V3 30 05 2011_PAO-CAF-RESOP_11_13" xfId="954"/>
    <cellStyle name="c_Macros (2)_Actualisation provision contrat déficitaire SNCM 2011 V3 30 05 2011_PAO-CAF-RESOP_B13" xfId="955"/>
    <cellStyle name="c_Macros (2)_Actualisation provision contrat déficitaire SNCM 2011 V3 30 05 2011_PAO-CAF-RESOP_B13_Bridge_Zone_Sud" xfId="956"/>
    <cellStyle name="c_Macros (2)_Actualisation provision contrat déficitaire SNCM 2011 V3 30 05 2011_PAO-CAF-RESOP_B13_focus par entités CAFOP" xfId="957"/>
    <cellStyle name="c_Macros (2)_Actualisation provision contrat déficitaire SNCM 2011 V3 30 05 2011_PAO-CAF-RESOP_B13_focus par entités CAFOP_Bridge_Zone_Sud" xfId="958"/>
    <cellStyle name="c_Macros (2)_Actualisation provision contrat déficitaire SNCM 2011 V3 30 05 2011_PAO-CAF-RESOP_B2014" xfId="959"/>
    <cellStyle name="c_Macros (2)_Actualisation provision contrat déficitaire SNCM 2011 V3 30 05 2011_PAO-CAF-RESOP_B2014_Bridge_Zone_Sud" xfId="960"/>
    <cellStyle name="c_Macros (2)_Actualisation provision contrat déficitaire SNCM 2011 V3 30 05 2011_PAO-CAF-RESOP_B2014_v2" xfId="961"/>
    <cellStyle name="c_Macros (2)_Actualisation provision contrat déficitaire SNCM 2011 V3 30 05 2011_PAO-CAF-RESOP_E2_13" xfId="962"/>
    <cellStyle name="c_Macros (2)_Actualisation provision contrat déficitaire SNCM 2011 V3 30 05 2011_PAO-CAF-RESOP_E2_13_Bridge_Zone_Sud" xfId="963"/>
    <cellStyle name="c_Macros (2)_Actualisation provision contrat déficitaire SNCM 2011 V3 30 05 2011_PAO-CAF-RESOP_E2_2013_03_10_19H" xfId="964"/>
    <cellStyle name="c_Macros (2)_Actualisation provision contrat déficitaire SNCM 2011 V3 30 05 2011_PAO-CAF-RESOP_E2_2013_03_10_19H_Bridge_Zone_Sud" xfId="965"/>
    <cellStyle name="c_Macros (2)_Actualisation provision contrat déficitaire SNCM 2011 V3 30 05 2011_Synthèse_Présentation_conso_retraitée" xfId="966"/>
    <cellStyle name="c_Macros (2)_BFR_TD_2014.02" xfId="967"/>
    <cellStyle name="c_Macros (2)_Bridge_Zone_Nord" xfId="968"/>
    <cellStyle name="c_Macros (2)_CAPEM BY COUNTRY" xfId="969"/>
    <cellStyle name="c_Macros (2)_Context" xfId="970"/>
    <cellStyle name="c_Macros (2)_LI819L_B13" xfId="361"/>
    <cellStyle name="c_Macros (2)_LI819L_B13_CAPEM BY COUNTRY" xfId="971"/>
    <cellStyle name="c_Macros (2)_LI819L_B13_Context" xfId="972"/>
    <cellStyle name="c_Macros (2)_LI819L_B13_Maquette PLT" xfId="973"/>
    <cellStyle name="c_Macros (2)_LI819L_B13_Output" xfId="974"/>
    <cellStyle name="c_Macros (2)_Maquette PLT" xfId="975"/>
    <cellStyle name="c_Macros (2)_Output" xfId="976"/>
    <cellStyle name="c_Macros (2)_PAO-CAF-RESOP_14_01_13 à 20h" xfId="362"/>
    <cellStyle name="c_Macros (2)_PAO-CAF-RESOP_14_01_13 à 20h_CAPEM BY COUNTRY" xfId="977"/>
    <cellStyle name="c_Macros (2)_PAO-CAF-RESOP_14_01_13 à 20h_Context" xfId="978"/>
    <cellStyle name="c_Macros (2)_PAO-CAF-RESOP_14_01_13 à 20h_Maquette PLT" xfId="979"/>
    <cellStyle name="c_Macros (2)_PAO-CAF-RESOP_14_01_13 à 20h_Output" xfId="980"/>
    <cellStyle name="c_Macros (2)_PAO-CAF-RESOP_2014.02" xfId="981"/>
    <cellStyle name="c_Macros (2)_PAO-CAF-RESOP_2014.02_Bridge_Zone_Sud" xfId="982"/>
    <cellStyle name="c_Macros_Actualisation provision contrat déficitaire SNCM 2010 V Def" xfId="363"/>
    <cellStyle name="c_Macros_Actualisation provision contrat déficitaire SNCM 2010 V Def_B14_E2_2210" xfId="983"/>
    <cellStyle name="c_Macros_Actualisation provision contrat déficitaire SNCM 2010 V Def_B14_E2_2210_Bridge_Zone_Sud" xfId="984"/>
    <cellStyle name="c_Macros_Actualisation provision contrat déficitaire SNCM 2010 V Def_Bridge_Zone_Sud" xfId="985"/>
    <cellStyle name="c_Macros_Actualisation provision contrat déficitaire SNCM 2010 V Def_CAPEM BY COUNTRY" xfId="986"/>
    <cellStyle name="c_Macros_Actualisation provision contrat déficitaire SNCM 2010 V Def_Context" xfId="987"/>
    <cellStyle name="c_Macros_Actualisation provision contrat déficitaire SNCM 2010 V Def_focus par entités CAFOPE2AMF" xfId="988"/>
    <cellStyle name="c_Macros_Actualisation provision contrat déficitaire SNCM 2010 V Def_focus par entités CAFOPE2AMF_Bridge_Zone_Sud" xfId="989"/>
    <cellStyle name="c_Macros_Actualisation provision contrat déficitaire SNCM 2010 V Def_Maquette PLT" xfId="990"/>
    <cellStyle name="c_Macros_Actualisation provision contrat déficitaire SNCM 2010 V Def_Output" xfId="991"/>
    <cellStyle name="c_Macros_Actualisation provision contrat déficitaire SNCM 2010 V Def_PAO-CAF-RESOP_04_13_pro_format_variante T1" xfId="992"/>
    <cellStyle name="c_Macros_Actualisation provision contrat déficitaire SNCM 2010 V Def_PAO-CAF-RESOP_04_13_pro_format_variante T1_Bridge_Zone_Sud" xfId="993"/>
    <cellStyle name="c_Macros_Actualisation provision contrat déficitaire SNCM 2010 V Def_PAO-CAF-RESOP_06_13" xfId="994"/>
    <cellStyle name="c_Macros_Actualisation provision contrat déficitaire SNCM 2010 V Def_PAO-CAF-RESOP_06_13_Bridge_Zone_Sud" xfId="995"/>
    <cellStyle name="c_Macros_Actualisation provision contrat déficitaire SNCM 2010 V Def_PAO-CAF-RESOP_08_13" xfId="996"/>
    <cellStyle name="c_Macros_Actualisation provision contrat déficitaire SNCM 2010 V Def_PAO-CAF-RESOP_08_13_Bridge_Zone_Sud" xfId="997"/>
    <cellStyle name="c_Macros_Actualisation provision contrat déficitaire SNCM 2010 V Def_PAO-CAF-RESOP_09_13" xfId="998"/>
    <cellStyle name="c_Macros_Actualisation provision contrat déficitaire SNCM 2010 V Def_PAO-CAF-RESOP_09_13_Bridge_Zone_Sud" xfId="999"/>
    <cellStyle name="c_Macros_Actualisation provision contrat déficitaire SNCM 2010 V Def_PAO-CAF-RESOP_09_2013_Zone_IDF (version 2)" xfId="1000"/>
    <cellStyle name="c_Macros_Actualisation provision contrat déficitaire SNCM 2010 V Def_PAO-CAF-RESOP_10_12" xfId="1001"/>
    <cellStyle name="c_Macros_Actualisation provision contrat déficitaire SNCM 2010 V Def_PAO-CAF-RESOP_10_12_Bridge_Zone_Sud" xfId="1002"/>
    <cellStyle name="c_Macros_Actualisation provision contrat déficitaire SNCM 2010 V Def_PAO-CAF-RESOP_10_12_focus par entités CAFOP" xfId="1003"/>
    <cellStyle name="c_Macros_Actualisation provision contrat déficitaire SNCM 2010 V Def_PAO-CAF-RESOP_10_12_focus par entités CAFOP_Bridge_Zone_Sud" xfId="1004"/>
    <cellStyle name="c_Macros_Actualisation provision contrat déficitaire SNCM 2010 V Def_PAO-CAF-RESOP_11_13" xfId="1005"/>
    <cellStyle name="c_Macros_Actualisation provision contrat déficitaire SNCM 2010 V Def_PAO-CAF-RESOP_B13" xfId="1006"/>
    <cellStyle name="c_Macros_Actualisation provision contrat déficitaire SNCM 2010 V Def_PAO-CAF-RESOP_B13_Bridge_Zone_Sud" xfId="1007"/>
    <cellStyle name="c_Macros_Actualisation provision contrat déficitaire SNCM 2010 V Def_PAO-CAF-RESOP_B13_focus par entités CAFOP" xfId="1008"/>
    <cellStyle name="c_Macros_Actualisation provision contrat déficitaire SNCM 2010 V Def_PAO-CAF-RESOP_B13_focus par entités CAFOP_Bridge_Zone_Sud" xfId="1009"/>
    <cellStyle name="c_Macros_Actualisation provision contrat déficitaire SNCM 2010 V Def_PAO-CAF-RESOP_B2014" xfId="1010"/>
    <cellStyle name="c_Macros_Actualisation provision contrat déficitaire SNCM 2010 V Def_PAO-CAF-RESOP_B2014_Bridge_Zone_Sud" xfId="1011"/>
    <cellStyle name="c_Macros_Actualisation provision contrat déficitaire SNCM 2010 V Def_PAO-CAF-RESOP_B2014_v2" xfId="1012"/>
    <cellStyle name="c_Macros_Actualisation provision contrat déficitaire SNCM 2010 V Def_PAO-CAF-RESOP_E2_13" xfId="1013"/>
    <cellStyle name="c_Macros_Actualisation provision contrat déficitaire SNCM 2010 V Def_PAO-CAF-RESOP_E2_13_Bridge_Zone_Sud" xfId="1014"/>
    <cellStyle name="c_Macros_Actualisation provision contrat déficitaire SNCM 2010 V Def_PAO-CAF-RESOP_E2_2013_03_10_19H" xfId="1015"/>
    <cellStyle name="c_Macros_Actualisation provision contrat déficitaire SNCM 2010 V Def_PAO-CAF-RESOP_E2_2013_03_10_19H_Bridge_Zone_Sud" xfId="1016"/>
    <cellStyle name="c_Macros_Actualisation provision contrat déficitaire SNCM 2010 V Def_Synthèse_Présentation_conso_retraitée" xfId="1017"/>
    <cellStyle name="c_Macros_Actualisation provision contrat déficitaire SNCM 2011 V3 30 05 2011" xfId="364"/>
    <cellStyle name="c_Macros_Actualisation provision contrat déficitaire SNCM 2011 V3 30 05 2011_B14_E2_2210" xfId="1018"/>
    <cellStyle name="c_Macros_Actualisation provision contrat déficitaire SNCM 2011 V3 30 05 2011_B14_E2_2210_Bridge_Zone_Sud" xfId="1019"/>
    <cellStyle name="c_Macros_Actualisation provision contrat déficitaire SNCM 2011 V3 30 05 2011_Bridge_Zone_Sud" xfId="1020"/>
    <cellStyle name="c_Macros_Actualisation provision contrat déficitaire SNCM 2011 V3 30 05 2011_CAPEM BY COUNTRY" xfId="1021"/>
    <cellStyle name="c_Macros_Actualisation provision contrat déficitaire SNCM 2011 V3 30 05 2011_Context" xfId="1022"/>
    <cellStyle name="c_Macros_Actualisation provision contrat déficitaire SNCM 2011 V3 30 05 2011_focus par entités CAFOPE2AMF" xfId="1023"/>
    <cellStyle name="c_Macros_Actualisation provision contrat déficitaire SNCM 2011 V3 30 05 2011_focus par entités CAFOPE2AMF_Bridge_Zone_Sud" xfId="1024"/>
    <cellStyle name="c_Macros_Actualisation provision contrat déficitaire SNCM 2011 V3 30 05 2011_Maquette PLT" xfId="1025"/>
    <cellStyle name="c_Macros_Actualisation provision contrat déficitaire SNCM 2011 V3 30 05 2011_Output" xfId="1026"/>
    <cellStyle name="c_Macros_Actualisation provision contrat déficitaire SNCM 2011 V3 30 05 2011_PAO-CAF-RESOP_04_13_pro_format_variante T1" xfId="1027"/>
    <cellStyle name="c_Macros_Actualisation provision contrat déficitaire SNCM 2011 V3 30 05 2011_PAO-CAF-RESOP_04_13_pro_format_variante T1_Bridge_Zone_Sud" xfId="1028"/>
    <cellStyle name="c_Macros_Actualisation provision contrat déficitaire SNCM 2011 V3 30 05 2011_PAO-CAF-RESOP_06_13" xfId="1029"/>
    <cellStyle name="c_Macros_Actualisation provision contrat déficitaire SNCM 2011 V3 30 05 2011_PAO-CAF-RESOP_06_13_Bridge_Zone_Sud" xfId="1030"/>
    <cellStyle name="c_Macros_Actualisation provision contrat déficitaire SNCM 2011 V3 30 05 2011_PAO-CAF-RESOP_08_13" xfId="1031"/>
    <cellStyle name="c_Macros_Actualisation provision contrat déficitaire SNCM 2011 V3 30 05 2011_PAO-CAF-RESOP_08_13_Bridge_Zone_Sud" xfId="1032"/>
    <cellStyle name="c_Macros_Actualisation provision contrat déficitaire SNCM 2011 V3 30 05 2011_PAO-CAF-RESOP_09_13" xfId="1033"/>
    <cellStyle name="c_Macros_Actualisation provision contrat déficitaire SNCM 2011 V3 30 05 2011_PAO-CAF-RESOP_09_13_Bridge_Zone_Sud" xfId="1034"/>
    <cellStyle name="c_Macros_Actualisation provision contrat déficitaire SNCM 2011 V3 30 05 2011_PAO-CAF-RESOP_09_2013_Zone_IDF (version 2)" xfId="1035"/>
    <cellStyle name="c_Macros_Actualisation provision contrat déficitaire SNCM 2011 V3 30 05 2011_PAO-CAF-RESOP_10_12" xfId="1036"/>
    <cellStyle name="c_Macros_Actualisation provision contrat déficitaire SNCM 2011 V3 30 05 2011_PAO-CAF-RESOP_10_12_Bridge_Zone_Sud" xfId="1037"/>
    <cellStyle name="c_Macros_Actualisation provision contrat déficitaire SNCM 2011 V3 30 05 2011_PAO-CAF-RESOP_10_12_focus par entités CAFOP" xfId="1038"/>
    <cellStyle name="c_Macros_Actualisation provision contrat déficitaire SNCM 2011 V3 30 05 2011_PAO-CAF-RESOP_10_12_focus par entités CAFOP_Bridge_Zone_Sud" xfId="1039"/>
    <cellStyle name="c_Macros_Actualisation provision contrat déficitaire SNCM 2011 V3 30 05 2011_PAO-CAF-RESOP_11_13" xfId="1040"/>
    <cellStyle name="c_Macros_Actualisation provision contrat déficitaire SNCM 2011 V3 30 05 2011_PAO-CAF-RESOP_B13" xfId="1041"/>
    <cellStyle name="c_Macros_Actualisation provision contrat déficitaire SNCM 2011 V3 30 05 2011_PAO-CAF-RESOP_B13_Bridge_Zone_Sud" xfId="1042"/>
    <cellStyle name="c_Macros_Actualisation provision contrat déficitaire SNCM 2011 V3 30 05 2011_PAO-CAF-RESOP_B13_focus par entités CAFOP" xfId="1043"/>
    <cellStyle name="c_Macros_Actualisation provision contrat déficitaire SNCM 2011 V3 30 05 2011_PAO-CAF-RESOP_B13_focus par entités CAFOP_Bridge_Zone_Sud" xfId="1044"/>
    <cellStyle name="c_Macros_Actualisation provision contrat déficitaire SNCM 2011 V3 30 05 2011_PAO-CAF-RESOP_B2014" xfId="1045"/>
    <cellStyle name="c_Macros_Actualisation provision contrat déficitaire SNCM 2011 V3 30 05 2011_PAO-CAF-RESOP_B2014_Bridge_Zone_Sud" xfId="1046"/>
    <cellStyle name="c_Macros_Actualisation provision contrat déficitaire SNCM 2011 V3 30 05 2011_PAO-CAF-RESOP_B2014_v2" xfId="1047"/>
    <cellStyle name="c_Macros_Actualisation provision contrat déficitaire SNCM 2011 V3 30 05 2011_PAO-CAF-RESOP_E2_13" xfId="1048"/>
    <cellStyle name="c_Macros_Actualisation provision contrat déficitaire SNCM 2011 V3 30 05 2011_PAO-CAF-RESOP_E2_13_Bridge_Zone_Sud" xfId="1049"/>
    <cellStyle name="c_Macros_Actualisation provision contrat déficitaire SNCM 2011 V3 30 05 2011_PAO-CAF-RESOP_E2_2013_03_10_19H" xfId="1050"/>
    <cellStyle name="c_Macros_Actualisation provision contrat déficitaire SNCM 2011 V3 30 05 2011_PAO-CAF-RESOP_E2_2013_03_10_19H_Bridge_Zone_Sud" xfId="1051"/>
    <cellStyle name="c_Macros_Actualisation provision contrat déficitaire SNCM 2011 V3 30 05 2011_Synthèse_Présentation_conso_retraitée" xfId="1052"/>
    <cellStyle name="c_Macros_BFR_TD_2014.02" xfId="1053"/>
    <cellStyle name="c_Macros_Bridge_Zone_Nord" xfId="1054"/>
    <cellStyle name="c_Macros_CAPEM BY COUNTRY" xfId="1055"/>
    <cellStyle name="c_Macros_Context" xfId="1056"/>
    <cellStyle name="c_Macros_LI819L_B13" xfId="365"/>
    <cellStyle name="c_Macros_LI819L_B13_CAPEM BY COUNTRY" xfId="1057"/>
    <cellStyle name="c_Macros_LI819L_B13_Context" xfId="1058"/>
    <cellStyle name="c_Macros_LI819L_B13_Maquette PLT" xfId="1059"/>
    <cellStyle name="c_Macros_LI819L_B13_Output" xfId="1060"/>
    <cellStyle name="c_Macros_Maquette PLT" xfId="1061"/>
    <cellStyle name="c_Macros_Output" xfId="1062"/>
    <cellStyle name="c_Macros_PAO-CAF-RESOP_14_01_13 à 20h" xfId="366"/>
    <cellStyle name="c_Macros_PAO-CAF-RESOP_14_01_13 à 20h_CAPEM BY COUNTRY" xfId="1063"/>
    <cellStyle name="c_Macros_PAO-CAF-RESOP_14_01_13 à 20h_Context" xfId="1064"/>
    <cellStyle name="c_Macros_PAO-CAF-RESOP_14_01_13 à 20h_Maquette PLT" xfId="1065"/>
    <cellStyle name="c_Macros_PAO-CAF-RESOP_14_01_13 à 20h_Output" xfId="1066"/>
    <cellStyle name="c_Macros_PAO-CAF-RESOP_2014.02" xfId="1067"/>
    <cellStyle name="c_Macros_PAO-CAF-RESOP_2014.02_Bridge_Zone_Sud" xfId="1068"/>
    <cellStyle name="c_Manager (2)" xfId="367"/>
    <cellStyle name="c_Manager (2)_Actualisation provision contrat déficitaire SNCM 2010 V Def" xfId="368"/>
    <cellStyle name="c_Manager (2)_Actualisation provision contrat déficitaire SNCM 2010 V Def_B14_E2_2210" xfId="1069"/>
    <cellStyle name="c_Manager (2)_Actualisation provision contrat déficitaire SNCM 2010 V Def_B14_E2_2210_Bridge_Zone_Sud" xfId="1070"/>
    <cellStyle name="c_Manager (2)_Actualisation provision contrat déficitaire SNCM 2010 V Def_Bridge_Zone_Sud" xfId="1071"/>
    <cellStyle name="c_Manager (2)_Actualisation provision contrat déficitaire SNCM 2010 V Def_CAPEM BY COUNTRY" xfId="1072"/>
    <cellStyle name="c_Manager (2)_Actualisation provision contrat déficitaire SNCM 2010 V Def_Context" xfId="1073"/>
    <cellStyle name="c_Manager (2)_Actualisation provision contrat déficitaire SNCM 2010 V Def_focus par entités CAFOPE2AMF" xfId="1074"/>
    <cellStyle name="c_Manager (2)_Actualisation provision contrat déficitaire SNCM 2010 V Def_focus par entités CAFOPE2AMF_Bridge_Zone_Sud" xfId="1075"/>
    <cellStyle name="c_Manager (2)_Actualisation provision contrat déficitaire SNCM 2010 V Def_Maquette PLT" xfId="1076"/>
    <cellStyle name="c_Manager (2)_Actualisation provision contrat déficitaire SNCM 2010 V Def_Output" xfId="1077"/>
    <cellStyle name="c_Manager (2)_Actualisation provision contrat déficitaire SNCM 2010 V Def_PAO-CAF-RESOP_04_13_pro_format_variante T1" xfId="1078"/>
    <cellStyle name="c_Manager (2)_Actualisation provision contrat déficitaire SNCM 2010 V Def_PAO-CAF-RESOP_04_13_pro_format_variante T1_Bridge_Zone_Sud" xfId="1079"/>
    <cellStyle name="c_Manager (2)_Actualisation provision contrat déficitaire SNCM 2010 V Def_PAO-CAF-RESOP_06_13" xfId="1080"/>
    <cellStyle name="c_Manager (2)_Actualisation provision contrat déficitaire SNCM 2010 V Def_PAO-CAF-RESOP_06_13_Bridge_Zone_Sud" xfId="1081"/>
    <cellStyle name="c_Manager (2)_Actualisation provision contrat déficitaire SNCM 2010 V Def_PAO-CAF-RESOP_08_13" xfId="1082"/>
    <cellStyle name="c_Manager (2)_Actualisation provision contrat déficitaire SNCM 2010 V Def_PAO-CAF-RESOP_08_13_Bridge_Zone_Sud" xfId="1083"/>
    <cellStyle name="c_Manager (2)_Actualisation provision contrat déficitaire SNCM 2010 V Def_PAO-CAF-RESOP_09_13" xfId="1084"/>
    <cellStyle name="c_Manager (2)_Actualisation provision contrat déficitaire SNCM 2010 V Def_PAO-CAF-RESOP_09_13_Bridge_Zone_Sud" xfId="1085"/>
    <cellStyle name="c_Manager (2)_Actualisation provision contrat déficitaire SNCM 2010 V Def_PAO-CAF-RESOP_09_2013_Zone_IDF (version 2)" xfId="1086"/>
    <cellStyle name="c_Manager (2)_Actualisation provision contrat déficitaire SNCM 2010 V Def_PAO-CAF-RESOP_10_12" xfId="1087"/>
    <cellStyle name="c_Manager (2)_Actualisation provision contrat déficitaire SNCM 2010 V Def_PAO-CAF-RESOP_10_12_Bridge_Zone_Sud" xfId="1088"/>
    <cellStyle name="c_Manager (2)_Actualisation provision contrat déficitaire SNCM 2010 V Def_PAO-CAF-RESOP_10_12_focus par entités CAFOP" xfId="1089"/>
    <cellStyle name="c_Manager (2)_Actualisation provision contrat déficitaire SNCM 2010 V Def_PAO-CAF-RESOP_10_12_focus par entités CAFOP_Bridge_Zone_Sud" xfId="1090"/>
    <cellStyle name="c_Manager (2)_Actualisation provision contrat déficitaire SNCM 2010 V Def_PAO-CAF-RESOP_11_13" xfId="1091"/>
    <cellStyle name="c_Manager (2)_Actualisation provision contrat déficitaire SNCM 2010 V Def_PAO-CAF-RESOP_B13" xfId="1092"/>
    <cellStyle name="c_Manager (2)_Actualisation provision contrat déficitaire SNCM 2010 V Def_PAO-CAF-RESOP_B13_Bridge_Zone_Sud" xfId="1093"/>
    <cellStyle name="c_Manager (2)_Actualisation provision contrat déficitaire SNCM 2010 V Def_PAO-CAF-RESOP_B13_focus par entités CAFOP" xfId="1094"/>
    <cellStyle name="c_Manager (2)_Actualisation provision contrat déficitaire SNCM 2010 V Def_PAO-CAF-RESOP_B13_focus par entités CAFOP_Bridge_Zone_Sud" xfId="1095"/>
    <cellStyle name="c_Manager (2)_Actualisation provision contrat déficitaire SNCM 2010 V Def_PAO-CAF-RESOP_B2014" xfId="1096"/>
    <cellStyle name="c_Manager (2)_Actualisation provision contrat déficitaire SNCM 2010 V Def_PAO-CAF-RESOP_B2014_Bridge_Zone_Sud" xfId="1097"/>
    <cellStyle name="c_Manager (2)_Actualisation provision contrat déficitaire SNCM 2010 V Def_PAO-CAF-RESOP_B2014_v2" xfId="1098"/>
    <cellStyle name="c_Manager (2)_Actualisation provision contrat déficitaire SNCM 2010 V Def_PAO-CAF-RESOP_E2_13" xfId="1099"/>
    <cellStyle name="c_Manager (2)_Actualisation provision contrat déficitaire SNCM 2010 V Def_PAO-CAF-RESOP_E2_13_Bridge_Zone_Sud" xfId="1100"/>
    <cellStyle name="c_Manager (2)_Actualisation provision contrat déficitaire SNCM 2010 V Def_PAO-CAF-RESOP_E2_2013_03_10_19H" xfId="1101"/>
    <cellStyle name="c_Manager (2)_Actualisation provision contrat déficitaire SNCM 2010 V Def_PAO-CAF-RESOP_E2_2013_03_10_19H_Bridge_Zone_Sud" xfId="1102"/>
    <cellStyle name="c_Manager (2)_Actualisation provision contrat déficitaire SNCM 2010 V Def_Synthèse_Présentation_conso_retraitée" xfId="1103"/>
    <cellStyle name="c_Manager (2)_Actualisation provision contrat déficitaire SNCM 2011 V3 30 05 2011" xfId="369"/>
    <cellStyle name="c_Manager (2)_Actualisation provision contrat déficitaire SNCM 2011 V3 30 05 2011_B14_E2_2210" xfId="1104"/>
    <cellStyle name="c_Manager (2)_Actualisation provision contrat déficitaire SNCM 2011 V3 30 05 2011_B14_E2_2210_Bridge_Zone_Sud" xfId="1105"/>
    <cellStyle name="c_Manager (2)_Actualisation provision contrat déficitaire SNCM 2011 V3 30 05 2011_Bridge_Zone_Sud" xfId="1106"/>
    <cellStyle name="c_Manager (2)_Actualisation provision contrat déficitaire SNCM 2011 V3 30 05 2011_CAPEM BY COUNTRY" xfId="1107"/>
    <cellStyle name="c_Manager (2)_Actualisation provision contrat déficitaire SNCM 2011 V3 30 05 2011_Context" xfId="1108"/>
    <cellStyle name="c_Manager (2)_Actualisation provision contrat déficitaire SNCM 2011 V3 30 05 2011_focus par entités CAFOPE2AMF" xfId="1109"/>
    <cellStyle name="c_Manager (2)_Actualisation provision contrat déficitaire SNCM 2011 V3 30 05 2011_focus par entités CAFOPE2AMF_Bridge_Zone_Sud" xfId="1110"/>
    <cellStyle name="c_Manager (2)_Actualisation provision contrat déficitaire SNCM 2011 V3 30 05 2011_Maquette PLT" xfId="1111"/>
    <cellStyle name="c_Manager (2)_Actualisation provision contrat déficitaire SNCM 2011 V3 30 05 2011_Output" xfId="1112"/>
    <cellStyle name="c_Manager (2)_Actualisation provision contrat déficitaire SNCM 2011 V3 30 05 2011_PAO-CAF-RESOP_04_13_pro_format_variante T1" xfId="1113"/>
    <cellStyle name="c_Manager (2)_Actualisation provision contrat déficitaire SNCM 2011 V3 30 05 2011_PAO-CAF-RESOP_04_13_pro_format_variante T1_Bridge_Zone_Sud" xfId="1114"/>
    <cellStyle name="c_Manager (2)_Actualisation provision contrat déficitaire SNCM 2011 V3 30 05 2011_PAO-CAF-RESOP_06_13" xfId="1115"/>
    <cellStyle name="c_Manager (2)_Actualisation provision contrat déficitaire SNCM 2011 V3 30 05 2011_PAO-CAF-RESOP_06_13_Bridge_Zone_Sud" xfId="1116"/>
    <cellStyle name="c_Manager (2)_Actualisation provision contrat déficitaire SNCM 2011 V3 30 05 2011_PAO-CAF-RESOP_08_13" xfId="1117"/>
    <cellStyle name="c_Manager (2)_Actualisation provision contrat déficitaire SNCM 2011 V3 30 05 2011_PAO-CAF-RESOP_08_13_Bridge_Zone_Sud" xfId="1118"/>
    <cellStyle name="c_Manager (2)_Actualisation provision contrat déficitaire SNCM 2011 V3 30 05 2011_PAO-CAF-RESOP_09_13" xfId="1119"/>
    <cellStyle name="c_Manager (2)_Actualisation provision contrat déficitaire SNCM 2011 V3 30 05 2011_PAO-CAF-RESOP_09_13_Bridge_Zone_Sud" xfId="1120"/>
    <cellStyle name="c_Manager (2)_Actualisation provision contrat déficitaire SNCM 2011 V3 30 05 2011_PAO-CAF-RESOP_09_2013_Zone_IDF (version 2)" xfId="1121"/>
    <cellStyle name="c_Manager (2)_Actualisation provision contrat déficitaire SNCM 2011 V3 30 05 2011_PAO-CAF-RESOP_10_12" xfId="1122"/>
    <cellStyle name="c_Manager (2)_Actualisation provision contrat déficitaire SNCM 2011 V3 30 05 2011_PAO-CAF-RESOP_10_12_Bridge_Zone_Sud" xfId="1123"/>
    <cellStyle name="c_Manager (2)_Actualisation provision contrat déficitaire SNCM 2011 V3 30 05 2011_PAO-CAF-RESOP_10_12_focus par entités CAFOP" xfId="1124"/>
    <cellStyle name="c_Manager (2)_Actualisation provision contrat déficitaire SNCM 2011 V3 30 05 2011_PAO-CAF-RESOP_10_12_focus par entités CAFOP_Bridge_Zone_Sud" xfId="1125"/>
    <cellStyle name="c_Manager (2)_Actualisation provision contrat déficitaire SNCM 2011 V3 30 05 2011_PAO-CAF-RESOP_11_13" xfId="1126"/>
    <cellStyle name="c_Manager (2)_Actualisation provision contrat déficitaire SNCM 2011 V3 30 05 2011_PAO-CAF-RESOP_B13" xfId="1127"/>
    <cellStyle name="c_Manager (2)_Actualisation provision contrat déficitaire SNCM 2011 V3 30 05 2011_PAO-CAF-RESOP_B13_Bridge_Zone_Sud" xfId="1128"/>
    <cellStyle name="c_Manager (2)_Actualisation provision contrat déficitaire SNCM 2011 V3 30 05 2011_PAO-CAF-RESOP_B13_focus par entités CAFOP" xfId="1129"/>
    <cellStyle name="c_Manager (2)_Actualisation provision contrat déficitaire SNCM 2011 V3 30 05 2011_PAO-CAF-RESOP_B13_focus par entités CAFOP_Bridge_Zone_Sud" xfId="1130"/>
    <cellStyle name="c_Manager (2)_Actualisation provision contrat déficitaire SNCM 2011 V3 30 05 2011_PAO-CAF-RESOP_B2014" xfId="1131"/>
    <cellStyle name="c_Manager (2)_Actualisation provision contrat déficitaire SNCM 2011 V3 30 05 2011_PAO-CAF-RESOP_B2014_Bridge_Zone_Sud" xfId="1132"/>
    <cellStyle name="c_Manager (2)_Actualisation provision contrat déficitaire SNCM 2011 V3 30 05 2011_PAO-CAF-RESOP_B2014_v2" xfId="1133"/>
    <cellStyle name="c_Manager (2)_Actualisation provision contrat déficitaire SNCM 2011 V3 30 05 2011_PAO-CAF-RESOP_E2_13" xfId="1134"/>
    <cellStyle name="c_Manager (2)_Actualisation provision contrat déficitaire SNCM 2011 V3 30 05 2011_PAO-CAF-RESOP_E2_13_Bridge_Zone_Sud" xfId="1135"/>
    <cellStyle name="c_Manager (2)_Actualisation provision contrat déficitaire SNCM 2011 V3 30 05 2011_PAO-CAF-RESOP_E2_2013_03_10_19H" xfId="1136"/>
    <cellStyle name="c_Manager (2)_Actualisation provision contrat déficitaire SNCM 2011 V3 30 05 2011_PAO-CAF-RESOP_E2_2013_03_10_19H_Bridge_Zone_Sud" xfId="1137"/>
    <cellStyle name="c_Manager (2)_Actualisation provision contrat déficitaire SNCM 2011 V3 30 05 2011_Synthèse_Présentation_conso_retraitée" xfId="1138"/>
    <cellStyle name="c_Manager (2)_BFR_TD_2014.02" xfId="1139"/>
    <cellStyle name="c_Manager (2)_Bridge_Zone_Nord" xfId="1140"/>
    <cellStyle name="c_Manager (2)_CAPEM BY COUNTRY" xfId="1141"/>
    <cellStyle name="c_Manager (2)_Context" xfId="1142"/>
    <cellStyle name="c_Manager (2)_LI819L_B13" xfId="370"/>
    <cellStyle name="c_Manager (2)_LI819L_B13_CAPEM BY COUNTRY" xfId="1143"/>
    <cellStyle name="c_Manager (2)_LI819L_B13_Context" xfId="1144"/>
    <cellStyle name="c_Manager (2)_LI819L_B13_Maquette PLT" xfId="1145"/>
    <cellStyle name="c_Manager (2)_LI819L_B13_Output" xfId="1146"/>
    <cellStyle name="c_Manager (2)_Maquette PLT" xfId="1147"/>
    <cellStyle name="c_Manager (2)_Output" xfId="1148"/>
    <cellStyle name="c_Manager (2)_PAO-CAF-RESOP_14_01_13 à 20h" xfId="371"/>
    <cellStyle name="c_Manager (2)_PAO-CAF-RESOP_14_01_13 à 20h_CAPEM BY COUNTRY" xfId="1149"/>
    <cellStyle name="c_Manager (2)_PAO-CAF-RESOP_14_01_13 à 20h_Context" xfId="1150"/>
    <cellStyle name="c_Manager (2)_PAO-CAF-RESOP_14_01_13 à 20h_Maquette PLT" xfId="1151"/>
    <cellStyle name="c_Manager (2)_PAO-CAF-RESOP_14_01_13 à 20h_Output" xfId="1152"/>
    <cellStyle name="c_Manager (2)_PAO-CAF-RESOP_2014.02" xfId="1153"/>
    <cellStyle name="c_Manager (2)_PAO-CAF-RESOP_2014.02_Bridge_Zone_Sud" xfId="1154"/>
    <cellStyle name="c_Maquette PLT" xfId="1155"/>
    <cellStyle name="c_Output" xfId="1156"/>
    <cellStyle name="c_PAO-CAF-RESOP_14_01_13 à 20h" xfId="372"/>
    <cellStyle name="c_PAO-CAF-RESOP_14_01_13 à 20h_CAPEM BY COUNTRY" xfId="1157"/>
    <cellStyle name="c_PAO-CAF-RESOP_14_01_13 à 20h_Context" xfId="1158"/>
    <cellStyle name="c_PAO-CAF-RESOP_14_01_13 à 20h_Maquette PLT" xfId="1159"/>
    <cellStyle name="c_PAO-CAF-RESOP_14_01_13 à 20h_Output" xfId="1160"/>
    <cellStyle name="c_PAO-CAF-RESOP_2014.02" xfId="1161"/>
    <cellStyle name="c_PAO-CAF-RESOP_2014.02_Bridge_Zone_Sud" xfId="1162"/>
    <cellStyle name="c0" xfId="373"/>
    <cellStyle name="cach" xfId="374"/>
    <cellStyle name="Calcul 2" xfId="1163"/>
    <cellStyle name="Calculation" xfId="150"/>
    <cellStyle name="Calculation 2" xfId="151"/>
    <cellStyle name="Calculation 3" xfId="152"/>
    <cellStyle name="Calculation 4" xfId="153"/>
    <cellStyle name="Calculation 5" xfId="154"/>
    <cellStyle name="Calculation_Action Plan" xfId="1164"/>
    <cellStyle name="Cellule liée 2" xfId="1165"/>
    <cellStyle name="Check Cell" xfId="155"/>
    <cellStyle name="Check Cell 2" xfId="156"/>
    <cellStyle name="Check Cell 3" xfId="157"/>
    <cellStyle name="Check Cell 4" xfId="158"/>
    <cellStyle name="Check Cell 5" xfId="159"/>
    <cellStyle name="Check Cell 6" xfId="160"/>
    <cellStyle name="Check Cell_Decote croissance organique" xfId="1166"/>
    <cellStyle name="chiffre" xfId="375"/>
    <cellStyle name="co" xfId="376"/>
    <cellStyle name="ColumnHeading" xfId="161"/>
    <cellStyle name="Comma [1]" xfId="377"/>
    <cellStyle name="Comma [2]" xfId="378"/>
    <cellStyle name="Comma 2" xfId="162"/>
    <cellStyle name="Comma 3" xfId="163"/>
    <cellStyle name="Comma 4" xfId="164"/>
    <cellStyle name="Comma 5" xfId="165"/>
    <cellStyle name="Comma 6" xfId="166"/>
    <cellStyle name="Comma 7" xfId="167"/>
    <cellStyle name="Comma 8" xfId="168"/>
    <cellStyle name="Comma_Axmann Utopia toolbox all_in_one" xfId="379"/>
    <cellStyle name="Commentaire 2" xfId="1167"/>
    <cellStyle name="Commentaire 3" xfId="1168"/>
    <cellStyle name="Commentaire 4" xfId="1169"/>
    <cellStyle name="Currency [1]" xfId="380"/>
    <cellStyle name="Currency [2]" xfId="381"/>
    <cellStyle name="Currency_Axmann Utopia toolbox all_in_one" xfId="382"/>
    <cellStyle name="Currency-Denomination" xfId="383"/>
    <cellStyle name="Dash" xfId="384"/>
    <cellStyle name="Decimal_0dp" xfId="385"/>
    <cellStyle name="Dezimal__Utopia Index Index und Guidance (Deutsch)" xfId="386"/>
    <cellStyle name="Entrée 2" xfId="1170"/>
    <cellStyle name="Euro" xfId="169"/>
    <cellStyle name="Euro 2" xfId="387"/>
    <cellStyle name="Euro 3" xfId="1171"/>
    <cellStyle name="Euro 3 2" xfId="1172"/>
    <cellStyle name="Euro 3_IFRIC 12 classique" xfId="1173"/>
    <cellStyle name="Euro_BFR_TD_2014.02" xfId="1174"/>
    <cellStyle name="Explanatory Text" xfId="170"/>
    <cellStyle name="Explanatory Text 2" xfId="171"/>
    <cellStyle name="Explanatory Text 3" xfId="172"/>
    <cellStyle name="Explanatory Text 4" xfId="173"/>
    <cellStyle name="Explanatory Text 5" xfId="174"/>
    <cellStyle name="Explanatory Text 6" xfId="175"/>
    <cellStyle name="Explanatory Text_Decote croissance organique" xfId="1175"/>
    <cellStyle name="EY Narrative text" xfId="388"/>
    <cellStyle name="EY%colcalc" xfId="389"/>
    <cellStyle name="EY%colcalc 2" xfId="390"/>
    <cellStyle name="EY%input" xfId="391"/>
    <cellStyle name="EY%input 2" xfId="392"/>
    <cellStyle name="EY%rowcalc" xfId="393"/>
    <cellStyle name="EY%rowcalc 2" xfId="394"/>
    <cellStyle name="EY0dp" xfId="395"/>
    <cellStyle name="EY0dp 2" xfId="396"/>
    <cellStyle name="EY1dp" xfId="397"/>
    <cellStyle name="EY1dp 2" xfId="398"/>
    <cellStyle name="EY2dp" xfId="399"/>
    <cellStyle name="EY2dp 2" xfId="400"/>
    <cellStyle name="EY3dp" xfId="401"/>
    <cellStyle name="EY3dp 2" xfId="402"/>
    <cellStyle name="EYColumnHeading" xfId="403"/>
    <cellStyle name="EYColumnHeading 2" xfId="404"/>
    <cellStyle name="EYColumnHeading 3" xfId="405"/>
    <cellStyle name="EYColumnHeading_Decote croissance organique" xfId="1176"/>
    <cellStyle name="EYColumnHeadingItalic" xfId="406"/>
    <cellStyle name="EYCoverDatabookName" xfId="407"/>
    <cellStyle name="EYCoverDate" xfId="408"/>
    <cellStyle name="EYCoverDraft" xfId="409"/>
    <cellStyle name="EYCoverProjectName" xfId="410"/>
    <cellStyle name="EYCurrency" xfId="411"/>
    <cellStyle name="EYHeading1" xfId="412"/>
    <cellStyle name="EYheading2" xfId="413"/>
    <cellStyle name="EYheading3" xfId="414"/>
    <cellStyle name="EYNotes" xfId="415"/>
    <cellStyle name="EYNotesHeading" xfId="416"/>
    <cellStyle name="EYnumber" xfId="417"/>
    <cellStyle name="EYnumber 2" xfId="418"/>
    <cellStyle name="EYSectionHeading" xfId="419"/>
    <cellStyle name="EYSheetHeader1" xfId="420"/>
    <cellStyle name="EYSheetHeading" xfId="421"/>
    <cellStyle name="EYsmallheading" xfId="422"/>
    <cellStyle name="EYSource" xfId="423"/>
    <cellStyle name="EYtext" xfId="424"/>
    <cellStyle name="EYtext 2" xfId="425"/>
    <cellStyle name="EYtext 3" xfId="426"/>
    <cellStyle name="EYtext_Decote croissance organique" xfId="1177"/>
    <cellStyle name="EYtextbold" xfId="427"/>
    <cellStyle name="EYtextbolditalic" xfId="428"/>
    <cellStyle name="EYtextitalic" xfId="429"/>
    <cellStyle name="Followed Hyperlink" xfId="430"/>
    <cellStyle name="Forecast Cell Column Heading" xfId="431"/>
    <cellStyle name="FormattingSheetDelimitor" xfId="432"/>
    <cellStyle name="FRxAmtStyle" xfId="433"/>
    <cellStyle name="FRxPcntStyle" xfId="434"/>
    <cellStyle name="Good" xfId="176"/>
    <cellStyle name="Good 2" xfId="177"/>
    <cellStyle name="Good 3" xfId="178"/>
    <cellStyle name="Good 4" xfId="179"/>
    <cellStyle name="Good 5" xfId="180"/>
    <cellStyle name="Good 6" xfId="181"/>
    <cellStyle name="Good_Decote croissance organique" xfId="1178"/>
    <cellStyle name="h" xfId="435"/>
    <cellStyle name="Heading 1" xfId="182"/>
    <cellStyle name="Heading 1 2" xfId="183"/>
    <cellStyle name="Heading 1 3" xfId="184"/>
    <cellStyle name="Heading 1 4" xfId="185"/>
    <cellStyle name="Heading 1 5" xfId="186"/>
    <cellStyle name="Heading 1 6" xfId="187"/>
    <cellStyle name="Heading 1_Decote croissance organique" xfId="1179"/>
    <cellStyle name="Heading 2" xfId="188"/>
    <cellStyle name="Heading 2 2" xfId="189"/>
    <cellStyle name="Heading 2 3" xfId="190"/>
    <cellStyle name="Heading 2 4" xfId="191"/>
    <cellStyle name="Heading 2 5" xfId="192"/>
    <cellStyle name="Heading 2 6" xfId="193"/>
    <cellStyle name="Heading 2_Decote croissance organique" xfId="1180"/>
    <cellStyle name="Heading 3" xfId="194"/>
    <cellStyle name="Heading 3 2" xfId="195"/>
    <cellStyle name="Heading 3 3" xfId="196"/>
    <cellStyle name="Heading 3 4" xfId="197"/>
    <cellStyle name="Heading 3 5" xfId="198"/>
    <cellStyle name="Heading 3 6" xfId="199"/>
    <cellStyle name="Heading 3_Decote croissance organique" xfId="1181"/>
    <cellStyle name="Heading 4" xfId="200"/>
    <cellStyle name="Heading 4 2" xfId="201"/>
    <cellStyle name="Heading 4 3" xfId="202"/>
    <cellStyle name="Heading 4 4" xfId="203"/>
    <cellStyle name="Heading 4 5" xfId="204"/>
    <cellStyle name="Heading 4 6" xfId="205"/>
    <cellStyle name="Heading 4_Decote croissance organique" xfId="1182"/>
    <cellStyle name="Hyperlink" xfId="436"/>
    <cellStyle name="Hyperlink 2" xfId="206"/>
    <cellStyle name="Hyperlink 3" xfId="207"/>
    <cellStyle name="Input" xfId="208"/>
    <cellStyle name="Input 2" xfId="209"/>
    <cellStyle name="Input 3" xfId="210"/>
    <cellStyle name="Input 4" xfId="211"/>
    <cellStyle name="Input 5" xfId="212"/>
    <cellStyle name="Input_Action Plan" xfId="1183"/>
    <cellStyle name="InputBlueFont" xfId="437"/>
    <cellStyle name="InputBlueFontLocked" xfId="438"/>
    <cellStyle name="Insatisfaisant 2" xfId="1184"/>
    <cellStyle name="KPMG Heading 1" xfId="439"/>
    <cellStyle name="KPMG Heading 2" xfId="440"/>
    <cellStyle name="KPMG Heading 3" xfId="441"/>
    <cellStyle name="KPMG Heading 4" xfId="442"/>
    <cellStyle name="KPMG Normal" xfId="443"/>
    <cellStyle name="KPMG Normal Text" xfId="444"/>
    <cellStyle name="KPMG Normal_CAPEM BY COUNTRY" xfId="1185"/>
    <cellStyle name="Lien hypertexte 2" xfId="1186"/>
    <cellStyle name="Lien hypertexte 3" xfId="213"/>
    <cellStyle name="Ligne détail" xfId="214"/>
    <cellStyle name="Linked Cell" xfId="215"/>
    <cellStyle name="Linked Cell 2" xfId="216"/>
    <cellStyle name="Linked Cell 3" xfId="217"/>
    <cellStyle name="Linked Cell 4" xfId="218"/>
    <cellStyle name="Linked Cell 5" xfId="219"/>
    <cellStyle name="Linked Cell_Business Review - Saisie" xfId="220"/>
    <cellStyle name="LTM Cell Column Heading" xfId="445"/>
    <cellStyle name="MEV4" xfId="221"/>
    <cellStyle name="MEV5" xfId="222"/>
    <cellStyle name="Milliers 2" xfId="223"/>
    <cellStyle name="Milliers 2 2" xfId="1187"/>
    <cellStyle name="Milliers 2_Decote croissance organique" xfId="1188"/>
    <cellStyle name="Milliers 3" xfId="224"/>
    <cellStyle name="Milliers 4" xfId="225"/>
    <cellStyle name="Milliers 5" xfId="1189"/>
    <cellStyle name="Milliers 6" xfId="1190"/>
    <cellStyle name="Milliers 7" xfId="1191"/>
    <cellStyle name="Monétaire 2" xfId="1192"/>
    <cellStyle name="Multiple" xfId="446"/>
    <cellStyle name="Multiple Cell Column Heading" xfId="447"/>
    <cellStyle name="N?rmal_la?oux_larou?" xfId="226"/>
    <cellStyle name="Navadno 2" xfId="448"/>
    <cellStyle name="Neutral" xfId="227"/>
    <cellStyle name="Neutral 2" xfId="228"/>
    <cellStyle name="Neutral 3" xfId="229"/>
    <cellStyle name="Neutral 4" xfId="230"/>
    <cellStyle name="Neutral 5" xfId="231"/>
    <cellStyle name="Neutral 6" xfId="232"/>
    <cellStyle name="Neutral_Decote croissance organique" xfId="1193"/>
    <cellStyle name="Neutre 2" xfId="1194"/>
    <cellStyle name="no" xfId="449"/>
    <cellStyle name="No-definido" xfId="450"/>
    <cellStyle name="Non d‚fini" xfId="451"/>
    <cellStyle name="Non d‚fini 2" xfId="452"/>
    <cellStyle name="Non d‚fini_Decote croissance organique" xfId="1195"/>
    <cellStyle name="Norma?_On Hol?" xfId="233"/>
    <cellStyle name="Normaᷬ_On Holᷤ" xfId="234"/>
    <cellStyle name="Normaali 2" xfId="1196"/>
    <cellStyle name="Normaali 2 2" xfId="1197"/>
    <cellStyle name="Normaali 2 2 2" xfId="1198"/>
    <cellStyle name="Normaali 2 3" xfId="1199"/>
    <cellStyle name="Normaali 3" xfId="1200"/>
    <cellStyle name="Normaali 3 2" xfId="1201"/>
    <cellStyle name="Normaali 3_Action Plan" xfId="1202"/>
    <cellStyle name="Normaali 4" xfId="1203"/>
    <cellStyle name="Normaali 5" xfId="1204"/>
    <cellStyle name="Normal" xfId="0" builtinId="0"/>
    <cellStyle name="Normal - Style1" xfId="235"/>
    <cellStyle name="Normal - Style2" xfId="453"/>
    <cellStyle name="Normal - Style3" xfId="454"/>
    <cellStyle name="Normal - Style4" xfId="455"/>
    <cellStyle name="Normal - Style5" xfId="456"/>
    <cellStyle name="Normal - Style6" xfId="457"/>
    <cellStyle name="Normal - Style7" xfId="458"/>
    <cellStyle name="Normal - Style8" xfId="459"/>
    <cellStyle name="Normal 10" xfId="236"/>
    <cellStyle name="Normal 10 2" xfId="460"/>
    <cellStyle name="Normal 10 2 2" xfId="461"/>
    <cellStyle name="Normal 10 2 3" xfId="462"/>
    <cellStyle name="Normal 10 2_CAPEM BY COUNTRY" xfId="1205"/>
    <cellStyle name="Normal 10 3" xfId="463"/>
    <cellStyle name="Normal 10 4" xfId="464"/>
    <cellStyle name="Normal 10 5" xfId="1206"/>
    <cellStyle name="Normal 10_CAPEX" xfId="1207"/>
    <cellStyle name="Normal 11" xfId="237"/>
    <cellStyle name="Normal 11 2" xfId="1208"/>
    <cellStyle name="Normal 12" xfId="238"/>
    <cellStyle name="Normal 13" xfId="239"/>
    <cellStyle name="Normal 14" xfId="240"/>
    <cellStyle name="Normal 15" xfId="312"/>
    <cellStyle name="Normal 15 2" xfId="1209"/>
    <cellStyle name="Normal 15 2 2" xfId="1210"/>
    <cellStyle name="Normal 15 2_Action Plan" xfId="1211"/>
    <cellStyle name="Normal 15_Decote croissance organique" xfId="1212"/>
    <cellStyle name="Normal 16" xfId="465"/>
    <cellStyle name="Normal 17" xfId="466"/>
    <cellStyle name="Normal 18" xfId="467"/>
    <cellStyle name="Normal 19" xfId="468"/>
    <cellStyle name="Normal 2" xfId="241"/>
    <cellStyle name="Normal 2 10" xfId="469"/>
    <cellStyle name="Normal 2 11" xfId="470"/>
    <cellStyle name="Normal 2 12" xfId="471"/>
    <cellStyle name="Normal 2 13" xfId="472"/>
    <cellStyle name="Normal 2 14" xfId="473"/>
    <cellStyle name="Normal 2 15" xfId="474"/>
    <cellStyle name="Normal 2 16" xfId="475"/>
    <cellStyle name="Normal 2 17" xfId="476"/>
    <cellStyle name="Normal 2 18" xfId="1213"/>
    <cellStyle name="Normal 2 19" xfId="1214"/>
    <cellStyle name="Normal 2 2" xfId="242"/>
    <cellStyle name="Normal 2 2 2" xfId="1215"/>
    <cellStyle name="Normal 2 2_CAPEX" xfId="1216"/>
    <cellStyle name="Normal 2 3" xfId="243"/>
    <cellStyle name="Normal 2 4" xfId="244"/>
    <cellStyle name="Normal 2 5" xfId="245"/>
    <cellStyle name="Normal 2 6" xfId="477"/>
    <cellStyle name="Normal 2 7" xfId="478"/>
    <cellStyle name="Normal 2 8" xfId="479"/>
    <cellStyle name="Normal 2 9" xfId="480"/>
    <cellStyle name="Normal 2_B14_E2_2210" xfId="1217"/>
    <cellStyle name="Normal 20" xfId="481"/>
    <cellStyle name="Normal 21" xfId="482"/>
    <cellStyle name="Normal 22" xfId="483"/>
    <cellStyle name="Normal 23" xfId="484"/>
    <cellStyle name="Normal 24" xfId="485"/>
    <cellStyle name="Normal 25" xfId="486"/>
    <cellStyle name="Normal 26" xfId="487"/>
    <cellStyle name="Normal 27" xfId="488"/>
    <cellStyle name="Normal 28" xfId="489"/>
    <cellStyle name="Normal 28 2" xfId="1218"/>
    <cellStyle name="Normal 28_Action Plan" xfId="1219"/>
    <cellStyle name="Normal 29" xfId="490"/>
    <cellStyle name="Normal 29 2" xfId="1220"/>
    <cellStyle name="Normal 29_Action Plan" xfId="1221"/>
    <cellStyle name="Normal 3" xfId="3"/>
    <cellStyle name="Normal 3 10" xfId="491"/>
    <cellStyle name="Normal 3 11" xfId="492"/>
    <cellStyle name="Normal 3 12" xfId="493"/>
    <cellStyle name="Normal 3 13" xfId="1222"/>
    <cellStyle name="Normal 3 14" xfId="1223"/>
    <cellStyle name="Normal 3 2" xfId="246"/>
    <cellStyle name="Normal 3 2 2" xfId="247"/>
    <cellStyle name="Normal 3 2 3" xfId="685"/>
    <cellStyle name="Normal 3 2_CAPEX" xfId="1224"/>
    <cellStyle name="Normal 3 3" xfId="248"/>
    <cellStyle name="Normal 3 4" xfId="249"/>
    <cellStyle name="Normal 3 5" xfId="250"/>
    <cellStyle name="Normal 3 6" xfId="251"/>
    <cellStyle name="Normal 3 7" xfId="252"/>
    <cellStyle name="Normal 3 8" xfId="494"/>
    <cellStyle name="Normal 3 9" xfId="495"/>
    <cellStyle name="Normal 3_0. Investissement" xfId="253"/>
    <cellStyle name="Normal 30" xfId="6"/>
    <cellStyle name="Normal 30 2" xfId="1225"/>
    <cellStyle name="Normal 30 3" xfId="1226"/>
    <cellStyle name="Normal 30_Action Plan" xfId="1227"/>
    <cellStyle name="Normal 31" xfId="496"/>
    <cellStyle name="Normal 32" xfId="497"/>
    <cellStyle name="Normal 32 2" xfId="498"/>
    <cellStyle name="Normal 32_Action Plan" xfId="1228"/>
    <cellStyle name="Normal 33" xfId="499"/>
    <cellStyle name="Normal 33 2" xfId="1229"/>
    <cellStyle name="Normal 33_Action Plan" xfId="1230"/>
    <cellStyle name="Normal 34" xfId="500"/>
    <cellStyle name="Normal 35" xfId="684"/>
    <cellStyle name="Normal 36" xfId="1231"/>
    <cellStyle name="Normal 37" xfId="1232"/>
    <cellStyle name="Normal 38" xfId="1233"/>
    <cellStyle name="Normal 38 2" xfId="1234"/>
    <cellStyle name="Normal 38 2 2" xfId="1235"/>
    <cellStyle name="Normal 38 2_Action Plan" xfId="1236"/>
    <cellStyle name="Normal 38_Action Plan" xfId="1237"/>
    <cellStyle name="Normal 39" xfId="1238"/>
    <cellStyle name="Normal 4" xfId="254"/>
    <cellStyle name="Normal 4 2" xfId="501"/>
    <cellStyle name="Normal 4 3" xfId="502"/>
    <cellStyle name="Normal 4 5" xfId="1239"/>
    <cellStyle name="Normal 4_B14_E2_2210" xfId="1240"/>
    <cellStyle name="Normal 40" xfId="1241"/>
    <cellStyle name="Normal 41" xfId="1242"/>
    <cellStyle name="Normal 42" xfId="1243"/>
    <cellStyle name="Normal 42 2" xfId="1244"/>
    <cellStyle name="Normal 42_Action Plan" xfId="1245"/>
    <cellStyle name="Normal 43" xfId="1246"/>
    <cellStyle name="Normal 43 2" xfId="1247"/>
    <cellStyle name="Normal 43 3" xfId="1248"/>
    <cellStyle name="Normal 43 4" xfId="1249"/>
    <cellStyle name="Normal 43 5" xfId="1250"/>
    <cellStyle name="Normal 43_Action Plan" xfId="1251"/>
    <cellStyle name="Normal 44" xfId="1252"/>
    <cellStyle name="Normal 45" xfId="1253"/>
    <cellStyle name="Normal 45 2" xfId="1254"/>
    <cellStyle name="Normal 45_Action Plan" xfId="1255"/>
    <cellStyle name="Normal 46" xfId="1256"/>
    <cellStyle name="Normal 46 2" xfId="1257"/>
    <cellStyle name="Normal 46 2 2" xfId="1258"/>
    <cellStyle name="Normal 46_CAPEX" xfId="1259"/>
    <cellStyle name="Normal 47" xfId="1260"/>
    <cellStyle name="Normal 48" xfId="1261"/>
    <cellStyle name="Normal 49" xfId="1262"/>
    <cellStyle name="Normal 5" xfId="7"/>
    <cellStyle name="Normal 5 2" xfId="503"/>
    <cellStyle name="Normal 5_CAPEX" xfId="1263"/>
    <cellStyle name="Normal 6" xfId="255"/>
    <cellStyle name="Normal 6 2" xfId="256"/>
    <cellStyle name="Normal 6 2 2" xfId="504"/>
    <cellStyle name="Normal 6 2 3" xfId="505"/>
    <cellStyle name="Normal 6 2_CAPEX" xfId="1264"/>
    <cellStyle name="Normal 6 3" xfId="257"/>
    <cellStyle name="Normal 6 4" xfId="258"/>
    <cellStyle name="Normal 6 5" xfId="259"/>
    <cellStyle name="Normal 6_0. Investissement" xfId="260"/>
    <cellStyle name="Normal 60" xfId="1265"/>
    <cellStyle name="Normal 60 2" xfId="1266"/>
    <cellStyle name="Normal 60_Action Plan" xfId="1267"/>
    <cellStyle name="Normal 62" xfId="1268"/>
    <cellStyle name="Normal 7" xfId="261"/>
    <cellStyle name="Normal 7 2" xfId="506"/>
    <cellStyle name="Normal 7 2 2" xfId="507"/>
    <cellStyle name="Normal 7 2 3" xfId="508"/>
    <cellStyle name="Normal 7 2_CAPEM BY COUNTRY" xfId="1269"/>
    <cellStyle name="Normal 7 3" xfId="509"/>
    <cellStyle name="Normal 7 4" xfId="510"/>
    <cellStyle name="Normal 7 5" xfId="511"/>
    <cellStyle name="Normal 7_CAPEX" xfId="1270"/>
    <cellStyle name="Normal 8" xfId="262"/>
    <cellStyle name="Normal 8 2" xfId="512"/>
    <cellStyle name="Normal 8 2 2" xfId="513"/>
    <cellStyle name="Normal 8 2 3" xfId="514"/>
    <cellStyle name="Normal 8 2_CAPEM BY COUNTRY" xfId="1271"/>
    <cellStyle name="Normal 8 3" xfId="515"/>
    <cellStyle name="Normal 8 4" xfId="516"/>
    <cellStyle name="Normal 8_CAPEX" xfId="1272"/>
    <cellStyle name="Normal 9" xfId="263"/>
    <cellStyle name="Normal 9 2" xfId="517"/>
    <cellStyle name="Normal 9 2 2" xfId="518"/>
    <cellStyle name="Normal 9 2 3" xfId="519"/>
    <cellStyle name="Normal 9 2_CAPEM BY COUNTRY" xfId="1273"/>
    <cellStyle name="Normal 9 3" xfId="520"/>
    <cellStyle name="Normal 9 4" xfId="521"/>
    <cellStyle name="Normal 9_CAPEX" xfId="1274"/>
    <cellStyle name="Normal_Copie de CRD_CRC_domaine TER_ergo" xfId="682"/>
    <cellStyle name="Normal_EBIT_EBITDA  groupe Actual 2003.12" xfId="313"/>
    <cellStyle name="Normal_Feuille de calcul dans Présentation PLT 2011-17 Réunion 1906" xfId="5"/>
    <cellStyle name="Normal_LTP 2010 - analysis v5" xfId="683"/>
    <cellStyle name="Note" xfId="264"/>
    <cellStyle name="Note 2" xfId="265"/>
    <cellStyle name="Note 3" xfId="266"/>
    <cellStyle name="Note 4" xfId="267"/>
    <cellStyle name="Note 5" xfId="268"/>
    <cellStyle name="Note_Action Plan" xfId="1275"/>
    <cellStyle name="Notes_multi" xfId="522"/>
    <cellStyle name="N䃯rmal_la䇲oux_larou᷸" xfId="269"/>
    <cellStyle name="Output" xfId="270"/>
    <cellStyle name="Output 2" xfId="271"/>
    <cellStyle name="Output 3" xfId="272"/>
    <cellStyle name="Output 4" xfId="273"/>
    <cellStyle name="Output 5" xfId="274"/>
    <cellStyle name="Output 6" xfId="275"/>
    <cellStyle name="Output_Action Plan" xfId="1276"/>
    <cellStyle name="p" xfId="523"/>
    <cellStyle name="p_Actualisation provision contrat déficitaire SNCM 2010 V Def" xfId="524"/>
    <cellStyle name="p_Actualisation provision contrat déficitaire SNCM 2010 V Def_B14_E2_2210" xfId="1277"/>
    <cellStyle name="p_Actualisation provision contrat déficitaire SNCM 2010 V Def_B14_E2_2210_Bridge_Zone_Sud" xfId="1278"/>
    <cellStyle name="p_Actualisation provision contrat déficitaire SNCM 2010 V Def_Bridge_Zone_Sud" xfId="1279"/>
    <cellStyle name="p_Actualisation provision contrat déficitaire SNCM 2011 V3 30 05 2011" xfId="525"/>
    <cellStyle name="p_Actualisation provision contrat déficitaire SNCM 2011 V3 30 05 2011_B14_E2_2210" xfId="1280"/>
    <cellStyle name="p_Actualisation provision contrat déficitaire SNCM 2011 V3 30 05 2011_B14_E2_2210_Bridge_Zone_Sud" xfId="1281"/>
    <cellStyle name="p_Actualisation provision contrat déficitaire SNCM 2011 V3 30 05 2011_Bridge_Zone_Sud" xfId="1282"/>
    <cellStyle name="p_B14_E2_2210" xfId="1283"/>
    <cellStyle name="p_B14_E2_2210_Bridge_Zone_Sud" xfId="1284"/>
    <cellStyle name="p_Bridge_Zone_Sud" xfId="1285"/>
    <cellStyle name="p_PPA SNCM - présentation CAC 28 06 2011" xfId="526"/>
    <cellStyle name="p_PPA SNCM - présentation CAC 28 06 2011_B14_E2_2210" xfId="1286"/>
    <cellStyle name="p_PPA SNCM - présentation CAC 28 06 2011_B14_E2_2210_Bridge_Zone_Sud" xfId="1287"/>
    <cellStyle name="p_PPA SNCM - présentation CAC 28 06 2011_Bridge_Zone_Sud" xfId="1288"/>
    <cellStyle name="pb_page_heading_LS" xfId="527"/>
    <cellStyle name="pe" xfId="528"/>
    <cellStyle name="per" xfId="529"/>
    <cellStyle name="Percent [0]" xfId="530"/>
    <cellStyle name="Percent [1]" xfId="531"/>
    <cellStyle name="Percent [2]" xfId="532"/>
    <cellStyle name="Percent 10" xfId="276"/>
    <cellStyle name="Percent 2" xfId="277"/>
    <cellStyle name="Percent 2 2" xfId="278"/>
    <cellStyle name="Percent 3" xfId="279"/>
    <cellStyle name="Percent 3 2" xfId="1289"/>
    <cellStyle name="Percent 32" xfId="1290"/>
    <cellStyle name="Percent 32 3" xfId="1291"/>
    <cellStyle name="Percent 4" xfId="280"/>
    <cellStyle name="Percent 5" xfId="281"/>
    <cellStyle name="Percent 5 2" xfId="282"/>
    <cellStyle name="Percent 5 3" xfId="283"/>
    <cellStyle name="Percent 5 4" xfId="284"/>
    <cellStyle name="Percent 5 5" xfId="285"/>
    <cellStyle name="Percent 6" xfId="286"/>
    <cellStyle name="Percent 7" xfId="287"/>
    <cellStyle name="Percent 8" xfId="288"/>
    <cellStyle name="Percent 9" xfId="289"/>
    <cellStyle name="Pound" xfId="533"/>
    <cellStyle name="Pound [1]" xfId="534"/>
    <cellStyle name="Pound [2]" xfId="535"/>
    <cellStyle name="Pound_CAPEM BY COUNTRY" xfId="1292"/>
    <cellStyle name="Pourcentage" xfId="311" builtinId="5"/>
    <cellStyle name="Pourcentage 10" xfId="1293"/>
    <cellStyle name="Pourcentage 11" xfId="1294"/>
    <cellStyle name="Pourcentage 12" xfId="1295"/>
    <cellStyle name="Pourcentage 13" xfId="1296"/>
    <cellStyle name="Pourcentage 14" xfId="1297"/>
    <cellStyle name="Pourcentage 15" xfId="1298"/>
    <cellStyle name="Pourcentage 16" xfId="1299"/>
    <cellStyle name="Pourcentage 17" xfId="1300"/>
    <cellStyle name="Pourcentage 17 2" xfId="1301"/>
    <cellStyle name="Pourcentage 18" xfId="1302"/>
    <cellStyle name="Pourcentage 18 2" xfId="1303"/>
    <cellStyle name="Pourcentage 19" xfId="1304"/>
    <cellStyle name="Pourcentage 2" xfId="4"/>
    <cellStyle name="Pourcentage 2 2" xfId="536"/>
    <cellStyle name="Pourcentage 2 3" xfId="537"/>
    <cellStyle name="Pourcentage 2 3 2" xfId="1305"/>
    <cellStyle name="Pourcentage 2 4" xfId="538"/>
    <cellStyle name="Pourcentage 2 5" xfId="539"/>
    <cellStyle name="Pourcentage 2 6" xfId="540"/>
    <cellStyle name="Pourcentage 2 7" xfId="541"/>
    <cellStyle name="Pourcentage 2 8" xfId="542"/>
    <cellStyle name="Pourcentage 3" xfId="290"/>
    <cellStyle name="Pourcentage 3 2" xfId="1306"/>
    <cellStyle name="Pourcentage 4" xfId="291"/>
    <cellStyle name="Pourcentage 4 2" xfId="1307"/>
    <cellStyle name="Pourcentage 5" xfId="292"/>
    <cellStyle name="Pourcentage 5 2" xfId="1308"/>
    <cellStyle name="Pourcentage 6" xfId="1309"/>
    <cellStyle name="Pourcentage 6 2" xfId="1310"/>
    <cellStyle name="Pourcentage 7" xfId="1311"/>
    <cellStyle name="Pourcentage 8" xfId="1312"/>
    <cellStyle name="Pourcentage 8 2" xfId="1313"/>
    <cellStyle name="Pourcentage 9" xfId="1314"/>
    <cellStyle name="Prosenttia 10" xfId="1315"/>
    <cellStyle name="Prosenttia 2" xfId="1316"/>
    <cellStyle name="ptit" xfId="543"/>
    <cellStyle name="rat" xfId="544"/>
    <cellStyle name="rate" xfId="545"/>
    <cellStyle name="ratio" xfId="546"/>
    <cellStyle name="s" xfId="547"/>
    <cellStyle name="s_Actualisation provision contrat déficitaire SNCM 2010 V Def" xfId="548"/>
    <cellStyle name="s_Actualisation provision contrat déficitaire SNCM 2010 V Def_B14_E2_2210" xfId="1317"/>
    <cellStyle name="s_Actualisation provision contrat déficitaire SNCM 2010 V Def_B14_E2_2210_Bridge_Zone_Sud" xfId="1318"/>
    <cellStyle name="s_Actualisation provision contrat déficitaire SNCM 2010 V Def_Bridge_Zone_Sud" xfId="1319"/>
    <cellStyle name="s_Actualisation provision contrat déficitaire SNCM 2010 V Def_CAPEM BY COUNTRY" xfId="1320"/>
    <cellStyle name="s_Actualisation provision contrat déficitaire SNCM 2010 V Def_Context" xfId="1321"/>
    <cellStyle name="s_Actualisation provision contrat déficitaire SNCM 2010 V Def_focus par entités CAFOPE2AMF" xfId="1322"/>
    <cellStyle name="s_Actualisation provision contrat déficitaire SNCM 2010 V Def_focus par entités CAFOPE2AMF_Bridge_Zone_Sud" xfId="1323"/>
    <cellStyle name="s_Actualisation provision contrat déficitaire SNCM 2010 V Def_Maquette PLT" xfId="1324"/>
    <cellStyle name="s_Actualisation provision contrat déficitaire SNCM 2010 V Def_Output" xfId="1325"/>
    <cellStyle name="s_Actualisation provision contrat déficitaire SNCM 2010 V Def_PAO-CAF-RESOP_04_13_pro_format_variante T1" xfId="1326"/>
    <cellStyle name="s_Actualisation provision contrat déficitaire SNCM 2010 V Def_PAO-CAF-RESOP_04_13_pro_format_variante T1_B14_E2_2210" xfId="1327"/>
    <cellStyle name="s_Actualisation provision contrat déficitaire SNCM 2010 V Def_PAO-CAF-RESOP_04_13_pro_format_variante T1_B14_E2_2210_Bridge_Zone_Sud" xfId="1328"/>
    <cellStyle name="s_Actualisation provision contrat déficitaire SNCM 2010 V Def_PAO-CAF-RESOP_04_13_pro_format_variante T1_Bridge_Zone_Sud" xfId="1329"/>
    <cellStyle name="s_Actualisation provision contrat déficitaire SNCM 2010 V Def_PAO-CAF-RESOP_06_13" xfId="1330"/>
    <cellStyle name="s_Actualisation provision contrat déficitaire SNCM 2010 V Def_PAO-CAF-RESOP_06_13_B14_E2_2210" xfId="1331"/>
    <cellStyle name="s_Actualisation provision contrat déficitaire SNCM 2010 V Def_PAO-CAF-RESOP_06_13_B14_E2_2210_Bridge_Zone_Sud" xfId="1332"/>
    <cellStyle name="s_Actualisation provision contrat déficitaire SNCM 2010 V Def_PAO-CAF-RESOP_06_13_Bridge_Zone_Sud" xfId="1333"/>
    <cellStyle name="s_Actualisation provision contrat déficitaire SNCM 2010 V Def_PAO-CAF-RESOP_08_13" xfId="1334"/>
    <cellStyle name="s_Actualisation provision contrat déficitaire SNCM 2010 V Def_PAO-CAF-RESOP_08_13_B14_E2_2210" xfId="1335"/>
    <cellStyle name="s_Actualisation provision contrat déficitaire SNCM 2010 V Def_PAO-CAF-RESOP_08_13_B14_E2_2210_Bridge_Zone_Sud" xfId="1336"/>
    <cellStyle name="s_Actualisation provision contrat déficitaire SNCM 2010 V Def_PAO-CAF-RESOP_08_13_Bridge_Zone_Sud" xfId="1337"/>
    <cellStyle name="s_Actualisation provision contrat déficitaire SNCM 2010 V Def_PAO-CAF-RESOP_09_13" xfId="1338"/>
    <cellStyle name="s_Actualisation provision contrat déficitaire SNCM 2010 V Def_PAO-CAF-RESOP_09_13_Bridge_Zone_Sud" xfId="1339"/>
    <cellStyle name="s_Actualisation provision contrat déficitaire SNCM 2010 V Def_PAO-CAF-RESOP_09_2013_Zone_IDF (version 2)" xfId="1340"/>
    <cellStyle name="s_Actualisation provision contrat déficitaire SNCM 2010 V Def_PAO-CAF-RESOP_10_12" xfId="1341"/>
    <cellStyle name="s_Actualisation provision contrat déficitaire SNCM 2010 V Def_PAO-CAF-RESOP_10_12_Bridge_Zone_Sud" xfId="1342"/>
    <cellStyle name="s_Actualisation provision contrat déficitaire SNCM 2010 V Def_PAO-CAF-RESOP_10_12_focus par entités CAFOP" xfId="1343"/>
    <cellStyle name="s_Actualisation provision contrat déficitaire SNCM 2010 V Def_PAO-CAF-RESOP_10_12_focus par entités CAFOP_Bridge_Zone_Sud" xfId="1344"/>
    <cellStyle name="s_Actualisation provision contrat déficitaire SNCM 2010 V Def_PAO-CAF-RESOP_11_13" xfId="1345"/>
    <cellStyle name="s_Actualisation provision contrat déficitaire SNCM 2010 V Def_PAO-CAF-RESOP_B13" xfId="1346"/>
    <cellStyle name="s_Actualisation provision contrat déficitaire SNCM 2010 V Def_PAO-CAF-RESOP_B13_Bridge_Zone_Sud" xfId="1347"/>
    <cellStyle name="s_Actualisation provision contrat déficitaire SNCM 2010 V Def_PAO-CAF-RESOP_B13_focus par entités CAFOP" xfId="1348"/>
    <cellStyle name="s_Actualisation provision contrat déficitaire SNCM 2010 V Def_PAO-CAF-RESOP_B13_focus par entités CAFOP_Bridge_Zone_Sud" xfId="1349"/>
    <cellStyle name="s_Actualisation provision contrat déficitaire SNCM 2010 V Def_PAO-CAF-RESOP_B2014" xfId="1350"/>
    <cellStyle name="s_Actualisation provision contrat déficitaire SNCM 2010 V Def_PAO-CAF-RESOP_B2014_Bridge_Zone_Sud" xfId="1351"/>
    <cellStyle name="s_Actualisation provision contrat déficitaire SNCM 2010 V Def_PAO-CAF-RESOP_B2014_v2" xfId="1352"/>
    <cellStyle name="s_Actualisation provision contrat déficitaire SNCM 2010 V Def_PAO-CAF-RESOP_E2_13" xfId="1353"/>
    <cellStyle name="s_Actualisation provision contrat déficitaire SNCM 2010 V Def_PAO-CAF-RESOP_E2_13_B14_E2_2210" xfId="1354"/>
    <cellStyle name="s_Actualisation provision contrat déficitaire SNCM 2010 V Def_PAO-CAF-RESOP_E2_13_B14_E2_2210_Bridge_Zone_Sud" xfId="1355"/>
    <cellStyle name="s_Actualisation provision contrat déficitaire SNCM 2010 V Def_PAO-CAF-RESOP_E2_13_Bridge_Zone_Sud" xfId="1356"/>
    <cellStyle name="s_Actualisation provision contrat déficitaire SNCM 2010 V Def_PAO-CAF-RESOP_E2_2013_03_10_19H" xfId="1357"/>
    <cellStyle name="s_Actualisation provision contrat déficitaire SNCM 2010 V Def_PAO-CAF-RESOP_E2_2013_03_10_19H_Bridge_Zone_Sud" xfId="1358"/>
    <cellStyle name="s_Actualisation provision contrat déficitaire SNCM 2010 V Def_PPA" xfId="1359"/>
    <cellStyle name="s_Actualisation provision contrat déficitaire SNCM 2010 V Def_RESOP bef CICE&amp;PPA&amp;RepartHO" xfId="1360"/>
    <cellStyle name="s_Actualisation provision contrat déficitaire SNCM 2010 V Def_Synthèse_Présentation_conso_retraitée" xfId="1361"/>
    <cellStyle name="s_Actualisation provision contrat déficitaire SNCM 2011 V3 30 05 2011" xfId="549"/>
    <cellStyle name="s_Actualisation provision contrat déficitaire SNCM 2011 V3 30 05 2011_B14_E2_2210" xfId="1362"/>
    <cellStyle name="s_Actualisation provision contrat déficitaire SNCM 2011 V3 30 05 2011_B14_E2_2210_Bridge_Zone_Sud" xfId="1363"/>
    <cellStyle name="s_Actualisation provision contrat déficitaire SNCM 2011 V3 30 05 2011_Bridge_Zone_Sud" xfId="1364"/>
    <cellStyle name="s_Actualisation provision contrat déficitaire SNCM 2011 V3 30 05 2011_CAPEM BY COUNTRY" xfId="1365"/>
    <cellStyle name="s_Actualisation provision contrat déficitaire SNCM 2011 V3 30 05 2011_Context" xfId="1366"/>
    <cellStyle name="s_Actualisation provision contrat déficitaire SNCM 2011 V3 30 05 2011_focus par entités CAFOPE2AMF" xfId="1367"/>
    <cellStyle name="s_Actualisation provision contrat déficitaire SNCM 2011 V3 30 05 2011_focus par entités CAFOPE2AMF_Bridge_Zone_Sud" xfId="1368"/>
    <cellStyle name="s_Actualisation provision contrat déficitaire SNCM 2011 V3 30 05 2011_Maquette PLT" xfId="1369"/>
    <cellStyle name="s_Actualisation provision contrat déficitaire SNCM 2011 V3 30 05 2011_Output" xfId="1370"/>
    <cellStyle name="s_Actualisation provision contrat déficitaire SNCM 2011 V3 30 05 2011_PAO-CAF-RESOP_04_13_pro_format_variante T1" xfId="1371"/>
    <cellStyle name="s_Actualisation provision contrat déficitaire SNCM 2011 V3 30 05 2011_PAO-CAF-RESOP_04_13_pro_format_variante T1_B14_E2_2210" xfId="1372"/>
    <cellStyle name="s_Actualisation provision contrat déficitaire SNCM 2011 V3 30 05 2011_PAO-CAF-RESOP_04_13_pro_format_variante T1_B14_E2_2210_Bridge_Zone_Sud" xfId="1373"/>
    <cellStyle name="s_Actualisation provision contrat déficitaire SNCM 2011 V3 30 05 2011_PAO-CAF-RESOP_04_13_pro_format_variante T1_Bridge_Zone_Sud" xfId="1374"/>
    <cellStyle name="s_Actualisation provision contrat déficitaire SNCM 2011 V3 30 05 2011_PAO-CAF-RESOP_06_13" xfId="1375"/>
    <cellStyle name="s_Actualisation provision contrat déficitaire SNCM 2011 V3 30 05 2011_PAO-CAF-RESOP_06_13_B14_E2_2210" xfId="1376"/>
    <cellStyle name="s_Actualisation provision contrat déficitaire SNCM 2011 V3 30 05 2011_PAO-CAF-RESOP_06_13_B14_E2_2210_Bridge_Zone_Sud" xfId="1377"/>
    <cellStyle name="s_Actualisation provision contrat déficitaire SNCM 2011 V3 30 05 2011_PAO-CAF-RESOP_06_13_Bridge_Zone_Sud" xfId="1378"/>
    <cellStyle name="s_Actualisation provision contrat déficitaire SNCM 2011 V3 30 05 2011_PAO-CAF-RESOP_08_13" xfId="1379"/>
    <cellStyle name="s_Actualisation provision contrat déficitaire SNCM 2011 V3 30 05 2011_PAO-CAF-RESOP_08_13_B14_E2_2210" xfId="1380"/>
    <cellStyle name="s_Actualisation provision contrat déficitaire SNCM 2011 V3 30 05 2011_PAO-CAF-RESOP_08_13_B14_E2_2210_Bridge_Zone_Sud" xfId="1381"/>
    <cellStyle name="s_Actualisation provision contrat déficitaire SNCM 2011 V3 30 05 2011_PAO-CAF-RESOP_08_13_Bridge_Zone_Sud" xfId="1382"/>
    <cellStyle name="s_Actualisation provision contrat déficitaire SNCM 2011 V3 30 05 2011_PAO-CAF-RESOP_09_13" xfId="1383"/>
    <cellStyle name="s_Actualisation provision contrat déficitaire SNCM 2011 V3 30 05 2011_PAO-CAF-RESOP_09_13_Bridge_Zone_Sud" xfId="1384"/>
    <cellStyle name="s_Actualisation provision contrat déficitaire SNCM 2011 V3 30 05 2011_PAO-CAF-RESOP_09_2013_Zone_IDF (version 2)" xfId="1385"/>
    <cellStyle name="s_Actualisation provision contrat déficitaire SNCM 2011 V3 30 05 2011_PAO-CAF-RESOP_10_12" xfId="1386"/>
    <cellStyle name="s_Actualisation provision contrat déficitaire SNCM 2011 V3 30 05 2011_PAO-CAF-RESOP_10_12_Bridge_Zone_Sud" xfId="1387"/>
    <cellStyle name="s_Actualisation provision contrat déficitaire SNCM 2011 V3 30 05 2011_PAO-CAF-RESOP_10_12_focus par entités CAFOP" xfId="1388"/>
    <cellStyle name="s_Actualisation provision contrat déficitaire SNCM 2011 V3 30 05 2011_PAO-CAF-RESOP_10_12_focus par entités CAFOP_Bridge_Zone_Sud" xfId="1389"/>
    <cellStyle name="s_Actualisation provision contrat déficitaire SNCM 2011 V3 30 05 2011_PAO-CAF-RESOP_11_13" xfId="1390"/>
    <cellStyle name="s_Actualisation provision contrat déficitaire SNCM 2011 V3 30 05 2011_PAO-CAF-RESOP_B13" xfId="1391"/>
    <cellStyle name="s_Actualisation provision contrat déficitaire SNCM 2011 V3 30 05 2011_PAO-CAF-RESOP_B13_Bridge_Zone_Sud" xfId="1392"/>
    <cellStyle name="s_Actualisation provision contrat déficitaire SNCM 2011 V3 30 05 2011_PAO-CAF-RESOP_B13_focus par entités CAFOP" xfId="1393"/>
    <cellStyle name="s_Actualisation provision contrat déficitaire SNCM 2011 V3 30 05 2011_PAO-CAF-RESOP_B13_focus par entités CAFOP_Bridge_Zone_Sud" xfId="1394"/>
    <cellStyle name="s_Actualisation provision contrat déficitaire SNCM 2011 V3 30 05 2011_PAO-CAF-RESOP_B2014" xfId="1395"/>
    <cellStyle name="s_Actualisation provision contrat déficitaire SNCM 2011 V3 30 05 2011_PAO-CAF-RESOP_B2014_Bridge_Zone_Sud" xfId="1396"/>
    <cellStyle name="s_Actualisation provision contrat déficitaire SNCM 2011 V3 30 05 2011_PAO-CAF-RESOP_B2014_v2" xfId="1397"/>
    <cellStyle name="s_Actualisation provision contrat déficitaire SNCM 2011 V3 30 05 2011_PAO-CAF-RESOP_E2_13" xfId="1398"/>
    <cellStyle name="s_Actualisation provision contrat déficitaire SNCM 2011 V3 30 05 2011_PAO-CAF-RESOP_E2_13_B14_E2_2210" xfId="1399"/>
    <cellStyle name="s_Actualisation provision contrat déficitaire SNCM 2011 V3 30 05 2011_PAO-CAF-RESOP_E2_13_B14_E2_2210_Bridge_Zone_Sud" xfId="1400"/>
    <cellStyle name="s_Actualisation provision contrat déficitaire SNCM 2011 V3 30 05 2011_PAO-CAF-RESOP_E2_13_Bridge_Zone_Sud" xfId="1401"/>
    <cellStyle name="s_Actualisation provision contrat déficitaire SNCM 2011 V3 30 05 2011_PAO-CAF-RESOP_E2_2013_03_10_19H" xfId="1402"/>
    <cellStyle name="s_Actualisation provision contrat déficitaire SNCM 2011 V3 30 05 2011_PAO-CAF-RESOP_E2_2013_03_10_19H_Bridge_Zone_Sud" xfId="1403"/>
    <cellStyle name="s_Actualisation provision contrat déficitaire SNCM 2011 V3 30 05 2011_PPA" xfId="1404"/>
    <cellStyle name="s_Actualisation provision contrat déficitaire SNCM 2011 V3 30 05 2011_RESOP bef CICE&amp;PPA&amp;RepartHO" xfId="1405"/>
    <cellStyle name="s_Actualisation provision contrat déficitaire SNCM 2011 V3 30 05 2011_Synthèse_Présentation_conso_retraitée" xfId="1406"/>
    <cellStyle name="s_Assumptions" xfId="550"/>
    <cellStyle name="s_Assumptions_Actualisation provision contrat déficitaire SNCM 2010 V Def" xfId="551"/>
    <cellStyle name="s_Assumptions_Actualisation provision contrat déficitaire SNCM 2010 V Def_B14_E2_2210" xfId="1407"/>
    <cellStyle name="s_Assumptions_Actualisation provision contrat déficitaire SNCM 2010 V Def_B14_E2_2210_Bridge_Zone_Sud" xfId="1408"/>
    <cellStyle name="s_Assumptions_Actualisation provision contrat déficitaire SNCM 2010 V Def_Bridge_Zone_Sud" xfId="1409"/>
    <cellStyle name="s_Assumptions_Actualisation provision contrat déficitaire SNCM 2010 V Def_CAPEM BY COUNTRY" xfId="1410"/>
    <cellStyle name="s_Assumptions_Actualisation provision contrat déficitaire SNCM 2010 V Def_Context" xfId="1411"/>
    <cellStyle name="s_Assumptions_Actualisation provision contrat déficitaire SNCM 2010 V Def_focus par entités CAFOPE2AMF" xfId="1412"/>
    <cellStyle name="s_Assumptions_Actualisation provision contrat déficitaire SNCM 2010 V Def_focus par entités CAFOPE2AMF_Bridge_Zone_Sud" xfId="1413"/>
    <cellStyle name="s_Assumptions_Actualisation provision contrat déficitaire SNCM 2010 V Def_Maquette PLT" xfId="1414"/>
    <cellStyle name="s_Assumptions_Actualisation provision contrat déficitaire SNCM 2010 V Def_Output" xfId="1415"/>
    <cellStyle name="s_Assumptions_Actualisation provision contrat déficitaire SNCM 2010 V Def_PAO-CAF-RESOP_04_13_pro_format_variante T1" xfId="1416"/>
    <cellStyle name="s_Assumptions_Actualisation provision contrat déficitaire SNCM 2010 V Def_PAO-CAF-RESOP_04_13_pro_format_variante T1_B14_E2_2210" xfId="1417"/>
    <cellStyle name="s_Assumptions_Actualisation provision contrat déficitaire SNCM 2010 V Def_PAO-CAF-RESOP_04_13_pro_format_variante T1_B14_E2_2210_Bridge_Zone_Sud" xfId="1418"/>
    <cellStyle name="s_Assumptions_Actualisation provision contrat déficitaire SNCM 2010 V Def_PAO-CAF-RESOP_04_13_pro_format_variante T1_Bridge_Zone_Sud" xfId="1419"/>
    <cellStyle name="s_Assumptions_Actualisation provision contrat déficitaire SNCM 2010 V Def_PAO-CAF-RESOP_06_13" xfId="1420"/>
    <cellStyle name="s_Assumptions_Actualisation provision contrat déficitaire SNCM 2010 V Def_PAO-CAF-RESOP_06_13_B14_E2_2210" xfId="1421"/>
    <cellStyle name="s_Assumptions_Actualisation provision contrat déficitaire SNCM 2010 V Def_PAO-CAF-RESOP_06_13_B14_E2_2210_Bridge_Zone_Sud" xfId="1422"/>
    <cellStyle name="s_Assumptions_Actualisation provision contrat déficitaire SNCM 2010 V Def_PAO-CAF-RESOP_06_13_Bridge_Zone_Sud" xfId="1423"/>
    <cellStyle name="s_Assumptions_Actualisation provision contrat déficitaire SNCM 2010 V Def_PAO-CAF-RESOP_08_13" xfId="1424"/>
    <cellStyle name="s_Assumptions_Actualisation provision contrat déficitaire SNCM 2010 V Def_PAO-CAF-RESOP_08_13_B14_E2_2210" xfId="1425"/>
    <cellStyle name="s_Assumptions_Actualisation provision contrat déficitaire SNCM 2010 V Def_PAO-CAF-RESOP_08_13_B14_E2_2210_Bridge_Zone_Sud" xfId="1426"/>
    <cellStyle name="s_Assumptions_Actualisation provision contrat déficitaire SNCM 2010 V Def_PAO-CAF-RESOP_08_13_Bridge_Zone_Sud" xfId="1427"/>
    <cellStyle name="s_Assumptions_Actualisation provision contrat déficitaire SNCM 2010 V Def_PAO-CAF-RESOP_09_13" xfId="1428"/>
    <cellStyle name="s_Assumptions_Actualisation provision contrat déficitaire SNCM 2010 V Def_PAO-CAF-RESOP_09_13_Bridge_Zone_Sud" xfId="1429"/>
    <cellStyle name="s_Assumptions_Actualisation provision contrat déficitaire SNCM 2010 V Def_PAO-CAF-RESOP_09_2013_Zone_IDF (version 2)" xfId="1430"/>
    <cellStyle name="s_Assumptions_Actualisation provision contrat déficitaire SNCM 2010 V Def_PAO-CAF-RESOP_10_12" xfId="1431"/>
    <cellStyle name="s_Assumptions_Actualisation provision contrat déficitaire SNCM 2010 V Def_PAO-CAF-RESOP_10_12_Bridge_Zone_Sud" xfId="1432"/>
    <cellStyle name="s_Assumptions_Actualisation provision contrat déficitaire SNCM 2010 V Def_PAO-CAF-RESOP_10_12_focus par entités CAFOP" xfId="1433"/>
    <cellStyle name="s_Assumptions_Actualisation provision contrat déficitaire SNCM 2010 V Def_PAO-CAF-RESOP_10_12_focus par entités CAFOP_Bridge_Zone_Sud" xfId="1434"/>
    <cellStyle name="s_Assumptions_Actualisation provision contrat déficitaire SNCM 2010 V Def_PAO-CAF-RESOP_11_13" xfId="1435"/>
    <cellStyle name="s_Assumptions_Actualisation provision contrat déficitaire SNCM 2010 V Def_PAO-CAF-RESOP_B13" xfId="1436"/>
    <cellStyle name="s_Assumptions_Actualisation provision contrat déficitaire SNCM 2010 V Def_PAO-CAF-RESOP_B13_Bridge_Zone_Sud" xfId="1437"/>
    <cellStyle name="s_Assumptions_Actualisation provision contrat déficitaire SNCM 2010 V Def_PAO-CAF-RESOP_B13_focus par entités CAFOP" xfId="1438"/>
    <cellStyle name="s_Assumptions_Actualisation provision contrat déficitaire SNCM 2010 V Def_PAO-CAF-RESOP_B13_focus par entités CAFOP_Bridge_Zone_Sud" xfId="1439"/>
    <cellStyle name="s_Assumptions_Actualisation provision contrat déficitaire SNCM 2010 V Def_PAO-CAF-RESOP_B2014" xfId="1440"/>
    <cellStyle name="s_Assumptions_Actualisation provision contrat déficitaire SNCM 2010 V Def_PAO-CAF-RESOP_B2014_Bridge_Zone_Sud" xfId="1441"/>
    <cellStyle name="s_Assumptions_Actualisation provision contrat déficitaire SNCM 2010 V Def_PAO-CAF-RESOP_B2014_v2" xfId="1442"/>
    <cellStyle name="s_Assumptions_Actualisation provision contrat déficitaire SNCM 2010 V Def_PAO-CAF-RESOP_E2_13" xfId="1443"/>
    <cellStyle name="s_Assumptions_Actualisation provision contrat déficitaire SNCM 2010 V Def_PAO-CAF-RESOP_E2_13_B14_E2_2210" xfId="1444"/>
    <cellStyle name="s_Assumptions_Actualisation provision contrat déficitaire SNCM 2010 V Def_PAO-CAF-RESOP_E2_13_B14_E2_2210_Bridge_Zone_Sud" xfId="1445"/>
    <cellStyle name="s_Assumptions_Actualisation provision contrat déficitaire SNCM 2010 V Def_PAO-CAF-RESOP_E2_13_Bridge_Zone_Sud" xfId="1446"/>
    <cellStyle name="s_Assumptions_Actualisation provision contrat déficitaire SNCM 2010 V Def_PAO-CAF-RESOP_E2_2013_03_10_19H" xfId="1447"/>
    <cellStyle name="s_Assumptions_Actualisation provision contrat déficitaire SNCM 2010 V Def_PAO-CAF-RESOP_E2_2013_03_10_19H_Bridge_Zone_Sud" xfId="1448"/>
    <cellStyle name="s_Assumptions_Actualisation provision contrat déficitaire SNCM 2010 V Def_PPA" xfId="1449"/>
    <cellStyle name="s_Assumptions_Actualisation provision contrat déficitaire SNCM 2010 V Def_RESOP bef CICE&amp;PPA&amp;RepartHO" xfId="1450"/>
    <cellStyle name="s_Assumptions_Actualisation provision contrat déficitaire SNCM 2010 V Def_Synthèse_Présentation_conso_retraitée" xfId="1451"/>
    <cellStyle name="s_Assumptions_Actualisation provision contrat déficitaire SNCM 2011 V3 30 05 2011" xfId="552"/>
    <cellStyle name="s_Assumptions_Actualisation provision contrat déficitaire SNCM 2011 V3 30 05 2011_B14_E2_2210" xfId="1452"/>
    <cellStyle name="s_Assumptions_Actualisation provision contrat déficitaire SNCM 2011 V3 30 05 2011_B14_E2_2210_Bridge_Zone_Sud" xfId="1453"/>
    <cellStyle name="s_Assumptions_Actualisation provision contrat déficitaire SNCM 2011 V3 30 05 2011_Bridge_Zone_Sud" xfId="1454"/>
    <cellStyle name="s_Assumptions_Actualisation provision contrat déficitaire SNCM 2011 V3 30 05 2011_CAPEM BY COUNTRY" xfId="1455"/>
    <cellStyle name="s_Assumptions_Actualisation provision contrat déficitaire SNCM 2011 V3 30 05 2011_Context" xfId="1456"/>
    <cellStyle name="s_Assumptions_Actualisation provision contrat déficitaire SNCM 2011 V3 30 05 2011_focus par entités CAFOPE2AMF" xfId="1457"/>
    <cellStyle name="s_Assumptions_Actualisation provision contrat déficitaire SNCM 2011 V3 30 05 2011_focus par entités CAFOPE2AMF_Bridge_Zone_Sud" xfId="1458"/>
    <cellStyle name="s_Assumptions_Actualisation provision contrat déficitaire SNCM 2011 V3 30 05 2011_Maquette PLT" xfId="1459"/>
    <cellStyle name="s_Assumptions_Actualisation provision contrat déficitaire SNCM 2011 V3 30 05 2011_Output" xfId="1460"/>
    <cellStyle name="s_Assumptions_Actualisation provision contrat déficitaire SNCM 2011 V3 30 05 2011_PAO-CAF-RESOP_04_13_pro_format_variante T1" xfId="1461"/>
    <cellStyle name="s_Assumptions_Actualisation provision contrat déficitaire SNCM 2011 V3 30 05 2011_PAO-CAF-RESOP_04_13_pro_format_variante T1_B14_E2_2210" xfId="1462"/>
    <cellStyle name="s_Assumptions_Actualisation provision contrat déficitaire SNCM 2011 V3 30 05 2011_PAO-CAF-RESOP_04_13_pro_format_variante T1_B14_E2_2210_Bridge_Zone_Sud" xfId="1463"/>
    <cellStyle name="s_Assumptions_Actualisation provision contrat déficitaire SNCM 2011 V3 30 05 2011_PAO-CAF-RESOP_04_13_pro_format_variante T1_Bridge_Zone_Sud" xfId="1464"/>
    <cellStyle name="s_Assumptions_Actualisation provision contrat déficitaire SNCM 2011 V3 30 05 2011_PAO-CAF-RESOP_06_13" xfId="1465"/>
    <cellStyle name="s_Assumptions_Actualisation provision contrat déficitaire SNCM 2011 V3 30 05 2011_PAO-CAF-RESOP_06_13_B14_E2_2210" xfId="1466"/>
    <cellStyle name="s_Assumptions_Actualisation provision contrat déficitaire SNCM 2011 V3 30 05 2011_PAO-CAF-RESOP_06_13_B14_E2_2210_Bridge_Zone_Sud" xfId="1467"/>
    <cellStyle name="s_Assumptions_Actualisation provision contrat déficitaire SNCM 2011 V3 30 05 2011_PAO-CAF-RESOP_06_13_Bridge_Zone_Sud" xfId="1468"/>
    <cellStyle name="s_Assumptions_Actualisation provision contrat déficitaire SNCM 2011 V3 30 05 2011_PAO-CAF-RESOP_08_13" xfId="1469"/>
    <cellStyle name="s_Assumptions_Actualisation provision contrat déficitaire SNCM 2011 V3 30 05 2011_PAO-CAF-RESOP_08_13_B14_E2_2210" xfId="1470"/>
    <cellStyle name="s_Assumptions_Actualisation provision contrat déficitaire SNCM 2011 V3 30 05 2011_PAO-CAF-RESOP_08_13_B14_E2_2210_Bridge_Zone_Sud" xfId="1471"/>
    <cellStyle name="s_Assumptions_Actualisation provision contrat déficitaire SNCM 2011 V3 30 05 2011_PAO-CAF-RESOP_08_13_Bridge_Zone_Sud" xfId="1472"/>
    <cellStyle name="s_Assumptions_Actualisation provision contrat déficitaire SNCM 2011 V3 30 05 2011_PAO-CAF-RESOP_09_13" xfId="1473"/>
    <cellStyle name="s_Assumptions_Actualisation provision contrat déficitaire SNCM 2011 V3 30 05 2011_PAO-CAF-RESOP_09_13_Bridge_Zone_Sud" xfId="1474"/>
    <cellStyle name="s_Assumptions_Actualisation provision contrat déficitaire SNCM 2011 V3 30 05 2011_PAO-CAF-RESOP_09_2013_Zone_IDF (version 2)" xfId="1475"/>
    <cellStyle name="s_Assumptions_Actualisation provision contrat déficitaire SNCM 2011 V3 30 05 2011_PAO-CAF-RESOP_10_12" xfId="1476"/>
    <cellStyle name="s_Assumptions_Actualisation provision contrat déficitaire SNCM 2011 V3 30 05 2011_PAO-CAF-RESOP_10_12_Bridge_Zone_Sud" xfId="1477"/>
    <cellStyle name="s_Assumptions_Actualisation provision contrat déficitaire SNCM 2011 V3 30 05 2011_PAO-CAF-RESOP_10_12_focus par entités CAFOP" xfId="1478"/>
    <cellStyle name="s_Assumptions_Actualisation provision contrat déficitaire SNCM 2011 V3 30 05 2011_PAO-CAF-RESOP_10_12_focus par entités CAFOP_Bridge_Zone_Sud" xfId="1479"/>
    <cellStyle name="s_Assumptions_Actualisation provision contrat déficitaire SNCM 2011 V3 30 05 2011_PAO-CAF-RESOP_11_13" xfId="1480"/>
    <cellStyle name="s_Assumptions_Actualisation provision contrat déficitaire SNCM 2011 V3 30 05 2011_PAO-CAF-RESOP_B13" xfId="1481"/>
    <cellStyle name="s_Assumptions_Actualisation provision contrat déficitaire SNCM 2011 V3 30 05 2011_PAO-CAF-RESOP_B13_Bridge_Zone_Sud" xfId="1482"/>
    <cellStyle name="s_Assumptions_Actualisation provision contrat déficitaire SNCM 2011 V3 30 05 2011_PAO-CAF-RESOP_B13_focus par entités CAFOP" xfId="1483"/>
    <cellStyle name="s_Assumptions_Actualisation provision contrat déficitaire SNCM 2011 V3 30 05 2011_PAO-CAF-RESOP_B13_focus par entités CAFOP_Bridge_Zone_Sud" xfId="1484"/>
    <cellStyle name="s_Assumptions_Actualisation provision contrat déficitaire SNCM 2011 V3 30 05 2011_PAO-CAF-RESOP_B2014" xfId="1485"/>
    <cellStyle name="s_Assumptions_Actualisation provision contrat déficitaire SNCM 2011 V3 30 05 2011_PAO-CAF-RESOP_B2014_Bridge_Zone_Sud" xfId="1486"/>
    <cellStyle name="s_Assumptions_Actualisation provision contrat déficitaire SNCM 2011 V3 30 05 2011_PAO-CAF-RESOP_B2014_v2" xfId="1487"/>
    <cellStyle name="s_Assumptions_Actualisation provision contrat déficitaire SNCM 2011 V3 30 05 2011_PAO-CAF-RESOP_E2_13" xfId="1488"/>
    <cellStyle name="s_Assumptions_Actualisation provision contrat déficitaire SNCM 2011 V3 30 05 2011_PAO-CAF-RESOP_E2_13_B14_E2_2210" xfId="1489"/>
    <cellStyle name="s_Assumptions_Actualisation provision contrat déficitaire SNCM 2011 V3 30 05 2011_PAO-CAF-RESOP_E2_13_B14_E2_2210_Bridge_Zone_Sud" xfId="1490"/>
    <cellStyle name="s_Assumptions_Actualisation provision contrat déficitaire SNCM 2011 V3 30 05 2011_PAO-CAF-RESOP_E2_13_Bridge_Zone_Sud" xfId="1491"/>
    <cellStyle name="s_Assumptions_Actualisation provision contrat déficitaire SNCM 2011 V3 30 05 2011_PAO-CAF-RESOP_E2_2013_03_10_19H" xfId="1492"/>
    <cellStyle name="s_Assumptions_Actualisation provision contrat déficitaire SNCM 2011 V3 30 05 2011_PAO-CAF-RESOP_E2_2013_03_10_19H_Bridge_Zone_Sud" xfId="1493"/>
    <cellStyle name="s_Assumptions_Actualisation provision contrat déficitaire SNCM 2011 V3 30 05 2011_PPA" xfId="1494"/>
    <cellStyle name="s_Assumptions_Actualisation provision contrat déficitaire SNCM 2011 V3 30 05 2011_RESOP bef CICE&amp;PPA&amp;RepartHO" xfId="1495"/>
    <cellStyle name="s_Assumptions_Actualisation provision contrat déficitaire SNCM 2011 V3 30 05 2011_Synthèse_Présentation_conso_retraitée" xfId="1496"/>
    <cellStyle name="s_Assumptions_B14_E2_2210" xfId="1497"/>
    <cellStyle name="s_Assumptions_B14_E2_2210_Bridge_Zone_Sud" xfId="1498"/>
    <cellStyle name="s_Assumptions_BFR_TD_2014.02" xfId="1499"/>
    <cellStyle name="s_Assumptions_Bridge_Zone_Nord" xfId="1500"/>
    <cellStyle name="s_Assumptions_CAPEM BY COUNTRY" xfId="1501"/>
    <cellStyle name="s_Assumptions_Context" xfId="1502"/>
    <cellStyle name="s_Assumptions_LI819L_B13" xfId="553"/>
    <cellStyle name="s_Assumptions_LI819L_B13_CAPEM BY COUNTRY" xfId="1503"/>
    <cellStyle name="s_Assumptions_LI819L_B13_Context" xfId="1504"/>
    <cellStyle name="s_Assumptions_LI819L_B13_Maquette PLT" xfId="1505"/>
    <cellStyle name="s_Assumptions_LI819L_B13_Output" xfId="1506"/>
    <cellStyle name="s_Assumptions_LI819L_B13_PPA" xfId="1507"/>
    <cellStyle name="s_Assumptions_LI819L_B13_RESOP bef CICE&amp;PPA&amp;RepartHO" xfId="1508"/>
    <cellStyle name="s_Assumptions_Maquette PLT" xfId="1509"/>
    <cellStyle name="s_Assumptions_Output" xfId="1510"/>
    <cellStyle name="s_Assumptions_PAO-CAF-RESOP_14_01_13 à 20h" xfId="554"/>
    <cellStyle name="s_Assumptions_PAO-CAF-RESOP_14_01_13 à 20h_CAPEM BY COUNTRY" xfId="1511"/>
    <cellStyle name="s_Assumptions_PAO-CAF-RESOP_14_01_13 à 20h_Context" xfId="1512"/>
    <cellStyle name="s_Assumptions_PAO-CAF-RESOP_14_01_13 à 20h_Maquette PLT" xfId="1513"/>
    <cellStyle name="s_Assumptions_PAO-CAF-RESOP_14_01_13 à 20h_Output" xfId="1514"/>
    <cellStyle name="s_Assumptions_PAO-CAF-RESOP_14_01_13 à 20h_PPA" xfId="1515"/>
    <cellStyle name="s_Assumptions_PAO-CAF-RESOP_14_01_13 à 20h_RESOP bef CICE&amp;PPA&amp;RepartHO" xfId="1516"/>
    <cellStyle name="s_Assumptions_PAO-CAF-RESOP_2014.02" xfId="1517"/>
    <cellStyle name="s_Assumptions_PAO-CAF-RESOP_2014.02_Bridge_Zone_Sud" xfId="1518"/>
    <cellStyle name="s_Assumptions_PPA" xfId="1519"/>
    <cellStyle name="s_Assumptions_RESOP bef CICE&amp;PPA&amp;RepartHO" xfId="1520"/>
    <cellStyle name="s_B_S_Ratios _B" xfId="555"/>
    <cellStyle name="s_B_S_Ratios _B_Actualisation provision contrat déficitaire SNCM 2010 V Def" xfId="556"/>
    <cellStyle name="s_B_S_Ratios _B_Actualisation provision contrat déficitaire SNCM 2010 V Def_B14_E2_2210" xfId="1521"/>
    <cellStyle name="s_B_S_Ratios _B_Actualisation provision contrat déficitaire SNCM 2010 V Def_B14_E2_2210_Bridge_Zone_Sud" xfId="1522"/>
    <cellStyle name="s_B_S_Ratios _B_Actualisation provision contrat déficitaire SNCM 2010 V Def_Bridge_Zone_Sud" xfId="1523"/>
    <cellStyle name="s_B_S_Ratios _B_Actualisation provision contrat déficitaire SNCM 2010 V Def_CAPEM BY COUNTRY" xfId="1524"/>
    <cellStyle name="s_B_S_Ratios _B_Actualisation provision contrat déficitaire SNCM 2010 V Def_Context" xfId="1525"/>
    <cellStyle name="s_B_S_Ratios _B_Actualisation provision contrat déficitaire SNCM 2010 V Def_focus par entités CAFOPE2AMF" xfId="1526"/>
    <cellStyle name="s_B_S_Ratios _B_Actualisation provision contrat déficitaire SNCM 2010 V Def_focus par entités CAFOPE2AMF_Bridge_Zone_Sud" xfId="1527"/>
    <cellStyle name="s_B_S_Ratios _B_Actualisation provision contrat déficitaire SNCM 2010 V Def_Maquette PLT" xfId="1528"/>
    <cellStyle name="s_B_S_Ratios _B_Actualisation provision contrat déficitaire SNCM 2010 V Def_Output" xfId="1529"/>
    <cellStyle name="s_B_S_Ratios _B_Actualisation provision contrat déficitaire SNCM 2010 V Def_PAO-CAF-RESOP_04_13_pro_format_variante T1" xfId="1530"/>
    <cellStyle name="s_B_S_Ratios _B_Actualisation provision contrat déficitaire SNCM 2010 V Def_PAO-CAF-RESOP_04_13_pro_format_variante T1_B14_E2_2210" xfId="1531"/>
    <cellStyle name="s_B_S_Ratios _B_Actualisation provision contrat déficitaire SNCM 2010 V Def_PAO-CAF-RESOP_04_13_pro_format_variante T1_B14_E2_2210_Bridge_Zone_Sud" xfId="1532"/>
    <cellStyle name="s_B_S_Ratios _B_Actualisation provision contrat déficitaire SNCM 2010 V Def_PAO-CAF-RESOP_04_13_pro_format_variante T1_Bridge_Zone_Sud" xfId="1533"/>
    <cellStyle name="s_B_S_Ratios _B_Actualisation provision contrat déficitaire SNCM 2010 V Def_PAO-CAF-RESOP_06_13" xfId="1534"/>
    <cellStyle name="s_B_S_Ratios _B_Actualisation provision contrat déficitaire SNCM 2010 V Def_PAO-CAF-RESOP_06_13_B14_E2_2210" xfId="1535"/>
    <cellStyle name="s_B_S_Ratios _B_Actualisation provision contrat déficitaire SNCM 2010 V Def_PAO-CAF-RESOP_06_13_B14_E2_2210_Bridge_Zone_Sud" xfId="1536"/>
    <cellStyle name="s_B_S_Ratios _B_Actualisation provision contrat déficitaire SNCM 2010 V Def_PAO-CAF-RESOP_06_13_Bridge_Zone_Sud" xfId="1537"/>
    <cellStyle name="s_B_S_Ratios _B_Actualisation provision contrat déficitaire SNCM 2010 V Def_PAO-CAF-RESOP_08_13" xfId="1538"/>
    <cellStyle name="s_B_S_Ratios _B_Actualisation provision contrat déficitaire SNCM 2010 V Def_PAO-CAF-RESOP_08_13_B14_E2_2210" xfId="1539"/>
    <cellStyle name="s_B_S_Ratios _B_Actualisation provision contrat déficitaire SNCM 2010 V Def_PAO-CAF-RESOP_08_13_B14_E2_2210_Bridge_Zone_Sud" xfId="1540"/>
    <cellStyle name="s_B_S_Ratios _B_Actualisation provision contrat déficitaire SNCM 2010 V Def_PAO-CAF-RESOP_08_13_Bridge_Zone_Sud" xfId="1541"/>
    <cellStyle name="s_B_S_Ratios _B_Actualisation provision contrat déficitaire SNCM 2010 V Def_PAO-CAF-RESOP_09_13" xfId="1542"/>
    <cellStyle name="s_B_S_Ratios _B_Actualisation provision contrat déficitaire SNCM 2010 V Def_PAO-CAF-RESOP_09_13_Bridge_Zone_Sud" xfId="1543"/>
    <cellStyle name="s_B_S_Ratios _B_Actualisation provision contrat déficitaire SNCM 2010 V Def_PAO-CAF-RESOP_09_2013_Zone_IDF (version 2)" xfId="1544"/>
    <cellStyle name="s_B_S_Ratios _B_Actualisation provision contrat déficitaire SNCM 2010 V Def_PAO-CAF-RESOP_10_12" xfId="1545"/>
    <cellStyle name="s_B_S_Ratios _B_Actualisation provision contrat déficitaire SNCM 2010 V Def_PAO-CAF-RESOP_10_12_Bridge_Zone_Sud" xfId="1546"/>
    <cellStyle name="s_B_S_Ratios _B_Actualisation provision contrat déficitaire SNCM 2010 V Def_PAO-CAF-RESOP_10_12_focus par entités CAFOP" xfId="1547"/>
    <cellStyle name="s_B_S_Ratios _B_Actualisation provision contrat déficitaire SNCM 2010 V Def_PAO-CAF-RESOP_10_12_focus par entités CAFOP_Bridge_Zone_Sud" xfId="1548"/>
    <cellStyle name="s_B_S_Ratios _B_Actualisation provision contrat déficitaire SNCM 2010 V Def_PAO-CAF-RESOP_11_13" xfId="1549"/>
    <cellStyle name="s_B_S_Ratios _B_Actualisation provision contrat déficitaire SNCM 2010 V Def_PAO-CAF-RESOP_B13" xfId="1550"/>
    <cellStyle name="s_B_S_Ratios _B_Actualisation provision contrat déficitaire SNCM 2010 V Def_PAO-CAF-RESOP_B13_Bridge_Zone_Sud" xfId="1551"/>
    <cellStyle name="s_B_S_Ratios _B_Actualisation provision contrat déficitaire SNCM 2010 V Def_PAO-CAF-RESOP_B13_focus par entités CAFOP" xfId="1552"/>
    <cellStyle name="s_B_S_Ratios _B_Actualisation provision contrat déficitaire SNCM 2010 V Def_PAO-CAF-RESOP_B13_focus par entités CAFOP_Bridge_Zone_Sud" xfId="1553"/>
    <cellStyle name="s_B_S_Ratios _B_Actualisation provision contrat déficitaire SNCM 2010 V Def_PAO-CAF-RESOP_B2014" xfId="1554"/>
    <cellStyle name="s_B_S_Ratios _B_Actualisation provision contrat déficitaire SNCM 2010 V Def_PAO-CAF-RESOP_B2014_Bridge_Zone_Sud" xfId="1555"/>
    <cellStyle name="s_B_S_Ratios _B_Actualisation provision contrat déficitaire SNCM 2010 V Def_PAO-CAF-RESOP_B2014_v2" xfId="1556"/>
    <cellStyle name="s_B_S_Ratios _B_Actualisation provision contrat déficitaire SNCM 2010 V Def_PAO-CAF-RESOP_E2_13" xfId="1557"/>
    <cellStyle name="s_B_S_Ratios _B_Actualisation provision contrat déficitaire SNCM 2010 V Def_PAO-CAF-RESOP_E2_13_B14_E2_2210" xfId="1558"/>
    <cellStyle name="s_B_S_Ratios _B_Actualisation provision contrat déficitaire SNCM 2010 V Def_PAO-CAF-RESOP_E2_13_B14_E2_2210_Bridge_Zone_Sud" xfId="1559"/>
    <cellStyle name="s_B_S_Ratios _B_Actualisation provision contrat déficitaire SNCM 2010 V Def_PAO-CAF-RESOP_E2_13_Bridge_Zone_Sud" xfId="1560"/>
    <cellStyle name="s_B_S_Ratios _B_Actualisation provision contrat déficitaire SNCM 2010 V Def_PAO-CAF-RESOP_E2_2013_03_10_19H" xfId="1561"/>
    <cellStyle name="s_B_S_Ratios _B_Actualisation provision contrat déficitaire SNCM 2010 V Def_PAO-CAF-RESOP_E2_2013_03_10_19H_Bridge_Zone_Sud" xfId="1562"/>
    <cellStyle name="s_B_S_Ratios _B_Actualisation provision contrat déficitaire SNCM 2010 V Def_PPA" xfId="1563"/>
    <cellStyle name="s_B_S_Ratios _B_Actualisation provision contrat déficitaire SNCM 2010 V Def_RESOP bef CICE&amp;PPA&amp;RepartHO" xfId="1564"/>
    <cellStyle name="s_B_S_Ratios _B_Actualisation provision contrat déficitaire SNCM 2010 V Def_Synthèse_Présentation_conso_retraitée" xfId="1565"/>
    <cellStyle name="s_B_S_Ratios _B_Actualisation provision contrat déficitaire SNCM 2011 V3 30 05 2011" xfId="557"/>
    <cellStyle name="s_B_S_Ratios _B_Actualisation provision contrat déficitaire SNCM 2011 V3 30 05 2011_B14_E2_2210" xfId="1566"/>
    <cellStyle name="s_B_S_Ratios _B_Actualisation provision contrat déficitaire SNCM 2011 V3 30 05 2011_B14_E2_2210_Bridge_Zone_Sud" xfId="1567"/>
    <cellStyle name="s_B_S_Ratios _B_Actualisation provision contrat déficitaire SNCM 2011 V3 30 05 2011_Bridge_Zone_Sud" xfId="1568"/>
    <cellStyle name="s_B_S_Ratios _B_Actualisation provision contrat déficitaire SNCM 2011 V3 30 05 2011_CAPEM BY COUNTRY" xfId="1569"/>
    <cellStyle name="s_B_S_Ratios _B_Actualisation provision contrat déficitaire SNCM 2011 V3 30 05 2011_Context" xfId="1570"/>
    <cellStyle name="s_B_S_Ratios _B_Actualisation provision contrat déficitaire SNCM 2011 V3 30 05 2011_focus par entités CAFOPE2AMF" xfId="1571"/>
    <cellStyle name="s_B_S_Ratios _B_Actualisation provision contrat déficitaire SNCM 2011 V3 30 05 2011_focus par entités CAFOPE2AMF_Bridge_Zone_Sud" xfId="1572"/>
    <cellStyle name="s_B_S_Ratios _B_Actualisation provision contrat déficitaire SNCM 2011 V3 30 05 2011_Maquette PLT" xfId="1573"/>
    <cellStyle name="s_B_S_Ratios _B_Actualisation provision contrat déficitaire SNCM 2011 V3 30 05 2011_Output" xfId="1574"/>
    <cellStyle name="s_B_S_Ratios _B_Actualisation provision contrat déficitaire SNCM 2011 V3 30 05 2011_PAO-CAF-RESOP_04_13_pro_format_variante T1" xfId="1575"/>
    <cellStyle name="s_B_S_Ratios _B_Actualisation provision contrat déficitaire SNCM 2011 V3 30 05 2011_PAO-CAF-RESOP_04_13_pro_format_variante T1_B14_E2_2210" xfId="1576"/>
    <cellStyle name="s_B_S_Ratios _B_Actualisation provision contrat déficitaire SNCM 2011 V3 30 05 2011_PAO-CAF-RESOP_04_13_pro_format_variante T1_B14_E2_2210_Bridge_Zone_Sud" xfId="1577"/>
    <cellStyle name="s_B_S_Ratios _B_Actualisation provision contrat déficitaire SNCM 2011 V3 30 05 2011_PAO-CAF-RESOP_04_13_pro_format_variante T1_Bridge_Zone_Sud" xfId="1578"/>
    <cellStyle name="s_B_S_Ratios _B_Actualisation provision contrat déficitaire SNCM 2011 V3 30 05 2011_PAO-CAF-RESOP_06_13" xfId="1579"/>
    <cellStyle name="s_B_S_Ratios _B_Actualisation provision contrat déficitaire SNCM 2011 V3 30 05 2011_PAO-CAF-RESOP_06_13_B14_E2_2210" xfId="1580"/>
    <cellStyle name="s_B_S_Ratios _B_Actualisation provision contrat déficitaire SNCM 2011 V3 30 05 2011_PAO-CAF-RESOP_06_13_B14_E2_2210_Bridge_Zone_Sud" xfId="1581"/>
    <cellStyle name="s_B_S_Ratios _B_Actualisation provision contrat déficitaire SNCM 2011 V3 30 05 2011_PAO-CAF-RESOP_06_13_Bridge_Zone_Sud" xfId="1582"/>
    <cellStyle name="s_B_S_Ratios _B_Actualisation provision contrat déficitaire SNCM 2011 V3 30 05 2011_PAO-CAF-RESOP_08_13" xfId="1583"/>
    <cellStyle name="s_B_S_Ratios _B_Actualisation provision contrat déficitaire SNCM 2011 V3 30 05 2011_PAO-CAF-RESOP_08_13_B14_E2_2210" xfId="1584"/>
    <cellStyle name="s_B_S_Ratios _B_Actualisation provision contrat déficitaire SNCM 2011 V3 30 05 2011_PAO-CAF-RESOP_08_13_B14_E2_2210_Bridge_Zone_Sud" xfId="1585"/>
    <cellStyle name="s_B_S_Ratios _B_Actualisation provision contrat déficitaire SNCM 2011 V3 30 05 2011_PAO-CAF-RESOP_08_13_Bridge_Zone_Sud" xfId="1586"/>
    <cellStyle name="s_B_S_Ratios _B_Actualisation provision contrat déficitaire SNCM 2011 V3 30 05 2011_PAO-CAF-RESOP_09_13" xfId="1587"/>
    <cellStyle name="s_B_S_Ratios _B_Actualisation provision contrat déficitaire SNCM 2011 V3 30 05 2011_PAO-CAF-RESOP_09_13_Bridge_Zone_Sud" xfId="1588"/>
    <cellStyle name="s_B_S_Ratios _B_Actualisation provision contrat déficitaire SNCM 2011 V3 30 05 2011_PAO-CAF-RESOP_09_2013_Zone_IDF (version 2)" xfId="1589"/>
    <cellStyle name="s_B_S_Ratios _B_Actualisation provision contrat déficitaire SNCM 2011 V3 30 05 2011_PAO-CAF-RESOP_10_12" xfId="1590"/>
    <cellStyle name="s_B_S_Ratios _B_Actualisation provision contrat déficitaire SNCM 2011 V3 30 05 2011_PAO-CAF-RESOP_10_12_Bridge_Zone_Sud" xfId="1591"/>
    <cellStyle name="s_B_S_Ratios _B_Actualisation provision contrat déficitaire SNCM 2011 V3 30 05 2011_PAO-CAF-RESOP_10_12_focus par entités CAFOP" xfId="1592"/>
    <cellStyle name="s_B_S_Ratios _B_Actualisation provision contrat déficitaire SNCM 2011 V3 30 05 2011_PAO-CAF-RESOP_10_12_focus par entités CAFOP_Bridge_Zone_Sud" xfId="1593"/>
    <cellStyle name="s_B_S_Ratios _B_Actualisation provision contrat déficitaire SNCM 2011 V3 30 05 2011_PAO-CAF-RESOP_11_13" xfId="1594"/>
    <cellStyle name="s_B_S_Ratios _B_Actualisation provision contrat déficitaire SNCM 2011 V3 30 05 2011_PAO-CAF-RESOP_B13" xfId="1595"/>
    <cellStyle name="s_B_S_Ratios _B_Actualisation provision contrat déficitaire SNCM 2011 V3 30 05 2011_PAO-CAF-RESOP_B13_Bridge_Zone_Sud" xfId="1596"/>
    <cellStyle name="s_B_S_Ratios _B_Actualisation provision contrat déficitaire SNCM 2011 V3 30 05 2011_PAO-CAF-RESOP_B13_focus par entités CAFOP" xfId="1597"/>
    <cellStyle name="s_B_S_Ratios _B_Actualisation provision contrat déficitaire SNCM 2011 V3 30 05 2011_PAO-CAF-RESOP_B13_focus par entités CAFOP_Bridge_Zone_Sud" xfId="1598"/>
    <cellStyle name="s_B_S_Ratios _B_Actualisation provision contrat déficitaire SNCM 2011 V3 30 05 2011_PAO-CAF-RESOP_B2014" xfId="1599"/>
    <cellStyle name="s_B_S_Ratios _B_Actualisation provision contrat déficitaire SNCM 2011 V3 30 05 2011_PAO-CAF-RESOP_B2014_Bridge_Zone_Sud" xfId="1600"/>
    <cellStyle name="s_B_S_Ratios _B_Actualisation provision contrat déficitaire SNCM 2011 V3 30 05 2011_PAO-CAF-RESOP_B2014_v2" xfId="1601"/>
    <cellStyle name="s_B_S_Ratios _B_Actualisation provision contrat déficitaire SNCM 2011 V3 30 05 2011_PAO-CAF-RESOP_E2_13" xfId="1602"/>
    <cellStyle name="s_B_S_Ratios _B_Actualisation provision contrat déficitaire SNCM 2011 V3 30 05 2011_PAO-CAF-RESOP_E2_13_B14_E2_2210" xfId="1603"/>
    <cellStyle name="s_B_S_Ratios _B_Actualisation provision contrat déficitaire SNCM 2011 V3 30 05 2011_PAO-CAF-RESOP_E2_13_B14_E2_2210_Bridge_Zone_Sud" xfId="1604"/>
    <cellStyle name="s_B_S_Ratios _B_Actualisation provision contrat déficitaire SNCM 2011 V3 30 05 2011_PAO-CAF-RESOP_E2_13_Bridge_Zone_Sud" xfId="1605"/>
    <cellStyle name="s_B_S_Ratios _B_Actualisation provision contrat déficitaire SNCM 2011 V3 30 05 2011_PAO-CAF-RESOP_E2_2013_03_10_19H" xfId="1606"/>
    <cellStyle name="s_B_S_Ratios _B_Actualisation provision contrat déficitaire SNCM 2011 V3 30 05 2011_PAO-CAF-RESOP_E2_2013_03_10_19H_Bridge_Zone_Sud" xfId="1607"/>
    <cellStyle name="s_B_S_Ratios _B_Actualisation provision contrat déficitaire SNCM 2011 V3 30 05 2011_PPA" xfId="1608"/>
    <cellStyle name="s_B_S_Ratios _B_Actualisation provision contrat déficitaire SNCM 2011 V3 30 05 2011_RESOP bef CICE&amp;PPA&amp;RepartHO" xfId="1609"/>
    <cellStyle name="s_B_S_Ratios _B_Actualisation provision contrat déficitaire SNCM 2011 V3 30 05 2011_Synthèse_Présentation_conso_retraitée" xfId="1610"/>
    <cellStyle name="s_B_S_Ratios _B_B14_E2_2210" xfId="1611"/>
    <cellStyle name="s_B_S_Ratios _B_B14_E2_2210_Bridge_Zone_Sud" xfId="1612"/>
    <cellStyle name="s_B_S_Ratios _B_BFR_TD_2014.02" xfId="1613"/>
    <cellStyle name="s_B_S_Ratios _B_Bridge_Zone_Nord" xfId="1614"/>
    <cellStyle name="s_B_S_Ratios _B_CAPEM BY COUNTRY" xfId="1615"/>
    <cellStyle name="s_B_S_Ratios _B_Context" xfId="1616"/>
    <cellStyle name="s_B_S_Ratios _B_LI819L_B13" xfId="558"/>
    <cellStyle name="s_B_S_Ratios _B_LI819L_B13_CAPEM BY COUNTRY" xfId="1617"/>
    <cellStyle name="s_B_S_Ratios _B_LI819L_B13_Context" xfId="1618"/>
    <cellStyle name="s_B_S_Ratios _B_LI819L_B13_Maquette PLT" xfId="1619"/>
    <cellStyle name="s_B_S_Ratios _B_LI819L_B13_Output" xfId="1620"/>
    <cellStyle name="s_B_S_Ratios _B_LI819L_B13_PPA" xfId="1621"/>
    <cellStyle name="s_B_S_Ratios _B_LI819L_B13_RESOP bef CICE&amp;PPA&amp;RepartHO" xfId="1622"/>
    <cellStyle name="s_B_S_Ratios _B_Maquette PLT" xfId="1623"/>
    <cellStyle name="s_B_S_Ratios _B_Output" xfId="1624"/>
    <cellStyle name="s_B_S_Ratios _B_PAO-CAF-RESOP_14_01_13 à 20h" xfId="559"/>
    <cellStyle name="s_B_S_Ratios _B_PAO-CAF-RESOP_14_01_13 à 20h_CAPEM BY COUNTRY" xfId="1625"/>
    <cellStyle name="s_B_S_Ratios _B_PAO-CAF-RESOP_14_01_13 à 20h_Context" xfId="1626"/>
    <cellStyle name="s_B_S_Ratios _B_PAO-CAF-RESOP_14_01_13 à 20h_Maquette PLT" xfId="1627"/>
    <cellStyle name="s_B_S_Ratios _B_PAO-CAF-RESOP_14_01_13 à 20h_Output" xfId="1628"/>
    <cellStyle name="s_B_S_Ratios _B_PAO-CAF-RESOP_14_01_13 à 20h_PPA" xfId="1629"/>
    <cellStyle name="s_B_S_Ratios _B_PAO-CAF-RESOP_14_01_13 à 20h_RESOP bef CICE&amp;PPA&amp;RepartHO" xfId="1630"/>
    <cellStyle name="s_B_S_Ratios _B_PAO-CAF-RESOP_2014.02" xfId="1631"/>
    <cellStyle name="s_B_S_Ratios _B_PAO-CAF-RESOP_2014.02_Bridge_Zone_Sud" xfId="1632"/>
    <cellStyle name="s_B_S_Ratios _B_PPA" xfId="1633"/>
    <cellStyle name="s_B_S_Ratios _B_RESOP bef CICE&amp;PPA&amp;RepartHO" xfId="1634"/>
    <cellStyle name="s_B_S_Ratios_T" xfId="560"/>
    <cellStyle name="s_B_S_Ratios_T_Actualisation provision contrat déficitaire SNCM 2010 V Def" xfId="561"/>
    <cellStyle name="s_B_S_Ratios_T_Actualisation provision contrat déficitaire SNCM 2010 V Def_B14_E2_2210" xfId="1635"/>
    <cellStyle name="s_B_S_Ratios_T_Actualisation provision contrat déficitaire SNCM 2010 V Def_B14_E2_2210_Bridge_Zone_Sud" xfId="1636"/>
    <cellStyle name="s_B_S_Ratios_T_Actualisation provision contrat déficitaire SNCM 2010 V Def_Bridge_Zone_Sud" xfId="1637"/>
    <cellStyle name="s_B_S_Ratios_T_Actualisation provision contrat déficitaire SNCM 2010 V Def_CAPEM BY COUNTRY" xfId="1638"/>
    <cellStyle name="s_B_S_Ratios_T_Actualisation provision contrat déficitaire SNCM 2010 V Def_Context" xfId="1639"/>
    <cellStyle name="s_B_S_Ratios_T_Actualisation provision contrat déficitaire SNCM 2010 V Def_focus par entités CAFOPE2AMF" xfId="1640"/>
    <cellStyle name="s_B_S_Ratios_T_Actualisation provision contrat déficitaire SNCM 2010 V Def_focus par entités CAFOPE2AMF_Bridge_Zone_Sud" xfId="1641"/>
    <cellStyle name="s_B_S_Ratios_T_Actualisation provision contrat déficitaire SNCM 2010 V Def_Maquette PLT" xfId="1642"/>
    <cellStyle name="s_B_S_Ratios_T_Actualisation provision contrat déficitaire SNCM 2010 V Def_Output" xfId="1643"/>
    <cellStyle name="s_B_S_Ratios_T_Actualisation provision contrat déficitaire SNCM 2010 V Def_PAO-CAF-RESOP_04_13_pro_format_variante T1" xfId="1644"/>
    <cellStyle name="s_B_S_Ratios_T_Actualisation provision contrat déficitaire SNCM 2010 V Def_PAO-CAF-RESOP_04_13_pro_format_variante T1_B14_E2_2210" xfId="1645"/>
    <cellStyle name="s_B_S_Ratios_T_Actualisation provision contrat déficitaire SNCM 2010 V Def_PAO-CAF-RESOP_04_13_pro_format_variante T1_B14_E2_2210_Bridge_Zone_Sud" xfId="1646"/>
    <cellStyle name="s_B_S_Ratios_T_Actualisation provision contrat déficitaire SNCM 2010 V Def_PAO-CAF-RESOP_04_13_pro_format_variante T1_Bridge_Zone_Sud" xfId="1647"/>
    <cellStyle name="s_B_S_Ratios_T_Actualisation provision contrat déficitaire SNCM 2010 V Def_PAO-CAF-RESOP_06_13" xfId="1648"/>
    <cellStyle name="s_B_S_Ratios_T_Actualisation provision contrat déficitaire SNCM 2010 V Def_PAO-CAF-RESOP_06_13_B14_E2_2210" xfId="1649"/>
    <cellStyle name="s_B_S_Ratios_T_Actualisation provision contrat déficitaire SNCM 2010 V Def_PAO-CAF-RESOP_06_13_B14_E2_2210_Bridge_Zone_Sud" xfId="1650"/>
    <cellStyle name="s_B_S_Ratios_T_Actualisation provision contrat déficitaire SNCM 2010 V Def_PAO-CAF-RESOP_06_13_Bridge_Zone_Sud" xfId="1651"/>
    <cellStyle name="s_B_S_Ratios_T_Actualisation provision contrat déficitaire SNCM 2010 V Def_PAO-CAF-RESOP_08_13" xfId="1652"/>
    <cellStyle name="s_B_S_Ratios_T_Actualisation provision contrat déficitaire SNCM 2010 V Def_PAO-CAF-RESOP_08_13_B14_E2_2210" xfId="1653"/>
    <cellStyle name="s_B_S_Ratios_T_Actualisation provision contrat déficitaire SNCM 2010 V Def_PAO-CAF-RESOP_08_13_B14_E2_2210_Bridge_Zone_Sud" xfId="1654"/>
    <cellStyle name="s_B_S_Ratios_T_Actualisation provision contrat déficitaire SNCM 2010 V Def_PAO-CAF-RESOP_08_13_Bridge_Zone_Sud" xfId="1655"/>
    <cellStyle name="s_B_S_Ratios_T_Actualisation provision contrat déficitaire SNCM 2010 V Def_PAO-CAF-RESOP_09_13" xfId="1656"/>
    <cellStyle name="s_B_S_Ratios_T_Actualisation provision contrat déficitaire SNCM 2010 V Def_PAO-CAF-RESOP_09_13_Bridge_Zone_Sud" xfId="1657"/>
    <cellStyle name="s_B_S_Ratios_T_Actualisation provision contrat déficitaire SNCM 2010 V Def_PAO-CAF-RESOP_09_2013_Zone_IDF (version 2)" xfId="1658"/>
    <cellStyle name="s_B_S_Ratios_T_Actualisation provision contrat déficitaire SNCM 2010 V Def_PAO-CAF-RESOP_10_12" xfId="1659"/>
    <cellStyle name="s_B_S_Ratios_T_Actualisation provision contrat déficitaire SNCM 2010 V Def_PAO-CAF-RESOP_10_12_Bridge_Zone_Sud" xfId="1660"/>
    <cellStyle name="s_B_S_Ratios_T_Actualisation provision contrat déficitaire SNCM 2010 V Def_PAO-CAF-RESOP_10_12_focus par entités CAFOP" xfId="1661"/>
    <cellStyle name="s_B_S_Ratios_T_Actualisation provision contrat déficitaire SNCM 2010 V Def_PAO-CAF-RESOP_10_12_focus par entités CAFOP_Bridge_Zone_Sud" xfId="1662"/>
    <cellStyle name="s_B_S_Ratios_T_Actualisation provision contrat déficitaire SNCM 2010 V Def_PAO-CAF-RESOP_11_13" xfId="1663"/>
    <cellStyle name="s_B_S_Ratios_T_Actualisation provision contrat déficitaire SNCM 2010 V Def_PAO-CAF-RESOP_B13" xfId="1664"/>
    <cellStyle name="s_B_S_Ratios_T_Actualisation provision contrat déficitaire SNCM 2010 V Def_PAO-CAF-RESOP_B13_Bridge_Zone_Sud" xfId="1665"/>
    <cellStyle name="s_B_S_Ratios_T_Actualisation provision contrat déficitaire SNCM 2010 V Def_PAO-CAF-RESOP_B13_focus par entités CAFOP" xfId="1666"/>
    <cellStyle name="s_B_S_Ratios_T_Actualisation provision contrat déficitaire SNCM 2010 V Def_PAO-CAF-RESOP_B13_focus par entités CAFOP_Bridge_Zone_Sud" xfId="1667"/>
    <cellStyle name="s_B_S_Ratios_T_Actualisation provision contrat déficitaire SNCM 2010 V Def_PAO-CAF-RESOP_B2014" xfId="1668"/>
    <cellStyle name="s_B_S_Ratios_T_Actualisation provision contrat déficitaire SNCM 2010 V Def_PAO-CAF-RESOP_B2014_Bridge_Zone_Sud" xfId="1669"/>
    <cellStyle name="s_B_S_Ratios_T_Actualisation provision contrat déficitaire SNCM 2010 V Def_PAO-CAF-RESOP_B2014_v2" xfId="1670"/>
    <cellStyle name="s_B_S_Ratios_T_Actualisation provision contrat déficitaire SNCM 2010 V Def_PAO-CAF-RESOP_E2_13" xfId="1671"/>
    <cellStyle name="s_B_S_Ratios_T_Actualisation provision contrat déficitaire SNCM 2010 V Def_PAO-CAF-RESOP_E2_13_B14_E2_2210" xfId="1672"/>
    <cellStyle name="s_B_S_Ratios_T_Actualisation provision contrat déficitaire SNCM 2010 V Def_PAO-CAF-RESOP_E2_13_B14_E2_2210_Bridge_Zone_Sud" xfId="1673"/>
    <cellStyle name="s_B_S_Ratios_T_Actualisation provision contrat déficitaire SNCM 2010 V Def_PAO-CAF-RESOP_E2_13_Bridge_Zone_Sud" xfId="1674"/>
    <cellStyle name="s_B_S_Ratios_T_Actualisation provision contrat déficitaire SNCM 2010 V Def_PAO-CAF-RESOP_E2_2013_03_10_19H" xfId="1675"/>
    <cellStyle name="s_B_S_Ratios_T_Actualisation provision contrat déficitaire SNCM 2010 V Def_PAO-CAF-RESOP_E2_2013_03_10_19H_Bridge_Zone_Sud" xfId="1676"/>
    <cellStyle name="s_B_S_Ratios_T_Actualisation provision contrat déficitaire SNCM 2010 V Def_PPA" xfId="1677"/>
    <cellStyle name="s_B_S_Ratios_T_Actualisation provision contrat déficitaire SNCM 2010 V Def_RESOP bef CICE&amp;PPA&amp;RepartHO" xfId="1678"/>
    <cellStyle name="s_B_S_Ratios_T_Actualisation provision contrat déficitaire SNCM 2010 V Def_Synthèse_Présentation_conso_retraitée" xfId="1679"/>
    <cellStyle name="s_B_S_Ratios_T_Actualisation provision contrat déficitaire SNCM 2011 V3 30 05 2011" xfId="562"/>
    <cellStyle name="s_B_S_Ratios_T_Actualisation provision contrat déficitaire SNCM 2011 V3 30 05 2011_B14_E2_2210" xfId="1680"/>
    <cellStyle name="s_B_S_Ratios_T_Actualisation provision contrat déficitaire SNCM 2011 V3 30 05 2011_B14_E2_2210_Bridge_Zone_Sud" xfId="1681"/>
    <cellStyle name="s_B_S_Ratios_T_Actualisation provision contrat déficitaire SNCM 2011 V3 30 05 2011_Bridge_Zone_Sud" xfId="1682"/>
    <cellStyle name="s_B_S_Ratios_T_Actualisation provision contrat déficitaire SNCM 2011 V3 30 05 2011_CAPEM BY COUNTRY" xfId="1683"/>
    <cellStyle name="s_B_S_Ratios_T_Actualisation provision contrat déficitaire SNCM 2011 V3 30 05 2011_Context" xfId="1684"/>
    <cellStyle name="s_B_S_Ratios_T_Actualisation provision contrat déficitaire SNCM 2011 V3 30 05 2011_focus par entités CAFOPE2AMF" xfId="1685"/>
    <cellStyle name="s_B_S_Ratios_T_Actualisation provision contrat déficitaire SNCM 2011 V3 30 05 2011_focus par entités CAFOPE2AMF_Bridge_Zone_Sud" xfId="1686"/>
    <cellStyle name="s_B_S_Ratios_T_Actualisation provision contrat déficitaire SNCM 2011 V3 30 05 2011_Maquette PLT" xfId="1687"/>
    <cellStyle name="s_B_S_Ratios_T_Actualisation provision contrat déficitaire SNCM 2011 V3 30 05 2011_Output" xfId="1688"/>
    <cellStyle name="s_B_S_Ratios_T_Actualisation provision contrat déficitaire SNCM 2011 V3 30 05 2011_PAO-CAF-RESOP_04_13_pro_format_variante T1" xfId="1689"/>
    <cellStyle name="s_B_S_Ratios_T_Actualisation provision contrat déficitaire SNCM 2011 V3 30 05 2011_PAO-CAF-RESOP_04_13_pro_format_variante T1_B14_E2_2210" xfId="1690"/>
    <cellStyle name="s_B_S_Ratios_T_Actualisation provision contrat déficitaire SNCM 2011 V3 30 05 2011_PAO-CAF-RESOP_04_13_pro_format_variante T1_B14_E2_2210_Bridge_Zone_Sud" xfId="1691"/>
    <cellStyle name="s_B_S_Ratios_T_Actualisation provision contrat déficitaire SNCM 2011 V3 30 05 2011_PAO-CAF-RESOP_04_13_pro_format_variante T1_Bridge_Zone_Sud" xfId="1692"/>
    <cellStyle name="s_B_S_Ratios_T_Actualisation provision contrat déficitaire SNCM 2011 V3 30 05 2011_PAO-CAF-RESOP_06_13" xfId="1693"/>
    <cellStyle name="s_B_S_Ratios_T_Actualisation provision contrat déficitaire SNCM 2011 V3 30 05 2011_PAO-CAF-RESOP_06_13_B14_E2_2210" xfId="1694"/>
    <cellStyle name="s_B_S_Ratios_T_Actualisation provision contrat déficitaire SNCM 2011 V3 30 05 2011_PAO-CAF-RESOP_06_13_B14_E2_2210_Bridge_Zone_Sud" xfId="1695"/>
    <cellStyle name="s_B_S_Ratios_T_Actualisation provision contrat déficitaire SNCM 2011 V3 30 05 2011_PAO-CAF-RESOP_06_13_Bridge_Zone_Sud" xfId="1696"/>
    <cellStyle name="s_B_S_Ratios_T_Actualisation provision contrat déficitaire SNCM 2011 V3 30 05 2011_PAO-CAF-RESOP_08_13" xfId="1697"/>
    <cellStyle name="s_B_S_Ratios_T_Actualisation provision contrat déficitaire SNCM 2011 V3 30 05 2011_PAO-CAF-RESOP_08_13_B14_E2_2210" xfId="1698"/>
    <cellStyle name="s_B_S_Ratios_T_Actualisation provision contrat déficitaire SNCM 2011 V3 30 05 2011_PAO-CAF-RESOP_08_13_B14_E2_2210_Bridge_Zone_Sud" xfId="1699"/>
    <cellStyle name="s_B_S_Ratios_T_Actualisation provision contrat déficitaire SNCM 2011 V3 30 05 2011_PAO-CAF-RESOP_08_13_Bridge_Zone_Sud" xfId="1700"/>
    <cellStyle name="s_B_S_Ratios_T_Actualisation provision contrat déficitaire SNCM 2011 V3 30 05 2011_PAO-CAF-RESOP_09_13" xfId="1701"/>
    <cellStyle name="s_B_S_Ratios_T_Actualisation provision contrat déficitaire SNCM 2011 V3 30 05 2011_PAO-CAF-RESOP_09_13_Bridge_Zone_Sud" xfId="1702"/>
    <cellStyle name="s_B_S_Ratios_T_Actualisation provision contrat déficitaire SNCM 2011 V3 30 05 2011_PAO-CAF-RESOP_09_2013_Zone_IDF (version 2)" xfId="1703"/>
    <cellStyle name="s_B_S_Ratios_T_Actualisation provision contrat déficitaire SNCM 2011 V3 30 05 2011_PAO-CAF-RESOP_10_12" xfId="1704"/>
    <cellStyle name="s_B_S_Ratios_T_Actualisation provision contrat déficitaire SNCM 2011 V3 30 05 2011_PAO-CAF-RESOP_10_12_Bridge_Zone_Sud" xfId="1705"/>
    <cellStyle name="s_B_S_Ratios_T_Actualisation provision contrat déficitaire SNCM 2011 V3 30 05 2011_PAO-CAF-RESOP_10_12_focus par entités CAFOP" xfId="1706"/>
    <cellStyle name="s_B_S_Ratios_T_Actualisation provision contrat déficitaire SNCM 2011 V3 30 05 2011_PAO-CAF-RESOP_10_12_focus par entités CAFOP_Bridge_Zone_Sud" xfId="1707"/>
    <cellStyle name="s_B_S_Ratios_T_Actualisation provision contrat déficitaire SNCM 2011 V3 30 05 2011_PAO-CAF-RESOP_11_13" xfId="1708"/>
    <cellStyle name="s_B_S_Ratios_T_Actualisation provision contrat déficitaire SNCM 2011 V3 30 05 2011_PAO-CAF-RESOP_B13" xfId="1709"/>
    <cellStyle name="s_B_S_Ratios_T_Actualisation provision contrat déficitaire SNCM 2011 V3 30 05 2011_PAO-CAF-RESOP_B13_Bridge_Zone_Sud" xfId="1710"/>
    <cellStyle name="s_B_S_Ratios_T_Actualisation provision contrat déficitaire SNCM 2011 V3 30 05 2011_PAO-CAF-RESOP_B13_focus par entités CAFOP" xfId="1711"/>
    <cellStyle name="s_B_S_Ratios_T_Actualisation provision contrat déficitaire SNCM 2011 V3 30 05 2011_PAO-CAF-RESOP_B13_focus par entités CAFOP_Bridge_Zone_Sud" xfId="1712"/>
    <cellStyle name="s_B_S_Ratios_T_Actualisation provision contrat déficitaire SNCM 2011 V3 30 05 2011_PAO-CAF-RESOP_B2014" xfId="1713"/>
    <cellStyle name="s_B_S_Ratios_T_Actualisation provision contrat déficitaire SNCM 2011 V3 30 05 2011_PAO-CAF-RESOP_B2014_Bridge_Zone_Sud" xfId="1714"/>
    <cellStyle name="s_B_S_Ratios_T_Actualisation provision contrat déficitaire SNCM 2011 V3 30 05 2011_PAO-CAF-RESOP_B2014_v2" xfId="1715"/>
    <cellStyle name="s_B_S_Ratios_T_Actualisation provision contrat déficitaire SNCM 2011 V3 30 05 2011_PAO-CAF-RESOP_E2_13" xfId="1716"/>
    <cellStyle name="s_B_S_Ratios_T_Actualisation provision contrat déficitaire SNCM 2011 V3 30 05 2011_PAO-CAF-RESOP_E2_13_B14_E2_2210" xfId="1717"/>
    <cellStyle name="s_B_S_Ratios_T_Actualisation provision contrat déficitaire SNCM 2011 V3 30 05 2011_PAO-CAF-RESOP_E2_13_B14_E2_2210_Bridge_Zone_Sud" xfId="1718"/>
    <cellStyle name="s_B_S_Ratios_T_Actualisation provision contrat déficitaire SNCM 2011 V3 30 05 2011_PAO-CAF-RESOP_E2_13_Bridge_Zone_Sud" xfId="1719"/>
    <cellStyle name="s_B_S_Ratios_T_Actualisation provision contrat déficitaire SNCM 2011 V3 30 05 2011_PAO-CAF-RESOP_E2_2013_03_10_19H" xfId="1720"/>
    <cellStyle name="s_B_S_Ratios_T_Actualisation provision contrat déficitaire SNCM 2011 V3 30 05 2011_PAO-CAF-RESOP_E2_2013_03_10_19H_Bridge_Zone_Sud" xfId="1721"/>
    <cellStyle name="s_B_S_Ratios_T_Actualisation provision contrat déficitaire SNCM 2011 V3 30 05 2011_PPA" xfId="1722"/>
    <cellStyle name="s_B_S_Ratios_T_Actualisation provision contrat déficitaire SNCM 2011 V3 30 05 2011_RESOP bef CICE&amp;PPA&amp;RepartHO" xfId="1723"/>
    <cellStyle name="s_B_S_Ratios_T_Actualisation provision contrat déficitaire SNCM 2011 V3 30 05 2011_Synthèse_Présentation_conso_retraitée" xfId="1724"/>
    <cellStyle name="s_B_S_Ratios_T_B14_E2_2210" xfId="1725"/>
    <cellStyle name="s_B_S_Ratios_T_B14_E2_2210_Bridge_Zone_Sud" xfId="1726"/>
    <cellStyle name="s_B_S_Ratios_T_BFR_TD_2014.02" xfId="1727"/>
    <cellStyle name="s_B_S_Ratios_T_Bridge_Zone_Nord" xfId="1728"/>
    <cellStyle name="s_B_S_Ratios_T_CAPEM BY COUNTRY" xfId="1729"/>
    <cellStyle name="s_B_S_Ratios_T_Context" xfId="1730"/>
    <cellStyle name="s_B_S_Ratios_T_LI819L_B13" xfId="563"/>
    <cellStyle name="s_B_S_Ratios_T_LI819L_B13_CAPEM BY COUNTRY" xfId="1731"/>
    <cellStyle name="s_B_S_Ratios_T_LI819L_B13_Context" xfId="1732"/>
    <cellStyle name="s_B_S_Ratios_T_LI819L_B13_Maquette PLT" xfId="1733"/>
    <cellStyle name="s_B_S_Ratios_T_LI819L_B13_Output" xfId="1734"/>
    <cellStyle name="s_B_S_Ratios_T_LI819L_B13_PPA" xfId="1735"/>
    <cellStyle name="s_B_S_Ratios_T_LI819L_B13_RESOP bef CICE&amp;PPA&amp;RepartHO" xfId="1736"/>
    <cellStyle name="s_B_S_Ratios_T_Maquette PLT" xfId="1737"/>
    <cellStyle name="s_B_S_Ratios_T_Output" xfId="1738"/>
    <cellStyle name="s_B_S_Ratios_T_PAO-CAF-RESOP_14_01_13 à 20h" xfId="564"/>
    <cellStyle name="s_B_S_Ratios_T_PAO-CAF-RESOP_14_01_13 à 20h_CAPEM BY COUNTRY" xfId="1739"/>
    <cellStyle name="s_B_S_Ratios_T_PAO-CAF-RESOP_14_01_13 à 20h_Context" xfId="1740"/>
    <cellStyle name="s_B_S_Ratios_T_PAO-CAF-RESOP_14_01_13 à 20h_Maquette PLT" xfId="1741"/>
    <cellStyle name="s_B_S_Ratios_T_PAO-CAF-RESOP_14_01_13 à 20h_Output" xfId="1742"/>
    <cellStyle name="s_B_S_Ratios_T_PAO-CAF-RESOP_14_01_13 à 20h_PPA" xfId="1743"/>
    <cellStyle name="s_B_S_Ratios_T_PAO-CAF-RESOP_14_01_13 à 20h_RESOP bef CICE&amp;PPA&amp;RepartHO" xfId="1744"/>
    <cellStyle name="s_B_S_Ratios_T_PAO-CAF-RESOP_2014.02" xfId="1745"/>
    <cellStyle name="s_B_S_Ratios_T_PAO-CAF-RESOP_2014.02_Bridge_Zone_Sud" xfId="1746"/>
    <cellStyle name="s_B_S_Ratios_T_PPA" xfId="1747"/>
    <cellStyle name="s_B_S_Ratios_T_RESOP bef CICE&amp;PPA&amp;RepartHO" xfId="1748"/>
    <cellStyle name="s_B14_E2_2210" xfId="1749"/>
    <cellStyle name="s_B14_E2_2210_Bridge_Zone_Sud" xfId="1750"/>
    <cellStyle name="s_BFR_TD_2014.02" xfId="1751"/>
    <cellStyle name="s_Bridge_Zone_Nord" xfId="1752"/>
    <cellStyle name="s_CAPEM BY COUNTRY" xfId="1753"/>
    <cellStyle name="s_Context" xfId="1754"/>
    <cellStyle name="s_DCFLBO Code" xfId="565"/>
    <cellStyle name="s_DCFLBO Code_1" xfId="566"/>
    <cellStyle name="s_DCFLBO Code_1_Actualisation provision contrat déficitaire SNCM 2010 V Def" xfId="567"/>
    <cellStyle name="s_DCFLBO Code_1_Actualisation provision contrat déficitaire SNCM 2010 V Def_B14_E2_2210" xfId="1755"/>
    <cellStyle name="s_DCFLBO Code_1_Actualisation provision contrat déficitaire SNCM 2010 V Def_B14_E2_2210_Bridge_Zone_Sud" xfId="1756"/>
    <cellStyle name="s_DCFLBO Code_1_Actualisation provision contrat déficitaire SNCM 2010 V Def_Bridge_Zone_Sud" xfId="1757"/>
    <cellStyle name="s_DCFLBO Code_1_Actualisation provision contrat déficitaire SNCM 2010 V Def_CAPEM BY COUNTRY" xfId="1758"/>
    <cellStyle name="s_DCFLBO Code_1_Actualisation provision contrat déficitaire SNCM 2010 V Def_Context" xfId="1759"/>
    <cellStyle name="s_DCFLBO Code_1_Actualisation provision contrat déficitaire SNCM 2010 V Def_focus par entités CAFOPE2AMF" xfId="1760"/>
    <cellStyle name="s_DCFLBO Code_1_Actualisation provision contrat déficitaire SNCM 2010 V Def_focus par entités CAFOPE2AMF_Bridge_Zone_Sud" xfId="1761"/>
    <cellStyle name="s_DCFLBO Code_1_Actualisation provision contrat déficitaire SNCM 2010 V Def_Maquette PLT" xfId="1762"/>
    <cellStyle name="s_DCFLBO Code_1_Actualisation provision contrat déficitaire SNCM 2010 V Def_Output" xfId="1763"/>
    <cellStyle name="s_DCFLBO Code_1_Actualisation provision contrat déficitaire SNCM 2010 V Def_PAO-CAF-RESOP_04_13_pro_format_variante T1" xfId="1764"/>
    <cellStyle name="s_DCFLBO Code_1_Actualisation provision contrat déficitaire SNCM 2010 V Def_PAO-CAF-RESOP_04_13_pro_format_variante T1_B14_E2_2210" xfId="1765"/>
    <cellStyle name="s_DCFLBO Code_1_Actualisation provision contrat déficitaire SNCM 2010 V Def_PAO-CAF-RESOP_04_13_pro_format_variante T1_B14_E2_2210_Bridge_Zone_Sud" xfId="1766"/>
    <cellStyle name="s_DCFLBO Code_1_Actualisation provision contrat déficitaire SNCM 2010 V Def_PAO-CAF-RESOP_04_13_pro_format_variante T1_Bridge_Zone_Sud" xfId="1767"/>
    <cellStyle name="s_DCFLBO Code_1_Actualisation provision contrat déficitaire SNCM 2010 V Def_PAO-CAF-RESOP_06_13" xfId="1768"/>
    <cellStyle name="s_DCFLBO Code_1_Actualisation provision contrat déficitaire SNCM 2010 V Def_PAO-CAF-RESOP_06_13_B14_E2_2210" xfId="1769"/>
    <cellStyle name="s_DCFLBO Code_1_Actualisation provision contrat déficitaire SNCM 2010 V Def_PAO-CAF-RESOP_06_13_B14_E2_2210_Bridge_Zone_Sud" xfId="1770"/>
    <cellStyle name="s_DCFLBO Code_1_Actualisation provision contrat déficitaire SNCM 2010 V Def_PAO-CAF-RESOP_06_13_Bridge_Zone_Sud" xfId="1771"/>
    <cellStyle name="s_DCFLBO Code_1_Actualisation provision contrat déficitaire SNCM 2010 V Def_PAO-CAF-RESOP_08_13" xfId="1772"/>
    <cellStyle name="s_DCFLBO Code_1_Actualisation provision contrat déficitaire SNCM 2010 V Def_PAO-CAF-RESOP_08_13_B14_E2_2210" xfId="1773"/>
    <cellStyle name="s_DCFLBO Code_1_Actualisation provision contrat déficitaire SNCM 2010 V Def_PAO-CAF-RESOP_08_13_B14_E2_2210_Bridge_Zone_Sud" xfId="1774"/>
    <cellStyle name="s_DCFLBO Code_1_Actualisation provision contrat déficitaire SNCM 2010 V Def_PAO-CAF-RESOP_08_13_Bridge_Zone_Sud" xfId="1775"/>
    <cellStyle name="s_DCFLBO Code_1_Actualisation provision contrat déficitaire SNCM 2010 V Def_PAO-CAF-RESOP_09_13" xfId="1776"/>
    <cellStyle name="s_DCFLBO Code_1_Actualisation provision contrat déficitaire SNCM 2010 V Def_PAO-CAF-RESOP_09_13_Bridge_Zone_Sud" xfId="1777"/>
    <cellStyle name="s_DCFLBO Code_1_Actualisation provision contrat déficitaire SNCM 2010 V Def_PAO-CAF-RESOP_09_2013_Zone_IDF (version 2)" xfId="1778"/>
    <cellStyle name="s_DCFLBO Code_1_Actualisation provision contrat déficitaire SNCM 2010 V Def_PAO-CAF-RESOP_10_12" xfId="1779"/>
    <cellStyle name="s_DCFLBO Code_1_Actualisation provision contrat déficitaire SNCM 2010 V Def_PAO-CAF-RESOP_10_12_Bridge_Zone_Sud" xfId="1780"/>
    <cellStyle name="s_DCFLBO Code_1_Actualisation provision contrat déficitaire SNCM 2010 V Def_PAO-CAF-RESOP_10_12_focus par entités CAFOP" xfId="1781"/>
    <cellStyle name="s_DCFLBO Code_1_Actualisation provision contrat déficitaire SNCM 2010 V Def_PAO-CAF-RESOP_10_12_focus par entités CAFOP_Bridge_Zone_Sud" xfId="1782"/>
    <cellStyle name="s_DCFLBO Code_1_Actualisation provision contrat déficitaire SNCM 2010 V Def_PAO-CAF-RESOP_11_13" xfId="1783"/>
    <cellStyle name="s_DCFLBO Code_1_Actualisation provision contrat déficitaire SNCM 2010 V Def_PAO-CAF-RESOP_B13" xfId="1784"/>
    <cellStyle name="s_DCFLBO Code_1_Actualisation provision contrat déficitaire SNCM 2010 V Def_PAO-CAF-RESOP_B13_Bridge_Zone_Sud" xfId="1785"/>
    <cellStyle name="s_DCFLBO Code_1_Actualisation provision contrat déficitaire SNCM 2010 V Def_PAO-CAF-RESOP_B13_focus par entités CAFOP" xfId="1786"/>
    <cellStyle name="s_DCFLBO Code_1_Actualisation provision contrat déficitaire SNCM 2010 V Def_PAO-CAF-RESOP_B13_focus par entités CAFOP_Bridge_Zone_Sud" xfId="1787"/>
    <cellStyle name="s_DCFLBO Code_1_Actualisation provision contrat déficitaire SNCM 2010 V Def_PAO-CAF-RESOP_B2014" xfId="1788"/>
    <cellStyle name="s_DCFLBO Code_1_Actualisation provision contrat déficitaire SNCM 2010 V Def_PAO-CAF-RESOP_B2014_Bridge_Zone_Sud" xfId="1789"/>
    <cellStyle name="s_DCFLBO Code_1_Actualisation provision contrat déficitaire SNCM 2010 V Def_PAO-CAF-RESOP_B2014_v2" xfId="1790"/>
    <cellStyle name="s_DCFLBO Code_1_Actualisation provision contrat déficitaire SNCM 2010 V Def_PAO-CAF-RESOP_E2_13" xfId="1791"/>
    <cellStyle name="s_DCFLBO Code_1_Actualisation provision contrat déficitaire SNCM 2010 V Def_PAO-CAF-RESOP_E2_13_B14_E2_2210" xfId="1792"/>
    <cellStyle name="s_DCFLBO Code_1_Actualisation provision contrat déficitaire SNCM 2010 V Def_PAO-CAF-RESOP_E2_13_B14_E2_2210_Bridge_Zone_Sud" xfId="1793"/>
    <cellStyle name="s_DCFLBO Code_1_Actualisation provision contrat déficitaire SNCM 2010 V Def_PAO-CAF-RESOP_E2_13_Bridge_Zone_Sud" xfId="1794"/>
    <cellStyle name="s_DCFLBO Code_1_Actualisation provision contrat déficitaire SNCM 2010 V Def_PAO-CAF-RESOP_E2_2013_03_10_19H" xfId="1795"/>
    <cellStyle name="s_DCFLBO Code_1_Actualisation provision contrat déficitaire SNCM 2010 V Def_PAO-CAF-RESOP_E2_2013_03_10_19H_Bridge_Zone_Sud" xfId="1796"/>
    <cellStyle name="s_DCFLBO Code_1_Actualisation provision contrat déficitaire SNCM 2010 V Def_PPA" xfId="1797"/>
    <cellStyle name="s_DCFLBO Code_1_Actualisation provision contrat déficitaire SNCM 2010 V Def_RESOP bef CICE&amp;PPA&amp;RepartHO" xfId="1798"/>
    <cellStyle name="s_DCFLBO Code_1_Actualisation provision contrat déficitaire SNCM 2010 V Def_Synthèse_Présentation_conso_retraitée" xfId="1799"/>
    <cellStyle name="s_DCFLBO Code_1_Actualisation provision contrat déficitaire SNCM 2011 V3 30 05 2011" xfId="568"/>
    <cellStyle name="s_DCFLBO Code_1_Actualisation provision contrat déficitaire SNCM 2011 V3 30 05 2011_B14_E2_2210" xfId="1800"/>
    <cellStyle name="s_DCFLBO Code_1_Actualisation provision contrat déficitaire SNCM 2011 V3 30 05 2011_B14_E2_2210_Bridge_Zone_Sud" xfId="1801"/>
    <cellStyle name="s_DCFLBO Code_1_Actualisation provision contrat déficitaire SNCM 2011 V3 30 05 2011_Bridge_Zone_Sud" xfId="1802"/>
    <cellStyle name="s_DCFLBO Code_1_Actualisation provision contrat déficitaire SNCM 2011 V3 30 05 2011_CAPEM BY COUNTRY" xfId="1803"/>
    <cellStyle name="s_DCFLBO Code_1_Actualisation provision contrat déficitaire SNCM 2011 V3 30 05 2011_Context" xfId="1804"/>
    <cellStyle name="s_DCFLBO Code_1_Actualisation provision contrat déficitaire SNCM 2011 V3 30 05 2011_focus par entités CAFOPE2AMF" xfId="1805"/>
    <cellStyle name="s_DCFLBO Code_1_Actualisation provision contrat déficitaire SNCM 2011 V3 30 05 2011_focus par entités CAFOPE2AMF_Bridge_Zone_Sud" xfId="1806"/>
    <cellStyle name="s_DCFLBO Code_1_Actualisation provision contrat déficitaire SNCM 2011 V3 30 05 2011_Maquette PLT" xfId="1807"/>
    <cellStyle name="s_DCFLBO Code_1_Actualisation provision contrat déficitaire SNCM 2011 V3 30 05 2011_Output" xfId="1808"/>
    <cellStyle name="s_DCFLBO Code_1_Actualisation provision contrat déficitaire SNCM 2011 V3 30 05 2011_PAO-CAF-RESOP_04_13_pro_format_variante T1" xfId="1809"/>
    <cellStyle name="s_DCFLBO Code_1_Actualisation provision contrat déficitaire SNCM 2011 V3 30 05 2011_PAO-CAF-RESOP_04_13_pro_format_variante T1_B14_E2_2210" xfId="1810"/>
    <cellStyle name="s_DCFLBO Code_1_Actualisation provision contrat déficitaire SNCM 2011 V3 30 05 2011_PAO-CAF-RESOP_04_13_pro_format_variante T1_B14_E2_2210_Bridge_Zone_Sud" xfId="1811"/>
    <cellStyle name="s_DCFLBO Code_1_Actualisation provision contrat déficitaire SNCM 2011 V3 30 05 2011_PAO-CAF-RESOP_04_13_pro_format_variante T1_Bridge_Zone_Sud" xfId="1812"/>
    <cellStyle name="s_DCFLBO Code_1_Actualisation provision contrat déficitaire SNCM 2011 V3 30 05 2011_PAO-CAF-RESOP_06_13" xfId="1813"/>
    <cellStyle name="s_DCFLBO Code_1_Actualisation provision contrat déficitaire SNCM 2011 V3 30 05 2011_PAO-CAF-RESOP_06_13_B14_E2_2210" xfId="1814"/>
    <cellStyle name="s_DCFLBO Code_1_Actualisation provision contrat déficitaire SNCM 2011 V3 30 05 2011_PAO-CAF-RESOP_06_13_B14_E2_2210_Bridge_Zone_Sud" xfId="1815"/>
    <cellStyle name="s_DCFLBO Code_1_Actualisation provision contrat déficitaire SNCM 2011 V3 30 05 2011_PAO-CAF-RESOP_06_13_Bridge_Zone_Sud" xfId="1816"/>
    <cellStyle name="s_DCFLBO Code_1_Actualisation provision contrat déficitaire SNCM 2011 V3 30 05 2011_PAO-CAF-RESOP_08_13" xfId="1817"/>
    <cellStyle name="s_DCFLBO Code_1_Actualisation provision contrat déficitaire SNCM 2011 V3 30 05 2011_PAO-CAF-RESOP_08_13_B14_E2_2210" xfId="1818"/>
    <cellStyle name="s_DCFLBO Code_1_Actualisation provision contrat déficitaire SNCM 2011 V3 30 05 2011_PAO-CAF-RESOP_08_13_B14_E2_2210_Bridge_Zone_Sud" xfId="1819"/>
    <cellStyle name="s_DCFLBO Code_1_Actualisation provision contrat déficitaire SNCM 2011 V3 30 05 2011_PAO-CAF-RESOP_08_13_Bridge_Zone_Sud" xfId="1820"/>
    <cellStyle name="s_DCFLBO Code_1_Actualisation provision contrat déficitaire SNCM 2011 V3 30 05 2011_PAO-CAF-RESOP_09_13" xfId="1821"/>
    <cellStyle name="s_DCFLBO Code_1_Actualisation provision contrat déficitaire SNCM 2011 V3 30 05 2011_PAO-CAF-RESOP_09_13_Bridge_Zone_Sud" xfId="1822"/>
    <cellStyle name="s_DCFLBO Code_1_Actualisation provision contrat déficitaire SNCM 2011 V3 30 05 2011_PAO-CAF-RESOP_09_2013_Zone_IDF (version 2)" xfId="1823"/>
    <cellStyle name="s_DCFLBO Code_1_Actualisation provision contrat déficitaire SNCM 2011 V3 30 05 2011_PAO-CAF-RESOP_10_12" xfId="1824"/>
    <cellStyle name="s_DCFLBO Code_1_Actualisation provision contrat déficitaire SNCM 2011 V3 30 05 2011_PAO-CAF-RESOP_10_12_Bridge_Zone_Sud" xfId="1825"/>
    <cellStyle name="s_DCFLBO Code_1_Actualisation provision contrat déficitaire SNCM 2011 V3 30 05 2011_PAO-CAF-RESOP_10_12_focus par entités CAFOP" xfId="1826"/>
    <cellStyle name="s_DCFLBO Code_1_Actualisation provision contrat déficitaire SNCM 2011 V3 30 05 2011_PAO-CAF-RESOP_10_12_focus par entités CAFOP_Bridge_Zone_Sud" xfId="1827"/>
    <cellStyle name="s_DCFLBO Code_1_Actualisation provision contrat déficitaire SNCM 2011 V3 30 05 2011_PAO-CAF-RESOP_11_13" xfId="1828"/>
    <cellStyle name="s_DCFLBO Code_1_Actualisation provision contrat déficitaire SNCM 2011 V3 30 05 2011_PAO-CAF-RESOP_B13" xfId="1829"/>
    <cellStyle name="s_DCFLBO Code_1_Actualisation provision contrat déficitaire SNCM 2011 V3 30 05 2011_PAO-CAF-RESOP_B13_Bridge_Zone_Sud" xfId="1830"/>
    <cellStyle name="s_DCFLBO Code_1_Actualisation provision contrat déficitaire SNCM 2011 V3 30 05 2011_PAO-CAF-RESOP_B13_focus par entités CAFOP" xfId="1831"/>
    <cellStyle name="s_DCFLBO Code_1_Actualisation provision contrat déficitaire SNCM 2011 V3 30 05 2011_PAO-CAF-RESOP_B13_focus par entités CAFOP_Bridge_Zone_Sud" xfId="1832"/>
    <cellStyle name="s_DCFLBO Code_1_Actualisation provision contrat déficitaire SNCM 2011 V3 30 05 2011_PAO-CAF-RESOP_B2014" xfId="1833"/>
    <cellStyle name="s_DCFLBO Code_1_Actualisation provision contrat déficitaire SNCM 2011 V3 30 05 2011_PAO-CAF-RESOP_B2014_Bridge_Zone_Sud" xfId="1834"/>
    <cellStyle name="s_DCFLBO Code_1_Actualisation provision contrat déficitaire SNCM 2011 V3 30 05 2011_PAO-CAF-RESOP_B2014_v2" xfId="1835"/>
    <cellStyle name="s_DCFLBO Code_1_Actualisation provision contrat déficitaire SNCM 2011 V3 30 05 2011_PAO-CAF-RESOP_E2_13" xfId="1836"/>
    <cellStyle name="s_DCFLBO Code_1_Actualisation provision contrat déficitaire SNCM 2011 V3 30 05 2011_PAO-CAF-RESOP_E2_13_B14_E2_2210" xfId="1837"/>
    <cellStyle name="s_DCFLBO Code_1_Actualisation provision contrat déficitaire SNCM 2011 V3 30 05 2011_PAO-CAF-RESOP_E2_13_B14_E2_2210_Bridge_Zone_Sud" xfId="1838"/>
    <cellStyle name="s_DCFLBO Code_1_Actualisation provision contrat déficitaire SNCM 2011 V3 30 05 2011_PAO-CAF-RESOP_E2_13_Bridge_Zone_Sud" xfId="1839"/>
    <cellStyle name="s_DCFLBO Code_1_Actualisation provision contrat déficitaire SNCM 2011 V3 30 05 2011_PAO-CAF-RESOP_E2_2013_03_10_19H" xfId="1840"/>
    <cellStyle name="s_DCFLBO Code_1_Actualisation provision contrat déficitaire SNCM 2011 V3 30 05 2011_PAO-CAF-RESOP_E2_2013_03_10_19H_Bridge_Zone_Sud" xfId="1841"/>
    <cellStyle name="s_DCFLBO Code_1_Actualisation provision contrat déficitaire SNCM 2011 V3 30 05 2011_PPA" xfId="1842"/>
    <cellStyle name="s_DCFLBO Code_1_Actualisation provision contrat déficitaire SNCM 2011 V3 30 05 2011_RESOP bef CICE&amp;PPA&amp;RepartHO" xfId="1843"/>
    <cellStyle name="s_DCFLBO Code_1_Actualisation provision contrat déficitaire SNCM 2011 V3 30 05 2011_Synthèse_Présentation_conso_retraitée" xfId="1844"/>
    <cellStyle name="s_DCFLBO Code_1_B14_E2_2210" xfId="1845"/>
    <cellStyle name="s_DCFLBO Code_1_B14_E2_2210_Bridge_Zone_Sud" xfId="1846"/>
    <cellStyle name="s_DCFLBO Code_1_BFR_TD_2014.02" xfId="1847"/>
    <cellStyle name="s_DCFLBO Code_1_Bridge_Zone_Nord" xfId="1848"/>
    <cellStyle name="s_DCFLBO Code_1_CAPEM BY COUNTRY" xfId="1849"/>
    <cellStyle name="s_DCFLBO Code_1_Context" xfId="1850"/>
    <cellStyle name="s_DCFLBO Code_1_LI819L_B13" xfId="569"/>
    <cellStyle name="s_DCFLBO Code_1_LI819L_B13_CAPEM BY COUNTRY" xfId="1851"/>
    <cellStyle name="s_DCFLBO Code_1_LI819L_B13_Context" xfId="1852"/>
    <cellStyle name="s_DCFLBO Code_1_LI819L_B13_Maquette PLT" xfId="1853"/>
    <cellStyle name="s_DCFLBO Code_1_LI819L_B13_Output" xfId="1854"/>
    <cellStyle name="s_DCFLBO Code_1_LI819L_B13_PPA" xfId="1855"/>
    <cellStyle name="s_DCFLBO Code_1_LI819L_B13_RESOP bef CICE&amp;PPA&amp;RepartHO" xfId="1856"/>
    <cellStyle name="s_DCFLBO Code_1_Maquette PLT" xfId="1857"/>
    <cellStyle name="s_DCFLBO Code_1_Output" xfId="1858"/>
    <cellStyle name="s_DCFLBO Code_1_PAO-CAF-RESOP_14_01_13 à 20h" xfId="570"/>
    <cellStyle name="s_DCFLBO Code_1_PAO-CAF-RESOP_14_01_13 à 20h_CAPEM BY COUNTRY" xfId="1859"/>
    <cellStyle name="s_DCFLBO Code_1_PAO-CAF-RESOP_14_01_13 à 20h_Context" xfId="1860"/>
    <cellStyle name="s_DCFLBO Code_1_PAO-CAF-RESOP_14_01_13 à 20h_Maquette PLT" xfId="1861"/>
    <cellStyle name="s_DCFLBO Code_1_PAO-CAF-RESOP_14_01_13 à 20h_Output" xfId="1862"/>
    <cellStyle name="s_DCFLBO Code_1_PAO-CAF-RESOP_14_01_13 à 20h_PPA" xfId="1863"/>
    <cellStyle name="s_DCFLBO Code_1_PAO-CAF-RESOP_14_01_13 à 20h_RESOP bef CICE&amp;PPA&amp;RepartHO" xfId="1864"/>
    <cellStyle name="s_DCFLBO Code_1_PAO-CAF-RESOP_2014.02" xfId="1865"/>
    <cellStyle name="s_DCFLBO Code_1_PAO-CAF-RESOP_2014.02_Bridge_Zone_Sud" xfId="1866"/>
    <cellStyle name="s_DCFLBO Code_1_PPA" xfId="1867"/>
    <cellStyle name="s_DCFLBO Code_1_RESOP bef CICE&amp;PPA&amp;RepartHO" xfId="1868"/>
    <cellStyle name="s_DCFLBO Code_Actualisation provision contrat déficitaire SNCM 2010 V Def" xfId="571"/>
    <cellStyle name="s_DCFLBO Code_Actualisation provision contrat déficitaire SNCM 2010 V Def_B14_E2_2210" xfId="1869"/>
    <cellStyle name="s_DCFLBO Code_Actualisation provision contrat déficitaire SNCM 2010 V Def_B14_E2_2210_Bridge_Zone_Sud" xfId="1870"/>
    <cellStyle name="s_DCFLBO Code_Actualisation provision contrat déficitaire SNCM 2010 V Def_Bridge_Zone_Sud" xfId="1871"/>
    <cellStyle name="s_DCFLBO Code_Actualisation provision contrat déficitaire SNCM 2010 V Def_CAPEM BY COUNTRY" xfId="1872"/>
    <cellStyle name="s_DCFLBO Code_Actualisation provision contrat déficitaire SNCM 2010 V Def_Context" xfId="1873"/>
    <cellStyle name="s_DCFLBO Code_Actualisation provision contrat déficitaire SNCM 2010 V Def_focus par entités CAFOPE2AMF" xfId="1874"/>
    <cellStyle name="s_DCFLBO Code_Actualisation provision contrat déficitaire SNCM 2010 V Def_focus par entités CAFOPE2AMF_Bridge_Zone_Sud" xfId="1875"/>
    <cellStyle name="s_DCFLBO Code_Actualisation provision contrat déficitaire SNCM 2010 V Def_Maquette PLT" xfId="1876"/>
    <cellStyle name="s_DCFLBO Code_Actualisation provision contrat déficitaire SNCM 2010 V Def_Output" xfId="1877"/>
    <cellStyle name="s_DCFLBO Code_Actualisation provision contrat déficitaire SNCM 2010 V Def_PAO-CAF-RESOP_04_13_pro_format_variante T1" xfId="1878"/>
    <cellStyle name="s_DCFLBO Code_Actualisation provision contrat déficitaire SNCM 2010 V Def_PAO-CAF-RESOP_04_13_pro_format_variante T1_Bridge_Zone_Sud" xfId="1879"/>
    <cellStyle name="s_DCFLBO Code_Actualisation provision contrat déficitaire SNCM 2010 V Def_PAO-CAF-RESOP_06_13" xfId="1880"/>
    <cellStyle name="s_DCFLBO Code_Actualisation provision contrat déficitaire SNCM 2010 V Def_PAO-CAF-RESOP_06_13_Bridge_Zone_Sud" xfId="1881"/>
    <cellStyle name="s_DCFLBO Code_Actualisation provision contrat déficitaire SNCM 2010 V Def_PAO-CAF-RESOP_08_13" xfId="1882"/>
    <cellStyle name="s_DCFLBO Code_Actualisation provision contrat déficitaire SNCM 2010 V Def_PAO-CAF-RESOP_08_13_Bridge_Zone_Sud" xfId="1883"/>
    <cellStyle name="s_DCFLBO Code_Actualisation provision contrat déficitaire SNCM 2010 V Def_PAO-CAF-RESOP_09_13" xfId="1884"/>
    <cellStyle name="s_DCFLBO Code_Actualisation provision contrat déficitaire SNCM 2010 V Def_PAO-CAF-RESOP_09_13_Bridge_Zone_Sud" xfId="1885"/>
    <cellStyle name="s_DCFLBO Code_Actualisation provision contrat déficitaire SNCM 2010 V Def_PAO-CAF-RESOP_09_2013_Zone_IDF (version 2)" xfId="1886"/>
    <cellStyle name="s_DCFLBO Code_Actualisation provision contrat déficitaire SNCM 2010 V Def_PAO-CAF-RESOP_10_12" xfId="1887"/>
    <cellStyle name="s_DCFLBO Code_Actualisation provision contrat déficitaire SNCM 2010 V Def_PAO-CAF-RESOP_10_12_Bridge_Zone_Sud" xfId="1888"/>
    <cellStyle name="s_DCFLBO Code_Actualisation provision contrat déficitaire SNCM 2010 V Def_PAO-CAF-RESOP_10_12_focus par entités CAFOP" xfId="1889"/>
    <cellStyle name="s_DCFLBO Code_Actualisation provision contrat déficitaire SNCM 2010 V Def_PAO-CAF-RESOP_10_12_focus par entités CAFOP_Bridge_Zone_Sud" xfId="1890"/>
    <cellStyle name="s_DCFLBO Code_Actualisation provision contrat déficitaire SNCM 2010 V Def_PAO-CAF-RESOP_11_13" xfId="1891"/>
    <cellStyle name="s_DCFLBO Code_Actualisation provision contrat déficitaire SNCM 2010 V Def_PAO-CAF-RESOP_B13" xfId="1892"/>
    <cellStyle name="s_DCFLBO Code_Actualisation provision contrat déficitaire SNCM 2010 V Def_PAO-CAF-RESOP_B13_Bridge_Zone_Sud" xfId="1893"/>
    <cellStyle name="s_DCFLBO Code_Actualisation provision contrat déficitaire SNCM 2010 V Def_PAO-CAF-RESOP_B13_focus par entités CAFOP" xfId="1894"/>
    <cellStyle name="s_DCFLBO Code_Actualisation provision contrat déficitaire SNCM 2010 V Def_PAO-CAF-RESOP_B13_focus par entités CAFOP_Bridge_Zone_Sud" xfId="1895"/>
    <cellStyle name="s_DCFLBO Code_Actualisation provision contrat déficitaire SNCM 2010 V Def_PAO-CAF-RESOP_B2014" xfId="1896"/>
    <cellStyle name="s_DCFLBO Code_Actualisation provision contrat déficitaire SNCM 2010 V Def_PAO-CAF-RESOP_B2014_Bridge_Zone_Sud" xfId="1897"/>
    <cellStyle name="s_DCFLBO Code_Actualisation provision contrat déficitaire SNCM 2010 V Def_PAO-CAF-RESOP_B2014_v2" xfId="1898"/>
    <cellStyle name="s_DCFLBO Code_Actualisation provision contrat déficitaire SNCM 2010 V Def_PAO-CAF-RESOP_E2_13" xfId="1899"/>
    <cellStyle name="s_DCFLBO Code_Actualisation provision contrat déficitaire SNCM 2010 V Def_PAO-CAF-RESOP_E2_13_Bridge_Zone_Sud" xfId="1900"/>
    <cellStyle name="s_DCFLBO Code_Actualisation provision contrat déficitaire SNCM 2010 V Def_PAO-CAF-RESOP_E2_2013_03_10_19H" xfId="1901"/>
    <cellStyle name="s_DCFLBO Code_Actualisation provision contrat déficitaire SNCM 2010 V Def_PAO-CAF-RESOP_E2_2013_03_10_19H_Bridge_Zone_Sud" xfId="1902"/>
    <cellStyle name="s_DCFLBO Code_Actualisation provision contrat déficitaire SNCM 2010 V Def_Synthèse_Présentation_conso_retraitée" xfId="1903"/>
    <cellStyle name="s_DCFLBO Code_Actualisation provision contrat déficitaire SNCM 2011 V3 30 05 2011" xfId="572"/>
    <cellStyle name="s_DCFLBO Code_Actualisation provision contrat déficitaire SNCM 2011 V3 30 05 2011_B14_E2_2210" xfId="1904"/>
    <cellStyle name="s_DCFLBO Code_Actualisation provision contrat déficitaire SNCM 2011 V3 30 05 2011_B14_E2_2210_Bridge_Zone_Sud" xfId="1905"/>
    <cellStyle name="s_DCFLBO Code_Actualisation provision contrat déficitaire SNCM 2011 V3 30 05 2011_Bridge_Zone_Sud" xfId="1906"/>
    <cellStyle name="s_DCFLBO Code_Actualisation provision contrat déficitaire SNCM 2011 V3 30 05 2011_CAPEM BY COUNTRY" xfId="1907"/>
    <cellStyle name="s_DCFLBO Code_Actualisation provision contrat déficitaire SNCM 2011 V3 30 05 2011_Context" xfId="1908"/>
    <cellStyle name="s_DCFLBO Code_Actualisation provision contrat déficitaire SNCM 2011 V3 30 05 2011_focus par entités CAFOPE2AMF" xfId="1909"/>
    <cellStyle name="s_DCFLBO Code_Actualisation provision contrat déficitaire SNCM 2011 V3 30 05 2011_focus par entités CAFOPE2AMF_Bridge_Zone_Sud" xfId="1910"/>
    <cellStyle name="s_DCFLBO Code_Actualisation provision contrat déficitaire SNCM 2011 V3 30 05 2011_Maquette PLT" xfId="1911"/>
    <cellStyle name="s_DCFLBO Code_Actualisation provision contrat déficitaire SNCM 2011 V3 30 05 2011_Output" xfId="1912"/>
    <cellStyle name="s_DCFLBO Code_Actualisation provision contrat déficitaire SNCM 2011 V3 30 05 2011_PAO-CAF-RESOP_04_13_pro_format_variante T1" xfId="1913"/>
    <cellStyle name="s_DCFLBO Code_Actualisation provision contrat déficitaire SNCM 2011 V3 30 05 2011_PAO-CAF-RESOP_04_13_pro_format_variante T1_Bridge_Zone_Sud" xfId="1914"/>
    <cellStyle name="s_DCFLBO Code_Actualisation provision contrat déficitaire SNCM 2011 V3 30 05 2011_PAO-CAF-RESOP_06_13" xfId="1915"/>
    <cellStyle name="s_DCFLBO Code_Actualisation provision contrat déficitaire SNCM 2011 V3 30 05 2011_PAO-CAF-RESOP_06_13_Bridge_Zone_Sud" xfId="1916"/>
    <cellStyle name="s_DCFLBO Code_Actualisation provision contrat déficitaire SNCM 2011 V3 30 05 2011_PAO-CAF-RESOP_08_13" xfId="1917"/>
    <cellStyle name="s_DCFLBO Code_Actualisation provision contrat déficitaire SNCM 2011 V3 30 05 2011_PAO-CAF-RESOP_08_13_Bridge_Zone_Sud" xfId="1918"/>
    <cellStyle name="s_DCFLBO Code_Actualisation provision contrat déficitaire SNCM 2011 V3 30 05 2011_PAO-CAF-RESOP_09_13" xfId="1919"/>
    <cellStyle name="s_DCFLBO Code_Actualisation provision contrat déficitaire SNCM 2011 V3 30 05 2011_PAO-CAF-RESOP_09_13_Bridge_Zone_Sud" xfId="1920"/>
    <cellStyle name="s_DCFLBO Code_Actualisation provision contrat déficitaire SNCM 2011 V3 30 05 2011_PAO-CAF-RESOP_09_2013_Zone_IDF (version 2)" xfId="1921"/>
    <cellStyle name="s_DCFLBO Code_Actualisation provision contrat déficitaire SNCM 2011 V3 30 05 2011_PAO-CAF-RESOP_10_12" xfId="1922"/>
    <cellStyle name="s_DCFLBO Code_Actualisation provision contrat déficitaire SNCM 2011 V3 30 05 2011_PAO-CAF-RESOP_10_12_Bridge_Zone_Sud" xfId="1923"/>
    <cellStyle name="s_DCFLBO Code_Actualisation provision contrat déficitaire SNCM 2011 V3 30 05 2011_PAO-CAF-RESOP_10_12_focus par entités CAFOP" xfId="1924"/>
    <cellStyle name="s_DCFLBO Code_Actualisation provision contrat déficitaire SNCM 2011 V3 30 05 2011_PAO-CAF-RESOP_10_12_focus par entités CAFOP_Bridge_Zone_Sud" xfId="1925"/>
    <cellStyle name="s_DCFLBO Code_Actualisation provision contrat déficitaire SNCM 2011 V3 30 05 2011_PAO-CAF-RESOP_11_13" xfId="1926"/>
    <cellStyle name="s_DCFLBO Code_Actualisation provision contrat déficitaire SNCM 2011 V3 30 05 2011_PAO-CAF-RESOP_B13" xfId="1927"/>
    <cellStyle name="s_DCFLBO Code_Actualisation provision contrat déficitaire SNCM 2011 V3 30 05 2011_PAO-CAF-RESOP_B13_Bridge_Zone_Sud" xfId="1928"/>
    <cellStyle name="s_DCFLBO Code_Actualisation provision contrat déficitaire SNCM 2011 V3 30 05 2011_PAO-CAF-RESOP_B13_focus par entités CAFOP" xfId="1929"/>
    <cellStyle name="s_DCFLBO Code_Actualisation provision contrat déficitaire SNCM 2011 V3 30 05 2011_PAO-CAF-RESOP_B13_focus par entités CAFOP_Bridge_Zone_Sud" xfId="1930"/>
    <cellStyle name="s_DCFLBO Code_Actualisation provision contrat déficitaire SNCM 2011 V3 30 05 2011_PAO-CAF-RESOP_B2014" xfId="1931"/>
    <cellStyle name="s_DCFLBO Code_Actualisation provision contrat déficitaire SNCM 2011 V3 30 05 2011_PAO-CAF-RESOP_B2014_Bridge_Zone_Sud" xfId="1932"/>
    <cellStyle name="s_DCFLBO Code_Actualisation provision contrat déficitaire SNCM 2011 V3 30 05 2011_PAO-CAF-RESOP_B2014_v2" xfId="1933"/>
    <cellStyle name="s_DCFLBO Code_Actualisation provision contrat déficitaire SNCM 2011 V3 30 05 2011_PAO-CAF-RESOP_E2_13" xfId="1934"/>
    <cellStyle name="s_DCFLBO Code_Actualisation provision contrat déficitaire SNCM 2011 V3 30 05 2011_PAO-CAF-RESOP_E2_13_Bridge_Zone_Sud" xfId="1935"/>
    <cellStyle name="s_DCFLBO Code_Actualisation provision contrat déficitaire SNCM 2011 V3 30 05 2011_PAO-CAF-RESOP_E2_2013_03_10_19H" xfId="1936"/>
    <cellStyle name="s_DCFLBO Code_Actualisation provision contrat déficitaire SNCM 2011 V3 30 05 2011_PAO-CAF-RESOP_E2_2013_03_10_19H_Bridge_Zone_Sud" xfId="1937"/>
    <cellStyle name="s_DCFLBO Code_Actualisation provision contrat déficitaire SNCM 2011 V3 30 05 2011_Synthèse_Présentation_conso_retraitée" xfId="1938"/>
    <cellStyle name="s_DCFLBO Code_BFR_TD_2014.02" xfId="1939"/>
    <cellStyle name="s_DCFLBO Code_Bridge_Zone_Nord" xfId="1940"/>
    <cellStyle name="s_DCFLBO Code_CAPEM BY COUNTRY" xfId="1941"/>
    <cellStyle name="s_DCFLBO Code_Context" xfId="1942"/>
    <cellStyle name="s_DCFLBO Code_LI819L_B13" xfId="573"/>
    <cellStyle name="s_DCFLBO Code_LI819L_B13_CAPEM BY COUNTRY" xfId="1943"/>
    <cellStyle name="s_DCFLBO Code_LI819L_B13_Context" xfId="1944"/>
    <cellStyle name="s_DCFLBO Code_LI819L_B13_Maquette PLT" xfId="1945"/>
    <cellStyle name="s_DCFLBO Code_LI819L_B13_Output" xfId="1946"/>
    <cellStyle name="s_DCFLBO Code_Maquette PLT" xfId="1947"/>
    <cellStyle name="s_DCFLBO Code_Output" xfId="1948"/>
    <cellStyle name="s_DCFLBO Code_PAO-CAF-RESOP_14_01_13 à 20h" xfId="574"/>
    <cellStyle name="s_DCFLBO Code_PAO-CAF-RESOP_14_01_13 à 20h_CAPEM BY COUNTRY" xfId="1949"/>
    <cellStyle name="s_DCFLBO Code_PAO-CAF-RESOP_14_01_13 à 20h_Context" xfId="1950"/>
    <cellStyle name="s_DCFLBO Code_PAO-CAF-RESOP_14_01_13 à 20h_Maquette PLT" xfId="1951"/>
    <cellStyle name="s_DCFLBO Code_PAO-CAF-RESOP_14_01_13 à 20h_Output" xfId="1952"/>
    <cellStyle name="s_DCFLBO Code_PAO-CAF-RESOP_2014.02" xfId="1953"/>
    <cellStyle name="s_DCFLBO Code_PAO-CAF-RESOP_2014.02_Bridge_Zone_Sud" xfId="1954"/>
    <cellStyle name="s_Dilution" xfId="575"/>
    <cellStyle name="s_Dilution_Actualisation provision contrat déficitaire SNCM 2010 V Def" xfId="576"/>
    <cellStyle name="s_Dilution_Actualisation provision contrat déficitaire SNCM 2010 V Def_B14_E2_2210" xfId="1955"/>
    <cellStyle name="s_Dilution_Actualisation provision contrat déficitaire SNCM 2010 V Def_B14_E2_2210_Bridge_Zone_Sud" xfId="1956"/>
    <cellStyle name="s_Dilution_Actualisation provision contrat déficitaire SNCM 2010 V Def_Bridge_Zone_Sud" xfId="1957"/>
    <cellStyle name="s_Dilution_Actualisation provision contrat déficitaire SNCM 2010 V Def_CAPEM BY COUNTRY" xfId="1958"/>
    <cellStyle name="s_Dilution_Actualisation provision contrat déficitaire SNCM 2010 V Def_Context" xfId="1959"/>
    <cellStyle name="s_Dilution_Actualisation provision contrat déficitaire SNCM 2010 V Def_focus par entités CAFOPE2AMF" xfId="1960"/>
    <cellStyle name="s_Dilution_Actualisation provision contrat déficitaire SNCM 2010 V Def_focus par entités CAFOPE2AMF_Bridge_Zone_Sud" xfId="1961"/>
    <cellStyle name="s_Dilution_Actualisation provision contrat déficitaire SNCM 2010 V Def_Maquette PLT" xfId="1962"/>
    <cellStyle name="s_Dilution_Actualisation provision contrat déficitaire SNCM 2010 V Def_Output" xfId="1963"/>
    <cellStyle name="s_Dilution_Actualisation provision contrat déficitaire SNCM 2010 V Def_PAO-CAF-RESOP_04_13_pro_format_variante T1" xfId="1964"/>
    <cellStyle name="s_Dilution_Actualisation provision contrat déficitaire SNCM 2010 V Def_PAO-CAF-RESOP_04_13_pro_format_variante T1_B14_E2_2210" xfId="1965"/>
    <cellStyle name="s_Dilution_Actualisation provision contrat déficitaire SNCM 2010 V Def_PAO-CAF-RESOP_04_13_pro_format_variante T1_B14_E2_2210_Bridge_Zone_Sud" xfId="1966"/>
    <cellStyle name="s_Dilution_Actualisation provision contrat déficitaire SNCM 2010 V Def_PAO-CAF-RESOP_04_13_pro_format_variante T1_Bridge_Zone_Sud" xfId="1967"/>
    <cellStyle name="s_Dilution_Actualisation provision contrat déficitaire SNCM 2010 V Def_PAO-CAF-RESOP_06_13" xfId="1968"/>
    <cellStyle name="s_Dilution_Actualisation provision contrat déficitaire SNCM 2010 V Def_PAO-CAF-RESOP_06_13_B14_E2_2210" xfId="1969"/>
    <cellStyle name="s_Dilution_Actualisation provision contrat déficitaire SNCM 2010 V Def_PAO-CAF-RESOP_06_13_B14_E2_2210_Bridge_Zone_Sud" xfId="1970"/>
    <cellStyle name="s_Dilution_Actualisation provision contrat déficitaire SNCM 2010 V Def_PAO-CAF-RESOP_06_13_Bridge_Zone_Sud" xfId="1971"/>
    <cellStyle name="s_Dilution_Actualisation provision contrat déficitaire SNCM 2010 V Def_PAO-CAF-RESOP_08_13" xfId="1972"/>
    <cellStyle name="s_Dilution_Actualisation provision contrat déficitaire SNCM 2010 V Def_PAO-CAF-RESOP_08_13_B14_E2_2210" xfId="1973"/>
    <cellStyle name="s_Dilution_Actualisation provision contrat déficitaire SNCM 2010 V Def_PAO-CAF-RESOP_08_13_B14_E2_2210_Bridge_Zone_Sud" xfId="1974"/>
    <cellStyle name="s_Dilution_Actualisation provision contrat déficitaire SNCM 2010 V Def_PAO-CAF-RESOP_08_13_Bridge_Zone_Sud" xfId="1975"/>
    <cellStyle name="s_Dilution_Actualisation provision contrat déficitaire SNCM 2010 V Def_PAO-CAF-RESOP_09_13" xfId="1976"/>
    <cellStyle name="s_Dilution_Actualisation provision contrat déficitaire SNCM 2010 V Def_PAO-CAF-RESOP_09_13_Bridge_Zone_Sud" xfId="1977"/>
    <cellStyle name="s_Dilution_Actualisation provision contrat déficitaire SNCM 2010 V Def_PAO-CAF-RESOP_09_2013_Zone_IDF (version 2)" xfId="1978"/>
    <cellStyle name="s_Dilution_Actualisation provision contrat déficitaire SNCM 2010 V Def_PAO-CAF-RESOP_10_12" xfId="1979"/>
    <cellStyle name="s_Dilution_Actualisation provision contrat déficitaire SNCM 2010 V Def_PAO-CAF-RESOP_10_12_Bridge_Zone_Sud" xfId="1980"/>
    <cellStyle name="s_Dilution_Actualisation provision contrat déficitaire SNCM 2010 V Def_PAO-CAF-RESOP_10_12_focus par entités CAFOP" xfId="1981"/>
    <cellStyle name="s_Dilution_Actualisation provision contrat déficitaire SNCM 2010 V Def_PAO-CAF-RESOP_10_12_focus par entités CAFOP_Bridge_Zone_Sud" xfId="1982"/>
    <cellStyle name="s_Dilution_Actualisation provision contrat déficitaire SNCM 2010 V Def_PAO-CAF-RESOP_11_13" xfId="1983"/>
    <cellStyle name="s_Dilution_Actualisation provision contrat déficitaire SNCM 2010 V Def_PAO-CAF-RESOP_B13" xfId="1984"/>
    <cellStyle name="s_Dilution_Actualisation provision contrat déficitaire SNCM 2010 V Def_PAO-CAF-RESOP_B13_Bridge_Zone_Sud" xfId="1985"/>
    <cellStyle name="s_Dilution_Actualisation provision contrat déficitaire SNCM 2010 V Def_PAO-CAF-RESOP_B13_focus par entités CAFOP" xfId="1986"/>
    <cellStyle name="s_Dilution_Actualisation provision contrat déficitaire SNCM 2010 V Def_PAO-CAF-RESOP_B13_focus par entités CAFOP_Bridge_Zone_Sud" xfId="1987"/>
    <cellStyle name="s_Dilution_Actualisation provision contrat déficitaire SNCM 2010 V Def_PAO-CAF-RESOP_B2014" xfId="1988"/>
    <cellStyle name="s_Dilution_Actualisation provision contrat déficitaire SNCM 2010 V Def_PAO-CAF-RESOP_B2014_Bridge_Zone_Sud" xfId="1989"/>
    <cellStyle name="s_Dilution_Actualisation provision contrat déficitaire SNCM 2010 V Def_PAO-CAF-RESOP_B2014_v2" xfId="1990"/>
    <cellStyle name="s_Dilution_Actualisation provision contrat déficitaire SNCM 2010 V Def_PAO-CAF-RESOP_E2_13" xfId="1991"/>
    <cellStyle name="s_Dilution_Actualisation provision contrat déficitaire SNCM 2010 V Def_PAO-CAF-RESOP_E2_13_B14_E2_2210" xfId="1992"/>
    <cellStyle name="s_Dilution_Actualisation provision contrat déficitaire SNCM 2010 V Def_PAO-CAF-RESOP_E2_13_B14_E2_2210_Bridge_Zone_Sud" xfId="1993"/>
    <cellStyle name="s_Dilution_Actualisation provision contrat déficitaire SNCM 2010 V Def_PAO-CAF-RESOP_E2_13_Bridge_Zone_Sud" xfId="1994"/>
    <cellStyle name="s_Dilution_Actualisation provision contrat déficitaire SNCM 2010 V Def_PAO-CAF-RESOP_E2_2013_03_10_19H" xfId="1995"/>
    <cellStyle name="s_Dilution_Actualisation provision contrat déficitaire SNCM 2010 V Def_PAO-CAF-RESOP_E2_2013_03_10_19H_Bridge_Zone_Sud" xfId="1996"/>
    <cellStyle name="s_Dilution_Actualisation provision contrat déficitaire SNCM 2010 V Def_PPA" xfId="1997"/>
    <cellStyle name="s_Dilution_Actualisation provision contrat déficitaire SNCM 2010 V Def_RESOP bef CICE&amp;PPA&amp;RepartHO" xfId="1998"/>
    <cellStyle name="s_Dilution_Actualisation provision contrat déficitaire SNCM 2010 V Def_Synthèse_Présentation_conso_retraitée" xfId="1999"/>
    <cellStyle name="s_Dilution_Actualisation provision contrat déficitaire SNCM 2011 V3 30 05 2011" xfId="577"/>
    <cellStyle name="s_Dilution_Actualisation provision contrat déficitaire SNCM 2011 V3 30 05 2011_B14_E2_2210" xfId="2000"/>
    <cellStyle name="s_Dilution_Actualisation provision contrat déficitaire SNCM 2011 V3 30 05 2011_B14_E2_2210_Bridge_Zone_Sud" xfId="2001"/>
    <cellStyle name="s_Dilution_Actualisation provision contrat déficitaire SNCM 2011 V3 30 05 2011_Bridge_Zone_Sud" xfId="2002"/>
    <cellStyle name="s_Dilution_Actualisation provision contrat déficitaire SNCM 2011 V3 30 05 2011_CAPEM BY COUNTRY" xfId="2003"/>
    <cellStyle name="s_Dilution_Actualisation provision contrat déficitaire SNCM 2011 V3 30 05 2011_Context" xfId="2004"/>
    <cellStyle name="s_Dilution_Actualisation provision contrat déficitaire SNCM 2011 V3 30 05 2011_focus par entités CAFOPE2AMF" xfId="2005"/>
    <cellStyle name="s_Dilution_Actualisation provision contrat déficitaire SNCM 2011 V3 30 05 2011_focus par entités CAFOPE2AMF_Bridge_Zone_Sud" xfId="2006"/>
    <cellStyle name="s_Dilution_Actualisation provision contrat déficitaire SNCM 2011 V3 30 05 2011_Maquette PLT" xfId="2007"/>
    <cellStyle name="s_Dilution_Actualisation provision contrat déficitaire SNCM 2011 V3 30 05 2011_Output" xfId="2008"/>
    <cellStyle name="s_Dilution_Actualisation provision contrat déficitaire SNCM 2011 V3 30 05 2011_PAO-CAF-RESOP_04_13_pro_format_variante T1" xfId="2009"/>
    <cellStyle name="s_Dilution_Actualisation provision contrat déficitaire SNCM 2011 V3 30 05 2011_PAO-CAF-RESOP_04_13_pro_format_variante T1_B14_E2_2210" xfId="2010"/>
    <cellStyle name="s_Dilution_Actualisation provision contrat déficitaire SNCM 2011 V3 30 05 2011_PAO-CAF-RESOP_04_13_pro_format_variante T1_B14_E2_2210_Bridge_Zone_Sud" xfId="2011"/>
    <cellStyle name="s_Dilution_Actualisation provision contrat déficitaire SNCM 2011 V3 30 05 2011_PAO-CAF-RESOP_04_13_pro_format_variante T1_Bridge_Zone_Sud" xfId="2012"/>
    <cellStyle name="s_Dilution_Actualisation provision contrat déficitaire SNCM 2011 V3 30 05 2011_PAO-CAF-RESOP_06_13" xfId="2013"/>
    <cellStyle name="s_Dilution_Actualisation provision contrat déficitaire SNCM 2011 V3 30 05 2011_PAO-CAF-RESOP_06_13_B14_E2_2210" xfId="2014"/>
    <cellStyle name="s_Dilution_Actualisation provision contrat déficitaire SNCM 2011 V3 30 05 2011_PAO-CAF-RESOP_06_13_B14_E2_2210_Bridge_Zone_Sud" xfId="2015"/>
    <cellStyle name="s_Dilution_Actualisation provision contrat déficitaire SNCM 2011 V3 30 05 2011_PAO-CAF-RESOP_06_13_Bridge_Zone_Sud" xfId="2016"/>
    <cellStyle name="s_Dilution_Actualisation provision contrat déficitaire SNCM 2011 V3 30 05 2011_PAO-CAF-RESOP_08_13" xfId="2017"/>
    <cellStyle name="s_Dilution_Actualisation provision contrat déficitaire SNCM 2011 V3 30 05 2011_PAO-CAF-RESOP_08_13_B14_E2_2210" xfId="2018"/>
    <cellStyle name="s_Dilution_Actualisation provision contrat déficitaire SNCM 2011 V3 30 05 2011_PAO-CAF-RESOP_08_13_B14_E2_2210_Bridge_Zone_Sud" xfId="2019"/>
    <cellStyle name="s_Dilution_Actualisation provision contrat déficitaire SNCM 2011 V3 30 05 2011_PAO-CAF-RESOP_08_13_Bridge_Zone_Sud" xfId="2020"/>
    <cellStyle name="s_Dilution_Actualisation provision contrat déficitaire SNCM 2011 V3 30 05 2011_PAO-CAF-RESOP_09_13" xfId="2021"/>
    <cellStyle name="s_Dilution_Actualisation provision contrat déficitaire SNCM 2011 V3 30 05 2011_PAO-CAF-RESOP_09_13_Bridge_Zone_Sud" xfId="2022"/>
    <cellStyle name="s_Dilution_Actualisation provision contrat déficitaire SNCM 2011 V3 30 05 2011_PAO-CAF-RESOP_09_2013_Zone_IDF (version 2)" xfId="2023"/>
    <cellStyle name="s_Dilution_Actualisation provision contrat déficitaire SNCM 2011 V3 30 05 2011_PAO-CAF-RESOP_10_12" xfId="2024"/>
    <cellStyle name="s_Dilution_Actualisation provision contrat déficitaire SNCM 2011 V3 30 05 2011_PAO-CAF-RESOP_10_12_Bridge_Zone_Sud" xfId="2025"/>
    <cellStyle name="s_Dilution_Actualisation provision contrat déficitaire SNCM 2011 V3 30 05 2011_PAO-CAF-RESOP_10_12_focus par entités CAFOP" xfId="2026"/>
    <cellStyle name="s_Dilution_Actualisation provision contrat déficitaire SNCM 2011 V3 30 05 2011_PAO-CAF-RESOP_10_12_focus par entités CAFOP_Bridge_Zone_Sud" xfId="2027"/>
    <cellStyle name="s_Dilution_Actualisation provision contrat déficitaire SNCM 2011 V3 30 05 2011_PAO-CAF-RESOP_11_13" xfId="2028"/>
    <cellStyle name="s_Dilution_Actualisation provision contrat déficitaire SNCM 2011 V3 30 05 2011_PAO-CAF-RESOP_B13" xfId="2029"/>
    <cellStyle name="s_Dilution_Actualisation provision contrat déficitaire SNCM 2011 V3 30 05 2011_PAO-CAF-RESOP_B13_Bridge_Zone_Sud" xfId="2030"/>
    <cellStyle name="s_Dilution_Actualisation provision contrat déficitaire SNCM 2011 V3 30 05 2011_PAO-CAF-RESOP_B13_focus par entités CAFOP" xfId="2031"/>
    <cellStyle name="s_Dilution_Actualisation provision contrat déficitaire SNCM 2011 V3 30 05 2011_PAO-CAF-RESOP_B13_focus par entités CAFOP_Bridge_Zone_Sud" xfId="2032"/>
    <cellStyle name="s_Dilution_Actualisation provision contrat déficitaire SNCM 2011 V3 30 05 2011_PAO-CAF-RESOP_B2014" xfId="2033"/>
    <cellStyle name="s_Dilution_Actualisation provision contrat déficitaire SNCM 2011 V3 30 05 2011_PAO-CAF-RESOP_B2014_Bridge_Zone_Sud" xfId="2034"/>
    <cellStyle name="s_Dilution_Actualisation provision contrat déficitaire SNCM 2011 V3 30 05 2011_PAO-CAF-RESOP_B2014_v2" xfId="2035"/>
    <cellStyle name="s_Dilution_Actualisation provision contrat déficitaire SNCM 2011 V3 30 05 2011_PAO-CAF-RESOP_E2_13" xfId="2036"/>
    <cellStyle name="s_Dilution_Actualisation provision contrat déficitaire SNCM 2011 V3 30 05 2011_PAO-CAF-RESOP_E2_13_B14_E2_2210" xfId="2037"/>
    <cellStyle name="s_Dilution_Actualisation provision contrat déficitaire SNCM 2011 V3 30 05 2011_PAO-CAF-RESOP_E2_13_B14_E2_2210_Bridge_Zone_Sud" xfId="2038"/>
    <cellStyle name="s_Dilution_Actualisation provision contrat déficitaire SNCM 2011 V3 30 05 2011_PAO-CAF-RESOP_E2_13_Bridge_Zone_Sud" xfId="2039"/>
    <cellStyle name="s_Dilution_Actualisation provision contrat déficitaire SNCM 2011 V3 30 05 2011_PAO-CAF-RESOP_E2_2013_03_10_19H" xfId="2040"/>
    <cellStyle name="s_Dilution_Actualisation provision contrat déficitaire SNCM 2011 V3 30 05 2011_PAO-CAF-RESOP_E2_2013_03_10_19H_Bridge_Zone_Sud" xfId="2041"/>
    <cellStyle name="s_Dilution_Actualisation provision contrat déficitaire SNCM 2011 V3 30 05 2011_PPA" xfId="2042"/>
    <cellStyle name="s_Dilution_Actualisation provision contrat déficitaire SNCM 2011 V3 30 05 2011_RESOP bef CICE&amp;PPA&amp;RepartHO" xfId="2043"/>
    <cellStyle name="s_Dilution_Actualisation provision contrat déficitaire SNCM 2011 V3 30 05 2011_Synthèse_Présentation_conso_retraitée" xfId="2044"/>
    <cellStyle name="s_Dilution_B14_E2_2210" xfId="2045"/>
    <cellStyle name="s_Dilution_B14_E2_2210_Bridge_Zone_Sud" xfId="2046"/>
    <cellStyle name="s_Dilution_BFR_TD_2014.02" xfId="2047"/>
    <cellStyle name="s_Dilution_Bridge_Zone_Nord" xfId="2048"/>
    <cellStyle name="s_Dilution_CAPEM BY COUNTRY" xfId="2049"/>
    <cellStyle name="s_Dilution_Context" xfId="2050"/>
    <cellStyle name="s_Dilution_LI819L_B13" xfId="578"/>
    <cellStyle name="s_Dilution_LI819L_B13_CAPEM BY COUNTRY" xfId="2051"/>
    <cellStyle name="s_Dilution_LI819L_B13_Context" xfId="2052"/>
    <cellStyle name="s_Dilution_LI819L_B13_Maquette PLT" xfId="2053"/>
    <cellStyle name="s_Dilution_LI819L_B13_Output" xfId="2054"/>
    <cellStyle name="s_Dilution_LI819L_B13_PPA" xfId="2055"/>
    <cellStyle name="s_Dilution_LI819L_B13_RESOP bef CICE&amp;PPA&amp;RepartHO" xfId="2056"/>
    <cellStyle name="s_Dilution_Maquette PLT" xfId="2057"/>
    <cellStyle name="s_Dilution_Output" xfId="2058"/>
    <cellStyle name="s_Dilution_PAO-CAF-RESOP_14_01_13 à 20h" xfId="579"/>
    <cellStyle name="s_Dilution_PAO-CAF-RESOP_14_01_13 à 20h_CAPEM BY COUNTRY" xfId="2059"/>
    <cellStyle name="s_Dilution_PAO-CAF-RESOP_14_01_13 à 20h_Context" xfId="2060"/>
    <cellStyle name="s_Dilution_PAO-CAF-RESOP_14_01_13 à 20h_Maquette PLT" xfId="2061"/>
    <cellStyle name="s_Dilution_PAO-CAF-RESOP_14_01_13 à 20h_Output" xfId="2062"/>
    <cellStyle name="s_Dilution_PAO-CAF-RESOP_14_01_13 à 20h_PPA" xfId="2063"/>
    <cellStyle name="s_Dilution_PAO-CAF-RESOP_14_01_13 à 20h_RESOP bef CICE&amp;PPA&amp;RepartHO" xfId="2064"/>
    <cellStyle name="s_Dilution_PAO-CAF-RESOP_2014.02" xfId="2065"/>
    <cellStyle name="s_Dilution_PAO-CAF-RESOP_2014.02_Bridge_Zone_Sud" xfId="2066"/>
    <cellStyle name="s_Dilution_PPA" xfId="2067"/>
    <cellStyle name="s_Dilution_RESOP bef CICE&amp;PPA&amp;RepartHO" xfId="2068"/>
    <cellStyle name="s_Financials_B" xfId="580"/>
    <cellStyle name="s_Financials_B_Actualisation provision contrat déficitaire SNCM 2010 V Def" xfId="581"/>
    <cellStyle name="s_Financials_B_Actualisation provision contrat déficitaire SNCM 2010 V Def_B14_E2_2210" xfId="2069"/>
    <cellStyle name="s_Financials_B_Actualisation provision contrat déficitaire SNCM 2010 V Def_B14_E2_2210_Bridge_Zone_Sud" xfId="2070"/>
    <cellStyle name="s_Financials_B_Actualisation provision contrat déficitaire SNCM 2010 V Def_Bridge_Zone_Sud" xfId="2071"/>
    <cellStyle name="s_Financials_B_Actualisation provision contrat déficitaire SNCM 2010 V Def_CAPEM BY COUNTRY" xfId="2072"/>
    <cellStyle name="s_Financials_B_Actualisation provision contrat déficitaire SNCM 2010 V Def_Context" xfId="2073"/>
    <cellStyle name="s_Financials_B_Actualisation provision contrat déficitaire SNCM 2010 V Def_focus par entités CAFOPE2AMF" xfId="2074"/>
    <cellStyle name="s_Financials_B_Actualisation provision contrat déficitaire SNCM 2010 V Def_focus par entités CAFOPE2AMF_Bridge_Zone_Sud" xfId="2075"/>
    <cellStyle name="s_Financials_B_Actualisation provision contrat déficitaire SNCM 2010 V Def_Maquette PLT" xfId="2076"/>
    <cellStyle name="s_Financials_B_Actualisation provision contrat déficitaire SNCM 2010 V Def_Output" xfId="2077"/>
    <cellStyle name="s_Financials_B_Actualisation provision contrat déficitaire SNCM 2010 V Def_PAO-CAF-RESOP_04_13_pro_format_variante T1" xfId="2078"/>
    <cellStyle name="s_Financials_B_Actualisation provision contrat déficitaire SNCM 2010 V Def_PAO-CAF-RESOP_04_13_pro_format_variante T1_B14_E2_2210" xfId="2079"/>
    <cellStyle name="s_Financials_B_Actualisation provision contrat déficitaire SNCM 2010 V Def_PAO-CAF-RESOP_04_13_pro_format_variante T1_B14_E2_2210_Bridge_Zone_Sud" xfId="2080"/>
    <cellStyle name="s_Financials_B_Actualisation provision contrat déficitaire SNCM 2010 V Def_PAO-CAF-RESOP_04_13_pro_format_variante T1_Bridge_Zone_Sud" xfId="2081"/>
    <cellStyle name="s_Financials_B_Actualisation provision contrat déficitaire SNCM 2010 V Def_PAO-CAF-RESOP_06_13" xfId="2082"/>
    <cellStyle name="s_Financials_B_Actualisation provision contrat déficitaire SNCM 2010 V Def_PAO-CAF-RESOP_06_13_B14_E2_2210" xfId="2083"/>
    <cellStyle name="s_Financials_B_Actualisation provision contrat déficitaire SNCM 2010 V Def_PAO-CAF-RESOP_06_13_B14_E2_2210_Bridge_Zone_Sud" xfId="2084"/>
    <cellStyle name="s_Financials_B_Actualisation provision contrat déficitaire SNCM 2010 V Def_PAO-CAF-RESOP_06_13_Bridge_Zone_Sud" xfId="2085"/>
    <cellStyle name="s_Financials_B_Actualisation provision contrat déficitaire SNCM 2010 V Def_PAO-CAF-RESOP_08_13" xfId="2086"/>
    <cellStyle name="s_Financials_B_Actualisation provision contrat déficitaire SNCM 2010 V Def_PAO-CAF-RESOP_08_13_B14_E2_2210" xfId="2087"/>
    <cellStyle name="s_Financials_B_Actualisation provision contrat déficitaire SNCM 2010 V Def_PAO-CAF-RESOP_08_13_B14_E2_2210_Bridge_Zone_Sud" xfId="2088"/>
    <cellStyle name="s_Financials_B_Actualisation provision contrat déficitaire SNCM 2010 V Def_PAO-CAF-RESOP_08_13_Bridge_Zone_Sud" xfId="2089"/>
    <cellStyle name="s_Financials_B_Actualisation provision contrat déficitaire SNCM 2010 V Def_PAO-CAF-RESOP_09_13" xfId="2090"/>
    <cellStyle name="s_Financials_B_Actualisation provision contrat déficitaire SNCM 2010 V Def_PAO-CAF-RESOP_09_13_Bridge_Zone_Sud" xfId="2091"/>
    <cellStyle name="s_Financials_B_Actualisation provision contrat déficitaire SNCM 2010 V Def_PAO-CAF-RESOP_09_2013_Zone_IDF (version 2)" xfId="2092"/>
    <cellStyle name="s_Financials_B_Actualisation provision contrat déficitaire SNCM 2010 V Def_PAO-CAF-RESOP_10_12" xfId="2093"/>
    <cellStyle name="s_Financials_B_Actualisation provision contrat déficitaire SNCM 2010 V Def_PAO-CAF-RESOP_10_12_Bridge_Zone_Sud" xfId="2094"/>
    <cellStyle name="s_Financials_B_Actualisation provision contrat déficitaire SNCM 2010 V Def_PAO-CAF-RESOP_10_12_focus par entités CAFOP" xfId="2095"/>
    <cellStyle name="s_Financials_B_Actualisation provision contrat déficitaire SNCM 2010 V Def_PAO-CAF-RESOP_10_12_focus par entités CAFOP_Bridge_Zone_Sud" xfId="2096"/>
    <cellStyle name="s_Financials_B_Actualisation provision contrat déficitaire SNCM 2010 V Def_PAO-CAF-RESOP_11_13" xfId="2097"/>
    <cellStyle name="s_Financials_B_Actualisation provision contrat déficitaire SNCM 2010 V Def_PAO-CAF-RESOP_B13" xfId="2098"/>
    <cellStyle name="s_Financials_B_Actualisation provision contrat déficitaire SNCM 2010 V Def_PAO-CAF-RESOP_B13_Bridge_Zone_Sud" xfId="2099"/>
    <cellStyle name="s_Financials_B_Actualisation provision contrat déficitaire SNCM 2010 V Def_PAO-CAF-RESOP_B13_focus par entités CAFOP" xfId="2100"/>
    <cellStyle name="s_Financials_B_Actualisation provision contrat déficitaire SNCM 2010 V Def_PAO-CAF-RESOP_B13_focus par entités CAFOP_Bridge_Zone_Sud" xfId="2101"/>
    <cellStyle name="s_Financials_B_Actualisation provision contrat déficitaire SNCM 2010 V Def_PAO-CAF-RESOP_B2014" xfId="2102"/>
    <cellStyle name="s_Financials_B_Actualisation provision contrat déficitaire SNCM 2010 V Def_PAO-CAF-RESOP_B2014_Bridge_Zone_Sud" xfId="2103"/>
    <cellStyle name="s_Financials_B_Actualisation provision contrat déficitaire SNCM 2010 V Def_PAO-CAF-RESOP_B2014_v2" xfId="2104"/>
    <cellStyle name="s_Financials_B_Actualisation provision contrat déficitaire SNCM 2010 V Def_PAO-CAF-RESOP_E2_13" xfId="2105"/>
    <cellStyle name="s_Financials_B_Actualisation provision contrat déficitaire SNCM 2010 V Def_PAO-CAF-RESOP_E2_13_B14_E2_2210" xfId="2106"/>
    <cellStyle name="s_Financials_B_Actualisation provision contrat déficitaire SNCM 2010 V Def_PAO-CAF-RESOP_E2_13_B14_E2_2210_Bridge_Zone_Sud" xfId="2107"/>
    <cellStyle name="s_Financials_B_Actualisation provision contrat déficitaire SNCM 2010 V Def_PAO-CAF-RESOP_E2_13_Bridge_Zone_Sud" xfId="2108"/>
    <cellStyle name="s_Financials_B_Actualisation provision contrat déficitaire SNCM 2010 V Def_PAO-CAF-RESOP_E2_2013_03_10_19H" xfId="2109"/>
    <cellStyle name="s_Financials_B_Actualisation provision contrat déficitaire SNCM 2010 V Def_PAO-CAF-RESOP_E2_2013_03_10_19H_Bridge_Zone_Sud" xfId="2110"/>
    <cellStyle name="s_Financials_B_Actualisation provision contrat déficitaire SNCM 2010 V Def_PPA" xfId="2111"/>
    <cellStyle name="s_Financials_B_Actualisation provision contrat déficitaire SNCM 2010 V Def_RESOP bef CICE&amp;PPA&amp;RepartHO" xfId="2112"/>
    <cellStyle name="s_Financials_B_Actualisation provision contrat déficitaire SNCM 2010 V Def_Synthèse_Présentation_conso_retraitée" xfId="2113"/>
    <cellStyle name="s_Financials_B_Actualisation provision contrat déficitaire SNCM 2011 V3 30 05 2011" xfId="582"/>
    <cellStyle name="s_Financials_B_Actualisation provision contrat déficitaire SNCM 2011 V3 30 05 2011_B14_E2_2210" xfId="2114"/>
    <cellStyle name="s_Financials_B_Actualisation provision contrat déficitaire SNCM 2011 V3 30 05 2011_B14_E2_2210_Bridge_Zone_Sud" xfId="2115"/>
    <cellStyle name="s_Financials_B_Actualisation provision contrat déficitaire SNCM 2011 V3 30 05 2011_Bridge_Zone_Sud" xfId="2116"/>
    <cellStyle name="s_Financials_B_Actualisation provision contrat déficitaire SNCM 2011 V3 30 05 2011_CAPEM BY COUNTRY" xfId="2117"/>
    <cellStyle name="s_Financials_B_Actualisation provision contrat déficitaire SNCM 2011 V3 30 05 2011_Context" xfId="2118"/>
    <cellStyle name="s_Financials_B_Actualisation provision contrat déficitaire SNCM 2011 V3 30 05 2011_focus par entités CAFOPE2AMF" xfId="2119"/>
    <cellStyle name="s_Financials_B_Actualisation provision contrat déficitaire SNCM 2011 V3 30 05 2011_focus par entités CAFOPE2AMF_Bridge_Zone_Sud" xfId="2120"/>
    <cellStyle name="s_Financials_B_Actualisation provision contrat déficitaire SNCM 2011 V3 30 05 2011_Maquette PLT" xfId="2121"/>
    <cellStyle name="s_Financials_B_Actualisation provision contrat déficitaire SNCM 2011 V3 30 05 2011_Output" xfId="2122"/>
    <cellStyle name="s_Financials_B_Actualisation provision contrat déficitaire SNCM 2011 V3 30 05 2011_PAO-CAF-RESOP_04_13_pro_format_variante T1" xfId="2123"/>
    <cellStyle name="s_Financials_B_Actualisation provision contrat déficitaire SNCM 2011 V3 30 05 2011_PAO-CAF-RESOP_04_13_pro_format_variante T1_B14_E2_2210" xfId="2124"/>
    <cellStyle name="s_Financials_B_Actualisation provision contrat déficitaire SNCM 2011 V3 30 05 2011_PAO-CAF-RESOP_04_13_pro_format_variante T1_B14_E2_2210_Bridge_Zone_Sud" xfId="2125"/>
    <cellStyle name="s_Financials_B_Actualisation provision contrat déficitaire SNCM 2011 V3 30 05 2011_PAO-CAF-RESOP_04_13_pro_format_variante T1_Bridge_Zone_Sud" xfId="2126"/>
    <cellStyle name="s_Financials_B_Actualisation provision contrat déficitaire SNCM 2011 V3 30 05 2011_PAO-CAF-RESOP_06_13" xfId="2127"/>
    <cellStyle name="s_Financials_B_Actualisation provision contrat déficitaire SNCM 2011 V3 30 05 2011_PAO-CAF-RESOP_06_13_B14_E2_2210" xfId="2128"/>
    <cellStyle name="s_Financials_B_Actualisation provision contrat déficitaire SNCM 2011 V3 30 05 2011_PAO-CAF-RESOP_06_13_B14_E2_2210_Bridge_Zone_Sud" xfId="2129"/>
    <cellStyle name="s_Financials_B_Actualisation provision contrat déficitaire SNCM 2011 V3 30 05 2011_PAO-CAF-RESOP_06_13_Bridge_Zone_Sud" xfId="2130"/>
    <cellStyle name="s_Financials_B_Actualisation provision contrat déficitaire SNCM 2011 V3 30 05 2011_PAO-CAF-RESOP_08_13" xfId="2131"/>
    <cellStyle name="s_Financials_B_Actualisation provision contrat déficitaire SNCM 2011 V3 30 05 2011_PAO-CAF-RESOP_08_13_B14_E2_2210" xfId="2132"/>
    <cellStyle name="s_Financials_B_Actualisation provision contrat déficitaire SNCM 2011 V3 30 05 2011_PAO-CAF-RESOP_08_13_B14_E2_2210_Bridge_Zone_Sud" xfId="2133"/>
    <cellStyle name="s_Financials_B_Actualisation provision contrat déficitaire SNCM 2011 V3 30 05 2011_PAO-CAF-RESOP_08_13_Bridge_Zone_Sud" xfId="2134"/>
    <cellStyle name="s_Financials_B_Actualisation provision contrat déficitaire SNCM 2011 V3 30 05 2011_PAO-CAF-RESOP_09_13" xfId="2135"/>
    <cellStyle name="s_Financials_B_Actualisation provision contrat déficitaire SNCM 2011 V3 30 05 2011_PAO-CAF-RESOP_09_13_Bridge_Zone_Sud" xfId="2136"/>
    <cellStyle name="s_Financials_B_Actualisation provision contrat déficitaire SNCM 2011 V3 30 05 2011_PAO-CAF-RESOP_09_2013_Zone_IDF (version 2)" xfId="2137"/>
    <cellStyle name="s_Financials_B_Actualisation provision contrat déficitaire SNCM 2011 V3 30 05 2011_PAO-CAF-RESOP_10_12" xfId="2138"/>
    <cellStyle name="s_Financials_B_Actualisation provision contrat déficitaire SNCM 2011 V3 30 05 2011_PAO-CAF-RESOP_10_12_Bridge_Zone_Sud" xfId="2139"/>
    <cellStyle name="s_Financials_B_Actualisation provision contrat déficitaire SNCM 2011 V3 30 05 2011_PAO-CAF-RESOP_10_12_focus par entités CAFOP" xfId="2140"/>
    <cellStyle name="s_Financials_B_Actualisation provision contrat déficitaire SNCM 2011 V3 30 05 2011_PAO-CAF-RESOP_10_12_focus par entités CAFOP_Bridge_Zone_Sud" xfId="2141"/>
    <cellStyle name="s_Financials_B_Actualisation provision contrat déficitaire SNCM 2011 V3 30 05 2011_PAO-CAF-RESOP_11_13" xfId="2142"/>
    <cellStyle name="s_Financials_B_Actualisation provision contrat déficitaire SNCM 2011 V3 30 05 2011_PAO-CAF-RESOP_B13" xfId="2143"/>
    <cellStyle name="s_Financials_B_Actualisation provision contrat déficitaire SNCM 2011 V3 30 05 2011_PAO-CAF-RESOP_B13_Bridge_Zone_Sud" xfId="2144"/>
    <cellStyle name="s_Financials_B_Actualisation provision contrat déficitaire SNCM 2011 V3 30 05 2011_PAO-CAF-RESOP_B13_focus par entités CAFOP" xfId="2145"/>
    <cellStyle name="s_Financials_B_Actualisation provision contrat déficitaire SNCM 2011 V3 30 05 2011_PAO-CAF-RESOP_B13_focus par entités CAFOP_Bridge_Zone_Sud" xfId="2146"/>
    <cellStyle name="s_Financials_B_Actualisation provision contrat déficitaire SNCM 2011 V3 30 05 2011_PAO-CAF-RESOP_B2014" xfId="2147"/>
    <cellStyle name="s_Financials_B_Actualisation provision contrat déficitaire SNCM 2011 V3 30 05 2011_PAO-CAF-RESOP_B2014_Bridge_Zone_Sud" xfId="2148"/>
    <cellStyle name="s_Financials_B_Actualisation provision contrat déficitaire SNCM 2011 V3 30 05 2011_PAO-CAF-RESOP_B2014_v2" xfId="2149"/>
    <cellStyle name="s_Financials_B_Actualisation provision contrat déficitaire SNCM 2011 V3 30 05 2011_PAO-CAF-RESOP_E2_13" xfId="2150"/>
    <cellStyle name="s_Financials_B_Actualisation provision contrat déficitaire SNCM 2011 V3 30 05 2011_PAO-CAF-RESOP_E2_13_B14_E2_2210" xfId="2151"/>
    <cellStyle name="s_Financials_B_Actualisation provision contrat déficitaire SNCM 2011 V3 30 05 2011_PAO-CAF-RESOP_E2_13_B14_E2_2210_Bridge_Zone_Sud" xfId="2152"/>
    <cellStyle name="s_Financials_B_Actualisation provision contrat déficitaire SNCM 2011 V3 30 05 2011_PAO-CAF-RESOP_E2_13_Bridge_Zone_Sud" xfId="2153"/>
    <cellStyle name="s_Financials_B_Actualisation provision contrat déficitaire SNCM 2011 V3 30 05 2011_PAO-CAF-RESOP_E2_2013_03_10_19H" xfId="2154"/>
    <cellStyle name="s_Financials_B_Actualisation provision contrat déficitaire SNCM 2011 V3 30 05 2011_PAO-CAF-RESOP_E2_2013_03_10_19H_Bridge_Zone_Sud" xfId="2155"/>
    <cellStyle name="s_Financials_B_Actualisation provision contrat déficitaire SNCM 2011 V3 30 05 2011_PPA" xfId="2156"/>
    <cellStyle name="s_Financials_B_Actualisation provision contrat déficitaire SNCM 2011 V3 30 05 2011_RESOP bef CICE&amp;PPA&amp;RepartHO" xfId="2157"/>
    <cellStyle name="s_Financials_B_Actualisation provision contrat déficitaire SNCM 2011 V3 30 05 2011_Synthèse_Présentation_conso_retraitée" xfId="2158"/>
    <cellStyle name="s_Financials_B_B14_E2_2210" xfId="2159"/>
    <cellStyle name="s_Financials_B_B14_E2_2210_Bridge_Zone_Sud" xfId="2160"/>
    <cellStyle name="s_Financials_B_BFR_TD_2014.02" xfId="2161"/>
    <cellStyle name="s_Financials_B_Bridge_Zone_Nord" xfId="2162"/>
    <cellStyle name="s_Financials_B_CAPEM BY COUNTRY" xfId="2163"/>
    <cellStyle name="s_Financials_B_Context" xfId="2164"/>
    <cellStyle name="s_Financials_B_LI819L_B13" xfId="583"/>
    <cellStyle name="s_Financials_B_LI819L_B13_CAPEM BY COUNTRY" xfId="2165"/>
    <cellStyle name="s_Financials_B_LI819L_B13_Context" xfId="2166"/>
    <cellStyle name="s_Financials_B_LI819L_B13_Maquette PLT" xfId="2167"/>
    <cellStyle name="s_Financials_B_LI819L_B13_Output" xfId="2168"/>
    <cellStyle name="s_Financials_B_LI819L_B13_PPA" xfId="2169"/>
    <cellStyle name="s_Financials_B_LI819L_B13_RESOP bef CICE&amp;PPA&amp;RepartHO" xfId="2170"/>
    <cellStyle name="s_Financials_B_Maquette PLT" xfId="2171"/>
    <cellStyle name="s_Financials_B_Output" xfId="2172"/>
    <cellStyle name="s_Financials_B_PAO-CAF-RESOP_14_01_13 à 20h" xfId="584"/>
    <cellStyle name="s_Financials_B_PAO-CAF-RESOP_14_01_13 à 20h_CAPEM BY COUNTRY" xfId="2173"/>
    <cellStyle name="s_Financials_B_PAO-CAF-RESOP_14_01_13 à 20h_Context" xfId="2174"/>
    <cellStyle name="s_Financials_B_PAO-CAF-RESOP_14_01_13 à 20h_Maquette PLT" xfId="2175"/>
    <cellStyle name="s_Financials_B_PAO-CAF-RESOP_14_01_13 à 20h_Output" xfId="2176"/>
    <cellStyle name="s_Financials_B_PAO-CAF-RESOP_14_01_13 à 20h_PPA" xfId="2177"/>
    <cellStyle name="s_Financials_B_PAO-CAF-RESOP_14_01_13 à 20h_RESOP bef CICE&amp;PPA&amp;RepartHO" xfId="2178"/>
    <cellStyle name="s_Financials_B_PAO-CAF-RESOP_2014.02" xfId="2179"/>
    <cellStyle name="s_Financials_B_PAO-CAF-RESOP_2014.02_Bridge_Zone_Sud" xfId="2180"/>
    <cellStyle name="s_Financials_B_PPA" xfId="2181"/>
    <cellStyle name="s_Financials_B_RESOP bef CICE&amp;PPA&amp;RepartHO" xfId="2182"/>
    <cellStyle name="s_Financials_T" xfId="585"/>
    <cellStyle name="s_Financials_T_Actualisation provision contrat déficitaire SNCM 2010 V Def" xfId="586"/>
    <cellStyle name="s_Financials_T_Actualisation provision contrat déficitaire SNCM 2010 V Def_B14_E2_2210" xfId="2183"/>
    <cellStyle name="s_Financials_T_Actualisation provision contrat déficitaire SNCM 2010 V Def_B14_E2_2210_Bridge_Zone_Sud" xfId="2184"/>
    <cellStyle name="s_Financials_T_Actualisation provision contrat déficitaire SNCM 2010 V Def_Bridge_Zone_Sud" xfId="2185"/>
    <cellStyle name="s_Financials_T_Actualisation provision contrat déficitaire SNCM 2010 V Def_CAPEM BY COUNTRY" xfId="2186"/>
    <cellStyle name="s_Financials_T_Actualisation provision contrat déficitaire SNCM 2010 V Def_Context" xfId="2187"/>
    <cellStyle name="s_Financials_T_Actualisation provision contrat déficitaire SNCM 2010 V Def_focus par entités CAFOPE2AMF" xfId="2188"/>
    <cellStyle name="s_Financials_T_Actualisation provision contrat déficitaire SNCM 2010 V Def_focus par entités CAFOPE2AMF_Bridge_Zone_Sud" xfId="2189"/>
    <cellStyle name="s_Financials_T_Actualisation provision contrat déficitaire SNCM 2010 V Def_Maquette PLT" xfId="2190"/>
    <cellStyle name="s_Financials_T_Actualisation provision contrat déficitaire SNCM 2010 V Def_Output" xfId="2191"/>
    <cellStyle name="s_Financials_T_Actualisation provision contrat déficitaire SNCM 2010 V Def_PAO-CAF-RESOP_04_13_pro_format_variante T1" xfId="2192"/>
    <cellStyle name="s_Financials_T_Actualisation provision contrat déficitaire SNCM 2010 V Def_PAO-CAF-RESOP_04_13_pro_format_variante T1_B14_E2_2210" xfId="2193"/>
    <cellStyle name="s_Financials_T_Actualisation provision contrat déficitaire SNCM 2010 V Def_PAO-CAF-RESOP_04_13_pro_format_variante T1_B14_E2_2210_Bridge_Zone_Sud" xfId="2194"/>
    <cellStyle name="s_Financials_T_Actualisation provision contrat déficitaire SNCM 2010 V Def_PAO-CAF-RESOP_04_13_pro_format_variante T1_Bridge_Zone_Sud" xfId="2195"/>
    <cellStyle name="s_Financials_T_Actualisation provision contrat déficitaire SNCM 2010 V Def_PAO-CAF-RESOP_06_13" xfId="2196"/>
    <cellStyle name="s_Financials_T_Actualisation provision contrat déficitaire SNCM 2010 V Def_PAO-CAF-RESOP_06_13_B14_E2_2210" xfId="2197"/>
    <cellStyle name="s_Financials_T_Actualisation provision contrat déficitaire SNCM 2010 V Def_PAO-CAF-RESOP_06_13_B14_E2_2210_Bridge_Zone_Sud" xfId="2198"/>
    <cellStyle name="s_Financials_T_Actualisation provision contrat déficitaire SNCM 2010 V Def_PAO-CAF-RESOP_06_13_Bridge_Zone_Sud" xfId="2199"/>
    <cellStyle name="s_Financials_T_Actualisation provision contrat déficitaire SNCM 2010 V Def_PAO-CAF-RESOP_08_13" xfId="2200"/>
    <cellStyle name="s_Financials_T_Actualisation provision contrat déficitaire SNCM 2010 V Def_PAO-CAF-RESOP_08_13_B14_E2_2210" xfId="2201"/>
    <cellStyle name="s_Financials_T_Actualisation provision contrat déficitaire SNCM 2010 V Def_PAO-CAF-RESOP_08_13_B14_E2_2210_Bridge_Zone_Sud" xfId="2202"/>
    <cellStyle name="s_Financials_T_Actualisation provision contrat déficitaire SNCM 2010 V Def_PAO-CAF-RESOP_08_13_Bridge_Zone_Sud" xfId="2203"/>
    <cellStyle name="s_Financials_T_Actualisation provision contrat déficitaire SNCM 2010 V Def_PAO-CAF-RESOP_09_13" xfId="2204"/>
    <cellStyle name="s_Financials_T_Actualisation provision contrat déficitaire SNCM 2010 V Def_PAO-CAF-RESOP_09_13_Bridge_Zone_Sud" xfId="2205"/>
    <cellStyle name="s_Financials_T_Actualisation provision contrat déficitaire SNCM 2010 V Def_PAO-CAF-RESOP_09_2013_Zone_IDF (version 2)" xfId="2206"/>
    <cellStyle name="s_Financials_T_Actualisation provision contrat déficitaire SNCM 2010 V Def_PAO-CAF-RESOP_10_12" xfId="2207"/>
    <cellStyle name="s_Financials_T_Actualisation provision contrat déficitaire SNCM 2010 V Def_PAO-CAF-RESOP_10_12_Bridge_Zone_Sud" xfId="2208"/>
    <cellStyle name="s_Financials_T_Actualisation provision contrat déficitaire SNCM 2010 V Def_PAO-CAF-RESOP_10_12_focus par entités CAFOP" xfId="2209"/>
    <cellStyle name="s_Financials_T_Actualisation provision contrat déficitaire SNCM 2010 V Def_PAO-CAF-RESOP_10_12_focus par entités CAFOP_Bridge_Zone_Sud" xfId="2210"/>
    <cellStyle name="s_Financials_T_Actualisation provision contrat déficitaire SNCM 2010 V Def_PAO-CAF-RESOP_11_13" xfId="2211"/>
    <cellStyle name="s_Financials_T_Actualisation provision contrat déficitaire SNCM 2010 V Def_PAO-CAF-RESOP_B13" xfId="2212"/>
    <cellStyle name="s_Financials_T_Actualisation provision contrat déficitaire SNCM 2010 V Def_PAO-CAF-RESOP_B13_Bridge_Zone_Sud" xfId="2213"/>
    <cellStyle name="s_Financials_T_Actualisation provision contrat déficitaire SNCM 2010 V Def_PAO-CAF-RESOP_B13_focus par entités CAFOP" xfId="2214"/>
    <cellStyle name="s_Financials_T_Actualisation provision contrat déficitaire SNCM 2010 V Def_PAO-CAF-RESOP_B13_focus par entités CAFOP_Bridge_Zone_Sud" xfId="2215"/>
    <cellStyle name="s_Financials_T_Actualisation provision contrat déficitaire SNCM 2010 V Def_PAO-CAF-RESOP_B2014" xfId="2216"/>
    <cellStyle name="s_Financials_T_Actualisation provision contrat déficitaire SNCM 2010 V Def_PAO-CAF-RESOP_B2014_Bridge_Zone_Sud" xfId="2217"/>
    <cellStyle name="s_Financials_T_Actualisation provision contrat déficitaire SNCM 2010 V Def_PAO-CAF-RESOP_B2014_v2" xfId="2218"/>
    <cellStyle name="s_Financials_T_Actualisation provision contrat déficitaire SNCM 2010 V Def_PAO-CAF-RESOP_E2_13" xfId="2219"/>
    <cellStyle name="s_Financials_T_Actualisation provision contrat déficitaire SNCM 2010 V Def_PAO-CAF-RESOP_E2_13_B14_E2_2210" xfId="2220"/>
    <cellStyle name="s_Financials_T_Actualisation provision contrat déficitaire SNCM 2010 V Def_PAO-CAF-RESOP_E2_13_B14_E2_2210_Bridge_Zone_Sud" xfId="2221"/>
    <cellStyle name="s_Financials_T_Actualisation provision contrat déficitaire SNCM 2010 V Def_PAO-CAF-RESOP_E2_13_Bridge_Zone_Sud" xfId="2222"/>
    <cellStyle name="s_Financials_T_Actualisation provision contrat déficitaire SNCM 2010 V Def_PAO-CAF-RESOP_E2_2013_03_10_19H" xfId="2223"/>
    <cellStyle name="s_Financials_T_Actualisation provision contrat déficitaire SNCM 2010 V Def_PAO-CAF-RESOP_E2_2013_03_10_19H_Bridge_Zone_Sud" xfId="2224"/>
    <cellStyle name="s_Financials_T_Actualisation provision contrat déficitaire SNCM 2010 V Def_PPA" xfId="2225"/>
    <cellStyle name="s_Financials_T_Actualisation provision contrat déficitaire SNCM 2010 V Def_RESOP bef CICE&amp;PPA&amp;RepartHO" xfId="2226"/>
    <cellStyle name="s_Financials_T_Actualisation provision contrat déficitaire SNCM 2010 V Def_Synthèse_Présentation_conso_retraitée" xfId="2227"/>
    <cellStyle name="s_Financials_T_Actualisation provision contrat déficitaire SNCM 2011 V3 30 05 2011" xfId="587"/>
    <cellStyle name="s_Financials_T_Actualisation provision contrat déficitaire SNCM 2011 V3 30 05 2011_B14_E2_2210" xfId="2228"/>
    <cellStyle name="s_Financials_T_Actualisation provision contrat déficitaire SNCM 2011 V3 30 05 2011_B14_E2_2210_Bridge_Zone_Sud" xfId="2229"/>
    <cellStyle name="s_Financials_T_Actualisation provision contrat déficitaire SNCM 2011 V3 30 05 2011_Bridge_Zone_Sud" xfId="2230"/>
    <cellStyle name="s_Financials_T_Actualisation provision contrat déficitaire SNCM 2011 V3 30 05 2011_CAPEM BY COUNTRY" xfId="2231"/>
    <cellStyle name="s_Financials_T_Actualisation provision contrat déficitaire SNCM 2011 V3 30 05 2011_Context" xfId="2232"/>
    <cellStyle name="s_Financials_T_Actualisation provision contrat déficitaire SNCM 2011 V3 30 05 2011_focus par entités CAFOPE2AMF" xfId="2233"/>
    <cellStyle name="s_Financials_T_Actualisation provision contrat déficitaire SNCM 2011 V3 30 05 2011_focus par entités CAFOPE2AMF_Bridge_Zone_Sud" xfId="2234"/>
    <cellStyle name="s_Financials_T_Actualisation provision contrat déficitaire SNCM 2011 V3 30 05 2011_Maquette PLT" xfId="2235"/>
    <cellStyle name="s_Financials_T_Actualisation provision contrat déficitaire SNCM 2011 V3 30 05 2011_Output" xfId="2236"/>
    <cellStyle name="s_Financials_T_Actualisation provision contrat déficitaire SNCM 2011 V3 30 05 2011_PAO-CAF-RESOP_04_13_pro_format_variante T1" xfId="2237"/>
    <cellStyle name="s_Financials_T_Actualisation provision contrat déficitaire SNCM 2011 V3 30 05 2011_PAO-CAF-RESOP_04_13_pro_format_variante T1_B14_E2_2210" xfId="2238"/>
    <cellStyle name="s_Financials_T_Actualisation provision contrat déficitaire SNCM 2011 V3 30 05 2011_PAO-CAF-RESOP_04_13_pro_format_variante T1_B14_E2_2210_Bridge_Zone_Sud" xfId="2239"/>
    <cellStyle name="s_Financials_T_Actualisation provision contrat déficitaire SNCM 2011 V3 30 05 2011_PAO-CAF-RESOP_04_13_pro_format_variante T1_Bridge_Zone_Sud" xfId="2240"/>
    <cellStyle name="s_Financials_T_Actualisation provision contrat déficitaire SNCM 2011 V3 30 05 2011_PAO-CAF-RESOP_06_13" xfId="2241"/>
    <cellStyle name="s_Financials_T_Actualisation provision contrat déficitaire SNCM 2011 V3 30 05 2011_PAO-CAF-RESOP_06_13_B14_E2_2210" xfId="2242"/>
    <cellStyle name="s_Financials_T_Actualisation provision contrat déficitaire SNCM 2011 V3 30 05 2011_PAO-CAF-RESOP_06_13_B14_E2_2210_Bridge_Zone_Sud" xfId="2243"/>
    <cellStyle name="s_Financials_T_Actualisation provision contrat déficitaire SNCM 2011 V3 30 05 2011_PAO-CAF-RESOP_06_13_Bridge_Zone_Sud" xfId="2244"/>
    <cellStyle name="s_Financials_T_Actualisation provision contrat déficitaire SNCM 2011 V3 30 05 2011_PAO-CAF-RESOP_08_13" xfId="2245"/>
    <cellStyle name="s_Financials_T_Actualisation provision contrat déficitaire SNCM 2011 V3 30 05 2011_PAO-CAF-RESOP_08_13_B14_E2_2210" xfId="2246"/>
    <cellStyle name="s_Financials_T_Actualisation provision contrat déficitaire SNCM 2011 V3 30 05 2011_PAO-CAF-RESOP_08_13_B14_E2_2210_Bridge_Zone_Sud" xfId="2247"/>
    <cellStyle name="s_Financials_T_Actualisation provision contrat déficitaire SNCM 2011 V3 30 05 2011_PAO-CAF-RESOP_08_13_Bridge_Zone_Sud" xfId="2248"/>
    <cellStyle name="s_Financials_T_Actualisation provision contrat déficitaire SNCM 2011 V3 30 05 2011_PAO-CAF-RESOP_09_13" xfId="2249"/>
    <cellStyle name="s_Financials_T_Actualisation provision contrat déficitaire SNCM 2011 V3 30 05 2011_PAO-CAF-RESOP_09_13_Bridge_Zone_Sud" xfId="2250"/>
    <cellStyle name="s_Financials_T_Actualisation provision contrat déficitaire SNCM 2011 V3 30 05 2011_PAO-CAF-RESOP_09_2013_Zone_IDF (version 2)" xfId="2251"/>
    <cellStyle name="s_Financials_T_Actualisation provision contrat déficitaire SNCM 2011 V3 30 05 2011_PAO-CAF-RESOP_10_12" xfId="2252"/>
    <cellStyle name="s_Financials_T_Actualisation provision contrat déficitaire SNCM 2011 V3 30 05 2011_PAO-CAF-RESOP_10_12_Bridge_Zone_Sud" xfId="2253"/>
    <cellStyle name="s_Financials_T_Actualisation provision contrat déficitaire SNCM 2011 V3 30 05 2011_PAO-CAF-RESOP_10_12_focus par entités CAFOP" xfId="2254"/>
    <cellStyle name="s_Financials_T_Actualisation provision contrat déficitaire SNCM 2011 V3 30 05 2011_PAO-CAF-RESOP_10_12_focus par entités CAFOP_Bridge_Zone_Sud" xfId="2255"/>
    <cellStyle name="s_Financials_T_Actualisation provision contrat déficitaire SNCM 2011 V3 30 05 2011_PAO-CAF-RESOP_11_13" xfId="2256"/>
    <cellStyle name="s_Financials_T_Actualisation provision contrat déficitaire SNCM 2011 V3 30 05 2011_PAO-CAF-RESOP_B13" xfId="2257"/>
    <cellStyle name="s_Financials_T_Actualisation provision contrat déficitaire SNCM 2011 V3 30 05 2011_PAO-CAF-RESOP_B13_Bridge_Zone_Sud" xfId="2258"/>
    <cellStyle name="s_Financials_T_Actualisation provision contrat déficitaire SNCM 2011 V3 30 05 2011_PAO-CAF-RESOP_B13_focus par entités CAFOP" xfId="2259"/>
    <cellStyle name="s_Financials_T_Actualisation provision contrat déficitaire SNCM 2011 V3 30 05 2011_PAO-CAF-RESOP_B13_focus par entités CAFOP_Bridge_Zone_Sud" xfId="2260"/>
    <cellStyle name="s_Financials_T_Actualisation provision contrat déficitaire SNCM 2011 V3 30 05 2011_PAO-CAF-RESOP_B2014" xfId="2261"/>
    <cellStyle name="s_Financials_T_Actualisation provision contrat déficitaire SNCM 2011 V3 30 05 2011_PAO-CAF-RESOP_B2014_Bridge_Zone_Sud" xfId="2262"/>
    <cellStyle name="s_Financials_T_Actualisation provision contrat déficitaire SNCM 2011 V3 30 05 2011_PAO-CAF-RESOP_B2014_v2" xfId="2263"/>
    <cellStyle name="s_Financials_T_Actualisation provision contrat déficitaire SNCM 2011 V3 30 05 2011_PAO-CAF-RESOP_E2_13" xfId="2264"/>
    <cellStyle name="s_Financials_T_Actualisation provision contrat déficitaire SNCM 2011 V3 30 05 2011_PAO-CAF-RESOP_E2_13_B14_E2_2210" xfId="2265"/>
    <cellStyle name="s_Financials_T_Actualisation provision contrat déficitaire SNCM 2011 V3 30 05 2011_PAO-CAF-RESOP_E2_13_B14_E2_2210_Bridge_Zone_Sud" xfId="2266"/>
    <cellStyle name="s_Financials_T_Actualisation provision contrat déficitaire SNCM 2011 V3 30 05 2011_PAO-CAF-RESOP_E2_13_Bridge_Zone_Sud" xfId="2267"/>
    <cellStyle name="s_Financials_T_Actualisation provision contrat déficitaire SNCM 2011 V3 30 05 2011_PAO-CAF-RESOP_E2_2013_03_10_19H" xfId="2268"/>
    <cellStyle name="s_Financials_T_Actualisation provision contrat déficitaire SNCM 2011 V3 30 05 2011_PAO-CAF-RESOP_E2_2013_03_10_19H_Bridge_Zone_Sud" xfId="2269"/>
    <cellStyle name="s_Financials_T_Actualisation provision contrat déficitaire SNCM 2011 V3 30 05 2011_PPA" xfId="2270"/>
    <cellStyle name="s_Financials_T_Actualisation provision contrat déficitaire SNCM 2011 V3 30 05 2011_RESOP bef CICE&amp;PPA&amp;RepartHO" xfId="2271"/>
    <cellStyle name="s_Financials_T_Actualisation provision contrat déficitaire SNCM 2011 V3 30 05 2011_Synthèse_Présentation_conso_retraitée" xfId="2272"/>
    <cellStyle name="s_Financials_T_B14_E2_2210" xfId="2273"/>
    <cellStyle name="s_Financials_T_B14_E2_2210_Bridge_Zone_Sud" xfId="2274"/>
    <cellStyle name="s_Financials_T_BFR_TD_2014.02" xfId="2275"/>
    <cellStyle name="s_Financials_T_Bridge_Zone_Nord" xfId="2276"/>
    <cellStyle name="s_Financials_T_CAPEM BY COUNTRY" xfId="2277"/>
    <cellStyle name="s_Financials_T_Context" xfId="2278"/>
    <cellStyle name="s_Financials_T_LI819L_B13" xfId="588"/>
    <cellStyle name="s_Financials_T_LI819L_B13_CAPEM BY COUNTRY" xfId="2279"/>
    <cellStyle name="s_Financials_T_LI819L_B13_Context" xfId="2280"/>
    <cellStyle name="s_Financials_T_LI819L_B13_Maquette PLT" xfId="2281"/>
    <cellStyle name="s_Financials_T_LI819L_B13_Output" xfId="2282"/>
    <cellStyle name="s_Financials_T_LI819L_B13_PPA" xfId="2283"/>
    <cellStyle name="s_Financials_T_LI819L_B13_RESOP bef CICE&amp;PPA&amp;RepartHO" xfId="2284"/>
    <cellStyle name="s_Financials_T_Maquette PLT" xfId="2285"/>
    <cellStyle name="s_Financials_T_Output" xfId="2286"/>
    <cellStyle name="s_Financials_T_PAO-CAF-RESOP_14_01_13 à 20h" xfId="589"/>
    <cellStyle name="s_Financials_T_PAO-CAF-RESOP_14_01_13 à 20h_CAPEM BY COUNTRY" xfId="2287"/>
    <cellStyle name="s_Financials_T_PAO-CAF-RESOP_14_01_13 à 20h_Context" xfId="2288"/>
    <cellStyle name="s_Financials_T_PAO-CAF-RESOP_14_01_13 à 20h_Maquette PLT" xfId="2289"/>
    <cellStyle name="s_Financials_T_PAO-CAF-RESOP_14_01_13 à 20h_Output" xfId="2290"/>
    <cellStyle name="s_Financials_T_PAO-CAF-RESOP_14_01_13 à 20h_PPA" xfId="2291"/>
    <cellStyle name="s_Financials_T_PAO-CAF-RESOP_14_01_13 à 20h_RESOP bef CICE&amp;PPA&amp;RepartHO" xfId="2292"/>
    <cellStyle name="s_Financials_T_PAO-CAF-RESOP_2014.02" xfId="2293"/>
    <cellStyle name="s_Financials_T_PAO-CAF-RESOP_2014.02_Bridge_Zone_Sud" xfId="2294"/>
    <cellStyle name="s_Financials_T_PPA" xfId="2295"/>
    <cellStyle name="s_Financials_T_RESOP bef CICE&amp;PPA&amp;RepartHO" xfId="2296"/>
    <cellStyle name="s_Grouse+Pelican" xfId="590"/>
    <cellStyle name="s_Grouse+Pelican_CAPEM BY COUNTRY" xfId="2297"/>
    <cellStyle name="s_Grouse+Pelican_Context" xfId="2298"/>
    <cellStyle name="s_Grouse+Pelican_Maquette PLT" xfId="2299"/>
    <cellStyle name="s_Grouse+Pelican_Output" xfId="2300"/>
    <cellStyle name="s_LI819L_B13" xfId="591"/>
    <cellStyle name="s_LI819L_B13_CAPEM BY COUNTRY" xfId="2301"/>
    <cellStyle name="s_LI819L_B13_Context" xfId="2302"/>
    <cellStyle name="s_LI819L_B13_Maquette PLT" xfId="2303"/>
    <cellStyle name="s_LI819L_B13_Output" xfId="2304"/>
    <cellStyle name="s_LI819L_B13_PPA" xfId="2305"/>
    <cellStyle name="s_LI819L_B13_RESOP bef CICE&amp;PPA&amp;RepartHO" xfId="2306"/>
    <cellStyle name="s_Maquette PLT" xfId="2307"/>
    <cellStyle name="s_Matrix_B" xfId="592"/>
    <cellStyle name="s_Matrix_B_Actualisation provision contrat déficitaire SNCM 2010 V Def" xfId="593"/>
    <cellStyle name="s_Matrix_B_Actualisation provision contrat déficitaire SNCM 2010 V Def_B14_E2_2210" xfId="2308"/>
    <cellStyle name="s_Matrix_B_Actualisation provision contrat déficitaire SNCM 2010 V Def_B14_E2_2210_Bridge_Zone_Sud" xfId="2309"/>
    <cellStyle name="s_Matrix_B_Actualisation provision contrat déficitaire SNCM 2010 V Def_Bridge_Zone_Sud" xfId="2310"/>
    <cellStyle name="s_Matrix_B_Actualisation provision contrat déficitaire SNCM 2010 V Def_CAPEM BY COUNTRY" xfId="2311"/>
    <cellStyle name="s_Matrix_B_Actualisation provision contrat déficitaire SNCM 2010 V Def_Context" xfId="2312"/>
    <cellStyle name="s_Matrix_B_Actualisation provision contrat déficitaire SNCM 2010 V Def_focus par entités CAFOPE2AMF" xfId="2313"/>
    <cellStyle name="s_Matrix_B_Actualisation provision contrat déficitaire SNCM 2010 V Def_focus par entités CAFOPE2AMF_Bridge_Zone_Sud" xfId="2314"/>
    <cellStyle name="s_Matrix_B_Actualisation provision contrat déficitaire SNCM 2010 V Def_Maquette PLT" xfId="2315"/>
    <cellStyle name="s_Matrix_B_Actualisation provision contrat déficitaire SNCM 2010 V Def_Output" xfId="2316"/>
    <cellStyle name="s_Matrix_B_Actualisation provision contrat déficitaire SNCM 2010 V Def_PAO-CAF-RESOP_04_13_pro_format_variante T1" xfId="2317"/>
    <cellStyle name="s_Matrix_B_Actualisation provision contrat déficitaire SNCM 2010 V Def_PAO-CAF-RESOP_04_13_pro_format_variante T1_B14_E2_2210" xfId="2318"/>
    <cellStyle name="s_Matrix_B_Actualisation provision contrat déficitaire SNCM 2010 V Def_PAO-CAF-RESOP_04_13_pro_format_variante T1_B14_E2_2210_Bridge_Zone_Sud" xfId="2319"/>
    <cellStyle name="s_Matrix_B_Actualisation provision contrat déficitaire SNCM 2010 V Def_PAO-CAF-RESOP_04_13_pro_format_variante T1_Bridge_Zone_Sud" xfId="2320"/>
    <cellStyle name="s_Matrix_B_Actualisation provision contrat déficitaire SNCM 2010 V Def_PAO-CAF-RESOP_06_13" xfId="2321"/>
    <cellStyle name="s_Matrix_B_Actualisation provision contrat déficitaire SNCM 2010 V Def_PAO-CAF-RESOP_06_13_B14_E2_2210" xfId="2322"/>
    <cellStyle name="s_Matrix_B_Actualisation provision contrat déficitaire SNCM 2010 V Def_PAO-CAF-RESOP_06_13_B14_E2_2210_Bridge_Zone_Sud" xfId="2323"/>
    <cellStyle name="s_Matrix_B_Actualisation provision contrat déficitaire SNCM 2010 V Def_PAO-CAF-RESOP_06_13_Bridge_Zone_Sud" xfId="2324"/>
    <cellStyle name="s_Matrix_B_Actualisation provision contrat déficitaire SNCM 2010 V Def_PAO-CAF-RESOP_08_13" xfId="2325"/>
    <cellStyle name="s_Matrix_B_Actualisation provision contrat déficitaire SNCM 2010 V Def_PAO-CAF-RESOP_08_13_B14_E2_2210" xfId="2326"/>
    <cellStyle name="s_Matrix_B_Actualisation provision contrat déficitaire SNCM 2010 V Def_PAO-CAF-RESOP_08_13_B14_E2_2210_Bridge_Zone_Sud" xfId="2327"/>
    <cellStyle name="s_Matrix_B_Actualisation provision contrat déficitaire SNCM 2010 V Def_PAO-CAF-RESOP_08_13_Bridge_Zone_Sud" xfId="2328"/>
    <cellStyle name="s_Matrix_B_Actualisation provision contrat déficitaire SNCM 2010 V Def_PAO-CAF-RESOP_09_13" xfId="2329"/>
    <cellStyle name="s_Matrix_B_Actualisation provision contrat déficitaire SNCM 2010 V Def_PAO-CAF-RESOP_09_13_Bridge_Zone_Sud" xfId="2330"/>
    <cellStyle name="s_Matrix_B_Actualisation provision contrat déficitaire SNCM 2010 V Def_PAO-CAF-RESOP_09_2013_Zone_IDF (version 2)" xfId="2331"/>
    <cellStyle name="s_Matrix_B_Actualisation provision contrat déficitaire SNCM 2010 V Def_PAO-CAF-RESOP_10_12" xfId="2332"/>
    <cellStyle name="s_Matrix_B_Actualisation provision contrat déficitaire SNCM 2010 V Def_PAO-CAF-RESOP_10_12_Bridge_Zone_Sud" xfId="2333"/>
    <cellStyle name="s_Matrix_B_Actualisation provision contrat déficitaire SNCM 2010 V Def_PAO-CAF-RESOP_10_12_focus par entités CAFOP" xfId="2334"/>
    <cellStyle name="s_Matrix_B_Actualisation provision contrat déficitaire SNCM 2010 V Def_PAO-CAF-RESOP_10_12_focus par entités CAFOP_Bridge_Zone_Sud" xfId="2335"/>
    <cellStyle name="s_Matrix_B_Actualisation provision contrat déficitaire SNCM 2010 V Def_PAO-CAF-RESOP_11_13" xfId="2336"/>
    <cellStyle name="s_Matrix_B_Actualisation provision contrat déficitaire SNCM 2010 V Def_PAO-CAF-RESOP_B13" xfId="2337"/>
    <cellStyle name="s_Matrix_B_Actualisation provision contrat déficitaire SNCM 2010 V Def_PAO-CAF-RESOP_B13_Bridge_Zone_Sud" xfId="2338"/>
    <cellStyle name="s_Matrix_B_Actualisation provision contrat déficitaire SNCM 2010 V Def_PAO-CAF-RESOP_B13_focus par entités CAFOP" xfId="2339"/>
    <cellStyle name="s_Matrix_B_Actualisation provision contrat déficitaire SNCM 2010 V Def_PAO-CAF-RESOP_B13_focus par entités CAFOP_Bridge_Zone_Sud" xfId="2340"/>
    <cellStyle name="s_Matrix_B_Actualisation provision contrat déficitaire SNCM 2010 V Def_PAO-CAF-RESOP_B2014" xfId="2341"/>
    <cellStyle name="s_Matrix_B_Actualisation provision contrat déficitaire SNCM 2010 V Def_PAO-CAF-RESOP_B2014_Bridge_Zone_Sud" xfId="2342"/>
    <cellStyle name="s_Matrix_B_Actualisation provision contrat déficitaire SNCM 2010 V Def_PAO-CAF-RESOP_B2014_v2" xfId="2343"/>
    <cellStyle name="s_Matrix_B_Actualisation provision contrat déficitaire SNCM 2010 V Def_PAO-CAF-RESOP_E2_13" xfId="2344"/>
    <cellStyle name="s_Matrix_B_Actualisation provision contrat déficitaire SNCM 2010 V Def_PAO-CAF-RESOP_E2_13_B14_E2_2210" xfId="2345"/>
    <cellStyle name="s_Matrix_B_Actualisation provision contrat déficitaire SNCM 2010 V Def_PAO-CAF-RESOP_E2_13_B14_E2_2210_Bridge_Zone_Sud" xfId="2346"/>
    <cellStyle name="s_Matrix_B_Actualisation provision contrat déficitaire SNCM 2010 V Def_PAO-CAF-RESOP_E2_13_Bridge_Zone_Sud" xfId="2347"/>
    <cellStyle name="s_Matrix_B_Actualisation provision contrat déficitaire SNCM 2010 V Def_PAO-CAF-RESOP_E2_2013_03_10_19H" xfId="2348"/>
    <cellStyle name="s_Matrix_B_Actualisation provision contrat déficitaire SNCM 2010 V Def_PAO-CAF-RESOP_E2_2013_03_10_19H_Bridge_Zone_Sud" xfId="2349"/>
    <cellStyle name="s_Matrix_B_Actualisation provision contrat déficitaire SNCM 2010 V Def_PPA" xfId="2350"/>
    <cellStyle name="s_Matrix_B_Actualisation provision contrat déficitaire SNCM 2010 V Def_RESOP bef CICE&amp;PPA&amp;RepartHO" xfId="2351"/>
    <cellStyle name="s_Matrix_B_Actualisation provision contrat déficitaire SNCM 2010 V Def_Synthèse_Présentation_conso_retraitée" xfId="2352"/>
    <cellStyle name="s_Matrix_B_Actualisation provision contrat déficitaire SNCM 2011 V3 30 05 2011" xfId="594"/>
    <cellStyle name="s_Matrix_B_Actualisation provision contrat déficitaire SNCM 2011 V3 30 05 2011_B14_E2_2210" xfId="2353"/>
    <cellStyle name="s_Matrix_B_Actualisation provision contrat déficitaire SNCM 2011 V3 30 05 2011_B14_E2_2210_Bridge_Zone_Sud" xfId="2354"/>
    <cellStyle name="s_Matrix_B_Actualisation provision contrat déficitaire SNCM 2011 V3 30 05 2011_Bridge_Zone_Sud" xfId="2355"/>
    <cellStyle name="s_Matrix_B_Actualisation provision contrat déficitaire SNCM 2011 V3 30 05 2011_CAPEM BY COUNTRY" xfId="2356"/>
    <cellStyle name="s_Matrix_B_Actualisation provision contrat déficitaire SNCM 2011 V3 30 05 2011_Context" xfId="2357"/>
    <cellStyle name="s_Matrix_B_Actualisation provision contrat déficitaire SNCM 2011 V3 30 05 2011_focus par entités CAFOPE2AMF" xfId="2358"/>
    <cellStyle name="s_Matrix_B_Actualisation provision contrat déficitaire SNCM 2011 V3 30 05 2011_focus par entités CAFOPE2AMF_Bridge_Zone_Sud" xfId="2359"/>
    <cellStyle name="s_Matrix_B_Actualisation provision contrat déficitaire SNCM 2011 V3 30 05 2011_Maquette PLT" xfId="2360"/>
    <cellStyle name="s_Matrix_B_Actualisation provision contrat déficitaire SNCM 2011 V3 30 05 2011_Output" xfId="2361"/>
    <cellStyle name="s_Matrix_B_Actualisation provision contrat déficitaire SNCM 2011 V3 30 05 2011_PAO-CAF-RESOP_04_13_pro_format_variante T1" xfId="2362"/>
    <cellStyle name="s_Matrix_B_Actualisation provision contrat déficitaire SNCM 2011 V3 30 05 2011_PAO-CAF-RESOP_04_13_pro_format_variante T1_B14_E2_2210" xfId="2363"/>
    <cellStyle name="s_Matrix_B_Actualisation provision contrat déficitaire SNCM 2011 V3 30 05 2011_PAO-CAF-RESOP_04_13_pro_format_variante T1_B14_E2_2210_Bridge_Zone_Sud" xfId="2364"/>
    <cellStyle name="s_Matrix_B_Actualisation provision contrat déficitaire SNCM 2011 V3 30 05 2011_PAO-CAF-RESOP_04_13_pro_format_variante T1_Bridge_Zone_Sud" xfId="2365"/>
    <cellStyle name="s_Matrix_B_Actualisation provision contrat déficitaire SNCM 2011 V3 30 05 2011_PAO-CAF-RESOP_06_13" xfId="2366"/>
    <cellStyle name="s_Matrix_B_Actualisation provision contrat déficitaire SNCM 2011 V3 30 05 2011_PAO-CAF-RESOP_06_13_B14_E2_2210" xfId="2367"/>
    <cellStyle name="s_Matrix_B_Actualisation provision contrat déficitaire SNCM 2011 V3 30 05 2011_PAO-CAF-RESOP_06_13_B14_E2_2210_Bridge_Zone_Sud" xfId="2368"/>
    <cellStyle name="s_Matrix_B_Actualisation provision contrat déficitaire SNCM 2011 V3 30 05 2011_PAO-CAF-RESOP_06_13_Bridge_Zone_Sud" xfId="2369"/>
    <cellStyle name="s_Matrix_B_Actualisation provision contrat déficitaire SNCM 2011 V3 30 05 2011_PAO-CAF-RESOP_08_13" xfId="2370"/>
    <cellStyle name="s_Matrix_B_Actualisation provision contrat déficitaire SNCM 2011 V3 30 05 2011_PAO-CAF-RESOP_08_13_B14_E2_2210" xfId="2371"/>
    <cellStyle name="s_Matrix_B_Actualisation provision contrat déficitaire SNCM 2011 V3 30 05 2011_PAO-CAF-RESOP_08_13_B14_E2_2210_Bridge_Zone_Sud" xfId="2372"/>
    <cellStyle name="s_Matrix_B_Actualisation provision contrat déficitaire SNCM 2011 V3 30 05 2011_PAO-CAF-RESOP_08_13_Bridge_Zone_Sud" xfId="2373"/>
    <cellStyle name="s_Matrix_B_Actualisation provision contrat déficitaire SNCM 2011 V3 30 05 2011_PAO-CAF-RESOP_09_13" xfId="2374"/>
    <cellStyle name="s_Matrix_B_Actualisation provision contrat déficitaire SNCM 2011 V3 30 05 2011_PAO-CAF-RESOP_09_13_Bridge_Zone_Sud" xfId="2375"/>
    <cellStyle name="s_Matrix_B_Actualisation provision contrat déficitaire SNCM 2011 V3 30 05 2011_PAO-CAF-RESOP_09_2013_Zone_IDF (version 2)" xfId="2376"/>
    <cellStyle name="s_Matrix_B_Actualisation provision contrat déficitaire SNCM 2011 V3 30 05 2011_PAO-CAF-RESOP_10_12" xfId="2377"/>
    <cellStyle name="s_Matrix_B_Actualisation provision contrat déficitaire SNCM 2011 V3 30 05 2011_PAO-CAF-RESOP_10_12_Bridge_Zone_Sud" xfId="2378"/>
    <cellStyle name="s_Matrix_B_Actualisation provision contrat déficitaire SNCM 2011 V3 30 05 2011_PAO-CAF-RESOP_10_12_focus par entités CAFOP" xfId="2379"/>
    <cellStyle name="s_Matrix_B_Actualisation provision contrat déficitaire SNCM 2011 V3 30 05 2011_PAO-CAF-RESOP_10_12_focus par entités CAFOP_Bridge_Zone_Sud" xfId="2380"/>
    <cellStyle name="s_Matrix_B_Actualisation provision contrat déficitaire SNCM 2011 V3 30 05 2011_PAO-CAF-RESOP_11_13" xfId="2381"/>
    <cellStyle name="s_Matrix_B_Actualisation provision contrat déficitaire SNCM 2011 V3 30 05 2011_PAO-CAF-RESOP_B13" xfId="2382"/>
    <cellStyle name="s_Matrix_B_Actualisation provision contrat déficitaire SNCM 2011 V3 30 05 2011_PAO-CAF-RESOP_B13_Bridge_Zone_Sud" xfId="2383"/>
    <cellStyle name="s_Matrix_B_Actualisation provision contrat déficitaire SNCM 2011 V3 30 05 2011_PAO-CAF-RESOP_B13_focus par entités CAFOP" xfId="2384"/>
    <cellStyle name="s_Matrix_B_Actualisation provision contrat déficitaire SNCM 2011 V3 30 05 2011_PAO-CAF-RESOP_B13_focus par entités CAFOP_Bridge_Zone_Sud" xfId="2385"/>
    <cellStyle name="s_Matrix_B_Actualisation provision contrat déficitaire SNCM 2011 V3 30 05 2011_PAO-CAF-RESOP_B2014" xfId="2386"/>
    <cellStyle name="s_Matrix_B_Actualisation provision contrat déficitaire SNCM 2011 V3 30 05 2011_PAO-CAF-RESOP_B2014_Bridge_Zone_Sud" xfId="2387"/>
    <cellStyle name="s_Matrix_B_Actualisation provision contrat déficitaire SNCM 2011 V3 30 05 2011_PAO-CAF-RESOP_B2014_v2" xfId="2388"/>
    <cellStyle name="s_Matrix_B_Actualisation provision contrat déficitaire SNCM 2011 V3 30 05 2011_PAO-CAF-RESOP_E2_13" xfId="2389"/>
    <cellStyle name="s_Matrix_B_Actualisation provision contrat déficitaire SNCM 2011 V3 30 05 2011_PAO-CAF-RESOP_E2_13_B14_E2_2210" xfId="2390"/>
    <cellStyle name="s_Matrix_B_Actualisation provision contrat déficitaire SNCM 2011 V3 30 05 2011_PAO-CAF-RESOP_E2_13_B14_E2_2210_Bridge_Zone_Sud" xfId="2391"/>
    <cellStyle name="s_Matrix_B_Actualisation provision contrat déficitaire SNCM 2011 V3 30 05 2011_PAO-CAF-RESOP_E2_13_Bridge_Zone_Sud" xfId="2392"/>
    <cellStyle name="s_Matrix_B_Actualisation provision contrat déficitaire SNCM 2011 V3 30 05 2011_PAO-CAF-RESOP_E2_2013_03_10_19H" xfId="2393"/>
    <cellStyle name="s_Matrix_B_Actualisation provision contrat déficitaire SNCM 2011 V3 30 05 2011_PAO-CAF-RESOP_E2_2013_03_10_19H_Bridge_Zone_Sud" xfId="2394"/>
    <cellStyle name="s_Matrix_B_Actualisation provision contrat déficitaire SNCM 2011 V3 30 05 2011_PPA" xfId="2395"/>
    <cellStyle name="s_Matrix_B_Actualisation provision contrat déficitaire SNCM 2011 V3 30 05 2011_RESOP bef CICE&amp;PPA&amp;RepartHO" xfId="2396"/>
    <cellStyle name="s_Matrix_B_Actualisation provision contrat déficitaire SNCM 2011 V3 30 05 2011_Synthèse_Présentation_conso_retraitée" xfId="2397"/>
    <cellStyle name="s_Matrix_B_B14_E2_2210" xfId="2398"/>
    <cellStyle name="s_Matrix_B_B14_E2_2210_Bridge_Zone_Sud" xfId="2399"/>
    <cellStyle name="s_Matrix_B_BFR_TD_2014.02" xfId="2400"/>
    <cellStyle name="s_Matrix_B_Bridge_Zone_Nord" xfId="2401"/>
    <cellStyle name="s_Matrix_B_CAPEM BY COUNTRY" xfId="2402"/>
    <cellStyle name="s_Matrix_B_Context" xfId="2403"/>
    <cellStyle name="s_Matrix_B_LI819L_B13" xfId="595"/>
    <cellStyle name="s_Matrix_B_LI819L_B13_CAPEM BY COUNTRY" xfId="2404"/>
    <cellStyle name="s_Matrix_B_LI819L_B13_Context" xfId="2405"/>
    <cellStyle name="s_Matrix_B_LI819L_B13_Maquette PLT" xfId="2406"/>
    <cellStyle name="s_Matrix_B_LI819L_B13_Output" xfId="2407"/>
    <cellStyle name="s_Matrix_B_LI819L_B13_PPA" xfId="2408"/>
    <cellStyle name="s_Matrix_B_LI819L_B13_RESOP bef CICE&amp;PPA&amp;RepartHO" xfId="2409"/>
    <cellStyle name="s_Matrix_B_Maquette PLT" xfId="2410"/>
    <cellStyle name="s_Matrix_B_Output" xfId="2411"/>
    <cellStyle name="s_Matrix_B_PAO-CAF-RESOP_14_01_13 à 20h" xfId="596"/>
    <cellStyle name="s_Matrix_B_PAO-CAF-RESOP_14_01_13 à 20h_CAPEM BY COUNTRY" xfId="2412"/>
    <cellStyle name="s_Matrix_B_PAO-CAF-RESOP_14_01_13 à 20h_Context" xfId="2413"/>
    <cellStyle name="s_Matrix_B_PAO-CAF-RESOP_14_01_13 à 20h_Maquette PLT" xfId="2414"/>
    <cellStyle name="s_Matrix_B_PAO-CAF-RESOP_14_01_13 à 20h_Output" xfId="2415"/>
    <cellStyle name="s_Matrix_B_PAO-CAF-RESOP_14_01_13 à 20h_PPA" xfId="2416"/>
    <cellStyle name="s_Matrix_B_PAO-CAF-RESOP_14_01_13 à 20h_RESOP bef CICE&amp;PPA&amp;RepartHO" xfId="2417"/>
    <cellStyle name="s_Matrix_B_PAO-CAF-RESOP_2014.02" xfId="2418"/>
    <cellStyle name="s_Matrix_B_PAO-CAF-RESOP_2014.02_Bridge_Zone_Sud" xfId="2419"/>
    <cellStyle name="s_Matrix_B_PPA" xfId="2420"/>
    <cellStyle name="s_Matrix_B_RESOP bef CICE&amp;PPA&amp;RepartHO" xfId="2421"/>
    <cellStyle name="s_Matrix_T" xfId="597"/>
    <cellStyle name="s_Matrix_T_Actualisation provision contrat déficitaire SNCM 2010 V Def" xfId="598"/>
    <cellStyle name="s_Matrix_T_Actualisation provision contrat déficitaire SNCM 2010 V Def_B14_E2_2210" xfId="2422"/>
    <cellStyle name="s_Matrix_T_Actualisation provision contrat déficitaire SNCM 2010 V Def_B14_E2_2210_Bridge_Zone_Sud" xfId="2423"/>
    <cellStyle name="s_Matrix_T_Actualisation provision contrat déficitaire SNCM 2010 V Def_Bridge_Zone_Sud" xfId="2424"/>
    <cellStyle name="s_Matrix_T_Actualisation provision contrat déficitaire SNCM 2010 V Def_CAPEM BY COUNTRY" xfId="2425"/>
    <cellStyle name="s_Matrix_T_Actualisation provision contrat déficitaire SNCM 2010 V Def_Context" xfId="2426"/>
    <cellStyle name="s_Matrix_T_Actualisation provision contrat déficitaire SNCM 2010 V Def_focus par entités CAFOPE2AMF" xfId="2427"/>
    <cellStyle name="s_Matrix_T_Actualisation provision contrat déficitaire SNCM 2010 V Def_focus par entités CAFOPE2AMF_Bridge_Zone_Sud" xfId="2428"/>
    <cellStyle name="s_Matrix_T_Actualisation provision contrat déficitaire SNCM 2010 V Def_Maquette PLT" xfId="2429"/>
    <cellStyle name="s_Matrix_T_Actualisation provision contrat déficitaire SNCM 2010 V Def_Output" xfId="2430"/>
    <cellStyle name="s_Matrix_T_Actualisation provision contrat déficitaire SNCM 2010 V Def_PAO-CAF-RESOP_04_13_pro_format_variante T1" xfId="2431"/>
    <cellStyle name="s_Matrix_T_Actualisation provision contrat déficitaire SNCM 2010 V Def_PAO-CAF-RESOP_04_13_pro_format_variante T1_B14_E2_2210" xfId="2432"/>
    <cellStyle name="s_Matrix_T_Actualisation provision contrat déficitaire SNCM 2010 V Def_PAO-CAF-RESOP_04_13_pro_format_variante T1_B14_E2_2210_Bridge_Zone_Sud" xfId="2433"/>
    <cellStyle name="s_Matrix_T_Actualisation provision contrat déficitaire SNCM 2010 V Def_PAO-CAF-RESOP_04_13_pro_format_variante T1_Bridge_Zone_Sud" xfId="2434"/>
    <cellStyle name="s_Matrix_T_Actualisation provision contrat déficitaire SNCM 2010 V Def_PAO-CAF-RESOP_06_13" xfId="2435"/>
    <cellStyle name="s_Matrix_T_Actualisation provision contrat déficitaire SNCM 2010 V Def_PAO-CAF-RESOP_06_13_B14_E2_2210" xfId="2436"/>
    <cellStyle name="s_Matrix_T_Actualisation provision contrat déficitaire SNCM 2010 V Def_PAO-CAF-RESOP_06_13_B14_E2_2210_Bridge_Zone_Sud" xfId="2437"/>
    <cellStyle name="s_Matrix_T_Actualisation provision contrat déficitaire SNCM 2010 V Def_PAO-CAF-RESOP_06_13_Bridge_Zone_Sud" xfId="2438"/>
    <cellStyle name="s_Matrix_T_Actualisation provision contrat déficitaire SNCM 2010 V Def_PAO-CAF-RESOP_08_13" xfId="2439"/>
    <cellStyle name="s_Matrix_T_Actualisation provision contrat déficitaire SNCM 2010 V Def_PAO-CAF-RESOP_08_13_B14_E2_2210" xfId="2440"/>
    <cellStyle name="s_Matrix_T_Actualisation provision contrat déficitaire SNCM 2010 V Def_PAO-CAF-RESOP_08_13_B14_E2_2210_Bridge_Zone_Sud" xfId="2441"/>
    <cellStyle name="s_Matrix_T_Actualisation provision contrat déficitaire SNCM 2010 V Def_PAO-CAF-RESOP_08_13_Bridge_Zone_Sud" xfId="2442"/>
    <cellStyle name="s_Matrix_T_Actualisation provision contrat déficitaire SNCM 2010 V Def_PAO-CAF-RESOP_09_13" xfId="2443"/>
    <cellStyle name="s_Matrix_T_Actualisation provision contrat déficitaire SNCM 2010 V Def_PAO-CAF-RESOP_09_13_Bridge_Zone_Sud" xfId="2444"/>
    <cellStyle name="s_Matrix_T_Actualisation provision contrat déficitaire SNCM 2010 V Def_PAO-CAF-RESOP_09_2013_Zone_IDF (version 2)" xfId="2445"/>
    <cellStyle name="s_Matrix_T_Actualisation provision contrat déficitaire SNCM 2010 V Def_PAO-CAF-RESOP_10_12" xfId="2446"/>
    <cellStyle name="s_Matrix_T_Actualisation provision contrat déficitaire SNCM 2010 V Def_PAO-CAF-RESOP_10_12_Bridge_Zone_Sud" xfId="2447"/>
    <cellStyle name="s_Matrix_T_Actualisation provision contrat déficitaire SNCM 2010 V Def_PAO-CAF-RESOP_10_12_focus par entités CAFOP" xfId="2448"/>
    <cellStyle name="s_Matrix_T_Actualisation provision contrat déficitaire SNCM 2010 V Def_PAO-CAF-RESOP_10_12_focus par entités CAFOP_Bridge_Zone_Sud" xfId="2449"/>
    <cellStyle name="s_Matrix_T_Actualisation provision contrat déficitaire SNCM 2010 V Def_PAO-CAF-RESOP_11_13" xfId="2450"/>
    <cellStyle name="s_Matrix_T_Actualisation provision contrat déficitaire SNCM 2010 V Def_PAO-CAF-RESOP_B13" xfId="2451"/>
    <cellStyle name="s_Matrix_T_Actualisation provision contrat déficitaire SNCM 2010 V Def_PAO-CAF-RESOP_B13_Bridge_Zone_Sud" xfId="2452"/>
    <cellStyle name="s_Matrix_T_Actualisation provision contrat déficitaire SNCM 2010 V Def_PAO-CAF-RESOP_B13_focus par entités CAFOP" xfId="2453"/>
    <cellStyle name="s_Matrix_T_Actualisation provision contrat déficitaire SNCM 2010 V Def_PAO-CAF-RESOP_B13_focus par entités CAFOP_Bridge_Zone_Sud" xfId="2454"/>
    <cellStyle name="s_Matrix_T_Actualisation provision contrat déficitaire SNCM 2010 V Def_PAO-CAF-RESOP_B2014" xfId="2455"/>
    <cellStyle name="s_Matrix_T_Actualisation provision contrat déficitaire SNCM 2010 V Def_PAO-CAF-RESOP_B2014_Bridge_Zone_Sud" xfId="2456"/>
    <cellStyle name="s_Matrix_T_Actualisation provision contrat déficitaire SNCM 2010 V Def_PAO-CAF-RESOP_B2014_v2" xfId="2457"/>
    <cellStyle name="s_Matrix_T_Actualisation provision contrat déficitaire SNCM 2010 V Def_PAO-CAF-RESOP_E2_13" xfId="2458"/>
    <cellStyle name="s_Matrix_T_Actualisation provision contrat déficitaire SNCM 2010 V Def_PAO-CAF-RESOP_E2_13_B14_E2_2210" xfId="2459"/>
    <cellStyle name="s_Matrix_T_Actualisation provision contrat déficitaire SNCM 2010 V Def_PAO-CAF-RESOP_E2_13_B14_E2_2210_Bridge_Zone_Sud" xfId="2460"/>
    <cellStyle name="s_Matrix_T_Actualisation provision contrat déficitaire SNCM 2010 V Def_PAO-CAF-RESOP_E2_13_Bridge_Zone_Sud" xfId="2461"/>
    <cellStyle name="s_Matrix_T_Actualisation provision contrat déficitaire SNCM 2010 V Def_PAO-CAF-RESOP_E2_2013_03_10_19H" xfId="2462"/>
    <cellStyle name="s_Matrix_T_Actualisation provision contrat déficitaire SNCM 2010 V Def_PAO-CAF-RESOP_E2_2013_03_10_19H_Bridge_Zone_Sud" xfId="2463"/>
    <cellStyle name="s_Matrix_T_Actualisation provision contrat déficitaire SNCM 2010 V Def_PPA" xfId="2464"/>
    <cellStyle name="s_Matrix_T_Actualisation provision contrat déficitaire SNCM 2010 V Def_RESOP bef CICE&amp;PPA&amp;RepartHO" xfId="2465"/>
    <cellStyle name="s_Matrix_T_Actualisation provision contrat déficitaire SNCM 2010 V Def_Synthèse_Présentation_conso_retraitée" xfId="2466"/>
    <cellStyle name="s_Matrix_T_Actualisation provision contrat déficitaire SNCM 2011 V3 30 05 2011" xfId="599"/>
    <cellStyle name="s_Matrix_T_Actualisation provision contrat déficitaire SNCM 2011 V3 30 05 2011_B14_E2_2210" xfId="2467"/>
    <cellStyle name="s_Matrix_T_Actualisation provision contrat déficitaire SNCM 2011 V3 30 05 2011_B14_E2_2210_Bridge_Zone_Sud" xfId="2468"/>
    <cellStyle name="s_Matrix_T_Actualisation provision contrat déficitaire SNCM 2011 V3 30 05 2011_Bridge_Zone_Sud" xfId="2469"/>
    <cellStyle name="s_Matrix_T_Actualisation provision contrat déficitaire SNCM 2011 V3 30 05 2011_CAPEM BY COUNTRY" xfId="2470"/>
    <cellStyle name="s_Matrix_T_Actualisation provision contrat déficitaire SNCM 2011 V3 30 05 2011_Context" xfId="2471"/>
    <cellStyle name="s_Matrix_T_Actualisation provision contrat déficitaire SNCM 2011 V3 30 05 2011_focus par entités CAFOPE2AMF" xfId="2472"/>
    <cellStyle name="s_Matrix_T_Actualisation provision contrat déficitaire SNCM 2011 V3 30 05 2011_focus par entités CAFOPE2AMF_Bridge_Zone_Sud" xfId="2473"/>
    <cellStyle name="s_Matrix_T_Actualisation provision contrat déficitaire SNCM 2011 V3 30 05 2011_Maquette PLT" xfId="2474"/>
    <cellStyle name="s_Matrix_T_Actualisation provision contrat déficitaire SNCM 2011 V3 30 05 2011_Output" xfId="2475"/>
    <cellStyle name="s_Matrix_T_Actualisation provision contrat déficitaire SNCM 2011 V3 30 05 2011_PAO-CAF-RESOP_04_13_pro_format_variante T1" xfId="2476"/>
    <cellStyle name="s_Matrix_T_Actualisation provision contrat déficitaire SNCM 2011 V3 30 05 2011_PAO-CAF-RESOP_04_13_pro_format_variante T1_B14_E2_2210" xfId="2477"/>
    <cellStyle name="s_Matrix_T_Actualisation provision contrat déficitaire SNCM 2011 V3 30 05 2011_PAO-CAF-RESOP_04_13_pro_format_variante T1_B14_E2_2210_Bridge_Zone_Sud" xfId="2478"/>
    <cellStyle name="s_Matrix_T_Actualisation provision contrat déficitaire SNCM 2011 V3 30 05 2011_PAO-CAF-RESOP_04_13_pro_format_variante T1_Bridge_Zone_Sud" xfId="2479"/>
    <cellStyle name="s_Matrix_T_Actualisation provision contrat déficitaire SNCM 2011 V3 30 05 2011_PAO-CAF-RESOP_06_13" xfId="2480"/>
    <cellStyle name="s_Matrix_T_Actualisation provision contrat déficitaire SNCM 2011 V3 30 05 2011_PAO-CAF-RESOP_06_13_B14_E2_2210" xfId="2481"/>
    <cellStyle name="s_Matrix_T_Actualisation provision contrat déficitaire SNCM 2011 V3 30 05 2011_PAO-CAF-RESOP_06_13_B14_E2_2210_Bridge_Zone_Sud" xfId="2482"/>
    <cellStyle name="s_Matrix_T_Actualisation provision contrat déficitaire SNCM 2011 V3 30 05 2011_PAO-CAF-RESOP_06_13_Bridge_Zone_Sud" xfId="2483"/>
    <cellStyle name="s_Matrix_T_Actualisation provision contrat déficitaire SNCM 2011 V3 30 05 2011_PAO-CAF-RESOP_08_13" xfId="2484"/>
    <cellStyle name="s_Matrix_T_Actualisation provision contrat déficitaire SNCM 2011 V3 30 05 2011_PAO-CAF-RESOP_08_13_B14_E2_2210" xfId="2485"/>
    <cellStyle name="s_Matrix_T_Actualisation provision contrat déficitaire SNCM 2011 V3 30 05 2011_PAO-CAF-RESOP_08_13_B14_E2_2210_Bridge_Zone_Sud" xfId="2486"/>
    <cellStyle name="s_Matrix_T_Actualisation provision contrat déficitaire SNCM 2011 V3 30 05 2011_PAO-CAF-RESOP_08_13_Bridge_Zone_Sud" xfId="2487"/>
    <cellStyle name="s_Matrix_T_Actualisation provision contrat déficitaire SNCM 2011 V3 30 05 2011_PAO-CAF-RESOP_09_13" xfId="2488"/>
    <cellStyle name="s_Matrix_T_Actualisation provision contrat déficitaire SNCM 2011 V3 30 05 2011_PAO-CAF-RESOP_09_13_Bridge_Zone_Sud" xfId="2489"/>
    <cellStyle name="s_Matrix_T_Actualisation provision contrat déficitaire SNCM 2011 V3 30 05 2011_PAO-CAF-RESOP_09_2013_Zone_IDF (version 2)" xfId="2490"/>
    <cellStyle name="s_Matrix_T_Actualisation provision contrat déficitaire SNCM 2011 V3 30 05 2011_PAO-CAF-RESOP_10_12" xfId="2491"/>
    <cellStyle name="s_Matrix_T_Actualisation provision contrat déficitaire SNCM 2011 V3 30 05 2011_PAO-CAF-RESOP_10_12_Bridge_Zone_Sud" xfId="2492"/>
    <cellStyle name="s_Matrix_T_Actualisation provision contrat déficitaire SNCM 2011 V3 30 05 2011_PAO-CAF-RESOP_10_12_focus par entités CAFOP" xfId="2493"/>
    <cellStyle name="s_Matrix_T_Actualisation provision contrat déficitaire SNCM 2011 V3 30 05 2011_PAO-CAF-RESOP_10_12_focus par entités CAFOP_Bridge_Zone_Sud" xfId="2494"/>
    <cellStyle name="s_Matrix_T_Actualisation provision contrat déficitaire SNCM 2011 V3 30 05 2011_PAO-CAF-RESOP_11_13" xfId="2495"/>
    <cellStyle name="s_Matrix_T_Actualisation provision contrat déficitaire SNCM 2011 V3 30 05 2011_PAO-CAF-RESOP_B13" xfId="2496"/>
    <cellStyle name="s_Matrix_T_Actualisation provision contrat déficitaire SNCM 2011 V3 30 05 2011_PAO-CAF-RESOP_B13_Bridge_Zone_Sud" xfId="2497"/>
    <cellStyle name="s_Matrix_T_Actualisation provision contrat déficitaire SNCM 2011 V3 30 05 2011_PAO-CAF-RESOP_B13_focus par entités CAFOP" xfId="2498"/>
    <cellStyle name="s_Matrix_T_Actualisation provision contrat déficitaire SNCM 2011 V3 30 05 2011_PAO-CAF-RESOP_B13_focus par entités CAFOP_Bridge_Zone_Sud" xfId="2499"/>
    <cellStyle name="s_Matrix_T_Actualisation provision contrat déficitaire SNCM 2011 V3 30 05 2011_PAO-CAF-RESOP_B2014" xfId="2500"/>
    <cellStyle name="s_Matrix_T_Actualisation provision contrat déficitaire SNCM 2011 V3 30 05 2011_PAO-CAF-RESOP_B2014_Bridge_Zone_Sud" xfId="2501"/>
    <cellStyle name="s_Matrix_T_Actualisation provision contrat déficitaire SNCM 2011 V3 30 05 2011_PAO-CAF-RESOP_B2014_v2" xfId="2502"/>
    <cellStyle name="s_Matrix_T_Actualisation provision contrat déficitaire SNCM 2011 V3 30 05 2011_PAO-CAF-RESOP_E2_13" xfId="2503"/>
    <cellStyle name="s_Matrix_T_Actualisation provision contrat déficitaire SNCM 2011 V3 30 05 2011_PAO-CAF-RESOP_E2_13_B14_E2_2210" xfId="2504"/>
    <cellStyle name="s_Matrix_T_Actualisation provision contrat déficitaire SNCM 2011 V3 30 05 2011_PAO-CAF-RESOP_E2_13_B14_E2_2210_Bridge_Zone_Sud" xfId="2505"/>
    <cellStyle name="s_Matrix_T_Actualisation provision contrat déficitaire SNCM 2011 V3 30 05 2011_PAO-CAF-RESOP_E2_13_Bridge_Zone_Sud" xfId="2506"/>
    <cellStyle name="s_Matrix_T_Actualisation provision contrat déficitaire SNCM 2011 V3 30 05 2011_PAO-CAF-RESOP_E2_2013_03_10_19H" xfId="2507"/>
    <cellStyle name="s_Matrix_T_Actualisation provision contrat déficitaire SNCM 2011 V3 30 05 2011_PAO-CAF-RESOP_E2_2013_03_10_19H_Bridge_Zone_Sud" xfId="2508"/>
    <cellStyle name="s_Matrix_T_Actualisation provision contrat déficitaire SNCM 2011 V3 30 05 2011_PPA" xfId="2509"/>
    <cellStyle name="s_Matrix_T_Actualisation provision contrat déficitaire SNCM 2011 V3 30 05 2011_RESOP bef CICE&amp;PPA&amp;RepartHO" xfId="2510"/>
    <cellStyle name="s_Matrix_T_Actualisation provision contrat déficitaire SNCM 2011 V3 30 05 2011_Synthèse_Présentation_conso_retraitée" xfId="2511"/>
    <cellStyle name="s_Matrix_T_B14_E2_2210" xfId="2512"/>
    <cellStyle name="s_Matrix_T_B14_E2_2210_Bridge_Zone_Sud" xfId="2513"/>
    <cellStyle name="s_Matrix_T_BFR_TD_2014.02" xfId="2514"/>
    <cellStyle name="s_Matrix_T_Bridge_Zone_Nord" xfId="2515"/>
    <cellStyle name="s_Matrix_T_CAPEM BY COUNTRY" xfId="2516"/>
    <cellStyle name="s_Matrix_T_Context" xfId="2517"/>
    <cellStyle name="s_Matrix_T_LI819L_B13" xfId="600"/>
    <cellStyle name="s_Matrix_T_LI819L_B13_CAPEM BY COUNTRY" xfId="2518"/>
    <cellStyle name="s_Matrix_T_LI819L_B13_Context" xfId="2519"/>
    <cellStyle name="s_Matrix_T_LI819L_B13_Maquette PLT" xfId="2520"/>
    <cellStyle name="s_Matrix_T_LI819L_B13_Output" xfId="2521"/>
    <cellStyle name="s_Matrix_T_LI819L_B13_PPA" xfId="2522"/>
    <cellStyle name="s_Matrix_T_LI819L_B13_RESOP bef CICE&amp;PPA&amp;RepartHO" xfId="2523"/>
    <cellStyle name="s_Matrix_T_Maquette PLT" xfId="2524"/>
    <cellStyle name="s_Matrix_T_Output" xfId="2525"/>
    <cellStyle name="s_Matrix_T_PAO-CAF-RESOP_14_01_13 à 20h" xfId="601"/>
    <cellStyle name="s_Matrix_T_PAO-CAF-RESOP_14_01_13 à 20h_CAPEM BY COUNTRY" xfId="2526"/>
    <cellStyle name="s_Matrix_T_PAO-CAF-RESOP_14_01_13 à 20h_Context" xfId="2527"/>
    <cellStyle name="s_Matrix_T_PAO-CAF-RESOP_14_01_13 à 20h_Maquette PLT" xfId="2528"/>
    <cellStyle name="s_Matrix_T_PAO-CAF-RESOP_14_01_13 à 20h_Output" xfId="2529"/>
    <cellStyle name="s_Matrix_T_PAO-CAF-RESOP_14_01_13 à 20h_PPA" xfId="2530"/>
    <cellStyle name="s_Matrix_T_PAO-CAF-RESOP_14_01_13 à 20h_RESOP bef CICE&amp;PPA&amp;RepartHO" xfId="2531"/>
    <cellStyle name="s_Matrix_T_PAO-CAF-RESOP_2014.02" xfId="2532"/>
    <cellStyle name="s_Matrix_T_PAO-CAF-RESOP_2014.02_Bridge_Zone_Sud" xfId="2533"/>
    <cellStyle name="s_Matrix_T_PPA" xfId="2534"/>
    <cellStyle name="s_Matrix_T_RESOP bef CICE&amp;PPA&amp;RepartHO" xfId="2535"/>
    <cellStyle name="s_Merger" xfId="602"/>
    <cellStyle name="s_Merger_Actualisation provision contrat déficitaire SNCM 2010 V Def" xfId="603"/>
    <cellStyle name="s_Merger_Actualisation provision contrat déficitaire SNCM 2010 V Def_B14_E2_2210" xfId="2536"/>
    <cellStyle name="s_Merger_Actualisation provision contrat déficitaire SNCM 2010 V Def_B14_E2_2210_Bridge_Zone_Sud" xfId="2537"/>
    <cellStyle name="s_Merger_Actualisation provision contrat déficitaire SNCM 2010 V Def_Bridge_Zone_Sud" xfId="2538"/>
    <cellStyle name="s_Merger_Actualisation provision contrat déficitaire SNCM 2010 V Def_CAPEM BY COUNTRY" xfId="2539"/>
    <cellStyle name="s_Merger_Actualisation provision contrat déficitaire SNCM 2010 V Def_Context" xfId="2540"/>
    <cellStyle name="s_Merger_Actualisation provision contrat déficitaire SNCM 2010 V Def_focus par entités CAFOPE2AMF" xfId="2541"/>
    <cellStyle name="s_Merger_Actualisation provision contrat déficitaire SNCM 2010 V Def_focus par entités CAFOPE2AMF_Bridge_Zone_Sud" xfId="2542"/>
    <cellStyle name="s_Merger_Actualisation provision contrat déficitaire SNCM 2010 V Def_Maquette PLT" xfId="2543"/>
    <cellStyle name="s_Merger_Actualisation provision contrat déficitaire SNCM 2010 V Def_Output" xfId="2544"/>
    <cellStyle name="s_Merger_Actualisation provision contrat déficitaire SNCM 2010 V Def_PAO-CAF-RESOP_04_13_pro_format_variante T1" xfId="2545"/>
    <cellStyle name="s_Merger_Actualisation provision contrat déficitaire SNCM 2010 V Def_PAO-CAF-RESOP_04_13_pro_format_variante T1_B14_E2_2210" xfId="2546"/>
    <cellStyle name="s_Merger_Actualisation provision contrat déficitaire SNCM 2010 V Def_PAO-CAF-RESOP_04_13_pro_format_variante T1_B14_E2_2210_Bridge_Zone_Sud" xfId="2547"/>
    <cellStyle name="s_Merger_Actualisation provision contrat déficitaire SNCM 2010 V Def_PAO-CAF-RESOP_04_13_pro_format_variante T1_Bridge_Zone_Sud" xfId="2548"/>
    <cellStyle name="s_Merger_Actualisation provision contrat déficitaire SNCM 2010 V Def_PAO-CAF-RESOP_06_13" xfId="2549"/>
    <cellStyle name="s_Merger_Actualisation provision contrat déficitaire SNCM 2010 V Def_PAO-CAF-RESOP_06_13_B14_E2_2210" xfId="2550"/>
    <cellStyle name="s_Merger_Actualisation provision contrat déficitaire SNCM 2010 V Def_PAO-CAF-RESOP_06_13_B14_E2_2210_Bridge_Zone_Sud" xfId="2551"/>
    <cellStyle name="s_Merger_Actualisation provision contrat déficitaire SNCM 2010 V Def_PAO-CAF-RESOP_06_13_Bridge_Zone_Sud" xfId="2552"/>
    <cellStyle name="s_Merger_Actualisation provision contrat déficitaire SNCM 2010 V Def_PAO-CAF-RESOP_08_13" xfId="2553"/>
    <cellStyle name="s_Merger_Actualisation provision contrat déficitaire SNCM 2010 V Def_PAO-CAF-RESOP_08_13_B14_E2_2210" xfId="2554"/>
    <cellStyle name="s_Merger_Actualisation provision contrat déficitaire SNCM 2010 V Def_PAO-CAF-RESOP_08_13_B14_E2_2210_Bridge_Zone_Sud" xfId="2555"/>
    <cellStyle name="s_Merger_Actualisation provision contrat déficitaire SNCM 2010 V Def_PAO-CAF-RESOP_08_13_Bridge_Zone_Sud" xfId="2556"/>
    <cellStyle name="s_Merger_Actualisation provision contrat déficitaire SNCM 2010 V Def_PAO-CAF-RESOP_09_13" xfId="2557"/>
    <cellStyle name="s_Merger_Actualisation provision contrat déficitaire SNCM 2010 V Def_PAO-CAF-RESOP_09_13_Bridge_Zone_Sud" xfId="2558"/>
    <cellStyle name="s_Merger_Actualisation provision contrat déficitaire SNCM 2010 V Def_PAO-CAF-RESOP_09_2013_Zone_IDF (version 2)" xfId="2559"/>
    <cellStyle name="s_Merger_Actualisation provision contrat déficitaire SNCM 2010 V Def_PAO-CAF-RESOP_10_12" xfId="2560"/>
    <cellStyle name="s_Merger_Actualisation provision contrat déficitaire SNCM 2010 V Def_PAO-CAF-RESOP_10_12_Bridge_Zone_Sud" xfId="2561"/>
    <cellStyle name="s_Merger_Actualisation provision contrat déficitaire SNCM 2010 V Def_PAO-CAF-RESOP_10_12_focus par entités CAFOP" xfId="2562"/>
    <cellStyle name="s_Merger_Actualisation provision contrat déficitaire SNCM 2010 V Def_PAO-CAF-RESOP_10_12_focus par entités CAFOP_Bridge_Zone_Sud" xfId="2563"/>
    <cellStyle name="s_Merger_Actualisation provision contrat déficitaire SNCM 2010 V Def_PAO-CAF-RESOP_11_13" xfId="2564"/>
    <cellStyle name="s_Merger_Actualisation provision contrat déficitaire SNCM 2010 V Def_PAO-CAF-RESOP_B13" xfId="2565"/>
    <cellStyle name="s_Merger_Actualisation provision contrat déficitaire SNCM 2010 V Def_PAO-CAF-RESOP_B13_Bridge_Zone_Sud" xfId="2566"/>
    <cellStyle name="s_Merger_Actualisation provision contrat déficitaire SNCM 2010 V Def_PAO-CAF-RESOP_B13_focus par entités CAFOP" xfId="2567"/>
    <cellStyle name="s_Merger_Actualisation provision contrat déficitaire SNCM 2010 V Def_PAO-CAF-RESOP_B13_focus par entités CAFOP_Bridge_Zone_Sud" xfId="2568"/>
    <cellStyle name="s_Merger_Actualisation provision contrat déficitaire SNCM 2010 V Def_PAO-CAF-RESOP_B2014" xfId="2569"/>
    <cellStyle name="s_Merger_Actualisation provision contrat déficitaire SNCM 2010 V Def_PAO-CAF-RESOP_B2014_Bridge_Zone_Sud" xfId="2570"/>
    <cellStyle name="s_Merger_Actualisation provision contrat déficitaire SNCM 2010 V Def_PAO-CAF-RESOP_B2014_v2" xfId="2571"/>
    <cellStyle name="s_Merger_Actualisation provision contrat déficitaire SNCM 2010 V Def_PAO-CAF-RESOP_E2_13" xfId="2572"/>
    <cellStyle name="s_Merger_Actualisation provision contrat déficitaire SNCM 2010 V Def_PAO-CAF-RESOP_E2_13_B14_E2_2210" xfId="2573"/>
    <cellStyle name="s_Merger_Actualisation provision contrat déficitaire SNCM 2010 V Def_PAO-CAF-RESOP_E2_13_B14_E2_2210_Bridge_Zone_Sud" xfId="2574"/>
    <cellStyle name="s_Merger_Actualisation provision contrat déficitaire SNCM 2010 V Def_PAO-CAF-RESOP_E2_13_Bridge_Zone_Sud" xfId="2575"/>
    <cellStyle name="s_Merger_Actualisation provision contrat déficitaire SNCM 2010 V Def_PAO-CAF-RESOP_E2_2013_03_10_19H" xfId="2576"/>
    <cellStyle name="s_Merger_Actualisation provision contrat déficitaire SNCM 2010 V Def_PAO-CAF-RESOP_E2_2013_03_10_19H_Bridge_Zone_Sud" xfId="2577"/>
    <cellStyle name="s_Merger_Actualisation provision contrat déficitaire SNCM 2010 V Def_PPA" xfId="2578"/>
    <cellStyle name="s_Merger_Actualisation provision contrat déficitaire SNCM 2010 V Def_RESOP bef CICE&amp;PPA&amp;RepartHO" xfId="2579"/>
    <cellStyle name="s_Merger_Actualisation provision contrat déficitaire SNCM 2010 V Def_Synthèse_Présentation_conso_retraitée" xfId="2580"/>
    <cellStyle name="s_Merger_Actualisation provision contrat déficitaire SNCM 2011 V3 30 05 2011" xfId="604"/>
    <cellStyle name="s_Merger_Actualisation provision contrat déficitaire SNCM 2011 V3 30 05 2011_B14_E2_2210" xfId="2581"/>
    <cellStyle name="s_Merger_Actualisation provision contrat déficitaire SNCM 2011 V3 30 05 2011_B14_E2_2210_Bridge_Zone_Sud" xfId="2582"/>
    <cellStyle name="s_Merger_Actualisation provision contrat déficitaire SNCM 2011 V3 30 05 2011_Bridge_Zone_Sud" xfId="2583"/>
    <cellStyle name="s_Merger_Actualisation provision contrat déficitaire SNCM 2011 V3 30 05 2011_CAPEM BY COUNTRY" xfId="2584"/>
    <cellStyle name="s_Merger_Actualisation provision contrat déficitaire SNCM 2011 V3 30 05 2011_Context" xfId="2585"/>
    <cellStyle name="s_Merger_Actualisation provision contrat déficitaire SNCM 2011 V3 30 05 2011_focus par entités CAFOPE2AMF" xfId="2586"/>
    <cellStyle name="s_Merger_Actualisation provision contrat déficitaire SNCM 2011 V3 30 05 2011_focus par entités CAFOPE2AMF_Bridge_Zone_Sud" xfId="2587"/>
    <cellStyle name="s_Merger_Actualisation provision contrat déficitaire SNCM 2011 V3 30 05 2011_Maquette PLT" xfId="2588"/>
    <cellStyle name="s_Merger_Actualisation provision contrat déficitaire SNCM 2011 V3 30 05 2011_Output" xfId="2589"/>
    <cellStyle name="s_Merger_Actualisation provision contrat déficitaire SNCM 2011 V3 30 05 2011_PAO-CAF-RESOP_04_13_pro_format_variante T1" xfId="2590"/>
    <cellStyle name="s_Merger_Actualisation provision contrat déficitaire SNCM 2011 V3 30 05 2011_PAO-CAF-RESOP_04_13_pro_format_variante T1_B14_E2_2210" xfId="2591"/>
    <cellStyle name="s_Merger_Actualisation provision contrat déficitaire SNCM 2011 V3 30 05 2011_PAO-CAF-RESOP_04_13_pro_format_variante T1_B14_E2_2210_Bridge_Zone_Sud" xfId="2592"/>
    <cellStyle name="s_Merger_Actualisation provision contrat déficitaire SNCM 2011 V3 30 05 2011_PAO-CAF-RESOP_04_13_pro_format_variante T1_Bridge_Zone_Sud" xfId="2593"/>
    <cellStyle name="s_Merger_Actualisation provision contrat déficitaire SNCM 2011 V3 30 05 2011_PAO-CAF-RESOP_06_13" xfId="2594"/>
    <cellStyle name="s_Merger_Actualisation provision contrat déficitaire SNCM 2011 V3 30 05 2011_PAO-CAF-RESOP_06_13_B14_E2_2210" xfId="2595"/>
    <cellStyle name="s_Merger_Actualisation provision contrat déficitaire SNCM 2011 V3 30 05 2011_PAO-CAF-RESOP_06_13_B14_E2_2210_Bridge_Zone_Sud" xfId="2596"/>
    <cellStyle name="s_Merger_Actualisation provision contrat déficitaire SNCM 2011 V3 30 05 2011_PAO-CAF-RESOP_06_13_Bridge_Zone_Sud" xfId="2597"/>
    <cellStyle name="s_Merger_Actualisation provision contrat déficitaire SNCM 2011 V3 30 05 2011_PAO-CAF-RESOP_08_13" xfId="2598"/>
    <cellStyle name="s_Merger_Actualisation provision contrat déficitaire SNCM 2011 V3 30 05 2011_PAO-CAF-RESOP_08_13_B14_E2_2210" xfId="2599"/>
    <cellStyle name="s_Merger_Actualisation provision contrat déficitaire SNCM 2011 V3 30 05 2011_PAO-CAF-RESOP_08_13_B14_E2_2210_Bridge_Zone_Sud" xfId="2600"/>
    <cellStyle name="s_Merger_Actualisation provision contrat déficitaire SNCM 2011 V3 30 05 2011_PAO-CAF-RESOP_08_13_Bridge_Zone_Sud" xfId="2601"/>
    <cellStyle name="s_Merger_Actualisation provision contrat déficitaire SNCM 2011 V3 30 05 2011_PAO-CAF-RESOP_09_13" xfId="2602"/>
    <cellStyle name="s_Merger_Actualisation provision contrat déficitaire SNCM 2011 V3 30 05 2011_PAO-CAF-RESOP_09_13_Bridge_Zone_Sud" xfId="2603"/>
    <cellStyle name="s_Merger_Actualisation provision contrat déficitaire SNCM 2011 V3 30 05 2011_PAO-CAF-RESOP_09_2013_Zone_IDF (version 2)" xfId="2604"/>
    <cellStyle name="s_Merger_Actualisation provision contrat déficitaire SNCM 2011 V3 30 05 2011_PAO-CAF-RESOP_10_12" xfId="2605"/>
    <cellStyle name="s_Merger_Actualisation provision contrat déficitaire SNCM 2011 V3 30 05 2011_PAO-CAF-RESOP_10_12_Bridge_Zone_Sud" xfId="2606"/>
    <cellStyle name="s_Merger_Actualisation provision contrat déficitaire SNCM 2011 V3 30 05 2011_PAO-CAF-RESOP_10_12_focus par entités CAFOP" xfId="2607"/>
    <cellStyle name="s_Merger_Actualisation provision contrat déficitaire SNCM 2011 V3 30 05 2011_PAO-CAF-RESOP_10_12_focus par entités CAFOP_Bridge_Zone_Sud" xfId="2608"/>
    <cellStyle name="s_Merger_Actualisation provision contrat déficitaire SNCM 2011 V3 30 05 2011_PAO-CAF-RESOP_11_13" xfId="2609"/>
    <cellStyle name="s_Merger_Actualisation provision contrat déficitaire SNCM 2011 V3 30 05 2011_PAO-CAF-RESOP_B13" xfId="2610"/>
    <cellStyle name="s_Merger_Actualisation provision contrat déficitaire SNCM 2011 V3 30 05 2011_PAO-CAF-RESOP_B13_Bridge_Zone_Sud" xfId="2611"/>
    <cellStyle name="s_Merger_Actualisation provision contrat déficitaire SNCM 2011 V3 30 05 2011_PAO-CAF-RESOP_B13_focus par entités CAFOP" xfId="2612"/>
    <cellStyle name="s_Merger_Actualisation provision contrat déficitaire SNCM 2011 V3 30 05 2011_PAO-CAF-RESOP_B13_focus par entités CAFOP_Bridge_Zone_Sud" xfId="2613"/>
    <cellStyle name="s_Merger_Actualisation provision contrat déficitaire SNCM 2011 V3 30 05 2011_PAO-CAF-RESOP_B2014" xfId="2614"/>
    <cellStyle name="s_Merger_Actualisation provision contrat déficitaire SNCM 2011 V3 30 05 2011_PAO-CAF-RESOP_B2014_Bridge_Zone_Sud" xfId="2615"/>
    <cellStyle name="s_Merger_Actualisation provision contrat déficitaire SNCM 2011 V3 30 05 2011_PAO-CAF-RESOP_B2014_v2" xfId="2616"/>
    <cellStyle name="s_Merger_Actualisation provision contrat déficitaire SNCM 2011 V3 30 05 2011_PAO-CAF-RESOP_E2_13" xfId="2617"/>
    <cellStyle name="s_Merger_Actualisation provision contrat déficitaire SNCM 2011 V3 30 05 2011_PAO-CAF-RESOP_E2_13_B14_E2_2210" xfId="2618"/>
    <cellStyle name="s_Merger_Actualisation provision contrat déficitaire SNCM 2011 V3 30 05 2011_PAO-CAF-RESOP_E2_13_B14_E2_2210_Bridge_Zone_Sud" xfId="2619"/>
    <cellStyle name="s_Merger_Actualisation provision contrat déficitaire SNCM 2011 V3 30 05 2011_PAO-CAF-RESOP_E2_13_Bridge_Zone_Sud" xfId="2620"/>
    <cellStyle name="s_Merger_Actualisation provision contrat déficitaire SNCM 2011 V3 30 05 2011_PAO-CAF-RESOP_E2_2013_03_10_19H" xfId="2621"/>
    <cellStyle name="s_Merger_Actualisation provision contrat déficitaire SNCM 2011 V3 30 05 2011_PAO-CAF-RESOP_E2_2013_03_10_19H_Bridge_Zone_Sud" xfId="2622"/>
    <cellStyle name="s_Merger_Actualisation provision contrat déficitaire SNCM 2011 V3 30 05 2011_PPA" xfId="2623"/>
    <cellStyle name="s_Merger_Actualisation provision contrat déficitaire SNCM 2011 V3 30 05 2011_RESOP bef CICE&amp;PPA&amp;RepartHO" xfId="2624"/>
    <cellStyle name="s_Merger_Actualisation provision contrat déficitaire SNCM 2011 V3 30 05 2011_Synthèse_Présentation_conso_retraitée" xfId="2625"/>
    <cellStyle name="s_Merger_B14_E2_2210" xfId="2626"/>
    <cellStyle name="s_Merger_B14_E2_2210_Bridge_Zone_Sud" xfId="2627"/>
    <cellStyle name="s_Merger_BFR_TD_2014.02" xfId="2628"/>
    <cellStyle name="s_Merger_Bridge_Zone_Nord" xfId="2629"/>
    <cellStyle name="s_Merger_CAPEM BY COUNTRY" xfId="2630"/>
    <cellStyle name="s_Merger_Context" xfId="2631"/>
    <cellStyle name="s_Merger_LI819L_B13" xfId="605"/>
    <cellStyle name="s_Merger_LI819L_B13_CAPEM BY COUNTRY" xfId="2632"/>
    <cellStyle name="s_Merger_LI819L_B13_Context" xfId="2633"/>
    <cellStyle name="s_Merger_LI819L_B13_Maquette PLT" xfId="2634"/>
    <cellStyle name="s_Merger_LI819L_B13_Output" xfId="2635"/>
    <cellStyle name="s_Merger_LI819L_B13_PPA" xfId="2636"/>
    <cellStyle name="s_Merger_LI819L_B13_RESOP bef CICE&amp;PPA&amp;RepartHO" xfId="2637"/>
    <cellStyle name="s_Merger_Maquette PLT" xfId="2638"/>
    <cellStyle name="s_Merger_Output" xfId="2639"/>
    <cellStyle name="s_Merger_PAO-CAF-RESOP_14_01_13 à 20h" xfId="606"/>
    <cellStyle name="s_Merger_PAO-CAF-RESOP_14_01_13 à 20h_CAPEM BY COUNTRY" xfId="2640"/>
    <cellStyle name="s_Merger_PAO-CAF-RESOP_14_01_13 à 20h_Context" xfId="2641"/>
    <cellStyle name="s_Merger_PAO-CAF-RESOP_14_01_13 à 20h_Maquette PLT" xfId="2642"/>
    <cellStyle name="s_Merger_PAO-CAF-RESOP_14_01_13 à 20h_Output" xfId="2643"/>
    <cellStyle name="s_Merger_PAO-CAF-RESOP_14_01_13 à 20h_PPA" xfId="2644"/>
    <cellStyle name="s_Merger_PAO-CAF-RESOP_14_01_13 à 20h_RESOP bef CICE&amp;PPA&amp;RepartHO" xfId="2645"/>
    <cellStyle name="s_Merger_PAO-CAF-RESOP_2014.02" xfId="2646"/>
    <cellStyle name="s_Merger_PAO-CAF-RESOP_2014.02_Bridge_Zone_Sud" xfId="2647"/>
    <cellStyle name="s_Merger_PPA" xfId="2648"/>
    <cellStyle name="s_Merger_RESOP bef CICE&amp;PPA&amp;RepartHO" xfId="2649"/>
    <cellStyle name="s_model2" xfId="607"/>
    <cellStyle name="s_model2_Actualisation provision contrat déficitaire SNCM 2010 V Def" xfId="608"/>
    <cellStyle name="s_model2_Actualisation provision contrat déficitaire SNCM 2010 V Def_B14_E2_2210" xfId="2650"/>
    <cellStyle name="s_model2_Actualisation provision contrat déficitaire SNCM 2010 V Def_B14_E2_2210_Bridge_Zone_Sud" xfId="2651"/>
    <cellStyle name="s_model2_Actualisation provision contrat déficitaire SNCM 2010 V Def_Bridge_Zone_Sud" xfId="2652"/>
    <cellStyle name="s_model2_Actualisation provision contrat déficitaire SNCM 2010 V Def_CAPEM BY COUNTRY" xfId="2653"/>
    <cellStyle name="s_model2_Actualisation provision contrat déficitaire SNCM 2010 V Def_Context" xfId="2654"/>
    <cellStyle name="s_model2_Actualisation provision contrat déficitaire SNCM 2010 V Def_focus par entités CAFOPE2AMF" xfId="2655"/>
    <cellStyle name="s_model2_Actualisation provision contrat déficitaire SNCM 2010 V Def_focus par entités CAFOPE2AMF_Bridge_Zone_Sud" xfId="2656"/>
    <cellStyle name="s_model2_Actualisation provision contrat déficitaire SNCM 2010 V Def_Maquette PLT" xfId="2657"/>
    <cellStyle name="s_model2_Actualisation provision contrat déficitaire SNCM 2010 V Def_Output" xfId="2658"/>
    <cellStyle name="s_model2_Actualisation provision contrat déficitaire SNCM 2010 V Def_PAO-CAF-RESOP_04_13_pro_format_variante T1" xfId="2659"/>
    <cellStyle name="s_model2_Actualisation provision contrat déficitaire SNCM 2010 V Def_PAO-CAF-RESOP_04_13_pro_format_variante T1_B14_E2_2210" xfId="2660"/>
    <cellStyle name="s_model2_Actualisation provision contrat déficitaire SNCM 2010 V Def_PAO-CAF-RESOP_04_13_pro_format_variante T1_B14_E2_2210_Bridge_Zone_Sud" xfId="2661"/>
    <cellStyle name="s_model2_Actualisation provision contrat déficitaire SNCM 2010 V Def_PAO-CAF-RESOP_04_13_pro_format_variante T1_Bridge_Zone_Sud" xfId="2662"/>
    <cellStyle name="s_model2_Actualisation provision contrat déficitaire SNCM 2010 V Def_PAO-CAF-RESOP_06_13" xfId="2663"/>
    <cellStyle name="s_model2_Actualisation provision contrat déficitaire SNCM 2010 V Def_PAO-CAF-RESOP_06_13_B14_E2_2210" xfId="2664"/>
    <cellStyle name="s_model2_Actualisation provision contrat déficitaire SNCM 2010 V Def_PAO-CAF-RESOP_06_13_B14_E2_2210_Bridge_Zone_Sud" xfId="2665"/>
    <cellStyle name="s_model2_Actualisation provision contrat déficitaire SNCM 2010 V Def_PAO-CAF-RESOP_06_13_Bridge_Zone_Sud" xfId="2666"/>
    <cellStyle name="s_model2_Actualisation provision contrat déficitaire SNCM 2010 V Def_PAO-CAF-RESOP_08_13" xfId="2667"/>
    <cellStyle name="s_model2_Actualisation provision contrat déficitaire SNCM 2010 V Def_PAO-CAF-RESOP_08_13_B14_E2_2210" xfId="2668"/>
    <cellStyle name="s_model2_Actualisation provision contrat déficitaire SNCM 2010 V Def_PAO-CAF-RESOP_08_13_B14_E2_2210_Bridge_Zone_Sud" xfId="2669"/>
    <cellStyle name="s_model2_Actualisation provision contrat déficitaire SNCM 2010 V Def_PAO-CAF-RESOP_08_13_Bridge_Zone_Sud" xfId="2670"/>
    <cellStyle name="s_model2_Actualisation provision contrat déficitaire SNCM 2010 V Def_PAO-CAF-RESOP_09_13" xfId="2671"/>
    <cellStyle name="s_model2_Actualisation provision contrat déficitaire SNCM 2010 V Def_PAO-CAF-RESOP_09_13_Bridge_Zone_Sud" xfId="2672"/>
    <cellStyle name="s_model2_Actualisation provision contrat déficitaire SNCM 2010 V Def_PAO-CAF-RESOP_09_2013_Zone_IDF (version 2)" xfId="2673"/>
    <cellStyle name="s_model2_Actualisation provision contrat déficitaire SNCM 2010 V Def_PAO-CAF-RESOP_10_12" xfId="2674"/>
    <cellStyle name="s_model2_Actualisation provision contrat déficitaire SNCM 2010 V Def_PAO-CAF-RESOP_10_12_Bridge_Zone_Sud" xfId="2675"/>
    <cellStyle name="s_model2_Actualisation provision contrat déficitaire SNCM 2010 V Def_PAO-CAF-RESOP_10_12_focus par entités CAFOP" xfId="2676"/>
    <cellStyle name="s_model2_Actualisation provision contrat déficitaire SNCM 2010 V Def_PAO-CAF-RESOP_10_12_focus par entités CAFOP_Bridge_Zone_Sud" xfId="2677"/>
    <cellStyle name="s_model2_Actualisation provision contrat déficitaire SNCM 2010 V Def_PAO-CAF-RESOP_11_13" xfId="2678"/>
    <cellStyle name="s_model2_Actualisation provision contrat déficitaire SNCM 2010 V Def_PAO-CAF-RESOP_B13" xfId="2679"/>
    <cellStyle name="s_model2_Actualisation provision contrat déficitaire SNCM 2010 V Def_PAO-CAF-RESOP_B13_Bridge_Zone_Sud" xfId="2680"/>
    <cellStyle name="s_model2_Actualisation provision contrat déficitaire SNCM 2010 V Def_PAO-CAF-RESOP_B13_focus par entités CAFOP" xfId="2681"/>
    <cellStyle name="s_model2_Actualisation provision contrat déficitaire SNCM 2010 V Def_PAO-CAF-RESOP_B13_focus par entités CAFOP_Bridge_Zone_Sud" xfId="2682"/>
    <cellStyle name="s_model2_Actualisation provision contrat déficitaire SNCM 2010 V Def_PAO-CAF-RESOP_B2014" xfId="2683"/>
    <cellStyle name="s_model2_Actualisation provision contrat déficitaire SNCM 2010 V Def_PAO-CAF-RESOP_B2014_Bridge_Zone_Sud" xfId="2684"/>
    <cellStyle name="s_model2_Actualisation provision contrat déficitaire SNCM 2010 V Def_PAO-CAF-RESOP_B2014_v2" xfId="2685"/>
    <cellStyle name="s_model2_Actualisation provision contrat déficitaire SNCM 2010 V Def_PAO-CAF-RESOP_E2_13" xfId="2686"/>
    <cellStyle name="s_model2_Actualisation provision contrat déficitaire SNCM 2010 V Def_PAO-CAF-RESOP_E2_13_B14_E2_2210" xfId="2687"/>
    <cellStyle name="s_model2_Actualisation provision contrat déficitaire SNCM 2010 V Def_PAO-CAF-RESOP_E2_13_B14_E2_2210_Bridge_Zone_Sud" xfId="2688"/>
    <cellStyle name="s_model2_Actualisation provision contrat déficitaire SNCM 2010 V Def_PAO-CAF-RESOP_E2_13_Bridge_Zone_Sud" xfId="2689"/>
    <cellStyle name="s_model2_Actualisation provision contrat déficitaire SNCM 2010 V Def_PAO-CAF-RESOP_E2_2013_03_10_19H" xfId="2690"/>
    <cellStyle name="s_model2_Actualisation provision contrat déficitaire SNCM 2010 V Def_PAO-CAF-RESOP_E2_2013_03_10_19H_Bridge_Zone_Sud" xfId="2691"/>
    <cellStyle name="s_model2_Actualisation provision contrat déficitaire SNCM 2010 V Def_PPA" xfId="2692"/>
    <cellStyle name="s_model2_Actualisation provision contrat déficitaire SNCM 2010 V Def_RESOP bef CICE&amp;PPA&amp;RepartHO" xfId="2693"/>
    <cellStyle name="s_model2_Actualisation provision contrat déficitaire SNCM 2010 V Def_Synthèse_Présentation_conso_retraitée" xfId="2694"/>
    <cellStyle name="s_model2_Actualisation provision contrat déficitaire SNCM 2011 V3 30 05 2011" xfId="609"/>
    <cellStyle name="s_model2_Actualisation provision contrat déficitaire SNCM 2011 V3 30 05 2011_B14_E2_2210" xfId="2695"/>
    <cellStyle name="s_model2_Actualisation provision contrat déficitaire SNCM 2011 V3 30 05 2011_B14_E2_2210_Bridge_Zone_Sud" xfId="2696"/>
    <cellStyle name="s_model2_Actualisation provision contrat déficitaire SNCM 2011 V3 30 05 2011_Bridge_Zone_Sud" xfId="2697"/>
    <cellStyle name="s_model2_Actualisation provision contrat déficitaire SNCM 2011 V3 30 05 2011_CAPEM BY COUNTRY" xfId="2698"/>
    <cellStyle name="s_model2_Actualisation provision contrat déficitaire SNCM 2011 V3 30 05 2011_Context" xfId="2699"/>
    <cellStyle name="s_model2_Actualisation provision contrat déficitaire SNCM 2011 V3 30 05 2011_focus par entités CAFOPE2AMF" xfId="2700"/>
    <cellStyle name="s_model2_Actualisation provision contrat déficitaire SNCM 2011 V3 30 05 2011_focus par entités CAFOPE2AMF_Bridge_Zone_Sud" xfId="2701"/>
    <cellStyle name="s_model2_Actualisation provision contrat déficitaire SNCM 2011 V3 30 05 2011_Maquette PLT" xfId="2702"/>
    <cellStyle name="s_model2_Actualisation provision contrat déficitaire SNCM 2011 V3 30 05 2011_Output" xfId="2703"/>
    <cellStyle name="s_model2_Actualisation provision contrat déficitaire SNCM 2011 V3 30 05 2011_PAO-CAF-RESOP_04_13_pro_format_variante T1" xfId="2704"/>
    <cellStyle name="s_model2_Actualisation provision contrat déficitaire SNCM 2011 V3 30 05 2011_PAO-CAF-RESOP_04_13_pro_format_variante T1_B14_E2_2210" xfId="2705"/>
    <cellStyle name="s_model2_Actualisation provision contrat déficitaire SNCM 2011 V3 30 05 2011_PAO-CAF-RESOP_04_13_pro_format_variante T1_B14_E2_2210_Bridge_Zone_Sud" xfId="2706"/>
    <cellStyle name="s_model2_Actualisation provision contrat déficitaire SNCM 2011 V3 30 05 2011_PAO-CAF-RESOP_04_13_pro_format_variante T1_Bridge_Zone_Sud" xfId="2707"/>
    <cellStyle name="s_model2_Actualisation provision contrat déficitaire SNCM 2011 V3 30 05 2011_PAO-CAF-RESOP_06_13" xfId="2708"/>
    <cellStyle name="s_model2_Actualisation provision contrat déficitaire SNCM 2011 V3 30 05 2011_PAO-CAF-RESOP_06_13_B14_E2_2210" xfId="2709"/>
    <cellStyle name="s_model2_Actualisation provision contrat déficitaire SNCM 2011 V3 30 05 2011_PAO-CAF-RESOP_06_13_B14_E2_2210_Bridge_Zone_Sud" xfId="2710"/>
    <cellStyle name="s_model2_Actualisation provision contrat déficitaire SNCM 2011 V3 30 05 2011_PAO-CAF-RESOP_06_13_Bridge_Zone_Sud" xfId="2711"/>
    <cellStyle name="s_model2_Actualisation provision contrat déficitaire SNCM 2011 V3 30 05 2011_PAO-CAF-RESOP_08_13" xfId="2712"/>
    <cellStyle name="s_model2_Actualisation provision contrat déficitaire SNCM 2011 V3 30 05 2011_PAO-CAF-RESOP_08_13_B14_E2_2210" xfId="2713"/>
    <cellStyle name="s_model2_Actualisation provision contrat déficitaire SNCM 2011 V3 30 05 2011_PAO-CAF-RESOP_08_13_B14_E2_2210_Bridge_Zone_Sud" xfId="2714"/>
    <cellStyle name="s_model2_Actualisation provision contrat déficitaire SNCM 2011 V3 30 05 2011_PAO-CAF-RESOP_08_13_Bridge_Zone_Sud" xfId="2715"/>
    <cellStyle name="s_model2_Actualisation provision contrat déficitaire SNCM 2011 V3 30 05 2011_PAO-CAF-RESOP_09_13" xfId="2716"/>
    <cellStyle name="s_model2_Actualisation provision contrat déficitaire SNCM 2011 V3 30 05 2011_PAO-CAF-RESOP_09_13_Bridge_Zone_Sud" xfId="2717"/>
    <cellStyle name="s_model2_Actualisation provision contrat déficitaire SNCM 2011 V3 30 05 2011_PAO-CAF-RESOP_09_2013_Zone_IDF (version 2)" xfId="2718"/>
    <cellStyle name="s_model2_Actualisation provision contrat déficitaire SNCM 2011 V3 30 05 2011_PAO-CAF-RESOP_10_12" xfId="2719"/>
    <cellStyle name="s_model2_Actualisation provision contrat déficitaire SNCM 2011 V3 30 05 2011_PAO-CAF-RESOP_10_12_Bridge_Zone_Sud" xfId="2720"/>
    <cellStyle name="s_model2_Actualisation provision contrat déficitaire SNCM 2011 V3 30 05 2011_PAO-CAF-RESOP_10_12_focus par entités CAFOP" xfId="2721"/>
    <cellStyle name="s_model2_Actualisation provision contrat déficitaire SNCM 2011 V3 30 05 2011_PAO-CAF-RESOP_10_12_focus par entités CAFOP_Bridge_Zone_Sud" xfId="2722"/>
    <cellStyle name="s_model2_Actualisation provision contrat déficitaire SNCM 2011 V3 30 05 2011_PAO-CAF-RESOP_11_13" xfId="2723"/>
    <cellStyle name="s_model2_Actualisation provision contrat déficitaire SNCM 2011 V3 30 05 2011_PAO-CAF-RESOP_B13" xfId="2724"/>
    <cellStyle name="s_model2_Actualisation provision contrat déficitaire SNCM 2011 V3 30 05 2011_PAO-CAF-RESOP_B13_Bridge_Zone_Sud" xfId="2725"/>
    <cellStyle name="s_model2_Actualisation provision contrat déficitaire SNCM 2011 V3 30 05 2011_PAO-CAF-RESOP_B13_focus par entités CAFOP" xfId="2726"/>
    <cellStyle name="s_model2_Actualisation provision contrat déficitaire SNCM 2011 V3 30 05 2011_PAO-CAF-RESOP_B13_focus par entités CAFOP_Bridge_Zone_Sud" xfId="2727"/>
    <cellStyle name="s_model2_Actualisation provision contrat déficitaire SNCM 2011 V3 30 05 2011_PAO-CAF-RESOP_B2014" xfId="2728"/>
    <cellStyle name="s_model2_Actualisation provision contrat déficitaire SNCM 2011 V3 30 05 2011_PAO-CAF-RESOP_B2014_Bridge_Zone_Sud" xfId="2729"/>
    <cellStyle name="s_model2_Actualisation provision contrat déficitaire SNCM 2011 V3 30 05 2011_PAO-CAF-RESOP_B2014_v2" xfId="2730"/>
    <cellStyle name="s_model2_Actualisation provision contrat déficitaire SNCM 2011 V3 30 05 2011_PAO-CAF-RESOP_E2_13" xfId="2731"/>
    <cellStyle name="s_model2_Actualisation provision contrat déficitaire SNCM 2011 V3 30 05 2011_PAO-CAF-RESOP_E2_13_B14_E2_2210" xfId="2732"/>
    <cellStyle name="s_model2_Actualisation provision contrat déficitaire SNCM 2011 V3 30 05 2011_PAO-CAF-RESOP_E2_13_B14_E2_2210_Bridge_Zone_Sud" xfId="2733"/>
    <cellStyle name="s_model2_Actualisation provision contrat déficitaire SNCM 2011 V3 30 05 2011_PAO-CAF-RESOP_E2_13_Bridge_Zone_Sud" xfId="2734"/>
    <cellStyle name="s_model2_Actualisation provision contrat déficitaire SNCM 2011 V3 30 05 2011_PAO-CAF-RESOP_E2_2013_03_10_19H" xfId="2735"/>
    <cellStyle name="s_model2_Actualisation provision contrat déficitaire SNCM 2011 V3 30 05 2011_PAO-CAF-RESOP_E2_2013_03_10_19H_Bridge_Zone_Sud" xfId="2736"/>
    <cellStyle name="s_model2_Actualisation provision contrat déficitaire SNCM 2011 V3 30 05 2011_PPA" xfId="2737"/>
    <cellStyle name="s_model2_Actualisation provision contrat déficitaire SNCM 2011 V3 30 05 2011_RESOP bef CICE&amp;PPA&amp;RepartHO" xfId="2738"/>
    <cellStyle name="s_model2_Actualisation provision contrat déficitaire SNCM 2011 V3 30 05 2011_Synthèse_Présentation_conso_retraitée" xfId="2739"/>
    <cellStyle name="s_model2_B14_E2_2210" xfId="2740"/>
    <cellStyle name="s_model2_B14_E2_2210_Bridge_Zone_Sud" xfId="2741"/>
    <cellStyle name="s_model2_BFR_TD_2014.02" xfId="2742"/>
    <cellStyle name="s_model2_Bridge_Zone_Nord" xfId="2743"/>
    <cellStyle name="s_model2_CAPEM BY COUNTRY" xfId="2744"/>
    <cellStyle name="s_model2_Context" xfId="2745"/>
    <cellStyle name="s_model2_LI819L_B13" xfId="610"/>
    <cellStyle name="s_model2_LI819L_B13_CAPEM BY COUNTRY" xfId="2746"/>
    <cellStyle name="s_model2_LI819L_B13_Context" xfId="2747"/>
    <cellStyle name="s_model2_LI819L_B13_Maquette PLT" xfId="2748"/>
    <cellStyle name="s_model2_LI819L_B13_Output" xfId="2749"/>
    <cellStyle name="s_model2_LI819L_B13_PPA" xfId="2750"/>
    <cellStyle name="s_model2_LI819L_B13_RESOP bef CICE&amp;PPA&amp;RepartHO" xfId="2751"/>
    <cellStyle name="s_model2_Maquette PLT" xfId="2752"/>
    <cellStyle name="s_model2_Output" xfId="2753"/>
    <cellStyle name="s_model2_PAO-CAF-RESOP_14_01_13 à 20h" xfId="611"/>
    <cellStyle name="s_model2_PAO-CAF-RESOP_14_01_13 à 20h_CAPEM BY COUNTRY" xfId="2754"/>
    <cellStyle name="s_model2_PAO-CAF-RESOP_14_01_13 à 20h_Context" xfId="2755"/>
    <cellStyle name="s_model2_PAO-CAF-RESOP_14_01_13 à 20h_Maquette PLT" xfId="2756"/>
    <cellStyle name="s_model2_PAO-CAF-RESOP_14_01_13 à 20h_Output" xfId="2757"/>
    <cellStyle name="s_model2_PAO-CAF-RESOP_14_01_13 à 20h_PPA" xfId="2758"/>
    <cellStyle name="s_model2_PAO-CAF-RESOP_14_01_13 à 20h_RESOP bef CICE&amp;PPA&amp;RepartHO" xfId="2759"/>
    <cellStyle name="s_model2_PAO-CAF-RESOP_2014.02" xfId="2760"/>
    <cellStyle name="s_model2_PAO-CAF-RESOP_2014.02_Bridge_Zone_Sud" xfId="2761"/>
    <cellStyle name="s_model2_PPA" xfId="2762"/>
    <cellStyle name="s_model2_RESOP bef CICE&amp;PPA&amp;RepartHO" xfId="2763"/>
    <cellStyle name="s_Output" xfId="2764"/>
    <cellStyle name="s_P_L_Ratios" xfId="612"/>
    <cellStyle name="s_P_L_Ratios_Actualisation provision contrat déficitaire SNCM 2010 V Def" xfId="613"/>
    <cellStyle name="s_P_L_Ratios_Actualisation provision contrat déficitaire SNCM 2010 V Def_B14_E2_2210" xfId="2765"/>
    <cellStyle name="s_P_L_Ratios_Actualisation provision contrat déficitaire SNCM 2010 V Def_B14_E2_2210_Bridge_Zone_Sud" xfId="2766"/>
    <cellStyle name="s_P_L_Ratios_Actualisation provision contrat déficitaire SNCM 2010 V Def_Bridge_Zone_Sud" xfId="2767"/>
    <cellStyle name="s_P_L_Ratios_Actualisation provision contrat déficitaire SNCM 2010 V Def_CAPEM BY COUNTRY" xfId="2768"/>
    <cellStyle name="s_P_L_Ratios_Actualisation provision contrat déficitaire SNCM 2010 V Def_Context" xfId="2769"/>
    <cellStyle name="s_P_L_Ratios_Actualisation provision contrat déficitaire SNCM 2010 V Def_focus par entités CAFOPE2AMF" xfId="2770"/>
    <cellStyle name="s_P_L_Ratios_Actualisation provision contrat déficitaire SNCM 2010 V Def_focus par entités CAFOPE2AMF_Bridge_Zone_Sud" xfId="2771"/>
    <cellStyle name="s_P_L_Ratios_Actualisation provision contrat déficitaire SNCM 2010 V Def_Maquette PLT" xfId="2772"/>
    <cellStyle name="s_P_L_Ratios_Actualisation provision contrat déficitaire SNCM 2010 V Def_Output" xfId="2773"/>
    <cellStyle name="s_P_L_Ratios_Actualisation provision contrat déficitaire SNCM 2010 V Def_PAO-CAF-RESOP_04_13_pro_format_variante T1" xfId="2774"/>
    <cellStyle name="s_P_L_Ratios_Actualisation provision contrat déficitaire SNCM 2010 V Def_PAO-CAF-RESOP_04_13_pro_format_variante T1_B14_E2_2210" xfId="2775"/>
    <cellStyle name="s_P_L_Ratios_Actualisation provision contrat déficitaire SNCM 2010 V Def_PAO-CAF-RESOP_04_13_pro_format_variante T1_B14_E2_2210_Bridge_Zone_Sud" xfId="2776"/>
    <cellStyle name="s_P_L_Ratios_Actualisation provision contrat déficitaire SNCM 2010 V Def_PAO-CAF-RESOP_04_13_pro_format_variante T1_Bridge_Zone_Sud" xfId="2777"/>
    <cellStyle name="s_P_L_Ratios_Actualisation provision contrat déficitaire SNCM 2010 V Def_PAO-CAF-RESOP_06_13" xfId="2778"/>
    <cellStyle name="s_P_L_Ratios_Actualisation provision contrat déficitaire SNCM 2010 V Def_PAO-CAF-RESOP_06_13_B14_E2_2210" xfId="2779"/>
    <cellStyle name="s_P_L_Ratios_Actualisation provision contrat déficitaire SNCM 2010 V Def_PAO-CAF-RESOP_06_13_B14_E2_2210_Bridge_Zone_Sud" xfId="2780"/>
    <cellStyle name="s_P_L_Ratios_Actualisation provision contrat déficitaire SNCM 2010 V Def_PAO-CAF-RESOP_06_13_Bridge_Zone_Sud" xfId="2781"/>
    <cellStyle name="s_P_L_Ratios_Actualisation provision contrat déficitaire SNCM 2010 V Def_PAO-CAF-RESOP_08_13" xfId="2782"/>
    <cellStyle name="s_P_L_Ratios_Actualisation provision contrat déficitaire SNCM 2010 V Def_PAO-CAF-RESOP_08_13_B14_E2_2210" xfId="2783"/>
    <cellStyle name="s_P_L_Ratios_Actualisation provision contrat déficitaire SNCM 2010 V Def_PAO-CAF-RESOP_08_13_B14_E2_2210_Bridge_Zone_Sud" xfId="2784"/>
    <cellStyle name="s_P_L_Ratios_Actualisation provision contrat déficitaire SNCM 2010 V Def_PAO-CAF-RESOP_08_13_Bridge_Zone_Sud" xfId="2785"/>
    <cellStyle name="s_P_L_Ratios_Actualisation provision contrat déficitaire SNCM 2010 V Def_PAO-CAF-RESOP_09_13" xfId="2786"/>
    <cellStyle name="s_P_L_Ratios_Actualisation provision contrat déficitaire SNCM 2010 V Def_PAO-CAF-RESOP_09_13_Bridge_Zone_Sud" xfId="2787"/>
    <cellStyle name="s_P_L_Ratios_Actualisation provision contrat déficitaire SNCM 2010 V Def_PAO-CAF-RESOP_09_2013_Zone_IDF (version 2)" xfId="2788"/>
    <cellStyle name="s_P_L_Ratios_Actualisation provision contrat déficitaire SNCM 2010 V Def_PAO-CAF-RESOP_10_12" xfId="2789"/>
    <cellStyle name="s_P_L_Ratios_Actualisation provision contrat déficitaire SNCM 2010 V Def_PAO-CAF-RESOP_10_12_Bridge_Zone_Sud" xfId="2790"/>
    <cellStyle name="s_P_L_Ratios_Actualisation provision contrat déficitaire SNCM 2010 V Def_PAO-CAF-RESOP_10_12_focus par entités CAFOP" xfId="2791"/>
    <cellStyle name="s_P_L_Ratios_Actualisation provision contrat déficitaire SNCM 2010 V Def_PAO-CAF-RESOP_10_12_focus par entités CAFOP_Bridge_Zone_Sud" xfId="2792"/>
    <cellStyle name="s_P_L_Ratios_Actualisation provision contrat déficitaire SNCM 2010 V Def_PAO-CAF-RESOP_11_13" xfId="2793"/>
    <cellStyle name="s_P_L_Ratios_Actualisation provision contrat déficitaire SNCM 2010 V Def_PAO-CAF-RESOP_B13" xfId="2794"/>
    <cellStyle name="s_P_L_Ratios_Actualisation provision contrat déficitaire SNCM 2010 V Def_PAO-CAF-RESOP_B13_Bridge_Zone_Sud" xfId="2795"/>
    <cellStyle name="s_P_L_Ratios_Actualisation provision contrat déficitaire SNCM 2010 V Def_PAO-CAF-RESOP_B13_focus par entités CAFOP" xfId="2796"/>
    <cellStyle name="s_P_L_Ratios_Actualisation provision contrat déficitaire SNCM 2010 V Def_PAO-CAF-RESOP_B13_focus par entités CAFOP_Bridge_Zone_Sud" xfId="2797"/>
    <cellStyle name="s_P_L_Ratios_Actualisation provision contrat déficitaire SNCM 2010 V Def_PAO-CAF-RESOP_B2014" xfId="2798"/>
    <cellStyle name="s_P_L_Ratios_Actualisation provision contrat déficitaire SNCM 2010 V Def_PAO-CAF-RESOP_B2014_Bridge_Zone_Sud" xfId="2799"/>
    <cellStyle name="s_P_L_Ratios_Actualisation provision contrat déficitaire SNCM 2010 V Def_PAO-CAF-RESOP_B2014_v2" xfId="2800"/>
    <cellStyle name="s_P_L_Ratios_Actualisation provision contrat déficitaire SNCM 2010 V Def_PAO-CAF-RESOP_E2_13" xfId="2801"/>
    <cellStyle name="s_P_L_Ratios_Actualisation provision contrat déficitaire SNCM 2010 V Def_PAO-CAF-RESOP_E2_13_B14_E2_2210" xfId="2802"/>
    <cellStyle name="s_P_L_Ratios_Actualisation provision contrat déficitaire SNCM 2010 V Def_PAO-CAF-RESOP_E2_13_B14_E2_2210_Bridge_Zone_Sud" xfId="2803"/>
    <cellStyle name="s_P_L_Ratios_Actualisation provision contrat déficitaire SNCM 2010 V Def_PAO-CAF-RESOP_E2_13_Bridge_Zone_Sud" xfId="2804"/>
    <cellStyle name="s_P_L_Ratios_Actualisation provision contrat déficitaire SNCM 2010 V Def_PAO-CAF-RESOP_E2_2013_03_10_19H" xfId="2805"/>
    <cellStyle name="s_P_L_Ratios_Actualisation provision contrat déficitaire SNCM 2010 V Def_PAO-CAF-RESOP_E2_2013_03_10_19H_Bridge_Zone_Sud" xfId="2806"/>
    <cellStyle name="s_P_L_Ratios_Actualisation provision contrat déficitaire SNCM 2010 V Def_PPA" xfId="2807"/>
    <cellStyle name="s_P_L_Ratios_Actualisation provision contrat déficitaire SNCM 2010 V Def_RESOP bef CICE&amp;PPA&amp;RepartHO" xfId="2808"/>
    <cellStyle name="s_P_L_Ratios_Actualisation provision contrat déficitaire SNCM 2010 V Def_Synthèse_Présentation_conso_retraitée" xfId="2809"/>
    <cellStyle name="s_P_L_Ratios_Actualisation provision contrat déficitaire SNCM 2011 V3 30 05 2011" xfId="614"/>
    <cellStyle name="s_P_L_Ratios_Actualisation provision contrat déficitaire SNCM 2011 V3 30 05 2011_B14_E2_2210" xfId="2810"/>
    <cellStyle name="s_P_L_Ratios_Actualisation provision contrat déficitaire SNCM 2011 V3 30 05 2011_B14_E2_2210_Bridge_Zone_Sud" xfId="2811"/>
    <cellStyle name="s_P_L_Ratios_Actualisation provision contrat déficitaire SNCM 2011 V3 30 05 2011_Bridge_Zone_Sud" xfId="2812"/>
    <cellStyle name="s_P_L_Ratios_Actualisation provision contrat déficitaire SNCM 2011 V3 30 05 2011_CAPEM BY COUNTRY" xfId="2813"/>
    <cellStyle name="s_P_L_Ratios_Actualisation provision contrat déficitaire SNCM 2011 V3 30 05 2011_Context" xfId="2814"/>
    <cellStyle name="s_P_L_Ratios_Actualisation provision contrat déficitaire SNCM 2011 V3 30 05 2011_focus par entités CAFOPE2AMF" xfId="2815"/>
    <cellStyle name="s_P_L_Ratios_Actualisation provision contrat déficitaire SNCM 2011 V3 30 05 2011_focus par entités CAFOPE2AMF_Bridge_Zone_Sud" xfId="2816"/>
    <cellStyle name="s_P_L_Ratios_Actualisation provision contrat déficitaire SNCM 2011 V3 30 05 2011_Maquette PLT" xfId="2817"/>
    <cellStyle name="s_P_L_Ratios_Actualisation provision contrat déficitaire SNCM 2011 V3 30 05 2011_Output" xfId="2818"/>
    <cellStyle name="s_P_L_Ratios_Actualisation provision contrat déficitaire SNCM 2011 V3 30 05 2011_PAO-CAF-RESOP_04_13_pro_format_variante T1" xfId="2819"/>
    <cellStyle name="s_P_L_Ratios_Actualisation provision contrat déficitaire SNCM 2011 V3 30 05 2011_PAO-CAF-RESOP_04_13_pro_format_variante T1_B14_E2_2210" xfId="2820"/>
    <cellStyle name="s_P_L_Ratios_Actualisation provision contrat déficitaire SNCM 2011 V3 30 05 2011_PAO-CAF-RESOP_04_13_pro_format_variante T1_B14_E2_2210_Bridge_Zone_Sud" xfId="2821"/>
    <cellStyle name="s_P_L_Ratios_Actualisation provision contrat déficitaire SNCM 2011 V3 30 05 2011_PAO-CAF-RESOP_04_13_pro_format_variante T1_Bridge_Zone_Sud" xfId="2822"/>
    <cellStyle name="s_P_L_Ratios_Actualisation provision contrat déficitaire SNCM 2011 V3 30 05 2011_PAO-CAF-RESOP_06_13" xfId="2823"/>
    <cellStyle name="s_P_L_Ratios_Actualisation provision contrat déficitaire SNCM 2011 V3 30 05 2011_PAO-CAF-RESOP_06_13_B14_E2_2210" xfId="2824"/>
    <cellStyle name="s_P_L_Ratios_Actualisation provision contrat déficitaire SNCM 2011 V3 30 05 2011_PAO-CAF-RESOP_06_13_B14_E2_2210_Bridge_Zone_Sud" xfId="2825"/>
    <cellStyle name="s_P_L_Ratios_Actualisation provision contrat déficitaire SNCM 2011 V3 30 05 2011_PAO-CAF-RESOP_06_13_Bridge_Zone_Sud" xfId="2826"/>
    <cellStyle name="s_P_L_Ratios_Actualisation provision contrat déficitaire SNCM 2011 V3 30 05 2011_PAO-CAF-RESOP_08_13" xfId="2827"/>
    <cellStyle name="s_P_L_Ratios_Actualisation provision contrat déficitaire SNCM 2011 V3 30 05 2011_PAO-CAF-RESOP_08_13_B14_E2_2210" xfId="2828"/>
    <cellStyle name="s_P_L_Ratios_Actualisation provision contrat déficitaire SNCM 2011 V3 30 05 2011_PAO-CAF-RESOP_08_13_B14_E2_2210_Bridge_Zone_Sud" xfId="2829"/>
    <cellStyle name="s_P_L_Ratios_Actualisation provision contrat déficitaire SNCM 2011 V3 30 05 2011_PAO-CAF-RESOP_08_13_Bridge_Zone_Sud" xfId="2830"/>
    <cellStyle name="s_P_L_Ratios_Actualisation provision contrat déficitaire SNCM 2011 V3 30 05 2011_PAO-CAF-RESOP_09_13" xfId="2831"/>
    <cellStyle name="s_P_L_Ratios_Actualisation provision contrat déficitaire SNCM 2011 V3 30 05 2011_PAO-CAF-RESOP_09_13_Bridge_Zone_Sud" xfId="2832"/>
    <cellStyle name="s_P_L_Ratios_Actualisation provision contrat déficitaire SNCM 2011 V3 30 05 2011_PAO-CAF-RESOP_09_2013_Zone_IDF (version 2)" xfId="2833"/>
    <cellStyle name="s_P_L_Ratios_Actualisation provision contrat déficitaire SNCM 2011 V3 30 05 2011_PAO-CAF-RESOP_10_12" xfId="2834"/>
    <cellStyle name="s_P_L_Ratios_Actualisation provision contrat déficitaire SNCM 2011 V3 30 05 2011_PAO-CAF-RESOP_10_12_Bridge_Zone_Sud" xfId="2835"/>
    <cellStyle name="s_P_L_Ratios_Actualisation provision contrat déficitaire SNCM 2011 V3 30 05 2011_PAO-CAF-RESOP_10_12_focus par entités CAFOP" xfId="2836"/>
    <cellStyle name="s_P_L_Ratios_Actualisation provision contrat déficitaire SNCM 2011 V3 30 05 2011_PAO-CAF-RESOP_10_12_focus par entités CAFOP_Bridge_Zone_Sud" xfId="2837"/>
    <cellStyle name="s_P_L_Ratios_Actualisation provision contrat déficitaire SNCM 2011 V3 30 05 2011_PAO-CAF-RESOP_11_13" xfId="2838"/>
    <cellStyle name="s_P_L_Ratios_Actualisation provision contrat déficitaire SNCM 2011 V3 30 05 2011_PAO-CAF-RESOP_B13" xfId="2839"/>
    <cellStyle name="s_P_L_Ratios_Actualisation provision contrat déficitaire SNCM 2011 V3 30 05 2011_PAO-CAF-RESOP_B13_Bridge_Zone_Sud" xfId="2840"/>
    <cellStyle name="s_P_L_Ratios_Actualisation provision contrat déficitaire SNCM 2011 V3 30 05 2011_PAO-CAF-RESOP_B13_focus par entités CAFOP" xfId="2841"/>
    <cellStyle name="s_P_L_Ratios_Actualisation provision contrat déficitaire SNCM 2011 V3 30 05 2011_PAO-CAF-RESOP_B13_focus par entités CAFOP_Bridge_Zone_Sud" xfId="2842"/>
    <cellStyle name="s_P_L_Ratios_Actualisation provision contrat déficitaire SNCM 2011 V3 30 05 2011_PAO-CAF-RESOP_B2014" xfId="2843"/>
    <cellStyle name="s_P_L_Ratios_Actualisation provision contrat déficitaire SNCM 2011 V3 30 05 2011_PAO-CAF-RESOP_B2014_Bridge_Zone_Sud" xfId="2844"/>
    <cellStyle name="s_P_L_Ratios_Actualisation provision contrat déficitaire SNCM 2011 V3 30 05 2011_PAO-CAF-RESOP_B2014_v2" xfId="2845"/>
    <cellStyle name="s_P_L_Ratios_Actualisation provision contrat déficitaire SNCM 2011 V3 30 05 2011_PAO-CAF-RESOP_E2_13" xfId="2846"/>
    <cellStyle name="s_P_L_Ratios_Actualisation provision contrat déficitaire SNCM 2011 V3 30 05 2011_PAO-CAF-RESOP_E2_13_B14_E2_2210" xfId="2847"/>
    <cellStyle name="s_P_L_Ratios_Actualisation provision contrat déficitaire SNCM 2011 V3 30 05 2011_PAO-CAF-RESOP_E2_13_B14_E2_2210_Bridge_Zone_Sud" xfId="2848"/>
    <cellStyle name="s_P_L_Ratios_Actualisation provision contrat déficitaire SNCM 2011 V3 30 05 2011_PAO-CAF-RESOP_E2_13_Bridge_Zone_Sud" xfId="2849"/>
    <cellStyle name="s_P_L_Ratios_Actualisation provision contrat déficitaire SNCM 2011 V3 30 05 2011_PAO-CAF-RESOP_E2_2013_03_10_19H" xfId="2850"/>
    <cellStyle name="s_P_L_Ratios_Actualisation provision contrat déficitaire SNCM 2011 V3 30 05 2011_PAO-CAF-RESOP_E2_2013_03_10_19H_Bridge_Zone_Sud" xfId="2851"/>
    <cellStyle name="s_P_L_Ratios_Actualisation provision contrat déficitaire SNCM 2011 V3 30 05 2011_PPA" xfId="2852"/>
    <cellStyle name="s_P_L_Ratios_Actualisation provision contrat déficitaire SNCM 2011 V3 30 05 2011_RESOP bef CICE&amp;PPA&amp;RepartHO" xfId="2853"/>
    <cellStyle name="s_P_L_Ratios_Actualisation provision contrat déficitaire SNCM 2011 V3 30 05 2011_Synthèse_Présentation_conso_retraitée" xfId="2854"/>
    <cellStyle name="s_P_L_Ratios_B" xfId="615"/>
    <cellStyle name="s_P_L_Ratios_B_Actualisation provision contrat déficitaire SNCM 2010 V Def" xfId="616"/>
    <cellStyle name="s_P_L_Ratios_B_Actualisation provision contrat déficitaire SNCM 2010 V Def_B14_E2_2210" xfId="2855"/>
    <cellStyle name="s_P_L_Ratios_B_Actualisation provision contrat déficitaire SNCM 2010 V Def_B14_E2_2210_Bridge_Zone_Sud" xfId="2856"/>
    <cellStyle name="s_P_L_Ratios_B_Actualisation provision contrat déficitaire SNCM 2010 V Def_Bridge_Zone_Sud" xfId="2857"/>
    <cellStyle name="s_P_L_Ratios_B_Actualisation provision contrat déficitaire SNCM 2010 V Def_CAPEM BY COUNTRY" xfId="2858"/>
    <cellStyle name="s_P_L_Ratios_B_Actualisation provision contrat déficitaire SNCM 2010 V Def_Context" xfId="2859"/>
    <cellStyle name="s_P_L_Ratios_B_Actualisation provision contrat déficitaire SNCM 2010 V Def_focus par entités CAFOPE2AMF" xfId="2860"/>
    <cellStyle name="s_P_L_Ratios_B_Actualisation provision contrat déficitaire SNCM 2010 V Def_focus par entités CAFOPE2AMF_Bridge_Zone_Sud" xfId="2861"/>
    <cellStyle name="s_P_L_Ratios_B_Actualisation provision contrat déficitaire SNCM 2010 V Def_Maquette PLT" xfId="2862"/>
    <cellStyle name="s_P_L_Ratios_B_Actualisation provision contrat déficitaire SNCM 2010 V Def_Output" xfId="2863"/>
    <cellStyle name="s_P_L_Ratios_B_Actualisation provision contrat déficitaire SNCM 2010 V Def_PAO-CAF-RESOP_04_13_pro_format_variante T1" xfId="2864"/>
    <cellStyle name="s_P_L_Ratios_B_Actualisation provision contrat déficitaire SNCM 2010 V Def_PAO-CAF-RESOP_04_13_pro_format_variante T1_B14_E2_2210" xfId="2865"/>
    <cellStyle name="s_P_L_Ratios_B_Actualisation provision contrat déficitaire SNCM 2010 V Def_PAO-CAF-RESOP_04_13_pro_format_variante T1_B14_E2_2210_Bridge_Zone_Sud" xfId="2866"/>
    <cellStyle name="s_P_L_Ratios_B_Actualisation provision contrat déficitaire SNCM 2010 V Def_PAO-CAF-RESOP_04_13_pro_format_variante T1_Bridge_Zone_Sud" xfId="2867"/>
    <cellStyle name="s_P_L_Ratios_B_Actualisation provision contrat déficitaire SNCM 2010 V Def_PAO-CAF-RESOP_06_13" xfId="2868"/>
    <cellStyle name="s_P_L_Ratios_B_Actualisation provision contrat déficitaire SNCM 2010 V Def_PAO-CAF-RESOP_06_13_B14_E2_2210" xfId="2869"/>
    <cellStyle name="s_P_L_Ratios_B_Actualisation provision contrat déficitaire SNCM 2010 V Def_PAO-CAF-RESOP_06_13_B14_E2_2210_Bridge_Zone_Sud" xfId="2870"/>
    <cellStyle name="s_P_L_Ratios_B_Actualisation provision contrat déficitaire SNCM 2010 V Def_PAO-CAF-RESOP_06_13_Bridge_Zone_Sud" xfId="2871"/>
    <cellStyle name="s_P_L_Ratios_B_Actualisation provision contrat déficitaire SNCM 2010 V Def_PAO-CAF-RESOP_08_13" xfId="2872"/>
    <cellStyle name="s_P_L_Ratios_B_Actualisation provision contrat déficitaire SNCM 2010 V Def_PAO-CAF-RESOP_08_13_B14_E2_2210" xfId="2873"/>
    <cellStyle name="s_P_L_Ratios_B_Actualisation provision contrat déficitaire SNCM 2010 V Def_PAO-CAF-RESOP_08_13_B14_E2_2210_Bridge_Zone_Sud" xfId="2874"/>
    <cellStyle name="s_P_L_Ratios_B_Actualisation provision contrat déficitaire SNCM 2010 V Def_PAO-CAF-RESOP_08_13_Bridge_Zone_Sud" xfId="2875"/>
    <cellStyle name="s_P_L_Ratios_B_Actualisation provision contrat déficitaire SNCM 2010 V Def_PAO-CAF-RESOP_09_13" xfId="2876"/>
    <cellStyle name="s_P_L_Ratios_B_Actualisation provision contrat déficitaire SNCM 2010 V Def_PAO-CAF-RESOP_09_13_Bridge_Zone_Sud" xfId="2877"/>
    <cellStyle name="s_P_L_Ratios_B_Actualisation provision contrat déficitaire SNCM 2010 V Def_PAO-CAF-RESOP_09_2013_Zone_IDF (version 2)" xfId="2878"/>
    <cellStyle name="s_P_L_Ratios_B_Actualisation provision contrat déficitaire SNCM 2010 V Def_PAO-CAF-RESOP_10_12" xfId="2879"/>
    <cellStyle name="s_P_L_Ratios_B_Actualisation provision contrat déficitaire SNCM 2010 V Def_PAO-CAF-RESOP_10_12_Bridge_Zone_Sud" xfId="2880"/>
    <cellStyle name="s_P_L_Ratios_B_Actualisation provision contrat déficitaire SNCM 2010 V Def_PAO-CAF-RESOP_10_12_focus par entités CAFOP" xfId="2881"/>
    <cellStyle name="s_P_L_Ratios_B_Actualisation provision contrat déficitaire SNCM 2010 V Def_PAO-CAF-RESOP_10_12_focus par entités CAFOP_Bridge_Zone_Sud" xfId="2882"/>
    <cellStyle name="s_P_L_Ratios_B_Actualisation provision contrat déficitaire SNCM 2010 V Def_PAO-CAF-RESOP_11_13" xfId="2883"/>
    <cellStyle name="s_P_L_Ratios_B_Actualisation provision contrat déficitaire SNCM 2010 V Def_PAO-CAF-RESOP_B13" xfId="2884"/>
    <cellStyle name="s_P_L_Ratios_B_Actualisation provision contrat déficitaire SNCM 2010 V Def_PAO-CAF-RESOP_B13_Bridge_Zone_Sud" xfId="2885"/>
    <cellStyle name="s_P_L_Ratios_B_Actualisation provision contrat déficitaire SNCM 2010 V Def_PAO-CAF-RESOP_B13_focus par entités CAFOP" xfId="2886"/>
    <cellStyle name="s_P_L_Ratios_B_Actualisation provision contrat déficitaire SNCM 2010 V Def_PAO-CAF-RESOP_B13_focus par entités CAFOP_Bridge_Zone_Sud" xfId="2887"/>
    <cellStyle name="s_P_L_Ratios_B_Actualisation provision contrat déficitaire SNCM 2010 V Def_PAO-CAF-RESOP_B2014" xfId="2888"/>
    <cellStyle name="s_P_L_Ratios_B_Actualisation provision contrat déficitaire SNCM 2010 V Def_PAO-CAF-RESOP_B2014_Bridge_Zone_Sud" xfId="2889"/>
    <cellStyle name="s_P_L_Ratios_B_Actualisation provision contrat déficitaire SNCM 2010 V Def_PAO-CAF-RESOP_B2014_v2" xfId="2890"/>
    <cellStyle name="s_P_L_Ratios_B_Actualisation provision contrat déficitaire SNCM 2010 V Def_PAO-CAF-RESOP_E2_13" xfId="2891"/>
    <cellStyle name="s_P_L_Ratios_B_Actualisation provision contrat déficitaire SNCM 2010 V Def_PAO-CAF-RESOP_E2_13_B14_E2_2210" xfId="2892"/>
    <cellStyle name="s_P_L_Ratios_B_Actualisation provision contrat déficitaire SNCM 2010 V Def_PAO-CAF-RESOP_E2_13_B14_E2_2210_Bridge_Zone_Sud" xfId="2893"/>
    <cellStyle name="s_P_L_Ratios_B_Actualisation provision contrat déficitaire SNCM 2010 V Def_PAO-CAF-RESOP_E2_13_Bridge_Zone_Sud" xfId="2894"/>
    <cellStyle name="s_P_L_Ratios_B_Actualisation provision contrat déficitaire SNCM 2010 V Def_PAO-CAF-RESOP_E2_2013_03_10_19H" xfId="2895"/>
    <cellStyle name="s_P_L_Ratios_B_Actualisation provision contrat déficitaire SNCM 2010 V Def_PAO-CAF-RESOP_E2_2013_03_10_19H_Bridge_Zone_Sud" xfId="2896"/>
    <cellStyle name="s_P_L_Ratios_B_Actualisation provision contrat déficitaire SNCM 2010 V Def_PPA" xfId="2897"/>
    <cellStyle name="s_P_L_Ratios_B_Actualisation provision contrat déficitaire SNCM 2010 V Def_RESOP bef CICE&amp;PPA&amp;RepartHO" xfId="2898"/>
    <cellStyle name="s_P_L_Ratios_B_Actualisation provision contrat déficitaire SNCM 2010 V Def_Synthèse_Présentation_conso_retraitée" xfId="2899"/>
    <cellStyle name="s_P_L_Ratios_B_Actualisation provision contrat déficitaire SNCM 2011 V3 30 05 2011" xfId="617"/>
    <cellStyle name="s_P_L_Ratios_B_Actualisation provision contrat déficitaire SNCM 2011 V3 30 05 2011_B14_E2_2210" xfId="2900"/>
    <cellStyle name="s_P_L_Ratios_B_Actualisation provision contrat déficitaire SNCM 2011 V3 30 05 2011_B14_E2_2210_Bridge_Zone_Sud" xfId="2901"/>
    <cellStyle name="s_P_L_Ratios_B_Actualisation provision contrat déficitaire SNCM 2011 V3 30 05 2011_Bridge_Zone_Sud" xfId="2902"/>
    <cellStyle name="s_P_L_Ratios_B_Actualisation provision contrat déficitaire SNCM 2011 V3 30 05 2011_CAPEM BY COUNTRY" xfId="2903"/>
    <cellStyle name="s_P_L_Ratios_B_Actualisation provision contrat déficitaire SNCM 2011 V3 30 05 2011_Context" xfId="2904"/>
    <cellStyle name="s_P_L_Ratios_B_Actualisation provision contrat déficitaire SNCM 2011 V3 30 05 2011_focus par entités CAFOPE2AMF" xfId="2905"/>
    <cellStyle name="s_P_L_Ratios_B_Actualisation provision contrat déficitaire SNCM 2011 V3 30 05 2011_focus par entités CAFOPE2AMF_Bridge_Zone_Sud" xfId="2906"/>
    <cellStyle name="s_P_L_Ratios_B_Actualisation provision contrat déficitaire SNCM 2011 V3 30 05 2011_Maquette PLT" xfId="2907"/>
    <cellStyle name="s_P_L_Ratios_B_Actualisation provision contrat déficitaire SNCM 2011 V3 30 05 2011_Output" xfId="2908"/>
    <cellStyle name="s_P_L_Ratios_B_Actualisation provision contrat déficitaire SNCM 2011 V3 30 05 2011_PAO-CAF-RESOP_04_13_pro_format_variante T1" xfId="2909"/>
    <cellStyle name="s_P_L_Ratios_B_Actualisation provision contrat déficitaire SNCM 2011 V3 30 05 2011_PAO-CAF-RESOP_04_13_pro_format_variante T1_B14_E2_2210" xfId="2910"/>
    <cellStyle name="s_P_L_Ratios_B_Actualisation provision contrat déficitaire SNCM 2011 V3 30 05 2011_PAO-CAF-RESOP_04_13_pro_format_variante T1_B14_E2_2210_Bridge_Zone_Sud" xfId="2911"/>
    <cellStyle name="s_P_L_Ratios_B_Actualisation provision contrat déficitaire SNCM 2011 V3 30 05 2011_PAO-CAF-RESOP_04_13_pro_format_variante T1_Bridge_Zone_Sud" xfId="2912"/>
    <cellStyle name="s_P_L_Ratios_B_Actualisation provision contrat déficitaire SNCM 2011 V3 30 05 2011_PAO-CAF-RESOP_06_13" xfId="2913"/>
    <cellStyle name="s_P_L_Ratios_B_Actualisation provision contrat déficitaire SNCM 2011 V3 30 05 2011_PAO-CAF-RESOP_06_13_B14_E2_2210" xfId="2914"/>
    <cellStyle name="s_P_L_Ratios_B_Actualisation provision contrat déficitaire SNCM 2011 V3 30 05 2011_PAO-CAF-RESOP_06_13_B14_E2_2210_Bridge_Zone_Sud" xfId="2915"/>
    <cellStyle name="s_P_L_Ratios_B_Actualisation provision contrat déficitaire SNCM 2011 V3 30 05 2011_PAO-CAF-RESOP_06_13_Bridge_Zone_Sud" xfId="2916"/>
    <cellStyle name="s_P_L_Ratios_B_Actualisation provision contrat déficitaire SNCM 2011 V3 30 05 2011_PAO-CAF-RESOP_08_13" xfId="2917"/>
    <cellStyle name="s_P_L_Ratios_B_Actualisation provision contrat déficitaire SNCM 2011 V3 30 05 2011_PAO-CAF-RESOP_08_13_B14_E2_2210" xfId="2918"/>
    <cellStyle name="s_P_L_Ratios_B_Actualisation provision contrat déficitaire SNCM 2011 V3 30 05 2011_PAO-CAF-RESOP_08_13_B14_E2_2210_Bridge_Zone_Sud" xfId="2919"/>
    <cellStyle name="s_P_L_Ratios_B_Actualisation provision contrat déficitaire SNCM 2011 V3 30 05 2011_PAO-CAF-RESOP_08_13_Bridge_Zone_Sud" xfId="2920"/>
    <cellStyle name="s_P_L_Ratios_B_Actualisation provision contrat déficitaire SNCM 2011 V3 30 05 2011_PAO-CAF-RESOP_09_13" xfId="2921"/>
    <cellStyle name="s_P_L_Ratios_B_Actualisation provision contrat déficitaire SNCM 2011 V3 30 05 2011_PAO-CAF-RESOP_09_13_Bridge_Zone_Sud" xfId="2922"/>
    <cellStyle name="s_P_L_Ratios_B_Actualisation provision contrat déficitaire SNCM 2011 V3 30 05 2011_PAO-CAF-RESOP_09_2013_Zone_IDF (version 2)" xfId="2923"/>
    <cellStyle name="s_P_L_Ratios_B_Actualisation provision contrat déficitaire SNCM 2011 V3 30 05 2011_PAO-CAF-RESOP_10_12" xfId="2924"/>
    <cellStyle name="s_P_L_Ratios_B_Actualisation provision contrat déficitaire SNCM 2011 V3 30 05 2011_PAO-CAF-RESOP_10_12_Bridge_Zone_Sud" xfId="2925"/>
    <cellStyle name="s_P_L_Ratios_B_Actualisation provision contrat déficitaire SNCM 2011 V3 30 05 2011_PAO-CAF-RESOP_10_12_focus par entités CAFOP" xfId="2926"/>
    <cellStyle name="s_P_L_Ratios_B_Actualisation provision contrat déficitaire SNCM 2011 V3 30 05 2011_PAO-CAF-RESOP_10_12_focus par entités CAFOP_Bridge_Zone_Sud" xfId="2927"/>
    <cellStyle name="s_P_L_Ratios_B_Actualisation provision contrat déficitaire SNCM 2011 V3 30 05 2011_PAO-CAF-RESOP_11_13" xfId="2928"/>
    <cellStyle name="s_P_L_Ratios_B_Actualisation provision contrat déficitaire SNCM 2011 V3 30 05 2011_PAO-CAF-RESOP_B13" xfId="2929"/>
    <cellStyle name="s_P_L_Ratios_B_Actualisation provision contrat déficitaire SNCM 2011 V3 30 05 2011_PAO-CAF-RESOP_B13_Bridge_Zone_Sud" xfId="2930"/>
    <cellStyle name="s_P_L_Ratios_B_Actualisation provision contrat déficitaire SNCM 2011 V3 30 05 2011_PAO-CAF-RESOP_B13_focus par entités CAFOP" xfId="2931"/>
    <cellStyle name="s_P_L_Ratios_B_Actualisation provision contrat déficitaire SNCM 2011 V3 30 05 2011_PAO-CAF-RESOP_B13_focus par entités CAFOP_Bridge_Zone_Sud" xfId="2932"/>
    <cellStyle name="s_P_L_Ratios_B_Actualisation provision contrat déficitaire SNCM 2011 V3 30 05 2011_PAO-CAF-RESOP_B2014" xfId="2933"/>
    <cellStyle name="s_P_L_Ratios_B_Actualisation provision contrat déficitaire SNCM 2011 V3 30 05 2011_PAO-CAF-RESOP_B2014_Bridge_Zone_Sud" xfId="2934"/>
    <cellStyle name="s_P_L_Ratios_B_Actualisation provision contrat déficitaire SNCM 2011 V3 30 05 2011_PAO-CAF-RESOP_B2014_v2" xfId="2935"/>
    <cellStyle name="s_P_L_Ratios_B_Actualisation provision contrat déficitaire SNCM 2011 V3 30 05 2011_PAO-CAF-RESOP_E2_13" xfId="2936"/>
    <cellStyle name="s_P_L_Ratios_B_Actualisation provision contrat déficitaire SNCM 2011 V3 30 05 2011_PAO-CAF-RESOP_E2_13_B14_E2_2210" xfId="2937"/>
    <cellStyle name="s_P_L_Ratios_B_Actualisation provision contrat déficitaire SNCM 2011 V3 30 05 2011_PAO-CAF-RESOP_E2_13_B14_E2_2210_Bridge_Zone_Sud" xfId="2938"/>
    <cellStyle name="s_P_L_Ratios_B_Actualisation provision contrat déficitaire SNCM 2011 V3 30 05 2011_PAO-CAF-RESOP_E2_13_Bridge_Zone_Sud" xfId="2939"/>
    <cellStyle name="s_P_L_Ratios_B_Actualisation provision contrat déficitaire SNCM 2011 V3 30 05 2011_PAO-CAF-RESOP_E2_2013_03_10_19H" xfId="2940"/>
    <cellStyle name="s_P_L_Ratios_B_Actualisation provision contrat déficitaire SNCM 2011 V3 30 05 2011_PAO-CAF-RESOP_E2_2013_03_10_19H_Bridge_Zone_Sud" xfId="2941"/>
    <cellStyle name="s_P_L_Ratios_B_Actualisation provision contrat déficitaire SNCM 2011 V3 30 05 2011_PPA" xfId="2942"/>
    <cellStyle name="s_P_L_Ratios_B_Actualisation provision contrat déficitaire SNCM 2011 V3 30 05 2011_RESOP bef CICE&amp;PPA&amp;RepartHO" xfId="2943"/>
    <cellStyle name="s_P_L_Ratios_B_Actualisation provision contrat déficitaire SNCM 2011 V3 30 05 2011_Synthèse_Présentation_conso_retraitée" xfId="2944"/>
    <cellStyle name="s_P_L_Ratios_B_B14_E2_2210" xfId="2945"/>
    <cellStyle name="s_P_L_Ratios_B_B14_E2_2210_Bridge_Zone_Sud" xfId="2946"/>
    <cellStyle name="s_P_L_Ratios_B_BFR_TD_2014.02" xfId="2947"/>
    <cellStyle name="s_P_L_Ratios_B_Bridge_Zone_Nord" xfId="2948"/>
    <cellStyle name="s_P_L_Ratios_B_CAPEM BY COUNTRY" xfId="2949"/>
    <cellStyle name="s_P_L_Ratios_B_Context" xfId="2950"/>
    <cellStyle name="s_P_L_Ratios_B_LI819L_B13" xfId="618"/>
    <cellStyle name="s_P_L_Ratios_B_LI819L_B13_CAPEM BY COUNTRY" xfId="2951"/>
    <cellStyle name="s_P_L_Ratios_B_LI819L_B13_Context" xfId="2952"/>
    <cellStyle name="s_P_L_Ratios_B_LI819L_B13_Maquette PLT" xfId="2953"/>
    <cellStyle name="s_P_L_Ratios_B_LI819L_B13_Output" xfId="2954"/>
    <cellStyle name="s_P_L_Ratios_B_LI819L_B13_PPA" xfId="2955"/>
    <cellStyle name="s_P_L_Ratios_B_LI819L_B13_RESOP bef CICE&amp;PPA&amp;RepartHO" xfId="2956"/>
    <cellStyle name="s_P_L_Ratios_B_Maquette PLT" xfId="2957"/>
    <cellStyle name="s_P_L_Ratios_B_Output" xfId="2958"/>
    <cellStyle name="s_P_L_Ratios_B_PAO-CAF-RESOP_14_01_13 à 20h" xfId="619"/>
    <cellStyle name="s_P_L_Ratios_B_PAO-CAF-RESOP_14_01_13 à 20h_CAPEM BY COUNTRY" xfId="2959"/>
    <cellStyle name="s_P_L_Ratios_B_PAO-CAF-RESOP_14_01_13 à 20h_Context" xfId="2960"/>
    <cellStyle name="s_P_L_Ratios_B_PAO-CAF-RESOP_14_01_13 à 20h_Maquette PLT" xfId="2961"/>
    <cellStyle name="s_P_L_Ratios_B_PAO-CAF-RESOP_14_01_13 à 20h_Output" xfId="2962"/>
    <cellStyle name="s_P_L_Ratios_B_PAO-CAF-RESOP_14_01_13 à 20h_PPA" xfId="2963"/>
    <cellStyle name="s_P_L_Ratios_B_PAO-CAF-RESOP_14_01_13 à 20h_RESOP bef CICE&amp;PPA&amp;RepartHO" xfId="2964"/>
    <cellStyle name="s_P_L_Ratios_B_PAO-CAF-RESOP_2014.02" xfId="2965"/>
    <cellStyle name="s_P_L_Ratios_B_PAO-CAF-RESOP_2014.02_Bridge_Zone_Sud" xfId="2966"/>
    <cellStyle name="s_P_L_Ratios_B_PPA" xfId="2967"/>
    <cellStyle name="s_P_L_Ratios_B_RESOP bef CICE&amp;PPA&amp;RepartHO" xfId="2968"/>
    <cellStyle name="s_P_L_Ratios_B14_E2_2210" xfId="2969"/>
    <cellStyle name="s_P_L_Ratios_B14_E2_2210_Bridge_Zone_Sud" xfId="2970"/>
    <cellStyle name="s_P_L_Ratios_BFR_TD_2014.02" xfId="2971"/>
    <cellStyle name="s_P_L_Ratios_Bridge_Zone_Nord" xfId="2972"/>
    <cellStyle name="s_P_L_Ratios_CAPEM BY COUNTRY" xfId="2973"/>
    <cellStyle name="s_P_L_Ratios_Context" xfId="2974"/>
    <cellStyle name="s_P_L_Ratios_LI819L_B13" xfId="620"/>
    <cellStyle name="s_P_L_Ratios_LI819L_B13_CAPEM BY COUNTRY" xfId="2975"/>
    <cellStyle name="s_P_L_Ratios_LI819L_B13_Context" xfId="2976"/>
    <cellStyle name="s_P_L_Ratios_LI819L_B13_Maquette PLT" xfId="2977"/>
    <cellStyle name="s_P_L_Ratios_LI819L_B13_Output" xfId="2978"/>
    <cellStyle name="s_P_L_Ratios_LI819L_B13_PPA" xfId="2979"/>
    <cellStyle name="s_P_L_Ratios_LI819L_B13_RESOP bef CICE&amp;PPA&amp;RepartHO" xfId="2980"/>
    <cellStyle name="s_P_L_Ratios_Maquette PLT" xfId="2981"/>
    <cellStyle name="s_P_L_Ratios_Output" xfId="2982"/>
    <cellStyle name="s_P_L_Ratios_PAO-CAF-RESOP_14_01_13 à 20h" xfId="621"/>
    <cellStyle name="s_P_L_Ratios_PAO-CAF-RESOP_14_01_13 à 20h_CAPEM BY COUNTRY" xfId="2983"/>
    <cellStyle name="s_P_L_Ratios_PAO-CAF-RESOP_14_01_13 à 20h_Context" xfId="2984"/>
    <cellStyle name="s_P_L_Ratios_PAO-CAF-RESOP_14_01_13 à 20h_Maquette PLT" xfId="2985"/>
    <cellStyle name="s_P_L_Ratios_PAO-CAF-RESOP_14_01_13 à 20h_Output" xfId="2986"/>
    <cellStyle name="s_P_L_Ratios_PAO-CAF-RESOP_14_01_13 à 20h_PPA" xfId="2987"/>
    <cellStyle name="s_P_L_Ratios_PAO-CAF-RESOP_14_01_13 à 20h_RESOP bef CICE&amp;PPA&amp;RepartHO" xfId="2988"/>
    <cellStyle name="s_P_L_Ratios_PAO-CAF-RESOP_2014.02" xfId="2989"/>
    <cellStyle name="s_P_L_Ratios_PAO-CAF-RESOP_2014.02_Bridge_Zone_Sud" xfId="2990"/>
    <cellStyle name="s_P_L_Ratios_PPA" xfId="2991"/>
    <cellStyle name="s_P_L_Ratios_RESOP bef CICE&amp;PPA&amp;RepartHO" xfId="2992"/>
    <cellStyle name="s_PAO-CAF-RESOP_14_01_13 à 20h" xfId="622"/>
    <cellStyle name="s_PAO-CAF-RESOP_14_01_13 à 20h_CAPEM BY COUNTRY" xfId="2993"/>
    <cellStyle name="s_PAO-CAF-RESOP_14_01_13 à 20h_Context" xfId="2994"/>
    <cellStyle name="s_PAO-CAF-RESOP_14_01_13 à 20h_Maquette PLT" xfId="2995"/>
    <cellStyle name="s_PAO-CAF-RESOP_14_01_13 à 20h_Output" xfId="2996"/>
    <cellStyle name="s_PAO-CAF-RESOP_14_01_13 à 20h_PPA" xfId="2997"/>
    <cellStyle name="s_PAO-CAF-RESOP_14_01_13 à 20h_RESOP bef CICE&amp;PPA&amp;RepartHO" xfId="2998"/>
    <cellStyle name="s_PAO-CAF-RESOP_2014.02" xfId="2999"/>
    <cellStyle name="s_PAO-CAF-RESOP_2014.02_Bridge_Zone_Sud" xfId="3000"/>
    <cellStyle name="s_PPA" xfId="3001"/>
    <cellStyle name="s_RESOP bef CICE&amp;PPA&amp;RepartHO" xfId="3002"/>
    <cellStyle name="s_S_By_S" xfId="623"/>
    <cellStyle name="s_S_By_S_Actualisation provision contrat déficitaire SNCM 2010 V Def" xfId="624"/>
    <cellStyle name="s_S_By_S_Actualisation provision contrat déficitaire SNCM 2010 V Def_B14_E2_2210" xfId="3003"/>
    <cellStyle name="s_S_By_S_Actualisation provision contrat déficitaire SNCM 2010 V Def_B14_E2_2210_Bridge_Zone_Sud" xfId="3004"/>
    <cellStyle name="s_S_By_S_Actualisation provision contrat déficitaire SNCM 2010 V Def_Bridge_Zone_Sud" xfId="3005"/>
    <cellStyle name="s_S_By_S_Actualisation provision contrat déficitaire SNCM 2010 V Def_CAPEM BY COUNTRY" xfId="3006"/>
    <cellStyle name="s_S_By_S_Actualisation provision contrat déficitaire SNCM 2010 V Def_Context" xfId="3007"/>
    <cellStyle name="s_S_By_S_Actualisation provision contrat déficitaire SNCM 2010 V Def_focus par entités CAFOPE2AMF" xfId="3008"/>
    <cellStyle name="s_S_By_S_Actualisation provision contrat déficitaire SNCM 2010 V Def_focus par entités CAFOPE2AMF_Bridge_Zone_Sud" xfId="3009"/>
    <cellStyle name="s_S_By_S_Actualisation provision contrat déficitaire SNCM 2010 V Def_Maquette PLT" xfId="3010"/>
    <cellStyle name="s_S_By_S_Actualisation provision contrat déficitaire SNCM 2010 V Def_Output" xfId="3011"/>
    <cellStyle name="s_S_By_S_Actualisation provision contrat déficitaire SNCM 2010 V Def_PAO-CAF-RESOP_04_13_pro_format_variante T1" xfId="3012"/>
    <cellStyle name="s_S_By_S_Actualisation provision contrat déficitaire SNCM 2010 V Def_PAO-CAF-RESOP_04_13_pro_format_variante T1_B14_E2_2210" xfId="3013"/>
    <cellStyle name="s_S_By_S_Actualisation provision contrat déficitaire SNCM 2010 V Def_PAO-CAF-RESOP_04_13_pro_format_variante T1_B14_E2_2210_Bridge_Zone_Sud" xfId="3014"/>
    <cellStyle name="s_S_By_S_Actualisation provision contrat déficitaire SNCM 2010 V Def_PAO-CAF-RESOP_04_13_pro_format_variante T1_Bridge_Zone_Sud" xfId="3015"/>
    <cellStyle name="s_S_By_S_Actualisation provision contrat déficitaire SNCM 2010 V Def_PAO-CAF-RESOP_06_13" xfId="3016"/>
    <cellStyle name="s_S_By_S_Actualisation provision contrat déficitaire SNCM 2010 V Def_PAO-CAF-RESOP_06_13_B14_E2_2210" xfId="3017"/>
    <cellStyle name="s_S_By_S_Actualisation provision contrat déficitaire SNCM 2010 V Def_PAO-CAF-RESOP_06_13_B14_E2_2210_Bridge_Zone_Sud" xfId="3018"/>
    <cellStyle name="s_S_By_S_Actualisation provision contrat déficitaire SNCM 2010 V Def_PAO-CAF-RESOP_06_13_Bridge_Zone_Sud" xfId="3019"/>
    <cellStyle name="s_S_By_S_Actualisation provision contrat déficitaire SNCM 2010 V Def_PAO-CAF-RESOP_08_13" xfId="3020"/>
    <cellStyle name="s_S_By_S_Actualisation provision contrat déficitaire SNCM 2010 V Def_PAO-CAF-RESOP_08_13_B14_E2_2210" xfId="3021"/>
    <cellStyle name="s_S_By_S_Actualisation provision contrat déficitaire SNCM 2010 V Def_PAO-CAF-RESOP_08_13_B14_E2_2210_Bridge_Zone_Sud" xfId="3022"/>
    <cellStyle name="s_S_By_S_Actualisation provision contrat déficitaire SNCM 2010 V Def_PAO-CAF-RESOP_08_13_Bridge_Zone_Sud" xfId="3023"/>
    <cellStyle name="s_S_By_S_Actualisation provision contrat déficitaire SNCM 2010 V Def_PAO-CAF-RESOP_09_13" xfId="3024"/>
    <cellStyle name="s_S_By_S_Actualisation provision contrat déficitaire SNCM 2010 V Def_PAO-CAF-RESOP_09_13_Bridge_Zone_Sud" xfId="3025"/>
    <cellStyle name="s_S_By_S_Actualisation provision contrat déficitaire SNCM 2010 V Def_PAO-CAF-RESOP_09_2013_Zone_IDF (version 2)" xfId="3026"/>
    <cellStyle name="s_S_By_S_Actualisation provision contrat déficitaire SNCM 2010 V Def_PAO-CAF-RESOP_10_12" xfId="3027"/>
    <cellStyle name="s_S_By_S_Actualisation provision contrat déficitaire SNCM 2010 V Def_PAO-CAF-RESOP_10_12_Bridge_Zone_Sud" xfId="3028"/>
    <cellStyle name="s_S_By_S_Actualisation provision contrat déficitaire SNCM 2010 V Def_PAO-CAF-RESOP_10_12_focus par entités CAFOP" xfId="3029"/>
    <cellStyle name="s_S_By_S_Actualisation provision contrat déficitaire SNCM 2010 V Def_PAO-CAF-RESOP_10_12_focus par entités CAFOP_Bridge_Zone_Sud" xfId="3030"/>
    <cellStyle name="s_S_By_S_Actualisation provision contrat déficitaire SNCM 2010 V Def_PAO-CAF-RESOP_11_13" xfId="3031"/>
    <cellStyle name="s_S_By_S_Actualisation provision contrat déficitaire SNCM 2010 V Def_PAO-CAF-RESOP_B13" xfId="3032"/>
    <cellStyle name="s_S_By_S_Actualisation provision contrat déficitaire SNCM 2010 V Def_PAO-CAF-RESOP_B13_Bridge_Zone_Sud" xfId="3033"/>
    <cellStyle name="s_S_By_S_Actualisation provision contrat déficitaire SNCM 2010 V Def_PAO-CAF-RESOP_B13_focus par entités CAFOP" xfId="3034"/>
    <cellStyle name="s_S_By_S_Actualisation provision contrat déficitaire SNCM 2010 V Def_PAO-CAF-RESOP_B13_focus par entités CAFOP_Bridge_Zone_Sud" xfId="3035"/>
    <cellStyle name="s_S_By_S_Actualisation provision contrat déficitaire SNCM 2010 V Def_PAO-CAF-RESOP_B2014" xfId="3036"/>
    <cellStyle name="s_S_By_S_Actualisation provision contrat déficitaire SNCM 2010 V Def_PAO-CAF-RESOP_B2014_Bridge_Zone_Sud" xfId="3037"/>
    <cellStyle name="s_S_By_S_Actualisation provision contrat déficitaire SNCM 2010 V Def_PAO-CAF-RESOP_B2014_v2" xfId="3038"/>
    <cellStyle name="s_S_By_S_Actualisation provision contrat déficitaire SNCM 2010 V Def_PAO-CAF-RESOP_E2_13" xfId="3039"/>
    <cellStyle name="s_S_By_S_Actualisation provision contrat déficitaire SNCM 2010 V Def_PAO-CAF-RESOP_E2_13_B14_E2_2210" xfId="3040"/>
    <cellStyle name="s_S_By_S_Actualisation provision contrat déficitaire SNCM 2010 V Def_PAO-CAF-RESOP_E2_13_B14_E2_2210_Bridge_Zone_Sud" xfId="3041"/>
    <cellStyle name="s_S_By_S_Actualisation provision contrat déficitaire SNCM 2010 V Def_PAO-CAF-RESOP_E2_13_Bridge_Zone_Sud" xfId="3042"/>
    <cellStyle name="s_S_By_S_Actualisation provision contrat déficitaire SNCM 2010 V Def_PAO-CAF-RESOP_E2_2013_03_10_19H" xfId="3043"/>
    <cellStyle name="s_S_By_S_Actualisation provision contrat déficitaire SNCM 2010 V Def_PAO-CAF-RESOP_E2_2013_03_10_19H_Bridge_Zone_Sud" xfId="3044"/>
    <cellStyle name="s_S_By_S_Actualisation provision contrat déficitaire SNCM 2010 V Def_PPA" xfId="3045"/>
    <cellStyle name="s_S_By_S_Actualisation provision contrat déficitaire SNCM 2010 V Def_RESOP bef CICE&amp;PPA&amp;RepartHO" xfId="3046"/>
    <cellStyle name="s_S_By_S_Actualisation provision contrat déficitaire SNCM 2010 V Def_Synthèse_Présentation_conso_retraitée" xfId="3047"/>
    <cellStyle name="s_S_By_S_Actualisation provision contrat déficitaire SNCM 2011 V3 30 05 2011" xfId="625"/>
    <cellStyle name="s_S_By_S_Actualisation provision contrat déficitaire SNCM 2011 V3 30 05 2011_B14_E2_2210" xfId="3048"/>
    <cellStyle name="s_S_By_S_Actualisation provision contrat déficitaire SNCM 2011 V3 30 05 2011_B14_E2_2210_Bridge_Zone_Sud" xfId="3049"/>
    <cellStyle name="s_S_By_S_Actualisation provision contrat déficitaire SNCM 2011 V3 30 05 2011_Bridge_Zone_Sud" xfId="3050"/>
    <cellStyle name="s_S_By_S_Actualisation provision contrat déficitaire SNCM 2011 V3 30 05 2011_CAPEM BY COUNTRY" xfId="3051"/>
    <cellStyle name="s_S_By_S_Actualisation provision contrat déficitaire SNCM 2011 V3 30 05 2011_Context" xfId="3052"/>
    <cellStyle name="s_S_By_S_Actualisation provision contrat déficitaire SNCM 2011 V3 30 05 2011_focus par entités CAFOPE2AMF" xfId="3053"/>
    <cellStyle name="s_S_By_S_Actualisation provision contrat déficitaire SNCM 2011 V3 30 05 2011_focus par entités CAFOPE2AMF_Bridge_Zone_Sud" xfId="3054"/>
    <cellStyle name="s_S_By_S_Actualisation provision contrat déficitaire SNCM 2011 V3 30 05 2011_Maquette PLT" xfId="3055"/>
    <cellStyle name="s_S_By_S_Actualisation provision contrat déficitaire SNCM 2011 V3 30 05 2011_Output" xfId="3056"/>
    <cellStyle name="s_S_By_S_Actualisation provision contrat déficitaire SNCM 2011 V3 30 05 2011_PAO-CAF-RESOP_04_13_pro_format_variante T1" xfId="3057"/>
    <cellStyle name="s_S_By_S_Actualisation provision contrat déficitaire SNCM 2011 V3 30 05 2011_PAO-CAF-RESOP_04_13_pro_format_variante T1_B14_E2_2210" xfId="3058"/>
    <cellStyle name="s_S_By_S_Actualisation provision contrat déficitaire SNCM 2011 V3 30 05 2011_PAO-CAF-RESOP_04_13_pro_format_variante T1_B14_E2_2210_Bridge_Zone_Sud" xfId="3059"/>
    <cellStyle name="s_S_By_S_Actualisation provision contrat déficitaire SNCM 2011 V3 30 05 2011_PAO-CAF-RESOP_04_13_pro_format_variante T1_Bridge_Zone_Sud" xfId="3060"/>
    <cellStyle name="s_S_By_S_Actualisation provision contrat déficitaire SNCM 2011 V3 30 05 2011_PAO-CAF-RESOP_06_13" xfId="3061"/>
    <cellStyle name="s_S_By_S_Actualisation provision contrat déficitaire SNCM 2011 V3 30 05 2011_PAO-CAF-RESOP_06_13_B14_E2_2210" xfId="3062"/>
    <cellStyle name="s_S_By_S_Actualisation provision contrat déficitaire SNCM 2011 V3 30 05 2011_PAO-CAF-RESOP_06_13_B14_E2_2210_Bridge_Zone_Sud" xfId="3063"/>
    <cellStyle name="s_S_By_S_Actualisation provision contrat déficitaire SNCM 2011 V3 30 05 2011_PAO-CAF-RESOP_06_13_Bridge_Zone_Sud" xfId="3064"/>
    <cellStyle name="s_S_By_S_Actualisation provision contrat déficitaire SNCM 2011 V3 30 05 2011_PAO-CAF-RESOP_08_13" xfId="3065"/>
    <cellStyle name="s_S_By_S_Actualisation provision contrat déficitaire SNCM 2011 V3 30 05 2011_PAO-CAF-RESOP_08_13_B14_E2_2210" xfId="3066"/>
    <cellStyle name="s_S_By_S_Actualisation provision contrat déficitaire SNCM 2011 V3 30 05 2011_PAO-CAF-RESOP_08_13_B14_E2_2210_Bridge_Zone_Sud" xfId="3067"/>
    <cellStyle name="s_S_By_S_Actualisation provision contrat déficitaire SNCM 2011 V3 30 05 2011_PAO-CAF-RESOP_08_13_Bridge_Zone_Sud" xfId="3068"/>
    <cellStyle name="s_S_By_S_Actualisation provision contrat déficitaire SNCM 2011 V3 30 05 2011_PAO-CAF-RESOP_09_13" xfId="3069"/>
    <cellStyle name="s_S_By_S_Actualisation provision contrat déficitaire SNCM 2011 V3 30 05 2011_PAO-CAF-RESOP_09_13_Bridge_Zone_Sud" xfId="3070"/>
    <cellStyle name="s_S_By_S_Actualisation provision contrat déficitaire SNCM 2011 V3 30 05 2011_PAO-CAF-RESOP_09_2013_Zone_IDF (version 2)" xfId="3071"/>
    <cellStyle name="s_S_By_S_Actualisation provision contrat déficitaire SNCM 2011 V3 30 05 2011_PAO-CAF-RESOP_10_12" xfId="3072"/>
    <cellStyle name="s_S_By_S_Actualisation provision contrat déficitaire SNCM 2011 V3 30 05 2011_PAO-CAF-RESOP_10_12_Bridge_Zone_Sud" xfId="3073"/>
    <cellStyle name="s_S_By_S_Actualisation provision contrat déficitaire SNCM 2011 V3 30 05 2011_PAO-CAF-RESOP_10_12_focus par entités CAFOP" xfId="3074"/>
    <cellStyle name="s_S_By_S_Actualisation provision contrat déficitaire SNCM 2011 V3 30 05 2011_PAO-CAF-RESOP_10_12_focus par entités CAFOP_Bridge_Zone_Sud" xfId="3075"/>
    <cellStyle name="s_S_By_S_Actualisation provision contrat déficitaire SNCM 2011 V3 30 05 2011_PAO-CAF-RESOP_11_13" xfId="3076"/>
    <cellStyle name="s_S_By_S_Actualisation provision contrat déficitaire SNCM 2011 V3 30 05 2011_PAO-CAF-RESOP_B13" xfId="3077"/>
    <cellStyle name="s_S_By_S_Actualisation provision contrat déficitaire SNCM 2011 V3 30 05 2011_PAO-CAF-RESOP_B13_Bridge_Zone_Sud" xfId="3078"/>
    <cellStyle name="s_S_By_S_Actualisation provision contrat déficitaire SNCM 2011 V3 30 05 2011_PAO-CAF-RESOP_B13_focus par entités CAFOP" xfId="3079"/>
    <cellStyle name="s_S_By_S_Actualisation provision contrat déficitaire SNCM 2011 V3 30 05 2011_PAO-CAF-RESOP_B13_focus par entités CAFOP_Bridge_Zone_Sud" xfId="3080"/>
    <cellStyle name="s_S_By_S_Actualisation provision contrat déficitaire SNCM 2011 V3 30 05 2011_PAO-CAF-RESOP_B2014" xfId="3081"/>
    <cellStyle name="s_S_By_S_Actualisation provision contrat déficitaire SNCM 2011 V3 30 05 2011_PAO-CAF-RESOP_B2014_Bridge_Zone_Sud" xfId="3082"/>
    <cellStyle name="s_S_By_S_Actualisation provision contrat déficitaire SNCM 2011 V3 30 05 2011_PAO-CAF-RESOP_B2014_v2" xfId="3083"/>
    <cellStyle name="s_S_By_S_Actualisation provision contrat déficitaire SNCM 2011 V3 30 05 2011_PAO-CAF-RESOP_E2_13" xfId="3084"/>
    <cellStyle name="s_S_By_S_Actualisation provision contrat déficitaire SNCM 2011 V3 30 05 2011_PAO-CAF-RESOP_E2_13_B14_E2_2210" xfId="3085"/>
    <cellStyle name="s_S_By_S_Actualisation provision contrat déficitaire SNCM 2011 V3 30 05 2011_PAO-CAF-RESOP_E2_13_B14_E2_2210_Bridge_Zone_Sud" xfId="3086"/>
    <cellStyle name="s_S_By_S_Actualisation provision contrat déficitaire SNCM 2011 V3 30 05 2011_PAO-CAF-RESOP_E2_13_Bridge_Zone_Sud" xfId="3087"/>
    <cellStyle name="s_S_By_S_Actualisation provision contrat déficitaire SNCM 2011 V3 30 05 2011_PAO-CAF-RESOP_E2_2013_03_10_19H" xfId="3088"/>
    <cellStyle name="s_S_By_S_Actualisation provision contrat déficitaire SNCM 2011 V3 30 05 2011_PAO-CAF-RESOP_E2_2013_03_10_19H_Bridge_Zone_Sud" xfId="3089"/>
    <cellStyle name="s_S_By_S_Actualisation provision contrat déficitaire SNCM 2011 V3 30 05 2011_PPA" xfId="3090"/>
    <cellStyle name="s_S_By_S_Actualisation provision contrat déficitaire SNCM 2011 V3 30 05 2011_RESOP bef CICE&amp;PPA&amp;RepartHO" xfId="3091"/>
    <cellStyle name="s_S_By_S_Actualisation provision contrat déficitaire SNCM 2011 V3 30 05 2011_Synthèse_Présentation_conso_retraitée" xfId="3092"/>
    <cellStyle name="s_S_By_S_B14_E2_2210" xfId="3093"/>
    <cellStyle name="s_S_By_S_B14_E2_2210_Bridge_Zone_Sud" xfId="3094"/>
    <cellStyle name="s_S_By_S_BFR_TD_2014.02" xfId="3095"/>
    <cellStyle name="s_S_By_S_Bridge_Zone_Nord" xfId="3096"/>
    <cellStyle name="s_S_By_S_CAPEM BY COUNTRY" xfId="3097"/>
    <cellStyle name="s_S_By_S_Context" xfId="3098"/>
    <cellStyle name="s_S_By_S_LI819L_B13" xfId="626"/>
    <cellStyle name="s_S_By_S_LI819L_B13_CAPEM BY COUNTRY" xfId="3099"/>
    <cellStyle name="s_S_By_S_LI819L_B13_Context" xfId="3100"/>
    <cellStyle name="s_S_By_S_LI819L_B13_Maquette PLT" xfId="3101"/>
    <cellStyle name="s_S_By_S_LI819L_B13_Output" xfId="3102"/>
    <cellStyle name="s_S_By_S_LI819L_B13_PPA" xfId="3103"/>
    <cellStyle name="s_S_By_S_LI819L_B13_RESOP bef CICE&amp;PPA&amp;RepartHO" xfId="3104"/>
    <cellStyle name="s_S_By_S_Maquette PLT" xfId="3105"/>
    <cellStyle name="s_S_By_S_Output" xfId="3106"/>
    <cellStyle name="s_S_By_S_PAO-CAF-RESOP_14_01_13 à 20h" xfId="627"/>
    <cellStyle name="s_S_By_S_PAO-CAF-RESOP_14_01_13 à 20h_CAPEM BY COUNTRY" xfId="3107"/>
    <cellStyle name="s_S_By_S_PAO-CAF-RESOP_14_01_13 à 20h_Context" xfId="3108"/>
    <cellStyle name="s_S_By_S_PAO-CAF-RESOP_14_01_13 à 20h_Maquette PLT" xfId="3109"/>
    <cellStyle name="s_S_By_S_PAO-CAF-RESOP_14_01_13 à 20h_Output" xfId="3110"/>
    <cellStyle name="s_S_By_S_PAO-CAF-RESOP_14_01_13 à 20h_PPA" xfId="3111"/>
    <cellStyle name="s_S_By_S_PAO-CAF-RESOP_14_01_13 à 20h_RESOP bef CICE&amp;PPA&amp;RepartHO" xfId="3112"/>
    <cellStyle name="s_S_By_S_PAO-CAF-RESOP_2014.02" xfId="3113"/>
    <cellStyle name="s_S_By_S_PAO-CAF-RESOP_2014.02_Bridge_Zone_Sud" xfId="3114"/>
    <cellStyle name="s_S_By_S_PPA" xfId="3115"/>
    <cellStyle name="s_S_By_S_RESOP bef CICE&amp;PPA&amp;RepartHO" xfId="3116"/>
    <cellStyle name="s_Sheet5" xfId="628"/>
    <cellStyle name="s_Sheet5_Actualisation provision contrat déficitaire SNCM 2010 V Def" xfId="629"/>
    <cellStyle name="s_Sheet5_Actualisation provision contrat déficitaire SNCM 2010 V Def_B14_E2_2210" xfId="3117"/>
    <cellStyle name="s_Sheet5_Actualisation provision contrat déficitaire SNCM 2010 V Def_B14_E2_2210_Bridge_Zone_Sud" xfId="3118"/>
    <cellStyle name="s_Sheet5_Actualisation provision contrat déficitaire SNCM 2010 V Def_Bridge_Zone_Sud" xfId="3119"/>
    <cellStyle name="s_Sheet5_Actualisation provision contrat déficitaire SNCM 2010 V Def_CAPEM BY COUNTRY" xfId="3120"/>
    <cellStyle name="s_Sheet5_Actualisation provision contrat déficitaire SNCM 2010 V Def_Context" xfId="3121"/>
    <cellStyle name="s_Sheet5_Actualisation provision contrat déficitaire SNCM 2010 V Def_focus par entités CAFOPE2AMF" xfId="3122"/>
    <cellStyle name="s_Sheet5_Actualisation provision contrat déficitaire SNCM 2010 V Def_focus par entités CAFOPE2AMF_Bridge_Zone_Sud" xfId="3123"/>
    <cellStyle name="s_Sheet5_Actualisation provision contrat déficitaire SNCM 2010 V Def_Maquette PLT" xfId="3124"/>
    <cellStyle name="s_Sheet5_Actualisation provision contrat déficitaire SNCM 2010 V Def_Output" xfId="3125"/>
    <cellStyle name="s_Sheet5_Actualisation provision contrat déficitaire SNCM 2010 V Def_PAO-CAF-RESOP_04_13_pro_format_variante T1" xfId="3126"/>
    <cellStyle name="s_Sheet5_Actualisation provision contrat déficitaire SNCM 2010 V Def_PAO-CAF-RESOP_04_13_pro_format_variante T1_B14_E2_2210" xfId="3127"/>
    <cellStyle name="s_Sheet5_Actualisation provision contrat déficitaire SNCM 2010 V Def_PAO-CAF-RESOP_04_13_pro_format_variante T1_B14_E2_2210_Bridge_Zone_Sud" xfId="3128"/>
    <cellStyle name="s_Sheet5_Actualisation provision contrat déficitaire SNCM 2010 V Def_PAO-CAF-RESOP_04_13_pro_format_variante T1_Bridge_Zone_Sud" xfId="3129"/>
    <cellStyle name="s_Sheet5_Actualisation provision contrat déficitaire SNCM 2010 V Def_PAO-CAF-RESOP_06_13" xfId="3130"/>
    <cellStyle name="s_Sheet5_Actualisation provision contrat déficitaire SNCM 2010 V Def_PAO-CAF-RESOP_06_13_B14_E2_2210" xfId="3131"/>
    <cellStyle name="s_Sheet5_Actualisation provision contrat déficitaire SNCM 2010 V Def_PAO-CAF-RESOP_06_13_B14_E2_2210_Bridge_Zone_Sud" xfId="3132"/>
    <cellStyle name="s_Sheet5_Actualisation provision contrat déficitaire SNCM 2010 V Def_PAO-CAF-RESOP_06_13_Bridge_Zone_Sud" xfId="3133"/>
    <cellStyle name="s_Sheet5_Actualisation provision contrat déficitaire SNCM 2010 V Def_PAO-CAF-RESOP_08_13" xfId="3134"/>
    <cellStyle name="s_Sheet5_Actualisation provision contrat déficitaire SNCM 2010 V Def_PAO-CAF-RESOP_08_13_B14_E2_2210" xfId="3135"/>
    <cellStyle name="s_Sheet5_Actualisation provision contrat déficitaire SNCM 2010 V Def_PAO-CAF-RESOP_08_13_B14_E2_2210_Bridge_Zone_Sud" xfId="3136"/>
    <cellStyle name="s_Sheet5_Actualisation provision contrat déficitaire SNCM 2010 V Def_PAO-CAF-RESOP_08_13_Bridge_Zone_Sud" xfId="3137"/>
    <cellStyle name="s_Sheet5_Actualisation provision contrat déficitaire SNCM 2010 V Def_PAO-CAF-RESOP_09_13" xfId="3138"/>
    <cellStyle name="s_Sheet5_Actualisation provision contrat déficitaire SNCM 2010 V Def_PAO-CAF-RESOP_09_13_Bridge_Zone_Sud" xfId="3139"/>
    <cellStyle name="s_Sheet5_Actualisation provision contrat déficitaire SNCM 2010 V Def_PAO-CAF-RESOP_09_2013_Zone_IDF (version 2)" xfId="3140"/>
    <cellStyle name="s_Sheet5_Actualisation provision contrat déficitaire SNCM 2010 V Def_PAO-CAF-RESOP_10_12" xfId="3141"/>
    <cellStyle name="s_Sheet5_Actualisation provision contrat déficitaire SNCM 2010 V Def_PAO-CAF-RESOP_10_12_Bridge_Zone_Sud" xfId="3142"/>
    <cellStyle name="s_Sheet5_Actualisation provision contrat déficitaire SNCM 2010 V Def_PAO-CAF-RESOP_10_12_focus par entités CAFOP" xfId="3143"/>
    <cellStyle name="s_Sheet5_Actualisation provision contrat déficitaire SNCM 2010 V Def_PAO-CAF-RESOP_10_12_focus par entités CAFOP_Bridge_Zone_Sud" xfId="3144"/>
    <cellStyle name="s_Sheet5_Actualisation provision contrat déficitaire SNCM 2010 V Def_PAO-CAF-RESOP_11_13" xfId="3145"/>
    <cellStyle name="s_Sheet5_Actualisation provision contrat déficitaire SNCM 2010 V Def_PAO-CAF-RESOP_B13" xfId="3146"/>
    <cellStyle name="s_Sheet5_Actualisation provision contrat déficitaire SNCM 2010 V Def_PAO-CAF-RESOP_B13_Bridge_Zone_Sud" xfId="3147"/>
    <cellStyle name="s_Sheet5_Actualisation provision contrat déficitaire SNCM 2010 V Def_PAO-CAF-RESOP_B13_focus par entités CAFOP" xfId="3148"/>
    <cellStyle name="s_Sheet5_Actualisation provision contrat déficitaire SNCM 2010 V Def_PAO-CAF-RESOP_B13_focus par entités CAFOP_Bridge_Zone_Sud" xfId="3149"/>
    <cellStyle name="s_Sheet5_Actualisation provision contrat déficitaire SNCM 2010 V Def_PAO-CAF-RESOP_B2014" xfId="3150"/>
    <cellStyle name="s_Sheet5_Actualisation provision contrat déficitaire SNCM 2010 V Def_PAO-CAF-RESOP_B2014_Bridge_Zone_Sud" xfId="3151"/>
    <cellStyle name="s_Sheet5_Actualisation provision contrat déficitaire SNCM 2010 V Def_PAO-CAF-RESOP_B2014_v2" xfId="3152"/>
    <cellStyle name="s_Sheet5_Actualisation provision contrat déficitaire SNCM 2010 V Def_PAO-CAF-RESOP_E2_13" xfId="3153"/>
    <cellStyle name="s_Sheet5_Actualisation provision contrat déficitaire SNCM 2010 V Def_PAO-CAF-RESOP_E2_13_B14_E2_2210" xfId="3154"/>
    <cellStyle name="s_Sheet5_Actualisation provision contrat déficitaire SNCM 2010 V Def_PAO-CAF-RESOP_E2_13_B14_E2_2210_Bridge_Zone_Sud" xfId="3155"/>
    <cellStyle name="s_Sheet5_Actualisation provision contrat déficitaire SNCM 2010 V Def_PAO-CAF-RESOP_E2_13_Bridge_Zone_Sud" xfId="3156"/>
    <cellStyle name="s_Sheet5_Actualisation provision contrat déficitaire SNCM 2010 V Def_PAO-CAF-RESOP_E2_2013_03_10_19H" xfId="3157"/>
    <cellStyle name="s_Sheet5_Actualisation provision contrat déficitaire SNCM 2010 V Def_PAO-CAF-RESOP_E2_2013_03_10_19H_Bridge_Zone_Sud" xfId="3158"/>
    <cellStyle name="s_Sheet5_Actualisation provision contrat déficitaire SNCM 2010 V Def_PPA" xfId="3159"/>
    <cellStyle name="s_Sheet5_Actualisation provision contrat déficitaire SNCM 2010 V Def_RESOP bef CICE&amp;PPA&amp;RepartHO" xfId="3160"/>
    <cellStyle name="s_Sheet5_Actualisation provision contrat déficitaire SNCM 2010 V Def_Synthèse_Présentation_conso_retraitée" xfId="3161"/>
    <cellStyle name="s_Sheet5_Actualisation provision contrat déficitaire SNCM 2011 V3 30 05 2011" xfId="630"/>
    <cellStyle name="s_Sheet5_Actualisation provision contrat déficitaire SNCM 2011 V3 30 05 2011_B14_E2_2210" xfId="3162"/>
    <cellStyle name="s_Sheet5_Actualisation provision contrat déficitaire SNCM 2011 V3 30 05 2011_B14_E2_2210_Bridge_Zone_Sud" xfId="3163"/>
    <cellStyle name="s_Sheet5_Actualisation provision contrat déficitaire SNCM 2011 V3 30 05 2011_Bridge_Zone_Sud" xfId="3164"/>
    <cellStyle name="s_Sheet5_Actualisation provision contrat déficitaire SNCM 2011 V3 30 05 2011_CAPEM BY COUNTRY" xfId="3165"/>
    <cellStyle name="s_Sheet5_Actualisation provision contrat déficitaire SNCM 2011 V3 30 05 2011_Context" xfId="3166"/>
    <cellStyle name="s_Sheet5_Actualisation provision contrat déficitaire SNCM 2011 V3 30 05 2011_focus par entités CAFOPE2AMF" xfId="3167"/>
    <cellStyle name="s_Sheet5_Actualisation provision contrat déficitaire SNCM 2011 V3 30 05 2011_focus par entités CAFOPE2AMF_Bridge_Zone_Sud" xfId="3168"/>
    <cellStyle name="s_Sheet5_Actualisation provision contrat déficitaire SNCM 2011 V3 30 05 2011_Maquette PLT" xfId="3169"/>
    <cellStyle name="s_Sheet5_Actualisation provision contrat déficitaire SNCM 2011 V3 30 05 2011_Output" xfId="3170"/>
    <cellStyle name="s_Sheet5_Actualisation provision contrat déficitaire SNCM 2011 V3 30 05 2011_PAO-CAF-RESOP_04_13_pro_format_variante T1" xfId="3171"/>
    <cellStyle name="s_Sheet5_Actualisation provision contrat déficitaire SNCM 2011 V3 30 05 2011_PAO-CAF-RESOP_04_13_pro_format_variante T1_B14_E2_2210" xfId="3172"/>
    <cellStyle name="s_Sheet5_Actualisation provision contrat déficitaire SNCM 2011 V3 30 05 2011_PAO-CAF-RESOP_04_13_pro_format_variante T1_B14_E2_2210_Bridge_Zone_Sud" xfId="3173"/>
    <cellStyle name="s_Sheet5_Actualisation provision contrat déficitaire SNCM 2011 V3 30 05 2011_PAO-CAF-RESOP_04_13_pro_format_variante T1_Bridge_Zone_Sud" xfId="3174"/>
    <cellStyle name="s_Sheet5_Actualisation provision contrat déficitaire SNCM 2011 V3 30 05 2011_PAO-CAF-RESOP_06_13" xfId="3175"/>
    <cellStyle name="s_Sheet5_Actualisation provision contrat déficitaire SNCM 2011 V3 30 05 2011_PAO-CAF-RESOP_06_13_B14_E2_2210" xfId="3176"/>
    <cellStyle name="s_Sheet5_Actualisation provision contrat déficitaire SNCM 2011 V3 30 05 2011_PAO-CAF-RESOP_06_13_B14_E2_2210_Bridge_Zone_Sud" xfId="3177"/>
    <cellStyle name="s_Sheet5_Actualisation provision contrat déficitaire SNCM 2011 V3 30 05 2011_PAO-CAF-RESOP_06_13_Bridge_Zone_Sud" xfId="3178"/>
    <cellStyle name="s_Sheet5_Actualisation provision contrat déficitaire SNCM 2011 V3 30 05 2011_PAO-CAF-RESOP_08_13" xfId="3179"/>
    <cellStyle name="s_Sheet5_Actualisation provision contrat déficitaire SNCM 2011 V3 30 05 2011_PAO-CAF-RESOP_08_13_B14_E2_2210" xfId="3180"/>
    <cellStyle name="s_Sheet5_Actualisation provision contrat déficitaire SNCM 2011 V3 30 05 2011_PAO-CAF-RESOP_08_13_B14_E2_2210_Bridge_Zone_Sud" xfId="3181"/>
    <cellStyle name="s_Sheet5_Actualisation provision contrat déficitaire SNCM 2011 V3 30 05 2011_PAO-CAF-RESOP_08_13_Bridge_Zone_Sud" xfId="3182"/>
    <cellStyle name="s_Sheet5_Actualisation provision contrat déficitaire SNCM 2011 V3 30 05 2011_PAO-CAF-RESOP_09_13" xfId="3183"/>
    <cellStyle name="s_Sheet5_Actualisation provision contrat déficitaire SNCM 2011 V3 30 05 2011_PAO-CAF-RESOP_09_13_Bridge_Zone_Sud" xfId="3184"/>
    <cellStyle name="s_Sheet5_Actualisation provision contrat déficitaire SNCM 2011 V3 30 05 2011_PAO-CAF-RESOP_09_2013_Zone_IDF (version 2)" xfId="3185"/>
    <cellStyle name="s_Sheet5_Actualisation provision contrat déficitaire SNCM 2011 V3 30 05 2011_PAO-CAF-RESOP_10_12" xfId="3186"/>
    <cellStyle name="s_Sheet5_Actualisation provision contrat déficitaire SNCM 2011 V3 30 05 2011_PAO-CAF-RESOP_10_12_Bridge_Zone_Sud" xfId="3187"/>
    <cellStyle name="s_Sheet5_Actualisation provision contrat déficitaire SNCM 2011 V3 30 05 2011_PAO-CAF-RESOP_10_12_focus par entités CAFOP" xfId="3188"/>
    <cellStyle name="s_Sheet5_Actualisation provision contrat déficitaire SNCM 2011 V3 30 05 2011_PAO-CAF-RESOP_10_12_focus par entités CAFOP_Bridge_Zone_Sud" xfId="3189"/>
    <cellStyle name="s_Sheet5_Actualisation provision contrat déficitaire SNCM 2011 V3 30 05 2011_PAO-CAF-RESOP_11_13" xfId="3190"/>
    <cellStyle name="s_Sheet5_Actualisation provision contrat déficitaire SNCM 2011 V3 30 05 2011_PAO-CAF-RESOP_B13" xfId="3191"/>
    <cellStyle name="s_Sheet5_Actualisation provision contrat déficitaire SNCM 2011 V3 30 05 2011_PAO-CAF-RESOP_B13_Bridge_Zone_Sud" xfId="3192"/>
    <cellStyle name="s_Sheet5_Actualisation provision contrat déficitaire SNCM 2011 V3 30 05 2011_PAO-CAF-RESOP_B13_focus par entités CAFOP" xfId="3193"/>
    <cellStyle name="s_Sheet5_Actualisation provision contrat déficitaire SNCM 2011 V3 30 05 2011_PAO-CAF-RESOP_B13_focus par entités CAFOP_Bridge_Zone_Sud" xfId="3194"/>
    <cellStyle name="s_Sheet5_Actualisation provision contrat déficitaire SNCM 2011 V3 30 05 2011_PAO-CAF-RESOP_B2014" xfId="3195"/>
    <cellStyle name="s_Sheet5_Actualisation provision contrat déficitaire SNCM 2011 V3 30 05 2011_PAO-CAF-RESOP_B2014_Bridge_Zone_Sud" xfId="3196"/>
    <cellStyle name="s_Sheet5_Actualisation provision contrat déficitaire SNCM 2011 V3 30 05 2011_PAO-CAF-RESOP_B2014_v2" xfId="3197"/>
    <cellStyle name="s_Sheet5_Actualisation provision contrat déficitaire SNCM 2011 V3 30 05 2011_PAO-CAF-RESOP_E2_13" xfId="3198"/>
    <cellStyle name="s_Sheet5_Actualisation provision contrat déficitaire SNCM 2011 V3 30 05 2011_PAO-CAF-RESOP_E2_13_B14_E2_2210" xfId="3199"/>
    <cellStyle name="s_Sheet5_Actualisation provision contrat déficitaire SNCM 2011 V3 30 05 2011_PAO-CAF-RESOP_E2_13_B14_E2_2210_Bridge_Zone_Sud" xfId="3200"/>
    <cellStyle name="s_Sheet5_Actualisation provision contrat déficitaire SNCM 2011 V3 30 05 2011_PAO-CAF-RESOP_E2_13_Bridge_Zone_Sud" xfId="3201"/>
    <cellStyle name="s_Sheet5_Actualisation provision contrat déficitaire SNCM 2011 V3 30 05 2011_PAO-CAF-RESOP_E2_2013_03_10_19H" xfId="3202"/>
    <cellStyle name="s_Sheet5_Actualisation provision contrat déficitaire SNCM 2011 V3 30 05 2011_PAO-CAF-RESOP_E2_2013_03_10_19H_Bridge_Zone_Sud" xfId="3203"/>
    <cellStyle name="s_Sheet5_Actualisation provision contrat déficitaire SNCM 2011 V3 30 05 2011_PPA" xfId="3204"/>
    <cellStyle name="s_Sheet5_Actualisation provision contrat déficitaire SNCM 2011 V3 30 05 2011_RESOP bef CICE&amp;PPA&amp;RepartHO" xfId="3205"/>
    <cellStyle name="s_Sheet5_Actualisation provision contrat déficitaire SNCM 2011 V3 30 05 2011_Synthèse_Présentation_conso_retraitée" xfId="3206"/>
    <cellStyle name="s_Sheet5_B14_E2_2210" xfId="3207"/>
    <cellStyle name="s_Sheet5_B14_E2_2210_Bridge_Zone_Sud" xfId="3208"/>
    <cellStyle name="s_Sheet5_BFR_TD_2014.02" xfId="3209"/>
    <cellStyle name="s_Sheet5_Bridge_Zone_Nord" xfId="3210"/>
    <cellStyle name="s_Sheet5_CAPEM BY COUNTRY" xfId="3211"/>
    <cellStyle name="s_Sheet5_Context" xfId="3212"/>
    <cellStyle name="s_Sheet5_LI819L_B13" xfId="631"/>
    <cellStyle name="s_Sheet5_LI819L_B13_CAPEM BY COUNTRY" xfId="3213"/>
    <cellStyle name="s_Sheet5_LI819L_B13_Context" xfId="3214"/>
    <cellStyle name="s_Sheet5_LI819L_B13_Maquette PLT" xfId="3215"/>
    <cellStyle name="s_Sheet5_LI819L_B13_Output" xfId="3216"/>
    <cellStyle name="s_Sheet5_LI819L_B13_PPA" xfId="3217"/>
    <cellStyle name="s_Sheet5_LI819L_B13_RESOP bef CICE&amp;PPA&amp;RepartHO" xfId="3218"/>
    <cellStyle name="s_Sheet5_Maquette PLT" xfId="3219"/>
    <cellStyle name="s_Sheet5_Output" xfId="3220"/>
    <cellStyle name="s_Sheet5_PAO-CAF-RESOP_14_01_13 à 20h" xfId="632"/>
    <cellStyle name="s_Sheet5_PAO-CAF-RESOP_14_01_13 à 20h_CAPEM BY COUNTRY" xfId="3221"/>
    <cellStyle name="s_Sheet5_PAO-CAF-RESOP_14_01_13 à 20h_Context" xfId="3222"/>
    <cellStyle name="s_Sheet5_PAO-CAF-RESOP_14_01_13 à 20h_Maquette PLT" xfId="3223"/>
    <cellStyle name="s_Sheet5_PAO-CAF-RESOP_14_01_13 à 20h_Output" xfId="3224"/>
    <cellStyle name="s_Sheet5_PAO-CAF-RESOP_14_01_13 à 20h_PPA" xfId="3225"/>
    <cellStyle name="s_Sheet5_PAO-CAF-RESOP_14_01_13 à 20h_RESOP bef CICE&amp;PPA&amp;RepartHO" xfId="3226"/>
    <cellStyle name="s_Sheet5_PAO-CAF-RESOP_2014.02" xfId="3227"/>
    <cellStyle name="s_Sheet5_PAO-CAF-RESOP_2014.02_Bridge_Zone_Sud" xfId="3228"/>
    <cellStyle name="s_Sheet5_PPA" xfId="3229"/>
    <cellStyle name="s_Sheet5_RESOP bef CICE&amp;PPA&amp;RepartHO" xfId="3230"/>
    <cellStyle name="s_Valuation " xfId="633"/>
    <cellStyle name="s_Valuation _Actualisation provision contrat déficitaire SNCM 2010 V Def" xfId="634"/>
    <cellStyle name="s_Valuation _Actualisation provision contrat déficitaire SNCM 2010 V Def_B14_E2_2210" xfId="3231"/>
    <cellStyle name="s_Valuation _Actualisation provision contrat déficitaire SNCM 2010 V Def_B14_E2_2210_Bridge_Zone_Sud" xfId="3232"/>
    <cellStyle name="s_Valuation _Actualisation provision contrat déficitaire SNCM 2010 V Def_Bridge_Zone_Sud" xfId="3233"/>
    <cellStyle name="s_Valuation _Actualisation provision contrat déficitaire SNCM 2010 V Def_CAPEM BY COUNTRY" xfId="3234"/>
    <cellStyle name="s_Valuation _Actualisation provision contrat déficitaire SNCM 2010 V Def_Context" xfId="3235"/>
    <cellStyle name="s_Valuation _Actualisation provision contrat déficitaire SNCM 2010 V Def_focus par entités CAFOPE2AMF" xfId="3236"/>
    <cellStyle name="s_Valuation _Actualisation provision contrat déficitaire SNCM 2010 V Def_focus par entités CAFOPE2AMF_Bridge_Zone_Sud" xfId="3237"/>
    <cellStyle name="s_Valuation _Actualisation provision contrat déficitaire SNCM 2010 V Def_Maquette PLT" xfId="3238"/>
    <cellStyle name="s_Valuation _Actualisation provision contrat déficitaire SNCM 2010 V Def_Output" xfId="3239"/>
    <cellStyle name="s_Valuation _Actualisation provision contrat déficitaire SNCM 2010 V Def_PAO-CAF-RESOP_04_13_pro_format_variante T1" xfId="3240"/>
    <cellStyle name="s_Valuation _Actualisation provision contrat déficitaire SNCM 2010 V Def_PAO-CAF-RESOP_04_13_pro_format_variante T1_B14_E2_2210" xfId="3241"/>
    <cellStyle name="s_Valuation _Actualisation provision contrat déficitaire SNCM 2010 V Def_PAO-CAF-RESOP_04_13_pro_format_variante T1_B14_E2_2210_Bridge_Zone_Sud" xfId="3242"/>
    <cellStyle name="s_Valuation _Actualisation provision contrat déficitaire SNCM 2010 V Def_PAO-CAF-RESOP_04_13_pro_format_variante T1_Bridge_Zone_Sud" xfId="3243"/>
    <cellStyle name="s_Valuation _Actualisation provision contrat déficitaire SNCM 2010 V Def_PAO-CAF-RESOP_06_13" xfId="3244"/>
    <cellStyle name="s_Valuation _Actualisation provision contrat déficitaire SNCM 2010 V Def_PAO-CAF-RESOP_06_13_B14_E2_2210" xfId="3245"/>
    <cellStyle name="s_Valuation _Actualisation provision contrat déficitaire SNCM 2010 V Def_PAO-CAF-RESOP_06_13_B14_E2_2210_Bridge_Zone_Sud" xfId="3246"/>
    <cellStyle name="s_Valuation _Actualisation provision contrat déficitaire SNCM 2010 V Def_PAO-CAF-RESOP_06_13_Bridge_Zone_Sud" xfId="3247"/>
    <cellStyle name="s_Valuation _Actualisation provision contrat déficitaire SNCM 2010 V Def_PAO-CAF-RESOP_08_13" xfId="3248"/>
    <cellStyle name="s_Valuation _Actualisation provision contrat déficitaire SNCM 2010 V Def_PAO-CAF-RESOP_08_13_B14_E2_2210" xfId="3249"/>
    <cellStyle name="s_Valuation _Actualisation provision contrat déficitaire SNCM 2010 V Def_PAO-CAF-RESOP_08_13_B14_E2_2210_Bridge_Zone_Sud" xfId="3250"/>
    <cellStyle name="s_Valuation _Actualisation provision contrat déficitaire SNCM 2010 V Def_PAO-CAF-RESOP_08_13_Bridge_Zone_Sud" xfId="3251"/>
    <cellStyle name="s_Valuation _Actualisation provision contrat déficitaire SNCM 2010 V Def_PAO-CAF-RESOP_09_13" xfId="3252"/>
    <cellStyle name="s_Valuation _Actualisation provision contrat déficitaire SNCM 2010 V Def_PAO-CAF-RESOP_09_13_Bridge_Zone_Sud" xfId="3253"/>
    <cellStyle name="s_Valuation _Actualisation provision contrat déficitaire SNCM 2010 V Def_PAO-CAF-RESOP_09_2013_Zone_IDF (version 2)" xfId="3254"/>
    <cellStyle name="s_Valuation _Actualisation provision contrat déficitaire SNCM 2010 V Def_PAO-CAF-RESOP_10_12" xfId="3255"/>
    <cellStyle name="s_Valuation _Actualisation provision contrat déficitaire SNCM 2010 V Def_PAO-CAF-RESOP_10_12_Bridge_Zone_Sud" xfId="3256"/>
    <cellStyle name="s_Valuation _Actualisation provision contrat déficitaire SNCM 2010 V Def_PAO-CAF-RESOP_10_12_focus par entités CAFOP" xfId="3257"/>
    <cellStyle name="s_Valuation _Actualisation provision contrat déficitaire SNCM 2010 V Def_PAO-CAF-RESOP_10_12_focus par entités CAFOP_Bridge_Zone_Sud" xfId="3258"/>
    <cellStyle name="s_Valuation _Actualisation provision contrat déficitaire SNCM 2010 V Def_PAO-CAF-RESOP_11_13" xfId="3259"/>
    <cellStyle name="s_Valuation _Actualisation provision contrat déficitaire SNCM 2010 V Def_PAO-CAF-RESOP_B13" xfId="3260"/>
    <cellStyle name="s_Valuation _Actualisation provision contrat déficitaire SNCM 2010 V Def_PAO-CAF-RESOP_B13_Bridge_Zone_Sud" xfId="3261"/>
    <cellStyle name="s_Valuation _Actualisation provision contrat déficitaire SNCM 2010 V Def_PAO-CAF-RESOP_B13_focus par entités CAFOP" xfId="3262"/>
    <cellStyle name="s_Valuation _Actualisation provision contrat déficitaire SNCM 2010 V Def_PAO-CAF-RESOP_B13_focus par entités CAFOP_Bridge_Zone_Sud" xfId="3263"/>
    <cellStyle name="s_Valuation _Actualisation provision contrat déficitaire SNCM 2010 V Def_PAO-CAF-RESOP_B2014" xfId="3264"/>
    <cellStyle name="s_Valuation _Actualisation provision contrat déficitaire SNCM 2010 V Def_PAO-CAF-RESOP_B2014_Bridge_Zone_Sud" xfId="3265"/>
    <cellStyle name="s_Valuation _Actualisation provision contrat déficitaire SNCM 2010 V Def_PAO-CAF-RESOP_B2014_v2" xfId="3266"/>
    <cellStyle name="s_Valuation _Actualisation provision contrat déficitaire SNCM 2010 V Def_PAO-CAF-RESOP_E2_13" xfId="3267"/>
    <cellStyle name="s_Valuation _Actualisation provision contrat déficitaire SNCM 2010 V Def_PAO-CAF-RESOP_E2_13_B14_E2_2210" xfId="3268"/>
    <cellStyle name="s_Valuation _Actualisation provision contrat déficitaire SNCM 2010 V Def_PAO-CAF-RESOP_E2_13_B14_E2_2210_Bridge_Zone_Sud" xfId="3269"/>
    <cellStyle name="s_Valuation _Actualisation provision contrat déficitaire SNCM 2010 V Def_PAO-CAF-RESOP_E2_13_Bridge_Zone_Sud" xfId="3270"/>
    <cellStyle name="s_Valuation _Actualisation provision contrat déficitaire SNCM 2010 V Def_PAO-CAF-RESOP_E2_2013_03_10_19H" xfId="3271"/>
    <cellStyle name="s_Valuation _Actualisation provision contrat déficitaire SNCM 2010 V Def_PAO-CAF-RESOP_E2_2013_03_10_19H_Bridge_Zone_Sud" xfId="3272"/>
    <cellStyle name="s_Valuation _Actualisation provision contrat déficitaire SNCM 2010 V Def_PPA" xfId="3273"/>
    <cellStyle name="s_Valuation _Actualisation provision contrat déficitaire SNCM 2010 V Def_RESOP bef CICE&amp;PPA&amp;RepartHO" xfId="3274"/>
    <cellStyle name="s_Valuation _Actualisation provision contrat déficitaire SNCM 2010 V Def_Synthèse_Présentation_conso_retraitée" xfId="3275"/>
    <cellStyle name="s_Valuation _Actualisation provision contrat déficitaire SNCM 2011 V3 30 05 2011" xfId="635"/>
    <cellStyle name="s_Valuation _Actualisation provision contrat déficitaire SNCM 2011 V3 30 05 2011_B14_E2_2210" xfId="3276"/>
    <cellStyle name="s_Valuation _Actualisation provision contrat déficitaire SNCM 2011 V3 30 05 2011_B14_E2_2210_Bridge_Zone_Sud" xfId="3277"/>
    <cellStyle name="s_Valuation _Actualisation provision contrat déficitaire SNCM 2011 V3 30 05 2011_Bridge_Zone_Sud" xfId="3278"/>
    <cellStyle name="s_Valuation _Actualisation provision contrat déficitaire SNCM 2011 V3 30 05 2011_CAPEM BY COUNTRY" xfId="3279"/>
    <cellStyle name="s_Valuation _Actualisation provision contrat déficitaire SNCM 2011 V3 30 05 2011_Context" xfId="3280"/>
    <cellStyle name="s_Valuation _Actualisation provision contrat déficitaire SNCM 2011 V3 30 05 2011_focus par entités CAFOPE2AMF" xfId="3281"/>
    <cellStyle name="s_Valuation _Actualisation provision contrat déficitaire SNCM 2011 V3 30 05 2011_focus par entités CAFOPE2AMF_Bridge_Zone_Sud" xfId="3282"/>
    <cellStyle name="s_Valuation _Actualisation provision contrat déficitaire SNCM 2011 V3 30 05 2011_Maquette PLT" xfId="3283"/>
    <cellStyle name="s_Valuation _Actualisation provision contrat déficitaire SNCM 2011 V3 30 05 2011_Output" xfId="3284"/>
    <cellStyle name="s_Valuation _Actualisation provision contrat déficitaire SNCM 2011 V3 30 05 2011_PAO-CAF-RESOP_04_13_pro_format_variante T1" xfId="3285"/>
    <cellStyle name="s_Valuation _Actualisation provision contrat déficitaire SNCM 2011 V3 30 05 2011_PAO-CAF-RESOP_04_13_pro_format_variante T1_B14_E2_2210" xfId="3286"/>
    <cellStyle name="s_Valuation _Actualisation provision contrat déficitaire SNCM 2011 V3 30 05 2011_PAO-CAF-RESOP_04_13_pro_format_variante T1_B14_E2_2210_Bridge_Zone_Sud" xfId="3287"/>
    <cellStyle name="s_Valuation _Actualisation provision contrat déficitaire SNCM 2011 V3 30 05 2011_PAO-CAF-RESOP_04_13_pro_format_variante T1_Bridge_Zone_Sud" xfId="3288"/>
    <cellStyle name="s_Valuation _Actualisation provision contrat déficitaire SNCM 2011 V3 30 05 2011_PAO-CAF-RESOP_06_13" xfId="3289"/>
    <cellStyle name="s_Valuation _Actualisation provision contrat déficitaire SNCM 2011 V3 30 05 2011_PAO-CAF-RESOP_06_13_B14_E2_2210" xfId="3290"/>
    <cellStyle name="s_Valuation _Actualisation provision contrat déficitaire SNCM 2011 V3 30 05 2011_PAO-CAF-RESOP_06_13_B14_E2_2210_Bridge_Zone_Sud" xfId="3291"/>
    <cellStyle name="s_Valuation _Actualisation provision contrat déficitaire SNCM 2011 V3 30 05 2011_PAO-CAF-RESOP_06_13_Bridge_Zone_Sud" xfId="3292"/>
    <cellStyle name="s_Valuation _Actualisation provision contrat déficitaire SNCM 2011 V3 30 05 2011_PAO-CAF-RESOP_08_13" xfId="3293"/>
    <cellStyle name="s_Valuation _Actualisation provision contrat déficitaire SNCM 2011 V3 30 05 2011_PAO-CAF-RESOP_08_13_B14_E2_2210" xfId="3294"/>
    <cellStyle name="s_Valuation _Actualisation provision contrat déficitaire SNCM 2011 V3 30 05 2011_PAO-CAF-RESOP_08_13_B14_E2_2210_Bridge_Zone_Sud" xfId="3295"/>
    <cellStyle name="s_Valuation _Actualisation provision contrat déficitaire SNCM 2011 V3 30 05 2011_PAO-CAF-RESOP_08_13_Bridge_Zone_Sud" xfId="3296"/>
    <cellStyle name="s_Valuation _Actualisation provision contrat déficitaire SNCM 2011 V3 30 05 2011_PAO-CAF-RESOP_09_13" xfId="3297"/>
    <cellStyle name="s_Valuation _Actualisation provision contrat déficitaire SNCM 2011 V3 30 05 2011_PAO-CAF-RESOP_09_13_Bridge_Zone_Sud" xfId="3298"/>
    <cellStyle name="s_Valuation _Actualisation provision contrat déficitaire SNCM 2011 V3 30 05 2011_PAO-CAF-RESOP_09_2013_Zone_IDF (version 2)" xfId="3299"/>
    <cellStyle name="s_Valuation _Actualisation provision contrat déficitaire SNCM 2011 V3 30 05 2011_PAO-CAF-RESOP_10_12" xfId="3300"/>
    <cellStyle name="s_Valuation _Actualisation provision contrat déficitaire SNCM 2011 V3 30 05 2011_PAO-CAF-RESOP_10_12_Bridge_Zone_Sud" xfId="3301"/>
    <cellStyle name="s_Valuation _Actualisation provision contrat déficitaire SNCM 2011 V3 30 05 2011_PAO-CAF-RESOP_10_12_focus par entités CAFOP" xfId="3302"/>
    <cellStyle name="s_Valuation _Actualisation provision contrat déficitaire SNCM 2011 V3 30 05 2011_PAO-CAF-RESOP_10_12_focus par entités CAFOP_Bridge_Zone_Sud" xfId="3303"/>
    <cellStyle name="s_Valuation _Actualisation provision contrat déficitaire SNCM 2011 V3 30 05 2011_PAO-CAF-RESOP_11_13" xfId="3304"/>
    <cellStyle name="s_Valuation _Actualisation provision contrat déficitaire SNCM 2011 V3 30 05 2011_PAO-CAF-RESOP_B13" xfId="3305"/>
    <cellStyle name="s_Valuation _Actualisation provision contrat déficitaire SNCM 2011 V3 30 05 2011_PAO-CAF-RESOP_B13_Bridge_Zone_Sud" xfId="3306"/>
    <cellStyle name="s_Valuation _Actualisation provision contrat déficitaire SNCM 2011 V3 30 05 2011_PAO-CAF-RESOP_B13_focus par entités CAFOP" xfId="3307"/>
    <cellStyle name="s_Valuation _Actualisation provision contrat déficitaire SNCM 2011 V3 30 05 2011_PAO-CAF-RESOP_B13_focus par entités CAFOP_Bridge_Zone_Sud" xfId="3308"/>
    <cellStyle name="s_Valuation _Actualisation provision contrat déficitaire SNCM 2011 V3 30 05 2011_PAO-CAF-RESOP_B2014" xfId="3309"/>
    <cellStyle name="s_Valuation _Actualisation provision contrat déficitaire SNCM 2011 V3 30 05 2011_PAO-CAF-RESOP_B2014_Bridge_Zone_Sud" xfId="3310"/>
    <cellStyle name="s_Valuation _Actualisation provision contrat déficitaire SNCM 2011 V3 30 05 2011_PAO-CAF-RESOP_B2014_v2" xfId="3311"/>
    <cellStyle name="s_Valuation _Actualisation provision contrat déficitaire SNCM 2011 V3 30 05 2011_PAO-CAF-RESOP_E2_13" xfId="3312"/>
    <cellStyle name="s_Valuation _Actualisation provision contrat déficitaire SNCM 2011 V3 30 05 2011_PAO-CAF-RESOP_E2_13_B14_E2_2210" xfId="3313"/>
    <cellStyle name="s_Valuation _Actualisation provision contrat déficitaire SNCM 2011 V3 30 05 2011_PAO-CAF-RESOP_E2_13_B14_E2_2210_Bridge_Zone_Sud" xfId="3314"/>
    <cellStyle name="s_Valuation _Actualisation provision contrat déficitaire SNCM 2011 V3 30 05 2011_PAO-CAF-RESOP_E2_13_Bridge_Zone_Sud" xfId="3315"/>
    <cellStyle name="s_Valuation _Actualisation provision contrat déficitaire SNCM 2011 V3 30 05 2011_PAO-CAF-RESOP_E2_2013_03_10_19H" xfId="3316"/>
    <cellStyle name="s_Valuation _Actualisation provision contrat déficitaire SNCM 2011 V3 30 05 2011_PAO-CAF-RESOP_E2_2013_03_10_19H_Bridge_Zone_Sud" xfId="3317"/>
    <cellStyle name="s_Valuation _Actualisation provision contrat déficitaire SNCM 2011 V3 30 05 2011_PPA" xfId="3318"/>
    <cellStyle name="s_Valuation _Actualisation provision contrat déficitaire SNCM 2011 V3 30 05 2011_RESOP bef CICE&amp;PPA&amp;RepartHO" xfId="3319"/>
    <cellStyle name="s_Valuation _Actualisation provision contrat déficitaire SNCM 2011 V3 30 05 2011_Synthèse_Présentation_conso_retraitée" xfId="3320"/>
    <cellStyle name="s_Valuation _B14_E2_2210" xfId="3321"/>
    <cellStyle name="s_Valuation _B14_E2_2210_Bridge_Zone_Sud" xfId="3322"/>
    <cellStyle name="s_Valuation _BFR_TD_2014.02" xfId="3323"/>
    <cellStyle name="s_Valuation _Bridge_Zone_Nord" xfId="3324"/>
    <cellStyle name="s_Valuation _CAPEM BY COUNTRY" xfId="3325"/>
    <cellStyle name="s_Valuation _Context" xfId="3326"/>
    <cellStyle name="s_Valuation _LI819L_B13" xfId="636"/>
    <cellStyle name="s_Valuation _LI819L_B13_CAPEM BY COUNTRY" xfId="3327"/>
    <cellStyle name="s_Valuation _LI819L_B13_Context" xfId="3328"/>
    <cellStyle name="s_Valuation _LI819L_B13_Maquette PLT" xfId="3329"/>
    <cellStyle name="s_Valuation _LI819L_B13_Output" xfId="3330"/>
    <cellStyle name="s_Valuation _LI819L_B13_PPA" xfId="3331"/>
    <cellStyle name="s_Valuation _LI819L_B13_RESOP bef CICE&amp;PPA&amp;RepartHO" xfId="3332"/>
    <cellStyle name="s_Valuation _Maquette PLT" xfId="3333"/>
    <cellStyle name="s_Valuation _Output" xfId="3334"/>
    <cellStyle name="s_Valuation _PAO-CAF-RESOP_14_01_13 à 20h" xfId="637"/>
    <cellStyle name="s_Valuation _PAO-CAF-RESOP_14_01_13 à 20h_CAPEM BY COUNTRY" xfId="3335"/>
    <cellStyle name="s_Valuation _PAO-CAF-RESOP_14_01_13 à 20h_Context" xfId="3336"/>
    <cellStyle name="s_Valuation _PAO-CAF-RESOP_14_01_13 à 20h_Maquette PLT" xfId="3337"/>
    <cellStyle name="s_Valuation _PAO-CAF-RESOP_14_01_13 à 20h_Output" xfId="3338"/>
    <cellStyle name="s_Valuation _PAO-CAF-RESOP_14_01_13 à 20h_PPA" xfId="3339"/>
    <cellStyle name="s_Valuation _PAO-CAF-RESOP_14_01_13 à 20h_RESOP bef CICE&amp;PPA&amp;RepartHO" xfId="3340"/>
    <cellStyle name="s_Valuation _PAO-CAF-RESOP_2014.02" xfId="3341"/>
    <cellStyle name="s_Valuation _PAO-CAF-RESOP_2014.02_Bridge_Zone_Sud" xfId="3342"/>
    <cellStyle name="s_Valuation _PPA" xfId="3343"/>
    <cellStyle name="s_Valuation _RESOP bef CICE&amp;PPA&amp;RepartHO" xfId="3344"/>
    <cellStyle name="SAPBEXHLevel1" xfId="638"/>
    <cellStyle name="SAPBEXstdData" xfId="639"/>
    <cellStyle name="Satisfaisant 2" xfId="3345"/>
    <cellStyle name="Shading" xfId="640"/>
    <cellStyle name="Single Cell Column Heading" xfId="641"/>
    <cellStyle name="Smart Bold" xfId="3346"/>
    <cellStyle name="Smart Forecast" xfId="3347"/>
    <cellStyle name="Smart General" xfId="3348"/>
    <cellStyle name="Smart Highlight" xfId="3349"/>
    <cellStyle name="Smart Percent" xfId="3350"/>
    <cellStyle name="Smart Source" xfId="3351"/>
    <cellStyle name="Smart Subtitle 1" xfId="3352"/>
    <cellStyle name="Smart Subtitle 2" xfId="3353"/>
    <cellStyle name="Smart Subtotal" xfId="3354"/>
    <cellStyle name="Smart Title" xfId="3355"/>
    <cellStyle name="Smart Total" xfId="3356"/>
    <cellStyle name="Sortie 2" xfId="3357"/>
    <cellStyle name="Standaard 2" xfId="3358"/>
    <cellStyle name="Standaard 2 2 10" xfId="3359"/>
    <cellStyle name="Standaard 2 2 10 2" xfId="3360"/>
    <cellStyle name="Standaard 2_CAPEX" xfId="3361"/>
    <cellStyle name="Standaard_Blad1" xfId="3362"/>
    <cellStyle name="Standard__Utopia Index Index und Guidance (Deutsch)" xfId="642"/>
    <cellStyle name="Style 1" xfId="643"/>
    <cellStyle name="STYLE1" xfId="644"/>
    <cellStyle name="STYLE1 2" xfId="645"/>
    <cellStyle name="STYLE2" xfId="646"/>
    <cellStyle name="STYLE2 2" xfId="647"/>
    <cellStyle name="STYLE3" xfId="648"/>
    <cellStyle name="STYLE3 2" xfId="649"/>
    <cellStyle name="STYLE4" xfId="650"/>
    <cellStyle name="STYLE4 2" xfId="651"/>
    <cellStyle name="STYLE5" xfId="652"/>
    <cellStyle name="STYLE5 2" xfId="653"/>
    <cellStyle name="STYLE6" xfId="654"/>
    <cellStyle name="STYLE6 2" xfId="655"/>
    <cellStyle name="STYLE7" xfId="656"/>
    <cellStyle name="STYLE7 2" xfId="657"/>
    <cellStyle name="STYLE8" xfId="658"/>
    <cellStyle name="STYLE8 2" xfId="659"/>
    <cellStyle name="STYLE9" xfId="660"/>
    <cellStyle name="STYLE9 2" xfId="661"/>
    <cellStyle name="t" xfId="662"/>
    <cellStyle name="t_Actualisation provision contrat déficitaire SNCM 2010 V Def" xfId="663"/>
    <cellStyle name="t_Actualisation provision contrat déficitaire SNCM 2010 V Def_B14_E2_2210" xfId="3363"/>
    <cellStyle name="t_Actualisation provision contrat déficitaire SNCM 2010 V Def_B14_E2_2210_Bridge_Zone_Sud" xfId="3364"/>
    <cellStyle name="t_Actualisation provision contrat déficitaire SNCM 2010 V Def_Bridge_Zone_Sud" xfId="3365"/>
    <cellStyle name="t_Actualisation provision contrat déficitaire SNCM 2010 V Def_CAPEM BY COUNTRY" xfId="3366"/>
    <cellStyle name="t_Actualisation provision contrat déficitaire SNCM 2010 V Def_Context" xfId="3367"/>
    <cellStyle name="t_Actualisation provision contrat déficitaire SNCM 2010 V Def_focus par entités CAFOPE2AMF" xfId="3368"/>
    <cellStyle name="t_Actualisation provision contrat déficitaire SNCM 2010 V Def_focus par entités CAFOPE2AMF_Bridge_Zone_Sud" xfId="3369"/>
    <cellStyle name="t_Actualisation provision contrat déficitaire SNCM 2010 V Def_Maquette PLT" xfId="3370"/>
    <cellStyle name="t_Actualisation provision contrat déficitaire SNCM 2010 V Def_Output" xfId="3371"/>
    <cellStyle name="t_Actualisation provision contrat déficitaire SNCM 2010 V Def_PAO-CAF-RESOP_04_13_pro_format_variante T1" xfId="3372"/>
    <cellStyle name="t_Actualisation provision contrat déficitaire SNCM 2010 V Def_PAO-CAF-RESOP_04_13_pro_format_variante T1_B14_E2_2210" xfId="3373"/>
    <cellStyle name="t_Actualisation provision contrat déficitaire SNCM 2010 V Def_PAO-CAF-RESOP_04_13_pro_format_variante T1_B14_E2_2210_Bridge_Zone_Sud" xfId="3374"/>
    <cellStyle name="t_Actualisation provision contrat déficitaire SNCM 2010 V Def_PAO-CAF-RESOP_04_13_pro_format_variante T1_Bridge_Zone_Sud" xfId="3375"/>
    <cellStyle name="t_Actualisation provision contrat déficitaire SNCM 2010 V Def_PAO-CAF-RESOP_06_13" xfId="3376"/>
    <cellStyle name="t_Actualisation provision contrat déficitaire SNCM 2010 V Def_PAO-CAF-RESOP_06_13_B14_E2_2210" xfId="3377"/>
    <cellStyle name="t_Actualisation provision contrat déficitaire SNCM 2010 V Def_PAO-CAF-RESOP_06_13_B14_E2_2210_Bridge_Zone_Sud" xfId="3378"/>
    <cellStyle name="t_Actualisation provision contrat déficitaire SNCM 2010 V Def_PAO-CAF-RESOP_06_13_Bridge_Zone_Sud" xfId="3379"/>
    <cellStyle name="t_Actualisation provision contrat déficitaire SNCM 2010 V Def_PAO-CAF-RESOP_08_13" xfId="3380"/>
    <cellStyle name="t_Actualisation provision contrat déficitaire SNCM 2010 V Def_PAO-CAF-RESOP_08_13_B14_E2_2210" xfId="3381"/>
    <cellStyle name="t_Actualisation provision contrat déficitaire SNCM 2010 V Def_PAO-CAF-RESOP_08_13_B14_E2_2210_Bridge_Zone_Sud" xfId="3382"/>
    <cellStyle name="t_Actualisation provision contrat déficitaire SNCM 2010 V Def_PAO-CAF-RESOP_08_13_Bridge_Zone_Sud" xfId="3383"/>
    <cellStyle name="t_Actualisation provision contrat déficitaire SNCM 2010 V Def_PAO-CAF-RESOP_09_13" xfId="3384"/>
    <cellStyle name="t_Actualisation provision contrat déficitaire SNCM 2010 V Def_PAO-CAF-RESOP_09_13_Bridge_Zone_Sud" xfId="3385"/>
    <cellStyle name="t_Actualisation provision contrat déficitaire SNCM 2010 V Def_PAO-CAF-RESOP_09_2013_Zone_IDF (version 2)" xfId="3386"/>
    <cellStyle name="t_Actualisation provision contrat déficitaire SNCM 2010 V Def_PAO-CAF-RESOP_10_12" xfId="3387"/>
    <cellStyle name="t_Actualisation provision contrat déficitaire SNCM 2010 V Def_PAO-CAF-RESOP_10_12_Bridge_Zone_Sud" xfId="3388"/>
    <cellStyle name="t_Actualisation provision contrat déficitaire SNCM 2010 V Def_PAO-CAF-RESOP_10_12_focus par entités CAFOP" xfId="3389"/>
    <cellStyle name="t_Actualisation provision contrat déficitaire SNCM 2010 V Def_PAO-CAF-RESOP_10_12_focus par entités CAFOP_Bridge_Zone_Sud" xfId="3390"/>
    <cellStyle name="t_Actualisation provision contrat déficitaire SNCM 2010 V Def_PAO-CAF-RESOP_11_13" xfId="3391"/>
    <cellStyle name="t_Actualisation provision contrat déficitaire SNCM 2010 V Def_PAO-CAF-RESOP_B13" xfId="3392"/>
    <cellStyle name="t_Actualisation provision contrat déficitaire SNCM 2010 V Def_PAO-CAF-RESOP_B13_Bridge_Zone_Sud" xfId="3393"/>
    <cellStyle name="t_Actualisation provision contrat déficitaire SNCM 2010 V Def_PAO-CAF-RESOP_B13_focus par entités CAFOP" xfId="3394"/>
    <cellStyle name="t_Actualisation provision contrat déficitaire SNCM 2010 V Def_PAO-CAF-RESOP_B13_focus par entités CAFOP_Bridge_Zone_Sud" xfId="3395"/>
    <cellStyle name="t_Actualisation provision contrat déficitaire SNCM 2010 V Def_PAO-CAF-RESOP_B2014" xfId="3396"/>
    <cellStyle name="t_Actualisation provision contrat déficitaire SNCM 2010 V Def_PAO-CAF-RESOP_B2014_Bridge_Zone_Sud" xfId="3397"/>
    <cellStyle name="t_Actualisation provision contrat déficitaire SNCM 2010 V Def_PAO-CAF-RESOP_B2014_v2" xfId="3398"/>
    <cellStyle name="t_Actualisation provision contrat déficitaire SNCM 2010 V Def_PAO-CAF-RESOP_E2_13" xfId="3399"/>
    <cellStyle name="t_Actualisation provision contrat déficitaire SNCM 2010 V Def_PAO-CAF-RESOP_E2_13_B14_E2_2210" xfId="3400"/>
    <cellStyle name="t_Actualisation provision contrat déficitaire SNCM 2010 V Def_PAO-CAF-RESOP_E2_13_B14_E2_2210_Bridge_Zone_Sud" xfId="3401"/>
    <cellStyle name="t_Actualisation provision contrat déficitaire SNCM 2010 V Def_PAO-CAF-RESOP_E2_13_Bridge_Zone_Sud" xfId="3402"/>
    <cellStyle name="t_Actualisation provision contrat déficitaire SNCM 2010 V Def_PAO-CAF-RESOP_E2_2013_03_10_19H" xfId="3403"/>
    <cellStyle name="t_Actualisation provision contrat déficitaire SNCM 2010 V Def_PAO-CAF-RESOP_E2_2013_03_10_19H_Bridge_Zone_Sud" xfId="3404"/>
    <cellStyle name="t_Actualisation provision contrat déficitaire SNCM 2010 V Def_PPA" xfId="3405"/>
    <cellStyle name="t_Actualisation provision contrat déficitaire SNCM 2010 V Def_RESOP bef CICE&amp;PPA&amp;RepartHO" xfId="3406"/>
    <cellStyle name="t_Actualisation provision contrat déficitaire SNCM 2010 V Def_Synthèse_Présentation_conso_retraitée" xfId="3407"/>
    <cellStyle name="t_Actualisation provision contrat déficitaire SNCM 2011 V3 30 05 2011" xfId="664"/>
    <cellStyle name="t_Actualisation provision contrat déficitaire SNCM 2011 V3 30 05 2011_B14_E2_2210" xfId="3408"/>
    <cellStyle name="t_Actualisation provision contrat déficitaire SNCM 2011 V3 30 05 2011_B14_E2_2210_Bridge_Zone_Sud" xfId="3409"/>
    <cellStyle name="t_Actualisation provision contrat déficitaire SNCM 2011 V3 30 05 2011_Bridge_Zone_Sud" xfId="3410"/>
    <cellStyle name="t_Actualisation provision contrat déficitaire SNCM 2011 V3 30 05 2011_CAPEM BY COUNTRY" xfId="3411"/>
    <cellStyle name="t_Actualisation provision contrat déficitaire SNCM 2011 V3 30 05 2011_Context" xfId="3412"/>
    <cellStyle name="t_Actualisation provision contrat déficitaire SNCM 2011 V3 30 05 2011_focus par entités CAFOPE2AMF" xfId="3413"/>
    <cellStyle name="t_Actualisation provision contrat déficitaire SNCM 2011 V3 30 05 2011_focus par entités CAFOPE2AMF_Bridge_Zone_Sud" xfId="3414"/>
    <cellStyle name="t_Actualisation provision contrat déficitaire SNCM 2011 V3 30 05 2011_Maquette PLT" xfId="3415"/>
    <cellStyle name="t_Actualisation provision contrat déficitaire SNCM 2011 V3 30 05 2011_Output" xfId="3416"/>
    <cellStyle name="t_Actualisation provision contrat déficitaire SNCM 2011 V3 30 05 2011_PAO-CAF-RESOP_04_13_pro_format_variante T1" xfId="3417"/>
    <cellStyle name="t_Actualisation provision contrat déficitaire SNCM 2011 V3 30 05 2011_PAO-CAF-RESOP_04_13_pro_format_variante T1_B14_E2_2210" xfId="3418"/>
    <cellStyle name="t_Actualisation provision contrat déficitaire SNCM 2011 V3 30 05 2011_PAO-CAF-RESOP_04_13_pro_format_variante T1_B14_E2_2210_Bridge_Zone_Sud" xfId="3419"/>
    <cellStyle name="t_Actualisation provision contrat déficitaire SNCM 2011 V3 30 05 2011_PAO-CAF-RESOP_04_13_pro_format_variante T1_Bridge_Zone_Sud" xfId="3420"/>
    <cellStyle name="t_Actualisation provision contrat déficitaire SNCM 2011 V3 30 05 2011_PAO-CAF-RESOP_06_13" xfId="3421"/>
    <cellStyle name="t_Actualisation provision contrat déficitaire SNCM 2011 V3 30 05 2011_PAO-CAF-RESOP_06_13_B14_E2_2210" xfId="3422"/>
    <cellStyle name="t_Actualisation provision contrat déficitaire SNCM 2011 V3 30 05 2011_PAO-CAF-RESOP_06_13_B14_E2_2210_Bridge_Zone_Sud" xfId="3423"/>
    <cellStyle name="t_Actualisation provision contrat déficitaire SNCM 2011 V3 30 05 2011_PAO-CAF-RESOP_06_13_Bridge_Zone_Sud" xfId="3424"/>
    <cellStyle name="t_Actualisation provision contrat déficitaire SNCM 2011 V3 30 05 2011_PAO-CAF-RESOP_08_13" xfId="3425"/>
    <cellStyle name="t_Actualisation provision contrat déficitaire SNCM 2011 V3 30 05 2011_PAO-CAF-RESOP_08_13_B14_E2_2210" xfId="3426"/>
    <cellStyle name="t_Actualisation provision contrat déficitaire SNCM 2011 V3 30 05 2011_PAO-CAF-RESOP_08_13_B14_E2_2210_Bridge_Zone_Sud" xfId="3427"/>
    <cellStyle name="t_Actualisation provision contrat déficitaire SNCM 2011 V3 30 05 2011_PAO-CAF-RESOP_08_13_Bridge_Zone_Sud" xfId="3428"/>
    <cellStyle name="t_Actualisation provision contrat déficitaire SNCM 2011 V3 30 05 2011_PAO-CAF-RESOP_09_13" xfId="3429"/>
    <cellStyle name="t_Actualisation provision contrat déficitaire SNCM 2011 V3 30 05 2011_PAO-CAF-RESOP_09_13_Bridge_Zone_Sud" xfId="3430"/>
    <cellStyle name="t_Actualisation provision contrat déficitaire SNCM 2011 V3 30 05 2011_PAO-CAF-RESOP_09_2013_Zone_IDF (version 2)" xfId="3431"/>
    <cellStyle name="t_Actualisation provision contrat déficitaire SNCM 2011 V3 30 05 2011_PAO-CAF-RESOP_10_12" xfId="3432"/>
    <cellStyle name="t_Actualisation provision contrat déficitaire SNCM 2011 V3 30 05 2011_PAO-CAF-RESOP_10_12_Bridge_Zone_Sud" xfId="3433"/>
    <cellStyle name="t_Actualisation provision contrat déficitaire SNCM 2011 V3 30 05 2011_PAO-CAF-RESOP_10_12_focus par entités CAFOP" xfId="3434"/>
    <cellStyle name="t_Actualisation provision contrat déficitaire SNCM 2011 V3 30 05 2011_PAO-CAF-RESOP_10_12_focus par entités CAFOP_Bridge_Zone_Sud" xfId="3435"/>
    <cellStyle name="t_Actualisation provision contrat déficitaire SNCM 2011 V3 30 05 2011_PAO-CAF-RESOP_11_13" xfId="3436"/>
    <cellStyle name="t_Actualisation provision contrat déficitaire SNCM 2011 V3 30 05 2011_PAO-CAF-RESOP_B13" xfId="3437"/>
    <cellStyle name="t_Actualisation provision contrat déficitaire SNCM 2011 V3 30 05 2011_PAO-CAF-RESOP_B13_Bridge_Zone_Sud" xfId="3438"/>
    <cellStyle name="t_Actualisation provision contrat déficitaire SNCM 2011 V3 30 05 2011_PAO-CAF-RESOP_B13_focus par entités CAFOP" xfId="3439"/>
    <cellStyle name="t_Actualisation provision contrat déficitaire SNCM 2011 V3 30 05 2011_PAO-CAF-RESOP_B13_focus par entités CAFOP_Bridge_Zone_Sud" xfId="3440"/>
    <cellStyle name="t_Actualisation provision contrat déficitaire SNCM 2011 V3 30 05 2011_PAO-CAF-RESOP_B2014" xfId="3441"/>
    <cellStyle name="t_Actualisation provision contrat déficitaire SNCM 2011 V3 30 05 2011_PAO-CAF-RESOP_B2014_Bridge_Zone_Sud" xfId="3442"/>
    <cellStyle name="t_Actualisation provision contrat déficitaire SNCM 2011 V3 30 05 2011_PAO-CAF-RESOP_B2014_v2" xfId="3443"/>
    <cellStyle name="t_Actualisation provision contrat déficitaire SNCM 2011 V3 30 05 2011_PAO-CAF-RESOP_E2_13" xfId="3444"/>
    <cellStyle name="t_Actualisation provision contrat déficitaire SNCM 2011 V3 30 05 2011_PAO-CAF-RESOP_E2_13_B14_E2_2210" xfId="3445"/>
    <cellStyle name="t_Actualisation provision contrat déficitaire SNCM 2011 V3 30 05 2011_PAO-CAF-RESOP_E2_13_B14_E2_2210_Bridge_Zone_Sud" xfId="3446"/>
    <cellStyle name="t_Actualisation provision contrat déficitaire SNCM 2011 V3 30 05 2011_PAO-CAF-RESOP_E2_13_Bridge_Zone_Sud" xfId="3447"/>
    <cellStyle name="t_Actualisation provision contrat déficitaire SNCM 2011 V3 30 05 2011_PAO-CAF-RESOP_E2_2013_03_10_19H" xfId="3448"/>
    <cellStyle name="t_Actualisation provision contrat déficitaire SNCM 2011 V3 30 05 2011_PAO-CAF-RESOP_E2_2013_03_10_19H_Bridge_Zone_Sud" xfId="3449"/>
    <cellStyle name="t_Actualisation provision contrat déficitaire SNCM 2011 V3 30 05 2011_PPA" xfId="3450"/>
    <cellStyle name="t_Actualisation provision contrat déficitaire SNCM 2011 V3 30 05 2011_RESOP bef CICE&amp;PPA&amp;RepartHO" xfId="3451"/>
    <cellStyle name="t_Actualisation provision contrat déficitaire SNCM 2011 V3 30 05 2011_Synthèse_Présentation_conso_retraitée" xfId="3452"/>
    <cellStyle name="t_B14_E2_2210" xfId="3453"/>
    <cellStyle name="t_B14_E2_2210_Bridge_Zone_Sud" xfId="3454"/>
    <cellStyle name="t_BFR_TD_2014.02" xfId="3455"/>
    <cellStyle name="t_Bridge_Zone_Nord" xfId="3456"/>
    <cellStyle name="t_CAPEM BY COUNTRY" xfId="3457"/>
    <cellStyle name="t_Context" xfId="3458"/>
    <cellStyle name="t_LI819L_B13" xfId="665"/>
    <cellStyle name="t_LI819L_B13_CAPEM BY COUNTRY" xfId="3459"/>
    <cellStyle name="t_LI819L_B13_Context" xfId="3460"/>
    <cellStyle name="t_LI819L_B13_Maquette PLT" xfId="3461"/>
    <cellStyle name="t_LI819L_B13_Output" xfId="3462"/>
    <cellStyle name="t_LI819L_B13_PPA" xfId="3463"/>
    <cellStyle name="t_LI819L_B13_RESOP bef CICE&amp;PPA&amp;RepartHO" xfId="3464"/>
    <cellStyle name="t_Manager" xfId="666"/>
    <cellStyle name="t_Manager_Actualisation provision contrat déficitaire SNCM 2010 V Def" xfId="667"/>
    <cellStyle name="t_Manager_Actualisation provision contrat déficitaire SNCM 2010 V Def_B14_E2_2210" xfId="3465"/>
    <cellStyle name="t_Manager_Actualisation provision contrat déficitaire SNCM 2010 V Def_B14_E2_2210_Bridge_Zone_Sud" xfId="3466"/>
    <cellStyle name="t_Manager_Actualisation provision contrat déficitaire SNCM 2010 V Def_Bridge_Zone_Sud" xfId="3467"/>
    <cellStyle name="t_Manager_Actualisation provision contrat déficitaire SNCM 2010 V Def_CAPEM BY COUNTRY" xfId="3468"/>
    <cellStyle name="t_Manager_Actualisation provision contrat déficitaire SNCM 2010 V Def_Context" xfId="3469"/>
    <cellStyle name="t_Manager_Actualisation provision contrat déficitaire SNCM 2010 V Def_focus par entités CAFOPE2AMF" xfId="3470"/>
    <cellStyle name="t_Manager_Actualisation provision contrat déficitaire SNCM 2010 V Def_focus par entités CAFOPE2AMF_Bridge_Zone_Sud" xfId="3471"/>
    <cellStyle name="t_Manager_Actualisation provision contrat déficitaire SNCM 2010 V Def_Maquette PLT" xfId="3472"/>
    <cellStyle name="t_Manager_Actualisation provision contrat déficitaire SNCM 2010 V Def_Output" xfId="3473"/>
    <cellStyle name="t_Manager_Actualisation provision contrat déficitaire SNCM 2010 V Def_PAO-CAF-RESOP_04_13_pro_format_variante T1" xfId="3474"/>
    <cellStyle name="t_Manager_Actualisation provision contrat déficitaire SNCM 2010 V Def_PAO-CAF-RESOP_04_13_pro_format_variante T1_B14_E2_2210" xfId="3475"/>
    <cellStyle name="t_Manager_Actualisation provision contrat déficitaire SNCM 2010 V Def_PAO-CAF-RESOP_04_13_pro_format_variante T1_B14_E2_2210_Bridge_Zone_Sud" xfId="3476"/>
    <cellStyle name="t_Manager_Actualisation provision contrat déficitaire SNCM 2010 V Def_PAO-CAF-RESOP_04_13_pro_format_variante T1_Bridge_Zone_Sud" xfId="3477"/>
    <cellStyle name="t_Manager_Actualisation provision contrat déficitaire SNCM 2010 V Def_PAO-CAF-RESOP_06_13" xfId="3478"/>
    <cellStyle name="t_Manager_Actualisation provision contrat déficitaire SNCM 2010 V Def_PAO-CAF-RESOP_06_13_B14_E2_2210" xfId="3479"/>
    <cellStyle name="t_Manager_Actualisation provision contrat déficitaire SNCM 2010 V Def_PAO-CAF-RESOP_06_13_B14_E2_2210_Bridge_Zone_Sud" xfId="3480"/>
    <cellStyle name="t_Manager_Actualisation provision contrat déficitaire SNCM 2010 V Def_PAO-CAF-RESOP_06_13_Bridge_Zone_Sud" xfId="3481"/>
    <cellStyle name="t_Manager_Actualisation provision contrat déficitaire SNCM 2010 V Def_PAO-CAF-RESOP_08_13" xfId="3482"/>
    <cellStyle name="t_Manager_Actualisation provision contrat déficitaire SNCM 2010 V Def_PAO-CAF-RESOP_08_13_B14_E2_2210" xfId="3483"/>
    <cellStyle name="t_Manager_Actualisation provision contrat déficitaire SNCM 2010 V Def_PAO-CAF-RESOP_08_13_B14_E2_2210_Bridge_Zone_Sud" xfId="3484"/>
    <cellStyle name="t_Manager_Actualisation provision contrat déficitaire SNCM 2010 V Def_PAO-CAF-RESOP_08_13_Bridge_Zone_Sud" xfId="3485"/>
    <cellStyle name="t_Manager_Actualisation provision contrat déficitaire SNCM 2010 V Def_PAO-CAF-RESOP_09_13" xfId="3486"/>
    <cellStyle name="t_Manager_Actualisation provision contrat déficitaire SNCM 2010 V Def_PAO-CAF-RESOP_09_13_Bridge_Zone_Sud" xfId="3487"/>
    <cellStyle name="t_Manager_Actualisation provision contrat déficitaire SNCM 2010 V Def_PAO-CAF-RESOP_09_2013_Zone_IDF (version 2)" xfId="3488"/>
    <cellStyle name="t_Manager_Actualisation provision contrat déficitaire SNCM 2010 V Def_PAO-CAF-RESOP_10_12" xfId="3489"/>
    <cellStyle name="t_Manager_Actualisation provision contrat déficitaire SNCM 2010 V Def_PAO-CAF-RESOP_10_12_Bridge_Zone_Sud" xfId="3490"/>
    <cellStyle name="t_Manager_Actualisation provision contrat déficitaire SNCM 2010 V Def_PAO-CAF-RESOP_10_12_focus par entités CAFOP" xfId="3491"/>
    <cellStyle name="t_Manager_Actualisation provision contrat déficitaire SNCM 2010 V Def_PAO-CAF-RESOP_10_12_focus par entités CAFOP_Bridge_Zone_Sud" xfId="3492"/>
    <cellStyle name="t_Manager_Actualisation provision contrat déficitaire SNCM 2010 V Def_PAO-CAF-RESOP_11_13" xfId="3493"/>
    <cellStyle name="t_Manager_Actualisation provision contrat déficitaire SNCM 2010 V Def_PAO-CAF-RESOP_B13" xfId="3494"/>
    <cellStyle name="t_Manager_Actualisation provision contrat déficitaire SNCM 2010 V Def_PAO-CAF-RESOP_B13_Bridge_Zone_Sud" xfId="3495"/>
    <cellStyle name="t_Manager_Actualisation provision contrat déficitaire SNCM 2010 V Def_PAO-CAF-RESOP_B13_focus par entités CAFOP" xfId="3496"/>
    <cellStyle name="t_Manager_Actualisation provision contrat déficitaire SNCM 2010 V Def_PAO-CAF-RESOP_B13_focus par entités CAFOP_Bridge_Zone_Sud" xfId="3497"/>
    <cellStyle name="t_Manager_Actualisation provision contrat déficitaire SNCM 2010 V Def_PAO-CAF-RESOP_B2014" xfId="3498"/>
    <cellStyle name="t_Manager_Actualisation provision contrat déficitaire SNCM 2010 V Def_PAO-CAF-RESOP_B2014_Bridge_Zone_Sud" xfId="3499"/>
    <cellStyle name="t_Manager_Actualisation provision contrat déficitaire SNCM 2010 V Def_PAO-CAF-RESOP_B2014_v2" xfId="3500"/>
    <cellStyle name="t_Manager_Actualisation provision contrat déficitaire SNCM 2010 V Def_PAO-CAF-RESOP_E2_13" xfId="3501"/>
    <cellStyle name="t_Manager_Actualisation provision contrat déficitaire SNCM 2010 V Def_PAO-CAF-RESOP_E2_13_B14_E2_2210" xfId="3502"/>
    <cellStyle name="t_Manager_Actualisation provision contrat déficitaire SNCM 2010 V Def_PAO-CAF-RESOP_E2_13_B14_E2_2210_Bridge_Zone_Sud" xfId="3503"/>
    <cellStyle name="t_Manager_Actualisation provision contrat déficitaire SNCM 2010 V Def_PAO-CAF-RESOP_E2_13_Bridge_Zone_Sud" xfId="3504"/>
    <cellStyle name="t_Manager_Actualisation provision contrat déficitaire SNCM 2010 V Def_PAO-CAF-RESOP_E2_2013_03_10_19H" xfId="3505"/>
    <cellStyle name="t_Manager_Actualisation provision contrat déficitaire SNCM 2010 V Def_PAO-CAF-RESOP_E2_2013_03_10_19H_Bridge_Zone_Sud" xfId="3506"/>
    <cellStyle name="t_Manager_Actualisation provision contrat déficitaire SNCM 2010 V Def_PPA" xfId="3507"/>
    <cellStyle name="t_Manager_Actualisation provision contrat déficitaire SNCM 2010 V Def_RESOP bef CICE&amp;PPA&amp;RepartHO" xfId="3508"/>
    <cellStyle name="t_Manager_Actualisation provision contrat déficitaire SNCM 2010 V Def_Synthèse_Présentation_conso_retraitée" xfId="3509"/>
    <cellStyle name="t_Manager_Actualisation provision contrat déficitaire SNCM 2011 V3 30 05 2011" xfId="668"/>
    <cellStyle name="t_Manager_Actualisation provision contrat déficitaire SNCM 2011 V3 30 05 2011_B14_E2_2210" xfId="3510"/>
    <cellStyle name="t_Manager_Actualisation provision contrat déficitaire SNCM 2011 V3 30 05 2011_B14_E2_2210_Bridge_Zone_Sud" xfId="3511"/>
    <cellStyle name="t_Manager_Actualisation provision contrat déficitaire SNCM 2011 V3 30 05 2011_Bridge_Zone_Sud" xfId="3512"/>
    <cellStyle name="t_Manager_Actualisation provision contrat déficitaire SNCM 2011 V3 30 05 2011_CAPEM BY COUNTRY" xfId="3513"/>
    <cellStyle name="t_Manager_Actualisation provision contrat déficitaire SNCM 2011 V3 30 05 2011_Context" xfId="3514"/>
    <cellStyle name="t_Manager_Actualisation provision contrat déficitaire SNCM 2011 V3 30 05 2011_focus par entités CAFOPE2AMF" xfId="3515"/>
    <cellStyle name="t_Manager_Actualisation provision contrat déficitaire SNCM 2011 V3 30 05 2011_focus par entités CAFOPE2AMF_Bridge_Zone_Sud" xfId="3516"/>
    <cellStyle name="t_Manager_Actualisation provision contrat déficitaire SNCM 2011 V3 30 05 2011_Maquette PLT" xfId="3517"/>
    <cellStyle name="t_Manager_Actualisation provision contrat déficitaire SNCM 2011 V3 30 05 2011_Output" xfId="3518"/>
    <cellStyle name="t_Manager_Actualisation provision contrat déficitaire SNCM 2011 V3 30 05 2011_PAO-CAF-RESOP_04_13_pro_format_variante T1" xfId="3519"/>
    <cellStyle name="t_Manager_Actualisation provision contrat déficitaire SNCM 2011 V3 30 05 2011_PAO-CAF-RESOP_04_13_pro_format_variante T1_B14_E2_2210" xfId="3520"/>
    <cellStyle name="t_Manager_Actualisation provision contrat déficitaire SNCM 2011 V3 30 05 2011_PAO-CAF-RESOP_04_13_pro_format_variante T1_B14_E2_2210_Bridge_Zone_Sud" xfId="3521"/>
    <cellStyle name="t_Manager_Actualisation provision contrat déficitaire SNCM 2011 V3 30 05 2011_PAO-CAF-RESOP_04_13_pro_format_variante T1_Bridge_Zone_Sud" xfId="3522"/>
    <cellStyle name="t_Manager_Actualisation provision contrat déficitaire SNCM 2011 V3 30 05 2011_PAO-CAF-RESOP_06_13" xfId="3523"/>
    <cellStyle name="t_Manager_Actualisation provision contrat déficitaire SNCM 2011 V3 30 05 2011_PAO-CAF-RESOP_06_13_B14_E2_2210" xfId="3524"/>
    <cellStyle name="t_Manager_Actualisation provision contrat déficitaire SNCM 2011 V3 30 05 2011_PAO-CAF-RESOP_06_13_B14_E2_2210_Bridge_Zone_Sud" xfId="3525"/>
    <cellStyle name="t_Manager_Actualisation provision contrat déficitaire SNCM 2011 V3 30 05 2011_PAO-CAF-RESOP_06_13_Bridge_Zone_Sud" xfId="3526"/>
    <cellStyle name="t_Manager_Actualisation provision contrat déficitaire SNCM 2011 V3 30 05 2011_PAO-CAF-RESOP_08_13" xfId="3527"/>
    <cellStyle name="t_Manager_Actualisation provision contrat déficitaire SNCM 2011 V3 30 05 2011_PAO-CAF-RESOP_08_13_B14_E2_2210" xfId="3528"/>
    <cellStyle name="t_Manager_Actualisation provision contrat déficitaire SNCM 2011 V3 30 05 2011_PAO-CAF-RESOP_08_13_B14_E2_2210_Bridge_Zone_Sud" xfId="3529"/>
    <cellStyle name="t_Manager_Actualisation provision contrat déficitaire SNCM 2011 V3 30 05 2011_PAO-CAF-RESOP_08_13_Bridge_Zone_Sud" xfId="3530"/>
    <cellStyle name="t_Manager_Actualisation provision contrat déficitaire SNCM 2011 V3 30 05 2011_PAO-CAF-RESOP_09_13" xfId="3531"/>
    <cellStyle name="t_Manager_Actualisation provision contrat déficitaire SNCM 2011 V3 30 05 2011_PAO-CAF-RESOP_09_13_Bridge_Zone_Sud" xfId="3532"/>
    <cellStyle name="t_Manager_Actualisation provision contrat déficitaire SNCM 2011 V3 30 05 2011_PAO-CAF-RESOP_09_2013_Zone_IDF (version 2)" xfId="3533"/>
    <cellStyle name="t_Manager_Actualisation provision contrat déficitaire SNCM 2011 V3 30 05 2011_PAO-CAF-RESOP_10_12" xfId="3534"/>
    <cellStyle name="t_Manager_Actualisation provision contrat déficitaire SNCM 2011 V3 30 05 2011_PAO-CAF-RESOP_10_12_Bridge_Zone_Sud" xfId="3535"/>
    <cellStyle name="t_Manager_Actualisation provision contrat déficitaire SNCM 2011 V3 30 05 2011_PAO-CAF-RESOP_10_12_focus par entités CAFOP" xfId="3536"/>
    <cellStyle name="t_Manager_Actualisation provision contrat déficitaire SNCM 2011 V3 30 05 2011_PAO-CAF-RESOP_10_12_focus par entités CAFOP_Bridge_Zone_Sud" xfId="3537"/>
    <cellStyle name="t_Manager_Actualisation provision contrat déficitaire SNCM 2011 V3 30 05 2011_PAO-CAF-RESOP_11_13" xfId="3538"/>
    <cellStyle name="t_Manager_Actualisation provision contrat déficitaire SNCM 2011 V3 30 05 2011_PAO-CAF-RESOP_B13" xfId="3539"/>
    <cellStyle name="t_Manager_Actualisation provision contrat déficitaire SNCM 2011 V3 30 05 2011_PAO-CAF-RESOP_B13_Bridge_Zone_Sud" xfId="3540"/>
    <cellStyle name="t_Manager_Actualisation provision contrat déficitaire SNCM 2011 V3 30 05 2011_PAO-CAF-RESOP_B13_focus par entités CAFOP" xfId="3541"/>
    <cellStyle name="t_Manager_Actualisation provision contrat déficitaire SNCM 2011 V3 30 05 2011_PAO-CAF-RESOP_B13_focus par entités CAFOP_Bridge_Zone_Sud" xfId="3542"/>
    <cellStyle name="t_Manager_Actualisation provision contrat déficitaire SNCM 2011 V3 30 05 2011_PAO-CAF-RESOP_B2014" xfId="3543"/>
    <cellStyle name="t_Manager_Actualisation provision contrat déficitaire SNCM 2011 V3 30 05 2011_PAO-CAF-RESOP_B2014_Bridge_Zone_Sud" xfId="3544"/>
    <cellStyle name="t_Manager_Actualisation provision contrat déficitaire SNCM 2011 V3 30 05 2011_PAO-CAF-RESOP_B2014_v2" xfId="3545"/>
    <cellStyle name="t_Manager_Actualisation provision contrat déficitaire SNCM 2011 V3 30 05 2011_PAO-CAF-RESOP_E2_13" xfId="3546"/>
    <cellStyle name="t_Manager_Actualisation provision contrat déficitaire SNCM 2011 V3 30 05 2011_PAO-CAF-RESOP_E2_13_B14_E2_2210" xfId="3547"/>
    <cellStyle name="t_Manager_Actualisation provision contrat déficitaire SNCM 2011 V3 30 05 2011_PAO-CAF-RESOP_E2_13_B14_E2_2210_Bridge_Zone_Sud" xfId="3548"/>
    <cellStyle name="t_Manager_Actualisation provision contrat déficitaire SNCM 2011 V3 30 05 2011_PAO-CAF-RESOP_E2_13_Bridge_Zone_Sud" xfId="3549"/>
    <cellStyle name="t_Manager_Actualisation provision contrat déficitaire SNCM 2011 V3 30 05 2011_PAO-CAF-RESOP_E2_2013_03_10_19H" xfId="3550"/>
    <cellStyle name="t_Manager_Actualisation provision contrat déficitaire SNCM 2011 V3 30 05 2011_PAO-CAF-RESOP_E2_2013_03_10_19H_Bridge_Zone_Sud" xfId="3551"/>
    <cellStyle name="t_Manager_Actualisation provision contrat déficitaire SNCM 2011 V3 30 05 2011_PPA" xfId="3552"/>
    <cellStyle name="t_Manager_Actualisation provision contrat déficitaire SNCM 2011 V3 30 05 2011_RESOP bef CICE&amp;PPA&amp;RepartHO" xfId="3553"/>
    <cellStyle name="t_Manager_Actualisation provision contrat déficitaire SNCM 2011 V3 30 05 2011_Synthèse_Présentation_conso_retraitée" xfId="3554"/>
    <cellStyle name="t_Manager_B14_E2_2210" xfId="3555"/>
    <cellStyle name="t_Manager_B14_E2_2210_Bridge_Zone_Sud" xfId="3556"/>
    <cellStyle name="t_Manager_BFR_TD_2014.02" xfId="3557"/>
    <cellStyle name="t_Manager_Bridge_Zone_Nord" xfId="3558"/>
    <cellStyle name="t_Manager_CAPEM BY COUNTRY" xfId="3559"/>
    <cellStyle name="t_Manager_Context" xfId="3560"/>
    <cellStyle name="t_Manager_LI819L_B13" xfId="669"/>
    <cellStyle name="t_Manager_LI819L_B13_CAPEM BY COUNTRY" xfId="3561"/>
    <cellStyle name="t_Manager_LI819L_B13_Context" xfId="3562"/>
    <cellStyle name="t_Manager_LI819L_B13_Maquette PLT" xfId="3563"/>
    <cellStyle name="t_Manager_LI819L_B13_Output" xfId="3564"/>
    <cellStyle name="t_Manager_LI819L_B13_PPA" xfId="3565"/>
    <cellStyle name="t_Manager_LI819L_B13_RESOP bef CICE&amp;PPA&amp;RepartHO" xfId="3566"/>
    <cellStyle name="t_Manager_Maquette PLT" xfId="3567"/>
    <cellStyle name="t_Manager_Output" xfId="3568"/>
    <cellStyle name="t_Manager_PAO-CAF-RESOP_14_01_13 à 20h" xfId="670"/>
    <cellStyle name="t_Manager_PAO-CAF-RESOP_14_01_13 à 20h_CAPEM BY COUNTRY" xfId="3569"/>
    <cellStyle name="t_Manager_PAO-CAF-RESOP_14_01_13 à 20h_Context" xfId="3570"/>
    <cellStyle name="t_Manager_PAO-CAF-RESOP_14_01_13 à 20h_Maquette PLT" xfId="3571"/>
    <cellStyle name="t_Manager_PAO-CAF-RESOP_14_01_13 à 20h_Output" xfId="3572"/>
    <cellStyle name="t_Manager_PAO-CAF-RESOP_14_01_13 à 20h_PPA" xfId="3573"/>
    <cellStyle name="t_Manager_PAO-CAF-RESOP_14_01_13 à 20h_RESOP bef CICE&amp;PPA&amp;RepartHO" xfId="3574"/>
    <cellStyle name="t_Manager_PAO-CAF-RESOP_2014.02" xfId="3575"/>
    <cellStyle name="t_Manager_PAO-CAF-RESOP_2014.02_Bridge_Zone_Sud" xfId="3576"/>
    <cellStyle name="t_Manager_PPA" xfId="3577"/>
    <cellStyle name="t_Manager_RESOP bef CICE&amp;PPA&amp;RepartHO" xfId="3578"/>
    <cellStyle name="t_Maquette PLT" xfId="3579"/>
    <cellStyle name="t_Output" xfId="3580"/>
    <cellStyle name="t_PAO-CAF-RESOP_14_01_13 à 20h" xfId="671"/>
    <cellStyle name="t_PAO-CAF-RESOP_14_01_13 à 20h_CAPEM BY COUNTRY" xfId="3581"/>
    <cellStyle name="t_PAO-CAF-RESOP_14_01_13 à 20h_Context" xfId="3582"/>
    <cellStyle name="t_PAO-CAF-RESOP_14_01_13 à 20h_Maquette PLT" xfId="3583"/>
    <cellStyle name="t_PAO-CAF-RESOP_14_01_13 à 20h_Output" xfId="3584"/>
    <cellStyle name="t_PAO-CAF-RESOP_14_01_13 à 20h_PPA" xfId="3585"/>
    <cellStyle name="t_PAO-CAF-RESOP_14_01_13 à 20h_RESOP bef CICE&amp;PPA&amp;RepartHO" xfId="3586"/>
    <cellStyle name="t_PAO-CAF-RESOP_2014.02" xfId="3587"/>
    <cellStyle name="t_PAO-CAF-RESOP_2014.02_Bridge_Zone_Sud" xfId="3588"/>
    <cellStyle name="t_PPA" xfId="3589"/>
    <cellStyle name="t_RESOP bef CICE&amp;PPA&amp;RepartHO" xfId="3590"/>
    <cellStyle name="Text Level 1" xfId="672"/>
    <cellStyle name="Text Level 2" xfId="673"/>
    <cellStyle name="Text Level 3" xfId="674"/>
    <cellStyle name="Text Level 4" xfId="675"/>
    <cellStyle name="Texte explicatif 2" xfId="3591"/>
    <cellStyle name="Title" xfId="293"/>
    <cellStyle name="Title 2" xfId="294"/>
    <cellStyle name="Title 3" xfId="295"/>
    <cellStyle name="Title 4" xfId="296"/>
    <cellStyle name="Title 5" xfId="297"/>
    <cellStyle name="Title 6" xfId="298"/>
    <cellStyle name="Title_Decote croissance organique" xfId="3592"/>
    <cellStyle name="Titles" xfId="676"/>
    <cellStyle name="Titre 2" xfId="3593"/>
    <cellStyle name="Titre colonnes" xfId="299"/>
    <cellStyle name="Titre lignes" xfId="300"/>
    <cellStyle name="Titre 1 2" xfId="3594"/>
    <cellStyle name="Titre 2 2" xfId="3595"/>
    <cellStyle name="Titre 3 2" xfId="3596"/>
    <cellStyle name="Titre 4 2" xfId="3597"/>
    <cellStyle name="Top_Double_Bottom" xfId="677"/>
    <cellStyle name="Total 2" xfId="301"/>
    <cellStyle name="Total 3" xfId="302"/>
    <cellStyle name="Total 4" xfId="303"/>
    <cellStyle name="Total 5" xfId="304"/>
    <cellStyle name="Total 6" xfId="305"/>
    <cellStyle name="UNDERRUBRIK" xfId="678"/>
    <cellStyle name="Vérification 2" xfId="3598"/>
    <cellStyle name="Warning Text" xfId="306"/>
    <cellStyle name="Warning Text 2" xfId="307"/>
    <cellStyle name="Warning Text 3" xfId="308"/>
    <cellStyle name="Warning Text 4" xfId="309"/>
    <cellStyle name="Warning Text 5" xfId="310"/>
    <cellStyle name="Warning Text_Feuil1" xfId="3599"/>
    <cellStyle name="Year" xfId="679"/>
    <cellStyle name="zoe" xfId="680"/>
    <cellStyle name="常规_Sheet1_Sub-consolidation Scope 2008 12 SX432 Lanzhou" xfId="681"/>
  </cellStyles>
  <dxfs count="1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5F5F5F"/>
      <color rgb="FFBFBFBF"/>
      <color rgb="FFF8EDEC"/>
      <color rgb="FFEBCA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'Page 5 - market outlook'!$B$5</c:f>
              <c:strCache>
                <c:ptCount val="1"/>
                <c:pt idx="0">
                  <c:v>Est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rot="0" vert="horz" anchor="ctr" anchorCtr="1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outlook'!$C$4:$F$4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outlook'!$C$5:$F$5</c:f>
              <c:numCache>
                <c:formatCode>0%</c:formatCode>
                <c:ptCount val="4"/>
                <c:pt idx="0">
                  <c:v>0.35</c:v>
                </c:pt>
                <c:pt idx="1">
                  <c:v>0.26</c:v>
                </c:pt>
                <c:pt idx="2">
                  <c:v>0.05</c:v>
                </c:pt>
                <c:pt idx="3">
                  <c:v>0.18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02-4D3D-8D19-2F10AC5529E9}"/>
            </c:ext>
          </c:extLst>
        </c:ser>
        <c:ser>
          <c:idx val="1"/>
          <c:order val="1"/>
          <c:tx>
            <c:strRef>
              <c:f>'Page 5 - market outlook'!$B$6</c:f>
              <c:strCache>
                <c:ptCount val="1"/>
                <c:pt idx="0">
                  <c:v>Ouest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outlook'!$C$4:$F$4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outlook'!$C$6:$F$6</c:f>
              <c:numCache>
                <c:formatCode>General</c:formatCode>
                <c:ptCount val="4"/>
                <c:pt idx="0">
                  <c:v>30.6</c:v>
                </c:pt>
                <c:pt idx="1">
                  <c:v>38.6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02-4D3D-8D19-2F10AC5529E9}"/>
            </c:ext>
          </c:extLst>
        </c:ser>
        <c:ser>
          <c:idx val="2"/>
          <c:order val="2"/>
          <c:tx>
            <c:strRef>
              <c:f>'Page 5 - market outlook'!$B$7</c:f>
              <c:strCache>
                <c:ptCount val="1"/>
                <c:pt idx="0">
                  <c:v>Nord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outlook'!$C$4:$F$4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outlook'!$C$7:$F$7</c:f>
              <c:numCache>
                <c:formatCode>General</c:formatCode>
                <c:ptCount val="4"/>
                <c:pt idx="0">
                  <c:v>45.9</c:v>
                </c:pt>
                <c:pt idx="1">
                  <c:v>46.9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802-4D3D-8D19-2F10AC5529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'Page 5 - market outlook'!$B$13</c:f>
              <c:strCache>
                <c:ptCount val="1"/>
                <c:pt idx="0">
                  <c:v>Est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outlook'!$C$12:$F$12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outlook'!$C$13:$F$13</c:f>
              <c:numCache>
                <c:formatCode>0%</c:formatCode>
                <c:ptCount val="4"/>
                <c:pt idx="0">
                  <c:v>0.51</c:v>
                </c:pt>
                <c:pt idx="1">
                  <c:v>0.26</c:v>
                </c:pt>
                <c:pt idx="2">
                  <c:v>0.05</c:v>
                </c:pt>
                <c:pt idx="3">
                  <c:v>0.18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DDB-4A22-A80C-801849951A1A}"/>
            </c:ext>
          </c:extLst>
        </c:ser>
        <c:ser>
          <c:idx val="1"/>
          <c:order val="1"/>
          <c:tx>
            <c:strRef>
              <c:f>'Page 5 - market outlook'!$B$14</c:f>
              <c:strCache>
                <c:ptCount val="1"/>
                <c:pt idx="0">
                  <c:v>Ouest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outlook'!$C$12:$F$12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outlook'!$C$14:$F$14</c:f>
              <c:numCache>
                <c:formatCode>General</c:formatCode>
                <c:ptCount val="4"/>
                <c:pt idx="0">
                  <c:v>30.6</c:v>
                </c:pt>
                <c:pt idx="1">
                  <c:v>38.6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DDB-4A22-A80C-801849951A1A}"/>
            </c:ext>
          </c:extLst>
        </c:ser>
        <c:ser>
          <c:idx val="2"/>
          <c:order val="2"/>
          <c:tx>
            <c:strRef>
              <c:f>'Page 5 - market outlook'!$B$15</c:f>
              <c:strCache>
                <c:ptCount val="1"/>
                <c:pt idx="0">
                  <c:v>Nord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outlook'!$C$12:$F$12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outlook'!$C$15:$F$15</c:f>
              <c:numCache>
                <c:formatCode>General</c:formatCode>
                <c:ptCount val="4"/>
                <c:pt idx="0">
                  <c:v>45.9</c:v>
                </c:pt>
                <c:pt idx="1">
                  <c:v>46.9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DDB-4A22-A80C-801849951A1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'Page 5 - market outlook'!$B$21</c:f>
              <c:strCache>
                <c:ptCount val="1"/>
                <c:pt idx="0">
                  <c:v>Est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outlook'!$C$20:$F$20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outlook'!$C$21:$F$21</c:f>
              <c:numCache>
                <c:formatCode>0%</c:formatCode>
                <c:ptCount val="4"/>
                <c:pt idx="0">
                  <c:v>0.51</c:v>
                </c:pt>
                <c:pt idx="1">
                  <c:v>0.26</c:v>
                </c:pt>
                <c:pt idx="2">
                  <c:v>0.05</c:v>
                </c:pt>
                <c:pt idx="3">
                  <c:v>0.18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D3-4603-9663-3547494E1D17}"/>
            </c:ext>
          </c:extLst>
        </c:ser>
        <c:ser>
          <c:idx val="1"/>
          <c:order val="1"/>
          <c:tx>
            <c:strRef>
              <c:f>'Page 5 - market outlook'!$B$22</c:f>
              <c:strCache>
                <c:ptCount val="1"/>
                <c:pt idx="0">
                  <c:v>Ouest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outlook'!$C$20:$F$20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outlook'!$C$22:$F$22</c:f>
              <c:numCache>
                <c:formatCode>General</c:formatCode>
                <c:ptCount val="4"/>
                <c:pt idx="0">
                  <c:v>30.6</c:v>
                </c:pt>
                <c:pt idx="1">
                  <c:v>38.6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3D3-4603-9663-3547494E1D17}"/>
            </c:ext>
          </c:extLst>
        </c:ser>
        <c:ser>
          <c:idx val="2"/>
          <c:order val="2"/>
          <c:tx>
            <c:strRef>
              <c:f>'Page 5 - market outlook'!$B$23</c:f>
              <c:strCache>
                <c:ptCount val="1"/>
                <c:pt idx="0">
                  <c:v>Nord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'Page 5 - market outlook'!$C$20:$F$20</c:f>
              <c:strCache>
                <c:ptCount val="4"/>
                <c:pt idx="0">
                  <c:v>TD</c:v>
                </c:pt>
                <c:pt idx="1">
                  <c:v>Keolis</c:v>
                </c:pt>
                <c:pt idx="2">
                  <c:v>RATP Dev</c:v>
                </c:pt>
                <c:pt idx="3">
                  <c:v>Others</c:v>
                </c:pt>
              </c:strCache>
            </c:strRef>
          </c:cat>
          <c:val>
            <c:numRef>
              <c:f>'Page 5 - market outlook'!$C$23:$F$23</c:f>
              <c:numCache>
                <c:formatCode>General</c:formatCode>
                <c:ptCount val="4"/>
                <c:pt idx="0">
                  <c:v>45.9</c:v>
                </c:pt>
                <c:pt idx="1">
                  <c:v>46.9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3D3-4603-9663-3547494E1D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Base!$E$53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Base!$F$53:$M$53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B2-4149-A673-DF33C641BD7E}"/>
            </c:ext>
          </c:extLst>
        </c:ser>
        <c:ser>
          <c:idx val="0"/>
          <c:order val="1"/>
          <c:tx>
            <c:strRef>
              <c:f>Base!$E$54</c:f>
              <c:strCache>
                <c:ptCount val="1"/>
                <c:pt idx="0">
                  <c:v>Organic Growth Plan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B2-4149-A673-DF33C641BD7E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B2-4149-A673-DF33C641BD7E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B2-4149-A673-DF33C641BD7E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B2-4149-A673-DF33C641BD7E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B2-4149-A673-DF33C641BD7E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B2-4149-A673-DF33C641BD7E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B2-4149-A673-DF33C641BD7E}"/>
                </c:ext>
              </c:extLst>
            </c:dLbl>
            <c:dLbl>
              <c:idx val="7"/>
              <c:layout>
                <c:manualLayout>
                  <c:x val="7.2546027358951298E-2"/>
                  <c:y val="-8.800797427624447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B2-4149-A673-DF33C641BD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C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Base!$F$54:$M$54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DBB2-4149-A673-DF33C641BD7E}"/>
            </c:ext>
          </c:extLst>
        </c:ser>
        <c:ser>
          <c:idx val="4"/>
          <c:order val="2"/>
          <c:tx>
            <c:strRef>
              <c:f>Base!$E$55</c:f>
              <c:strCache>
                <c:ptCount val="1"/>
                <c:pt idx="0">
                  <c:v>External Growth Plan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B2-4149-A673-DF33C641BD7E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B2-4149-A673-DF33C641BD7E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B2-4149-A673-DF33C641BD7E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BB2-4149-A673-DF33C641BD7E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BB2-4149-A673-DF33C641BD7E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BB2-4149-A673-DF33C641BD7E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BB2-4149-A673-DF33C641BD7E}"/>
                </c:ext>
              </c:extLst>
            </c:dLbl>
            <c:dLbl>
              <c:idx val="7"/>
              <c:layout>
                <c:manualLayout>
                  <c:x val="7.5293283791461801E-2"/>
                  <c:y val="-2.567741935661035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BB2-4149-A673-DF33C641BD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Base!$F$55:$M$55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DBB2-4149-A673-DF33C641BD7E}"/>
            </c:ext>
          </c:extLst>
        </c:ser>
        <c:ser>
          <c:idx val="2"/>
          <c:order val="3"/>
          <c:tx>
            <c:strRef>
              <c:f>Base!$E$56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Base!$F$56:$M$56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DBB2-4149-A673-DF33C641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1569536"/>
        <c:axId val="171571072"/>
      </c:barChart>
      <c:catAx>
        <c:axId val="17156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571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157107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156953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3"/>
        <c:delete val="1"/>
      </c:legendEntry>
      <c:overlay val="0"/>
      <c:txPr>
        <a:bodyPr/>
        <a:lstStyle/>
        <a:p>
          <a:pPr>
            <a:defRPr sz="5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Base!$E$61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Base!$F$61:$M$61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5F-47F5-B7D0-F2AA23D66343}"/>
            </c:ext>
          </c:extLst>
        </c:ser>
        <c:ser>
          <c:idx val="0"/>
          <c:order val="1"/>
          <c:tx>
            <c:strRef>
              <c:f>Base!$E$62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5F-47F5-B7D0-F2AA23D66343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5F-47F5-B7D0-F2AA23D66343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5F-47F5-B7D0-F2AA23D66343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5F-47F5-B7D0-F2AA23D66343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5F-47F5-B7D0-F2AA23D66343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5F-47F5-B7D0-F2AA23D66343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5F-47F5-B7D0-F2AA23D66343}"/>
                </c:ext>
              </c:extLst>
            </c:dLbl>
            <c:dLbl>
              <c:idx val="7"/>
              <c:layout>
                <c:manualLayout>
                  <c:x val="7.2546027358951298E-2"/>
                  <c:y val="-8.800797427624447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5F-47F5-B7D0-F2AA23D66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C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Base!$F$62:$M$62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9A5F-47F5-B7D0-F2AA23D66343}"/>
            </c:ext>
          </c:extLst>
        </c:ser>
        <c:ser>
          <c:idx val="4"/>
          <c:order val="2"/>
          <c:tx>
            <c:strRef>
              <c:f>Base!$E$63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5F-47F5-B7D0-F2AA23D66343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5F-47F5-B7D0-F2AA23D66343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5F-47F5-B7D0-F2AA23D66343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A5F-47F5-B7D0-F2AA23D66343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A5F-47F5-B7D0-F2AA23D66343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A5F-47F5-B7D0-F2AA23D66343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A5F-47F5-B7D0-F2AA23D66343}"/>
                </c:ext>
              </c:extLst>
            </c:dLbl>
            <c:dLbl>
              <c:idx val="7"/>
              <c:layout>
                <c:manualLayout>
                  <c:x val="7.5293283791461801E-2"/>
                  <c:y val="-2.567741935661035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A5F-47F5-B7D0-F2AA23D66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Base!$F$63:$M$63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9A5F-47F5-B7D0-F2AA23D66343}"/>
            </c:ext>
          </c:extLst>
        </c:ser>
        <c:ser>
          <c:idx val="2"/>
          <c:order val="4"/>
          <c:tx>
            <c:strRef>
              <c:f>Base!$E$64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Base!$F$64:$M$64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9A5F-47F5-B7D0-F2AA23D66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5359872"/>
        <c:axId val="175361408"/>
      </c:barChart>
      <c:lineChart>
        <c:grouping val="standard"/>
        <c:varyColors val="0"/>
        <c:ser>
          <c:idx val="3"/>
          <c:order val="3"/>
          <c:tx>
            <c:strRef>
              <c:f>Base!$E$66</c:f>
              <c:strCache>
                <c:ptCount val="1"/>
                <c:pt idx="0">
                  <c:v>CAFOP %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97937757781E-2"/>
                  <c:y val="-0.167462580690927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A5F-47F5-B7D0-F2AA23D66343}"/>
                </c:ext>
              </c:extLst>
            </c:dLbl>
            <c:dLbl>
              <c:idx val="1"/>
              <c:layout>
                <c:manualLayout>
                  <c:x val="-6.7490986703585124E-2"/>
                  <c:y val="-0.1254205386488851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A5F-47F5-B7D0-F2AA23D66343}"/>
                </c:ext>
              </c:extLst>
            </c:dLbl>
            <c:dLbl>
              <c:idx val="2"/>
              <c:layout>
                <c:manualLayout>
                  <c:x val="-7.1153990366588787E-2"/>
                  <c:y val="-0.119414532642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A5F-47F5-B7D0-F2AA23D66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Base!$F$66:$M$66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9A5F-47F5-B7D0-F2AA23D66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71392"/>
        <c:axId val="175372928"/>
      </c:lineChart>
      <c:catAx>
        <c:axId val="17535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3614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536140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5359872"/>
        <c:crosses val="autoZero"/>
        <c:crossBetween val="between"/>
      </c:valAx>
      <c:catAx>
        <c:axId val="175371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5372928"/>
        <c:crosses val="autoZero"/>
        <c:auto val="0"/>
        <c:lblAlgn val="ctr"/>
        <c:lblOffset val="100"/>
        <c:noMultiLvlLbl val="0"/>
      </c:catAx>
      <c:valAx>
        <c:axId val="17537292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5371392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t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1.3058134394341291E-2"/>
          <c:y val="0.81474867724867728"/>
          <c:w val="0.98226311523725318"/>
          <c:h val="0.18107804232804234"/>
        </c:manualLayout>
      </c:layout>
      <c:overlay val="0"/>
      <c:txPr>
        <a:bodyPr/>
        <a:lstStyle/>
        <a:p>
          <a:pPr>
            <a:defRPr sz="5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Base!$E$74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Base!$F$86:$M$86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Base!$F$87:$M$87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5A-450C-87C7-4C57CA71A42E}"/>
            </c:ext>
          </c:extLst>
        </c:ser>
        <c:ser>
          <c:idx val="0"/>
          <c:order val="1"/>
          <c:tx>
            <c:strRef>
              <c:f>Base!$E$75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25A-450C-87C7-4C57CA71A42E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5A-450C-87C7-4C57CA71A42E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5A-450C-87C7-4C57CA71A42E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5A-450C-87C7-4C57CA71A42E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5A-450C-87C7-4C57CA71A42E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5A-450C-87C7-4C57CA71A42E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5A-450C-87C7-4C57CA71A42E}"/>
                </c:ext>
              </c:extLst>
            </c:dLbl>
            <c:dLbl>
              <c:idx val="7"/>
              <c:layout>
                <c:manualLayout>
                  <c:x val="7.2546027358951298E-2"/>
                  <c:y val="-8.800797427624447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5A-450C-87C7-4C57CA71A4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C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Base!$F$86:$M$86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Base!$F$88:$M$88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25A-450C-87C7-4C57CA71A42E}"/>
            </c:ext>
          </c:extLst>
        </c:ser>
        <c:ser>
          <c:idx val="4"/>
          <c:order val="2"/>
          <c:tx>
            <c:strRef>
              <c:f>Base!$E$76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5A-450C-87C7-4C57CA71A42E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5A-450C-87C7-4C57CA71A42E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5A-450C-87C7-4C57CA71A42E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5A-450C-87C7-4C57CA71A42E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5A-450C-87C7-4C57CA71A42E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5A-450C-87C7-4C57CA71A42E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5A-450C-87C7-4C57CA71A42E}"/>
                </c:ext>
              </c:extLst>
            </c:dLbl>
            <c:dLbl>
              <c:idx val="7"/>
              <c:layout>
                <c:manualLayout>
                  <c:x val="7.5293283791461801E-2"/>
                  <c:y val="-2.567741935661035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5A-450C-87C7-4C57CA71A4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Base!$F$86:$M$86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Base!$F$89:$M$89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E25A-450C-87C7-4C57CA71A42E}"/>
            </c:ext>
          </c:extLst>
        </c:ser>
        <c:ser>
          <c:idx val="2"/>
          <c:order val="4"/>
          <c:tx>
            <c:strRef>
              <c:f>Base!$E$77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Base!$F$86:$M$86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Base!$F$90:$M$90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E25A-450C-87C7-4C57CA71A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5074304"/>
        <c:axId val="175092480"/>
      </c:barChart>
      <c:lineChart>
        <c:grouping val="standard"/>
        <c:varyColors val="0"/>
        <c:ser>
          <c:idx val="3"/>
          <c:order val="3"/>
          <c:tx>
            <c:strRef>
              <c:f>Base!$E$95</c:f>
              <c:strCache>
                <c:ptCount val="1"/>
                <c:pt idx="0">
                  <c:v>Net CAPEX / Revenue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97937757781E-2"/>
                  <c:y val="-0.167462580690927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5A-450C-87C7-4C57CA71A42E}"/>
                </c:ext>
              </c:extLst>
            </c:dLbl>
            <c:dLbl>
              <c:idx val="1"/>
              <c:layout>
                <c:manualLayout>
                  <c:x val="-6.7490986703585124E-2"/>
                  <c:y val="-0.1254205386488851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5A-450C-87C7-4C57CA71A42E}"/>
                </c:ext>
              </c:extLst>
            </c:dLbl>
            <c:dLbl>
              <c:idx val="2"/>
              <c:layout>
                <c:manualLayout>
                  <c:x val="-7.1153990366588787E-2"/>
                  <c:y val="-0.119414532642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5A-450C-87C7-4C57CA71A4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Base!$F$95:$M$95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E25A-450C-87C7-4C57CA71A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94016"/>
        <c:axId val="175099904"/>
      </c:lineChart>
      <c:catAx>
        <c:axId val="17507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0924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509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5074304"/>
        <c:crosses val="autoZero"/>
        <c:crossBetween val="between"/>
      </c:valAx>
      <c:catAx>
        <c:axId val="17509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5099904"/>
        <c:crosses val="autoZero"/>
        <c:auto val="0"/>
        <c:lblAlgn val="ctr"/>
        <c:lblOffset val="100"/>
        <c:noMultiLvlLbl val="0"/>
      </c:catAx>
      <c:valAx>
        <c:axId val="175099904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5094016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5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Base!$E$74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Base!$F$167:$M$167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Base!$F$168:$M$168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E2E-4033-96E5-88C5B5B39BBD}"/>
            </c:ext>
          </c:extLst>
        </c:ser>
        <c:ser>
          <c:idx val="0"/>
          <c:order val="1"/>
          <c:tx>
            <c:strRef>
              <c:f>Base!$E$75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2E-4033-96E5-88C5B5B39BBD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2E-4033-96E5-88C5B5B39BBD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2E-4033-96E5-88C5B5B39BBD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2E-4033-96E5-88C5B5B39BBD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2E-4033-96E5-88C5B5B39BBD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2E-4033-96E5-88C5B5B39BBD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2E-4033-96E5-88C5B5B39BBD}"/>
                </c:ext>
              </c:extLst>
            </c:dLbl>
            <c:dLbl>
              <c:idx val="7"/>
              <c:layout>
                <c:manualLayout>
                  <c:x val="7.2546027358951298E-2"/>
                  <c:y val="-8.800797427624447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2E-4033-96E5-88C5B5B39B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C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Base!$F$167:$M$167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Base!$F$169:$M$169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CE2E-4033-96E5-88C5B5B39BBD}"/>
            </c:ext>
          </c:extLst>
        </c:ser>
        <c:ser>
          <c:idx val="4"/>
          <c:order val="2"/>
          <c:tx>
            <c:strRef>
              <c:f>Base!$E$170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2E-4033-96E5-88C5B5B39BBD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2E-4033-96E5-88C5B5B39BBD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2E-4033-96E5-88C5B5B39BBD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2E-4033-96E5-88C5B5B39BBD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2E-4033-96E5-88C5B5B39BBD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E2E-4033-96E5-88C5B5B39BBD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E2E-4033-96E5-88C5B5B39BBD}"/>
                </c:ext>
              </c:extLst>
            </c:dLbl>
            <c:dLbl>
              <c:idx val="7"/>
              <c:layout>
                <c:manualLayout>
                  <c:x val="7.5293283791461801E-2"/>
                  <c:y val="-2.567741935661035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E2E-4033-96E5-88C5B5B39B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Base!$F$167:$M$167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Base!$F$170:$M$170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CE2E-4033-96E5-88C5B5B39BBD}"/>
            </c:ext>
          </c:extLst>
        </c:ser>
        <c:ser>
          <c:idx val="2"/>
          <c:order val="3"/>
          <c:tx>
            <c:strRef>
              <c:f>Base!$E$171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Base!$F$167:$M$167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Base!$F$171:$M$171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E2E-4033-96E5-88C5B5B39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5161728"/>
        <c:axId val="175163264"/>
      </c:barChart>
      <c:catAx>
        <c:axId val="17516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1632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516326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516172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3"/>
        <c:delete val="1"/>
      </c:legendEntry>
      <c:overlay val="0"/>
      <c:txPr>
        <a:bodyPr/>
        <a:lstStyle/>
        <a:p>
          <a:pPr>
            <a:defRPr sz="5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Base!$E$74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Base!$F$74:$M$74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8E-426F-986E-57D0F415CD3E}"/>
            </c:ext>
          </c:extLst>
        </c:ser>
        <c:ser>
          <c:idx val="0"/>
          <c:order val="1"/>
          <c:tx>
            <c:strRef>
              <c:f>Base!$E$75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8E-426F-986E-57D0F415CD3E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8E-426F-986E-57D0F415CD3E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8E-426F-986E-57D0F415CD3E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8E-426F-986E-57D0F415CD3E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8E-426F-986E-57D0F415CD3E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8E-426F-986E-57D0F415CD3E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8E-426F-986E-57D0F415CD3E}"/>
                </c:ext>
              </c:extLst>
            </c:dLbl>
            <c:dLbl>
              <c:idx val="7"/>
              <c:layout>
                <c:manualLayout>
                  <c:x val="7.2546027358951298E-2"/>
                  <c:y val="-8.800797427624447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8E-426F-986E-57D0F415C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C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Base!$F$75:$M$75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318E-426F-986E-57D0F415CD3E}"/>
            </c:ext>
          </c:extLst>
        </c:ser>
        <c:ser>
          <c:idx val="4"/>
          <c:order val="2"/>
          <c:tx>
            <c:strRef>
              <c:f>Base!$E$76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8E-426F-986E-57D0F415CD3E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8E-426F-986E-57D0F415CD3E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8E-426F-986E-57D0F415CD3E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18E-426F-986E-57D0F415CD3E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18E-426F-986E-57D0F415CD3E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18E-426F-986E-57D0F415CD3E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18E-426F-986E-57D0F415CD3E}"/>
                </c:ext>
              </c:extLst>
            </c:dLbl>
            <c:dLbl>
              <c:idx val="7"/>
              <c:layout>
                <c:manualLayout>
                  <c:x val="7.5293283791461801E-2"/>
                  <c:y val="-2.567741935661035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18E-426F-986E-57D0F415C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Base!$F$76:$M$76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318E-426F-986E-57D0F415CD3E}"/>
            </c:ext>
          </c:extLst>
        </c:ser>
        <c:ser>
          <c:idx val="2"/>
          <c:order val="4"/>
          <c:tx>
            <c:strRef>
              <c:f>Base!$E$77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Base!$F$77:$M$77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18E-426F-986E-57D0F415C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4865024"/>
        <c:axId val="174883200"/>
      </c:barChart>
      <c:lineChart>
        <c:grouping val="standard"/>
        <c:varyColors val="0"/>
        <c:ser>
          <c:idx val="3"/>
          <c:order val="3"/>
          <c:tx>
            <c:strRef>
              <c:f>Base!$E$69</c:f>
              <c:strCache>
                <c:ptCount val="1"/>
                <c:pt idx="0">
                  <c:v>CAFOP %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97937757781E-2"/>
                  <c:y val="-0.167462580690927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18E-426F-986E-57D0F415CD3E}"/>
                </c:ext>
              </c:extLst>
            </c:dLbl>
            <c:dLbl>
              <c:idx val="1"/>
              <c:layout>
                <c:manualLayout>
                  <c:x val="-6.7490986703585124E-2"/>
                  <c:y val="-0.1254205386488851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18E-426F-986E-57D0F415CD3E}"/>
                </c:ext>
              </c:extLst>
            </c:dLbl>
            <c:dLbl>
              <c:idx val="2"/>
              <c:layout>
                <c:manualLayout>
                  <c:x val="-7.1153990366588787E-2"/>
                  <c:y val="-0.119414532642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18E-426F-986E-57D0F415C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Base!$F$82:$M$82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318E-426F-986E-57D0F415C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84736"/>
        <c:axId val="174886272"/>
      </c:lineChart>
      <c:catAx>
        <c:axId val="174865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832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488320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4865024"/>
        <c:crosses val="autoZero"/>
        <c:crossBetween val="between"/>
      </c:valAx>
      <c:catAx>
        <c:axId val="174884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4886272"/>
        <c:crosses val="autoZero"/>
        <c:auto val="0"/>
        <c:lblAlgn val="ctr"/>
        <c:lblOffset val="100"/>
        <c:noMultiLvlLbl val="0"/>
      </c:catAx>
      <c:valAx>
        <c:axId val="17488627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4884736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Base!$E$134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Base!$F$133:$M$133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Base!$F$134:$M$134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91-4C2D-B23B-F3C81C8FAAB9}"/>
            </c:ext>
          </c:extLst>
        </c:ser>
        <c:ser>
          <c:idx val="0"/>
          <c:order val="1"/>
          <c:tx>
            <c:strRef>
              <c:f>Base!$E$135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91-4C2D-B23B-F3C81C8FAAB9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91-4C2D-B23B-F3C81C8FAAB9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91-4C2D-B23B-F3C81C8FAAB9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91-4C2D-B23B-F3C81C8FAAB9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91-4C2D-B23B-F3C81C8FAAB9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91-4C2D-B23B-F3C81C8FAAB9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91-4C2D-B23B-F3C81C8FAAB9}"/>
                </c:ext>
              </c:extLst>
            </c:dLbl>
            <c:dLbl>
              <c:idx val="7"/>
              <c:layout>
                <c:manualLayout>
                  <c:x val="7.2546027358951298E-2"/>
                  <c:y val="-8.800797427624447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91-4C2D-B23B-F3C81C8FA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C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Base!$F$133:$M$133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Base!$F$135:$M$135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3791-4C2D-B23B-F3C81C8FAAB9}"/>
            </c:ext>
          </c:extLst>
        </c:ser>
        <c:ser>
          <c:idx val="4"/>
          <c:order val="2"/>
          <c:tx>
            <c:strRef>
              <c:f>Base!$E$136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91-4C2D-B23B-F3C81C8FAAB9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91-4C2D-B23B-F3C81C8FAAB9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91-4C2D-B23B-F3C81C8FAAB9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91-4C2D-B23B-F3C81C8FAAB9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791-4C2D-B23B-F3C81C8FAAB9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91-4C2D-B23B-F3C81C8FAAB9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791-4C2D-B23B-F3C81C8FAAB9}"/>
                </c:ext>
              </c:extLst>
            </c:dLbl>
            <c:dLbl>
              <c:idx val="7"/>
              <c:layout>
                <c:manualLayout>
                  <c:x val="7.5293283791461801E-2"/>
                  <c:y val="-2.567741935661035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791-4C2D-B23B-F3C81C8FA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Base!$F$133:$M$133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Base!$F$136:$M$136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3791-4C2D-B23B-F3C81C8FAAB9}"/>
            </c:ext>
          </c:extLst>
        </c:ser>
        <c:ser>
          <c:idx val="2"/>
          <c:order val="4"/>
          <c:tx>
            <c:strRef>
              <c:f>Base!$E$137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Base!$F$133:$M$133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Base!$F$137:$M$137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791-4C2D-B23B-F3C81C8FA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5783936"/>
        <c:axId val="175785472"/>
      </c:barChart>
      <c:lineChart>
        <c:grouping val="standard"/>
        <c:varyColors val="0"/>
        <c:ser>
          <c:idx val="3"/>
          <c:order val="3"/>
          <c:tx>
            <c:strRef>
              <c:f>Base!$E$139</c:f>
              <c:strCache>
                <c:ptCount val="1"/>
                <c:pt idx="0">
                  <c:v>RNPG %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97937757781E-2"/>
                  <c:y val="-0.167462580690927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791-4C2D-B23B-F3C81C8FAAB9}"/>
                </c:ext>
              </c:extLst>
            </c:dLbl>
            <c:dLbl>
              <c:idx val="1"/>
              <c:layout>
                <c:manualLayout>
                  <c:x val="-6.7490986703585124E-2"/>
                  <c:y val="-0.1254205386488851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791-4C2D-B23B-F3C81C8FAAB9}"/>
                </c:ext>
              </c:extLst>
            </c:dLbl>
            <c:dLbl>
              <c:idx val="2"/>
              <c:layout>
                <c:manualLayout>
                  <c:x val="-7.1153990366588787E-2"/>
                  <c:y val="-0.119414532642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791-4C2D-B23B-F3C81C8FA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Base!$F$139:$M$139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3791-4C2D-B23B-F3C81C8FA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87008"/>
        <c:axId val="175796992"/>
      </c:lineChart>
      <c:catAx>
        <c:axId val="17578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785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578547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5783936"/>
        <c:crosses val="autoZero"/>
        <c:crossBetween val="between"/>
      </c:valAx>
      <c:catAx>
        <c:axId val="175787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5796992"/>
        <c:crosses val="autoZero"/>
        <c:auto val="0"/>
        <c:lblAlgn val="ctr"/>
        <c:lblOffset val="100"/>
        <c:noMultiLvlLbl val="0"/>
      </c:catAx>
      <c:valAx>
        <c:axId val="17579699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5787008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Base!$E$126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Base!$F$125:$M$125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Base!$F$126:$M$126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0A-4CFC-A71E-EB9CFA67F276}"/>
            </c:ext>
          </c:extLst>
        </c:ser>
        <c:ser>
          <c:idx val="0"/>
          <c:order val="1"/>
          <c:tx>
            <c:strRef>
              <c:f>Base!$E$127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0A-4CFC-A71E-EB9CFA67F276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0A-4CFC-A71E-EB9CFA67F276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0A-4CFC-A71E-EB9CFA67F276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0A-4CFC-A71E-EB9CFA67F276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0A-4CFC-A71E-EB9CFA67F276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0A-4CFC-A71E-EB9CFA67F276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0A-4CFC-A71E-EB9CFA67F276}"/>
                </c:ext>
              </c:extLst>
            </c:dLbl>
            <c:dLbl>
              <c:idx val="7"/>
              <c:layout>
                <c:manualLayout>
                  <c:x val="7.2546027358951298E-2"/>
                  <c:y val="-8.800797427624447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0A-4CFC-A71E-EB9CFA67F2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C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Base!$F$125:$M$125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Base!$F$127:$M$127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370A-4CFC-A71E-EB9CFA67F276}"/>
            </c:ext>
          </c:extLst>
        </c:ser>
        <c:ser>
          <c:idx val="4"/>
          <c:order val="2"/>
          <c:tx>
            <c:strRef>
              <c:f>Base!$E$128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0A-4CFC-A71E-EB9CFA67F276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0A-4CFC-A71E-EB9CFA67F276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0A-4CFC-A71E-EB9CFA67F276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0A-4CFC-A71E-EB9CFA67F276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70A-4CFC-A71E-EB9CFA67F276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0A-4CFC-A71E-EB9CFA67F276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70A-4CFC-A71E-EB9CFA67F276}"/>
                </c:ext>
              </c:extLst>
            </c:dLbl>
            <c:dLbl>
              <c:idx val="7"/>
              <c:layout>
                <c:manualLayout>
                  <c:x val="7.5293283791461801E-2"/>
                  <c:y val="-2.567741935661035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70A-4CFC-A71E-EB9CFA67F2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Base!$F$125:$M$125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Base!$F$128:$M$128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370A-4CFC-A71E-EB9CFA67F276}"/>
            </c:ext>
          </c:extLst>
        </c:ser>
        <c:ser>
          <c:idx val="2"/>
          <c:order val="3"/>
          <c:tx>
            <c:strRef>
              <c:f>Base!$E$129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Base!$F$125:$M$125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Base!$F$129:$M$129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70A-4CFC-A71E-EB9CFA67F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6133248"/>
        <c:axId val="176134784"/>
      </c:barChart>
      <c:catAx>
        <c:axId val="17613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134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613478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613324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Base!$E$144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Base!$F$143:$M$143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Base!$F$144:$M$144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D-4BFC-A6F8-00CDA9208911}"/>
            </c:ext>
          </c:extLst>
        </c:ser>
        <c:ser>
          <c:idx val="0"/>
          <c:order val="1"/>
          <c:tx>
            <c:strRef>
              <c:f>Base!$E$145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C4D-4BFC-A6F8-00CDA9208911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4D-4BFC-A6F8-00CDA9208911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4D-4BFC-A6F8-00CDA9208911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4D-4BFC-A6F8-00CDA9208911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C4D-4BFC-A6F8-00CDA9208911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4D-4BFC-A6F8-00CDA9208911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4D-4BFC-A6F8-00CDA9208911}"/>
                </c:ext>
              </c:extLst>
            </c:dLbl>
            <c:dLbl>
              <c:idx val="7"/>
              <c:layout>
                <c:manualLayout>
                  <c:x val="7.2546027358951298E-2"/>
                  <c:y val="-8.800797427624447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4D-4BFC-A6F8-00CDA92089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C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Base!$F$143:$M$143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Base!$F$145:$M$145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CC4D-4BFC-A6F8-00CDA9208911}"/>
            </c:ext>
          </c:extLst>
        </c:ser>
        <c:ser>
          <c:idx val="4"/>
          <c:order val="2"/>
          <c:tx>
            <c:strRef>
              <c:f>Base!$E$146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4D-4BFC-A6F8-00CDA9208911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4D-4BFC-A6F8-00CDA9208911}"/>
                </c:ext>
              </c:extLst>
            </c:dLbl>
            <c:dLbl>
              <c:idx val="2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4D-4BFC-A6F8-00CDA9208911}"/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C4D-4BFC-A6F8-00CDA9208911}"/>
                </c:ext>
              </c:extLst>
            </c:dLbl>
            <c:dLbl>
              <c:idx val="4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C4D-4BFC-A6F8-00CDA9208911}"/>
                </c:ext>
              </c:extLst>
            </c:dLbl>
            <c:dLbl>
              <c:idx val="5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C4D-4BFC-A6F8-00CDA9208911}"/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C4D-4BFC-A6F8-00CDA9208911}"/>
                </c:ext>
              </c:extLst>
            </c:dLbl>
            <c:dLbl>
              <c:idx val="7"/>
              <c:layout>
                <c:manualLayout>
                  <c:x val="7.5293283791461801E-2"/>
                  <c:y val="-2.567741935661035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C4D-4BFC-A6F8-00CDA92089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Base!$F$143:$M$143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Base!$F$146:$M$146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CC4D-4BFC-A6F8-00CDA9208911}"/>
            </c:ext>
          </c:extLst>
        </c:ser>
        <c:ser>
          <c:idx val="2"/>
          <c:order val="4"/>
          <c:tx>
            <c:strRef>
              <c:f>Base!$E$147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Base!$F$143:$M$143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Base!$F$147:$M$147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C4D-4BFC-A6F8-00CDA920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5913984"/>
        <c:axId val="175944448"/>
      </c:barChart>
      <c:lineChart>
        <c:grouping val="standard"/>
        <c:varyColors val="0"/>
        <c:ser>
          <c:idx val="3"/>
          <c:order val="3"/>
          <c:tx>
            <c:strRef>
              <c:f>Base!$E$149</c:f>
              <c:strCache>
                <c:ptCount val="1"/>
                <c:pt idx="0">
                  <c:v>NFD/ CAFOP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97937757781E-2"/>
                  <c:y val="-0.167462580690927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C4D-4BFC-A6F8-00CDA9208911}"/>
                </c:ext>
              </c:extLst>
            </c:dLbl>
            <c:dLbl>
              <c:idx val="1"/>
              <c:layout>
                <c:manualLayout>
                  <c:x val="-6.7490986703585124E-2"/>
                  <c:y val="-0.1254205386488851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C4D-4BFC-A6F8-00CDA9208911}"/>
                </c:ext>
              </c:extLst>
            </c:dLbl>
            <c:dLbl>
              <c:idx val="2"/>
              <c:layout>
                <c:manualLayout>
                  <c:x val="-7.1153990366588787E-2"/>
                  <c:y val="-0.119414532642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C4D-4BFC-A6F8-00CDA92089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Base!$F$149:$M$149</c:f>
              <c:numCache>
                <c:formatCode>\x0.0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CC4D-4BFC-A6F8-00CDA920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945984"/>
        <c:axId val="175951872"/>
      </c:lineChart>
      <c:catAx>
        <c:axId val="17591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9444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594444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5913984"/>
        <c:crosses val="autoZero"/>
        <c:crossBetween val="between"/>
      </c:valAx>
      <c:catAx>
        <c:axId val="175945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5951872"/>
        <c:crosses val="autoZero"/>
        <c:auto val="0"/>
        <c:lblAlgn val="ctr"/>
        <c:lblOffset val="100"/>
        <c:noMultiLvlLbl val="0"/>
      </c:catAx>
      <c:valAx>
        <c:axId val="175951872"/>
        <c:scaling>
          <c:orientation val="minMax"/>
        </c:scaling>
        <c:delete val="0"/>
        <c:axPos val="r"/>
        <c:numFmt formatCode="\x0.0" sourceLinked="1"/>
        <c:majorTickMark val="none"/>
        <c:minorTickMark val="none"/>
        <c:tickLblPos val="none"/>
        <c:spPr>
          <a:ln w="9525">
            <a:noFill/>
          </a:ln>
        </c:spPr>
        <c:crossAx val="1759459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Base!$E$53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Base!$F$53:$M$53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1B-4FF7-A586-812DB2E9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6057728"/>
        <c:axId val="176067712"/>
      </c:barChart>
      <c:catAx>
        <c:axId val="17605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067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606771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605772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04730503847151E-2"/>
          <c:y val="1.6687909733862649E-2"/>
          <c:w val="0.90654286598304334"/>
          <c:h val="0.72608880530399311"/>
        </c:manualLayout>
      </c:layout>
      <c:barChart>
        <c:barDir val="col"/>
        <c:grouping val="stacked"/>
        <c:varyColors val="0"/>
        <c:ser>
          <c:idx val="0"/>
          <c:order val="0"/>
          <c:tx>
            <c:v>Valeur Départ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numFmt formatCode="#,##0;\(#,##0\);&quot;-&quot;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;\(#,##0\);&quot;-&quot;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Base!$D$197:$D$204</c:f>
              <c:strCache>
                <c:ptCount val="8"/>
                <c:pt idx="0">
                  <c:v> 2023</c:v>
                </c:pt>
                <c:pt idx="1">
                  <c:v>Var 23-24</c:v>
                </c:pt>
                <c:pt idx="2">
                  <c:v>Var 24-25</c:v>
                </c:pt>
                <c:pt idx="3">
                  <c:v>Var 25-26</c:v>
                </c:pt>
                <c:pt idx="4">
                  <c:v>Var 26-27</c:v>
                </c:pt>
                <c:pt idx="5">
                  <c:v>Var 27-28</c:v>
                </c:pt>
                <c:pt idx="6">
                  <c:v>Var 28-29</c:v>
                </c:pt>
                <c:pt idx="7">
                  <c:v> 2029</c:v>
                </c:pt>
              </c:strCache>
            </c:strRef>
          </c:cat>
          <c:val>
            <c:numRef>
              <c:f>Base!$F$197:$F$204</c:f>
              <c:numCache>
                <c:formatCode>#,##0;\(#,##0\);"-"</c:formatCode>
                <c:ptCount val="8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2B-4808-87F8-6045F0E9A489}"/>
            </c:ext>
          </c:extLst>
        </c:ser>
        <c:ser>
          <c:idx val="1"/>
          <c:order val="1"/>
          <c:tx>
            <c:v>Valeurs
masquées</c:v>
          </c:tx>
          <c:spPr>
            <a:noFill/>
            <a:ln w="25400">
              <a:noFill/>
            </a:ln>
          </c:spPr>
          <c:invertIfNegative val="0"/>
          <c:dLbls>
            <c:delete val="1"/>
          </c:dLbls>
          <c:cat>
            <c:strRef>
              <c:f>Base!$D$197:$D$204</c:f>
              <c:strCache>
                <c:ptCount val="8"/>
                <c:pt idx="0">
                  <c:v> 2023</c:v>
                </c:pt>
                <c:pt idx="1">
                  <c:v>Var 23-24</c:v>
                </c:pt>
                <c:pt idx="2">
                  <c:v>Var 24-25</c:v>
                </c:pt>
                <c:pt idx="3">
                  <c:v>Var 25-26</c:v>
                </c:pt>
                <c:pt idx="4">
                  <c:v>Var 26-27</c:v>
                </c:pt>
                <c:pt idx="5">
                  <c:v>Var 27-28</c:v>
                </c:pt>
                <c:pt idx="6">
                  <c:v>Var 28-29</c:v>
                </c:pt>
                <c:pt idx="7">
                  <c:v> 2029</c:v>
                </c:pt>
              </c:strCache>
            </c:strRef>
          </c:cat>
          <c:val>
            <c:numRef>
              <c:f>Base!$G$197:$G$204</c:f>
              <c:numCache>
                <c:formatCode>#,##0;\(#,##0\);"-"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2B-4808-87F8-6045F0E9A489}"/>
            </c:ext>
          </c:extLst>
        </c:ser>
        <c:ser>
          <c:idx val="2"/>
          <c:order val="2"/>
          <c:tx>
            <c:v>Valeurs
positives</c:v>
          </c:tx>
          <c:spPr>
            <a:solidFill>
              <a:srgbClr val="808000"/>
            </a:solidFill>
            <a:ln w="25400">
              <a:noFill/>
            </a:ln>
          </c:spPr>
          <c:invertIfNegative val="0"/>
          <c:dLbls>
            <c:dLbl>
              <c:idx val="4"/>
              <c:layout>
                <c:manualLayout>
                  <c:x val="-4.8329977463835733E-3"/>
                  <c:y val="-5.065776947373103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2B-4808-87F8-6045F0E9A489}"/>
                </c:ext>
              </c:extLst>
            </c:dLbl>
            <c:dLbl>
              <c:idx val="5"/>
              <c:layout>
                <c:manualLayout>
                  <c:x val="-3.0852172584456048E-4"/>
                  <c:y val="-4.7125761822145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2B-4808-87F8-6045F0E9A489}"/>
                </c:ext>
              </c:extLst>
            </c:dLbl>
            <c:dLbl>
              <c:idx val="6"/>
              <c:layout>
                <c:manualLayout>
                  <c:x val="1.0163892749853799E-16"/>
                  <c:y val="-3.38983050847457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62B-4808-87F8-6045F0E9A489}"/>
                </c:ext>
              </c:extLst>
            </c:dLbl>
            <c:numFmt formatCode="#,##0;\(#,##0\);&quot;-&quot;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Base!$D$197:$D$204</c:f>
              <c:strCache>
                <c:ptCount val="8"/>
                <c:pt idx="0">
                  <c:v> 2023</c:v>
                </c:pt>
                <c:pt idx="1">
                  <c:v>Var 23-24</c:v>
                </c:pt>
                <c:pt idx="2">
                  <c:v>Var 24-25</c:v>
                </c:pt>
                <c:pt idx="3">
                  <c:v>Var 25-26</c:v>
                </c:pt>
                <c:pt idx="4">
                  <c:v>Var 26-27</c:v>
                </c:pt>
                <c:pt idx="5">
                  <c:v>Var 27-28</c:v>
                </c:pt>
                <c:pt idx="6">
                  <c:v>Var 28-29</c:v>
                </c:pt>
                <c:pt idx="7">
                  <c:v> 2029</c:v>
                </c:pt>
              </c:strCache>
            </c:strRef>
          </c:cat>
          <c:val>
            <c:numRef>
              <c:f>Base!$H$197:$H$204</c:f>
              <c:numCache>
                <c:formatCode>#,##0;\(#,##0\);"-"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62B-4808-87F8-6045F0E9A489}"/>
            </c:ext>
          </c:extLst>
        </c:ser>
        <c:ser>
          <c:idx val="3"/>
          <c:order val="3"/>
          <c:tx>
            <c:v>Valeurs
négatives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dLbls>
            <c:dLbl>
              <c:idx val="1"/>
              <c:numFmt formatCode="#,##0;\(#,##0\);&quot;-&quot;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505033804246402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2B-4808-87F8-6045F0E9A489}"/>
                </c:ext>
              </c:extLst>
            </c:dLbl>
            <c:dLbl>
              <c:idx val="6"/>
              <c:layout>
                <c:manualLayout>
                  <c:x val="6.7625698732070325E-4"/>
                  <c:y val="6.5370319850562965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62B-4808-87F8-6045F0E9A489}"/>
                </c:ext>
              </c:extLst>
            </c:dLbl>
            <c:dLbl>
              <c:idx val="7"/>
              <c:layout>
                <c:manualLayout>
                  <c:x val="1.3733827138960651E-3"/>
                  <c:y val="-3.358501304430645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2B-4808-87F8-6045F0E9A489}"/>
                </c:ext>
              </c:extLst>
            </c:dLbl>
            <c:dLbl>
              <c:idx val="8"/>
              <c:layout>
                <c:manualLayout>
                  <c:x val="5.8004111580975046E-4"/>
                  <c:y val="-5.7275205554071637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2B-4808-87F8-6045F0E9A489}"/>
                </c:ext>
              </c:extLst>
            </c:dLbl>
            <c:numFmt formatCode="#,##0;\(#,##0\);&quot;-&quot;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Base!$D$197:$D$204</c:f>
              <c:strCache>
                <c:ptCount val="8"/>
                <c:pt idx="0">
                  <c:v> 2023</c:v>
                </c:pt>
                <c:pt idx="1">
                  <c:v>Var 23-24</c:v>
                </c:pt>
                <c:pt idx="2">
                  <c:v>Var 24-25</c:v>
                </c:pt>
                <c:pt idx="3">
                  <c:v>Var 25-26</c:v>
                </c:pt>
                <c:pt idx="4">
                  <c:v>Var 26-27</c:v>
                </c:pt>
                <c:pt idx="5">
                  <c:v>Var 27-28</c:v>
                </c:pt>
                <c:pt idx="6">
                  <c:v>Var 28-29</c:v>
                </c:pt>
                <c:pt idx="7">
                  <c:v> 2029</c:v>
                </c:pt>
              </c:strCache>
            </c:strRef>
          </c:cat>
          <c:val>
            <c:numRef>
              <c:f>Base!$I$197:$I$204</c:f>
              <c:numCache>
                <c:formatCode>#,##0;\(#,##0\);"-"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62B-4808-87F8-6045F0E9A489}"/>
            </c:ext>
          </c:extLst>
        </c:ser>
        <c:ser>
          <c:idx val="4"/>
          <c:order val="4"/>
          <c:tx>
            <c:v>Valeur Total</c:v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numFmt formatCode="#,##0;\(#,##0\);&quot;-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1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Base!$D$197:$D$204</c:f>
              <c:strCache>
                <c:ptCount val="8"/>
                <c:pt idx="0">
                  <c:v> 2023</c:v>
                </c:pt>
                <c:pt idx="1">
                  <c:v>Var 23-24</c:v>
                </c:pt>
                <c:pt idx="2">
                  <c:v>Var 24-25</c:v>
                </c:pt>
                <c:pt idx="3">
                  <c:v>Var 25-26</c:v>
                </c:pt>
                <c:pt idx="4">
                  <c:v>Var 26-27</c:v>
                </c:pt>
                <c:pt idx="5">
                  <c:v>Var 27-28</c:v>
                </c:pt>
                <c:pt idx="6">
                  <c:v>Var 28-29</c:v>
                </c:pt>
                <c:pt idx="7">
                  <c:v> 2029</c:v>
                </c:pt>
              </c:strCache>
            </c:strRef>
          </c:cat>
          <c:val>
            <c:numRef>
              <c:f>Base!$J$197:$J$204</c:f>
              <c:numCache>
                <c:formatCode>#,##0;\(#,##0\);"-"</c:formatCode>
                <c:ptCount val="8"/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62B-4808-87F8-6045F0E9A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176317952"/>
        <c:axId val="176319488"/>
      </c:barChart>
      <c:catAx>
        <c:axId val="17631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186000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319488"/>
        <c:crosses val="autoZero"/>
        <c:auto val="1"/>
        <c:lblAlgn val="ctr"/>
        <c:lblOffset val="0"/>
        <c:tickLblSkip val="1"/>
        <c:tickMarkSkip val="1"/>
        <c:noMultiLvlLbl val="0"/>
      </c:catAx>
      <c:valAx>
        <c:axId val="176319488"/>
        <c:scaling>
          <c:orientation val="minMax"/>
        </c:scaling>
        <c:delete val="0"/>
        <c:axPos val="l"/>
        <c:numFmt formatCode="#,##0;\(#,##0\);&quot;-&quot;" sourceLinked="1"/>
        <c:majorTickMark val="none"/>
        <c:minorTickMark val="none"/>
        <c:tickLblPos val="none"/>
        <c:spPr>
          <a:ln w="9525">
            <a:noFill/>
          </a:ln>
        </c:spPr>
        <c:crossAx val="1763179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chemeClr val="bg1">
          <a:lumMod val="75000"/>
        </a:schemeClr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1.5951719576719578E-2"/>
          <c:w val="0.93711427939876213"/>
          <c:h val="0.7408082010582011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Base!$E$74</c:f>
              <c:strCache>
                <c:ptCount val="1"/>
                <c:pt idx="0">
                  <c:v>ZGP &amp; Action &amp; Disposals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Base!$F$74:$M$74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878-4277-A676-2B699911E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6368640"/>
        <c:axId val="176374528"/>
      </c:barChart>
      <c:lineChart>
        <c:grouping val="standard"/>
        <c:varyColors val="0"/>
        <c:ser>
          <c:idx val="3"/>
          <c:order val="1"/>
          <c:tx>
            <c:strRef>
              <c:f>Base!$E$79</c:f>
              <c:strCache>
                <c:ptCount val="1"/>
                <c:pt idx="0">
                  <c:v>EBIT %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814814814817E-2"/>
                  <c:y val="-8.96741643712946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878-4277-A676-2B699911E00E}"/>
                </c:ext>
              </c:extLst>
            </c:dLbl>
            <c:dLbl>
              <c:idx val="1"/>
              <c:layout>
                <c:manualLayout>
                  <c:x val="-6.7491111111111113E-2"/>
                  <c:y val="-9.43059462843149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78-4277-A676-2B699911E00E}"/>
                </c:ext>
              </c:extLst>
            </c:dLbl>
            <c:dLbl>
              <c:idx val="2"/>
              <c:layout>
                <c:manualLayout>
                  <c:x val="-7.5857777777777774E-2"/>
                  <c:y val="-9.60779305575717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78-4277-A676-2B699911E00E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Base!$F$60:$M$60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Base!$F$79:$M$79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878-4277-A676-2B699911E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376064"/>
        <c:axId val="176394240"/>
      </c:lineChart>
      <c:catAx>
        <c:axId val="17636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374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637452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6368640"/>
        <c:crosses val="autoZero"/>
        <c:crossBetween val="between"/>
      </c:valAx>
      <c:catAx>
        <c:axId val="176376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6394240"/>
        <c:crosses val="autoZero"/>
        <c:auto val="0"/>
        <c:lblAlgn val="ctr"/>
        <c:lblOffset val="100"/>
        <c:noMultiLvlLbl val="0"/>
      </c:catAx>
      <c:valAx>
        <c:axId val="17639424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637606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230795027573171E-2"/>
          <c:y val="4.9549767515517304E-2"/>
          <c:w val="0.92307816132351239"/>
          <c:h val="0.70721031817601954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Base!$E$98</c:f>
              <c:strCache>
                <c:ptCount val="1"/>
                <c:pt idx="0">
                  <c:v>Net Industrial CAPEX (MEUR)</c:v>
                </c:pt>
              </c:strCache>
            </c:strRef>
          </c:tx>
          <c:spPr>
            <a:solidFill>
              <a:srgbClr val="BFBFBF">
                <a:alpha val="50196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Base!$F$99:$M$99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Base!$F$100:$M$100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49-4A47-991E-0F4873757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axId val="176677632"/>
        <c:axId val="176679168"/>
      </c:barChart>
      <c:lineChart>
        <c:grouping val="standard"/>
        <c:varyColors val="0"/>
        <c:ser>
          <c:idx val="3"/>
          <c:order val="0"/>
          <c:tx>
            <c:strRef>
              <c:f>Base!$E$105</c:f>
              <c:strCache>
                <c:ptCount val="1"/>
                <c:pt idx="0">
                  <c:v>Net CAPEX / Revenue</c:v>
                </c:pt>
              </c:strCache>
            </c:strRef>
          </c:tx>
          <c:spPr>
            <a:ln w="19050">
              <a:solidFill>
                <a:srgbClr val="5F5F5F">
                  <a:alpha val="60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7977510991916309E-2"/>
                  <c:y val="-0.1332987959424961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49-4A47-991E-0F4873757652}"/>
                </c:ext>
              </c:extLst>
            </c:dLbl>
            <c:dLbl>
              <c:idx val="1"/>
              <c:layout>
                <c:manualLayout>
                  <c:x val="-6.1722828239456122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49-4A47-991E-0F4873757652}"/>
                </c:ext>
              </c:extLst>
            </c:dLbl>
            <c:dLbl>
              <c:idx val="2"/>
              <c:layout>
                <c:manualLayout>
                  <c:x val="-5.7977510991916309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49-4A47-991E-0F4873757652}"/>
                </c:ext>
              </c:extLst>
            </c:dLbl>
            <c:dLbl>
              <c:idx val="3"/>
              <c:layout>
                <c:manualLayout>
                  <c:x val="-5.4232193744376496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49-4A47-991E-0F4873757652}"/>
                </c:ext>
              </c:extLst>
            </c:dLbl>
            <c:dLbl>
              <c:idx val="4"/>
              <c:layout>
                <c:manualLayout>
                  <c:x val="-5.0486876496836613E-2"/>
                  <c:y val="-0.1332987959424961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49-4A47-991E-0F4873757652}"/>
                </c:ext>
              </c:extLst>
            </c:dLbl>
            <c:dLbl>
              <c:idx val="5"/>
              <c:layout>
                <c:manualLayout>
                  <c:x val="-4.674155924929687E-2"/>
                  <c:y val="-0.1332987959424961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49-4A47-991E-0F4873757652}"/>
                </c:ext>
              </c:extLst>
            </c:dLbl>
            <c:dLbl>
              <c:idx val="6"/>
              <c:layout>
                <c:manualLayout>
                  <c:x val="-4.2996242001757057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49-4A47-991E-0F4873757652}"/>
                </c:ext>
              </c:extLst>
            </c:dLbl>
            <c:dLbl>
              <c:idx val="7"/>
              <c:layout>
                <c:manualLayout>
                  <c:x val="-5.4232193744376496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449-4A47-991E-0F48737576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Base!$F$105:$M$105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0449-4A47-991E-0F4873757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56928"/>
        <c:axId val="176955392"/>
      </c:lineChart>
      <c:catAx>
        <c:axId val="17667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6791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667916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6677632"/>
        <c:crosses val="autoZero"/>
        <c:crossBetween val="between"/>
      </c:valAx>
      <c:valAx>
        <c:axId val="17695539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>
            <a:noFill/>
          </a:ln>
        </c:spPr>
        <c:crossAx val="176956928"/>
        <c:crosses val="max"/>
        <c:crossBetween val="between"/>
      </c:valAx>
      <c:catAx>
        <c:axId val="176956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6955392"/>
        <c:crosses val="autoZero"/>
        <c:auto val="0"/>
        <c:lblAlgn val="ctr"/>
        <c:lblOffset val="100"/>
        <c:noMultiLvlLbl val="0"/>
      </c:cat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3.1314685978741347E-2"/>
          <c:y val="0.82562770648762462"/>
          <c:w val="0.96868531402125868"/>
          <c:h val="0.1743722935123753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997145093705394E-2"/>
          <c:y val="4.9773755656108594E-2"/>
          <c:w val="0.90415398075240594"/>
          <c:h val="0.705882154638927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Base!$E$62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Base!$F$54:$M$54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F57-4641-8E68-660A7C6C6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5643264"/>
        <c:axId val="175653248"/>
      </c:barChart>
      <c:lineChart>
        <c:grouping val="standard"/>
        <c:varyColors val="0"/>
        <c:ser>
          <c:idx val="3"/>
          <c:order val="1"/>
          <c:tx>
            <c:strRef>
              <c:f>Base!$E$69</c:f>
              <c:strCache>
                <c:ptCount val="1"/>
                <c:pt idx="0">
                  <c:v>CAFOP %</c:v>
                </c:pt>
              </c:strCache>
            </c:strRef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F57-4641-8E68-660A7C6C6953}"/>
                </c:ext>
              </c:extLst>
            </c:dLbl>
            <c:dLbl>
              <c:idx val="2"/>
              <c:layout>
                <c:manualLayout>
                  <c:x val="-6.4784133388285148E-2"/>
                  <c:y val="-7.7722592368261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57-4641-8E68-660A7C6C6953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Base!$N$56</c:f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F57-4641-8E68-660A7C6C6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654784"/>
        <c:axId val="175656320"/>
      </c:lineChart>
      <c:catAx>
        <c:axId val="17564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653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565324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5643264"/>
        <c:crosses val="autoZero"/>
        <c:crossBetween val="between"/>
      </c:valAx>
      <c:catAx>
        <c:axId val="175654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5656320"/>
        <c:crosses val="autoZero"/>
        <c:auto val="0"/>
        <c:lblAlgn val="ctr"/>
        <c:lblOffset val="100"/>
        <c:noMultiLvlLbl val="0"/>
      </c:catAx>
      <c:valAx>
        <c:axId val="17565632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56547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  <a:beve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0.98425196899999989" l="0.78740157499999996" r="0.78740157499999996" t="0.98425196899999989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Base!$E$75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Base!$F$75:$M$75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885-444B-83FA-BF0B05B52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5721856"/>
        <c:axId val="175731840"/>
      </c:barChart>
      <c:lineChart>
        <c:grouping val="standard"/>
        <c:varyColors val="0"/>
        <c:ser>
          <c:idx val="3"/>
          <c:order val="1"/>
          <c:tx>
            <c:strRef>
              <c:f>Base!$E$80</c:f>
              <c:strCache>
                <c:ptCount val="1"/>
                <c:pt idx="0">
                  <c:v>EBIT %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97937757781E-2"/>
                  <c:y val="-0.167462580690927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85-444B-83FA-BF0B05B529C3}"/>
                </c:ext>
              </c:extLst>
            </c:dLbl>
            <c:dLbl>
              <c:idx val="1"/>
              <c:layout>
                <c:manualLayout>
                  <c:x val="-6.7490986703585124E-2"/>
                  <c:y val="-0.1254205386488851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85-444B-83FA-BF0B05B529C3}"/>
                </c:ext>
              </c:extLst>
            </c:dLbl>
            <c:dLbl>
              <c:idx val="2"/>
              <c:layout>
                <c:manualLayout>
                  <c:x val="-7.1153990366588787E-2"/>
                  <c:y val="-0.119414532642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85-444B-83FA-BF0B05B529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Base!$F$80:$M$80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B885-444B-83FA-BF0B05B52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33376"/>
        <c:axId val="175743360"/>
      </c:lineChart>
      <c:catAx>
        <c:axId val="17572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7318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57318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5721856"/>
        <c:crosses val="autoZero"/>
        <c:crossBetween val="between"/>
      </c:valAx>
      <c:catAx>
        <c:axId val="175733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5743360"/>
        <c:crosses val="autoZero"/>
        <c:auto val="0"/>
        <c:lblAlgn val="ctr"/>
        <c:lblOffset val="100"/>
        <c:noMultiLvlLbl val="0"/>
      </c:catAx>
      <c:valAx>
        <c:axId val="17574336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5733376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Base!$E$75</c:f>
              <c:strCache>
                <c:ptCount val="1"/>
                <c:pt idx="0">
                  <c:v>Organic 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Base!$F$86:$M$86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Base!$F$88:$M$88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23-4B04-9280-B38C0BAC3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6902912"/>
        <c:axId val="176904448"/>
      </c:barChart>
      <c:lineChart>
        <c:grouping val="standard"/>
        <c:varyColors val="0"/>
        <c:ser>
          <c:idx val="3"/>
          <c:order val="1"/>
          <c:tx>
            <c:strRef>
              <c:f>Base!$E$93</c:f>
              <c:strCache>
                <c:ptCount val="1"/>
                <c:pt idx="0">
                  <c:v>Net CAPEX / Revenue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97937757781E-2"/>
                  <c:y val="-0.167462580690927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23-4B04-9280-B38C0BAC3F68}"/>
                </c:ext>
              </c:extLst>
            </c:dLbl>
            <c:dLbl>
              <c:idx val="1"/>
              <c:layout>
                <c:manualLayout>
                  <c:x val="-6.7490986703585124E-2"/>
                  <c:y val="-0.1254205386488851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23-4B04-9280-B38C0BAC3F68}"/>
                </c:ext>
              </c:extLst>
            </c:dLbl>
            <c:dLbl>
              <c:idx val="2"/>
              <c:layout>
                <c:manualLayout>
                  <c:x val="-7.1153990366588787E-2"/>
                  <c:y val="-0.119414532642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23-4B04-9280-B38C0BAC3F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Base!$F$93:$M$93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323-4B04-9280-B38C0BAC3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14432"/>
        <c:axId val="176915968"/>
      </c:lineChart>
      <c:catAx>
        <c:axId val="17690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9044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690444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6902912"/>
        <c:crosses val="autoZero"/>
        <c:crossBetween val="between"/>
      </c:valAx>
      <c:catAx>
        <c:axId val="17691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6915968"/>
        <c:crosses val="autoZero"/>
        <c:auto val="0"/>
        <c:lblAlgn val="ctr"/>
        <c:lblOffset val="100"/>
        <c:noMultiLvlLbl val="0"/>
      </c:catAx>
      <c:valAx>
        <c:axId val="17691596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6914432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230795027573171E-2"/>
          <c:y val="4.9549767515517304E-2"/>
          <c:w val="0.92307816132351239"/>
          <c:h val="0.70721031817601954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Base!$E$98</c:f>
              <c:strCache>
                <c:ptCount val="1"/>
                <c:pt idx="0">
                  <c:v>Net Industrial CAPEX (MEUR)</c:v>
                </c:pt>
              </c:strCache>
            </c:strRef>
          </c:tx>
          <c:spPr>
            <a:solidFill>
              <a:srgbClr val="BFBFBF">
                <a:alpha val="50196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Base!$F$99:$M$99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Base!$F$100:$M$100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49-4A47-991E-0F4873757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axId val="177346432"/>
        <c:axId val="177347968"/>
      </c:barChart>
      <c:lineChart>
        <c:grouping val="standard"/>
        <c:varyColors val="0"/>
        <c:ser>
          <c:idx val="3"/>
          <c:order val="0"/>
          <c:tx>
            <c:strRef>
              <c:f>Base!$E$105</c:f>
              <c:strCache>
                <c:ptCount val="1"/>
                <c:pt idx="0">
                  <c:v>Net CAPEX / Revenue</c:v>
                </c:pt>
              </c:strCache>
            </c:strRef>
          </c:tx>
          <c:spPr>
            <a:ln w="19050">
              <a:solidFill>
                <a:srgbClr val="5F5F5F">
                  <a:alpha val="60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7977510991916309E-2"/>
                  <c:y val="-0.1332987959424961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49-4A47-991E-0F4873757652}"/>
                </c:ext>
              </c:extLst>
            </c:dLbl>
            <c:dLbl>
              <c:idx val="1"/>
              <c:layout>
                <c:manualLayout>
                  <c:x val="-6.1722828239456122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49-4A47-991E-0F4873757652}"/>
                </c:ext>
              </c:extLst>
            </c:dLbl>
            <c:dLbl>
              <c:idx val="2"/>
              <c:layout>
                <c:manualLayout>
                  <c:x val="-5.7977510991916309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49-4A47-991E-0F4873757652}"/>
                </c:ext>
              </c:extLst>
            </c:dLbl>
            <c:dLbl>
              <c:idx val="3"/>
              <c:layout>
                <c:manualLayout>
                  <c:x val="-5.4232193744376496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49-4A47-991E-0F4873757652}"/>
                </c:ext>
              </c:extLst>
            </c:dLbl>
            <c:dLbl>
              <c:idx val="4"/>
              <c:layout>
                <c:manualLayout>
                  <c:x val="-5.0486876496836613E-2"/>
                  <c:y val="-0.1332987959424961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49-4A47-991E-0F4873757652}"/>
                </c:ext>
              </c:extLst>
            </c:dLbl>
            <c:dLbl>
              <c:idx val="5"/>
              <c:layout>
                <c:manualLayout>
                  <c:x val="-4.674155924929687E-2"/>
                  <c:y val="-0.1332987959424961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49-4A47-991E-0F4873757652}"/>
                </c:ext>
              </c:extLst>
            </c:dLbl>
            <c:dLbl>
              <c:idx val="6"/>
              <c:layout>
                <c:manualLayout>
                  <c:x val="-4.2996242001757057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49-4A47-991E-0F4873757652}"/>
                </c:ext>
              </c:extLst>
            </c:dLbl>
            <c:dLbl>
              <c:idx val="7"/>
              <c:layout>
                <c:manualLayout>
                  <c:x val="-5.4232193744376496E-2"/>
                  <c:y val="-0.1274968797568860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449-4A47-991E-0F48737576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Base!$F$105:$M$105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0449-4A47-991E-0F4873757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7680"/>
        <c:axId val="177366144"/>
      </c:lineChart>
      <c:catAx>
        <c:axId val="17734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3479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734796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7346432"/>
        <c:crosses val="autoZero"/>
        <c:crossBetween val="between"/>
      </c:valAx>
      <c:valAx>
        <c:axId val="177366144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>
            <a:noFill/>
          </a:ln>
        </c:spPr>
        <c:crossAx val="177367680"/>
        <c:crosses val="max"/>
        <c:crossBetween val="between"/>
      </c:valAx>
      <c:catAx>
        <c:axId val="177367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366144"/>
        <c:crosses val="autoZero"/>
        <c:auto val="0"/>
        <c:lblAlgn val="ctr"/>
        <c:lblOffset val="100"/>
        <c:noMultiLvlLbl val="0"/>
      </c:cat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3.1314685978741347E-2"/>
          <c:y val="0.82562770648762462"/>
          <c:w val="0.96868531402125868"/>
          <c:h val="0.1743722935123753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997145093705394E-2"/>
          <c:y val="4.9773755656108594E-2"/>
          <c:w val="0.90415398075240594"/>
          <c:h val="0.70588215463892701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Base!$E$63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Base!$F$55:$M$55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4A-42B5-A4C5-BD46E6511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7016832"/>
        <c:axId val="177018368"/>
      </c:barChart>
      <c:lineChart>
        <c:grouping val="standard"/>
        <c:varyColors val="0"/>
        <c:ser>
          <c:idx val="3"/>
          <c:order val="1"/>
          <c:tx>
            <c:strRef>
              <c:f>Base!$E$69</c:f>
              <c:strCache>
                <c:ptCount val="1"/>
                <c:pt idx="0">
                  <c:v>CAFOP %</c:v>
                </c:pt>
              </c:strCache>
            </c:strRef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A-42B5-A4C5-BD46E6511DC3}"/>
                </c:ext>
              </c:extLst>
            </c:dLbl>
            <c:dLbl>
              <c:idx val="2"/>
              <c:layout>
                <c:manualLayout>
                  <c:x val="-6.4784133388285148E-2"/>
                  <c:y val="-7.7722592368261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A-42B5-A4C5-BD46E6511DC3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Base!$F$52:$M$52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Base!$N$56</c:f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84A-42B5-A4C5-BD46E6511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019904"/>
        <c:axId val="177320704"/>
      </c:lineChart>
      <c:catAx>
        <c:axId val="1770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183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701836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7016832"/>
        <c:crosses val="autoZero"/>
        <c:crossBetween val="between"/>
      </c:valAx>
      <c:catAx>
        <c:axId val="17701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7320704"/>
        <c:crosses val="autoZero"/>
        <c:auto val="0"/>
        <c:lblAlgn val="ctr"/>
        <c:lblOffset val="100"/>
        <c:noMultiLvlLbl val="0"/>
      </c:catAx>
      <c:valAx>
        <c:axId val="177320704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701990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  <a:beve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0.98425196899999989" l="0.78740157499999996" r="0.78740157499999996" t="0.98425196899999989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Base!$E$76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Base!$F$76:$M$76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CA-4350-8879-D35FAAB88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7964160"/>
        <c:axId val="177965696"/>
      </c:barChart>
      <c:lineChart>
        <c:grouping val="standard"/>
        <c:varyColors val="0"/>
        <c:ser>
          <c:idx val="3"/>
          <c:order val="1"/>
          <c:tx>
            <c:strRef>
              <c:f>Base!$E$81</c:f>
              <c:strCache>
                <c:ptCount val="1"/>
                <c:pt idx="0">
                  <c:v>EBIT %</c:v>
                </c:pt>
              </c:strCache>
            </c:strRef>
          </c:tx>
          <c:spPr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016497937757781E-2"/>
                  <c:y val="-0.167462580690927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CA-4350-8879-D35FAAB88ACC}"/>
                </c:ext>
              </c:extLst>
            </c:dLbl>
            <c:dLbl>
              <c:idx val="1"/>
              <c:layout>
                <c:manualLayout>
                  <c:x val="-6.7490986703585124E-2"/>
                  <c:y val="-0.1254205386488851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CA-4350-8879-D35FAAB88ACC}"/>
                </c:ext>
              </c:extLst>
            </c:dLbl>
            <c:dLbl>
              <c:idx val="2"/>
              <c:layout>
                <c:manualLayout>
                  <c:x val="-7.1153990366588787E-2"/>
                  <c:y val="-0.119414532642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CA-4350-8879-D35FAAB88A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Base!$F$73:$M$73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Base!$F$81:$M$81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B5CA-4350-8879-D35FAAB88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9776"/>
        <c:axId val="177981312"/>
      </c:lineChart>
      <c:catAx>
        <c:axId val="17796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965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796569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7964160"/>
        <c:crosses val="autoZero"/>
        <c:crossBetween val="between"/>
      </c:valAx>
      <c:catAx>
        <c:axId val="177979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7981312"/>
        <c:crosses val="autoZero"/>
        <c:auto val="0"/>
        <c:lblAlgn val="ctr"/>
        <c:lblOffset val="100"/>
        <c:noMultiLvlLbl val="0"/>
      </c:catAx>
      <c:valAx>
        <c:axId val="17798131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177979776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67020335985852E-2"/>
          <c:y val="4.9549767515517304E-2"/>
          <c:w val="0.9090417771883289"/>
          <c:h val="0.70721031817601954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Base!$E$115</c:f>
              <c:strCache>
                <c:ptCount val="1"/>
                <c:pt idx="0">
                  <c:v>External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Base!$F$112:$M$112</c:f>
              <c:strCache>
                <c:ptCount val="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</c:strCache>
            </c:strRef>
          </c:cat>
          <c:val>
            <c:numRef>
              <c:f>Base!$F$115:$M$115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11A-4A29-8C7D-CAAD35BEE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7994752"/>
        <c:axId val="177689344"/>
      </c:barChart>
      <c:catAx>
        <c:axId val="17799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68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768934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crossAx val="17799475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8.3749263188918358E-2"/>
          <c:y val="0.90540914351851853"/>
          <c:w val="0.86606984969053935"/>
          <c:h val="6.75680404814262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C0C0C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1</xdr:row>
      <xdr:rowOff>11906</xdr:rowOff>
    </xdr:from>
    <xdr:to>
      <xdr:col>1</xdr:col>
      <xdr:colOff>1615849</xdr:colOff>
      <xdr:row>32</xdr:row>
      <xdr:rowOff>0</xdr:rowOff>
    </xdr:to>
    <xdr:sp macro="" textlink="">
      <xdr:nvSpPr>
        <xdr:cNvPr id="2" name="Flèche vers le bas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66713" y="764381"/>
          <a:ext cx="1401536" cy="1251585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1</xdr:row>
      <xdr:rowOff>122469</xdr:rowOff>
    </xdr:from>
    <xdr:to>
      <xdr:col>1</xdr:col>
      <xdr:colOff>1235960</xdr:colOff>
      <xdr:row>3</xdr:row>
      <xdr:rowOff>127642</xdr:rowOff>
    </xdr:to>
    <xdr:sp macro="" textlink="">
      <xdr:nvSpPr>
        <xdr:cNvPr id="3" name="Oval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22</xdr:row>
      <xdr:rowOff>94571</xdr:rowOff>
    </xdr:from>
    <xdr:to>
      <xdr:col>1</xdr:col>
      <xdr:colOff>1235960</xdr:colOff>
      <xdr:row>24</xdr:row>
      <xdr:rowOff>99745</xdr:rowOff>
    </xdr:to>
    <xdr:sp macro="" textlink="">
      <xdr:nvSpPr>
        <xdr:cNvPr id="4" name="Oval 1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gray">
        <a:xfrm>
          <a:off x="746603" y="5971496"/>
          <a:ext cx="641757" cy="61477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</xdr:col>
      <xdr:colOff>594203</xdr:colOff>
      <xdr:row>29</xdr:row>
      <xdr:rowOff>94571</xdr:rowOff>
    </xdr:from>
    <xdr:to>
      <xdr:col>1</xdr:col>
      <xdr:colOff>1235960</xdr:colOff>
      <xdr:row>31</xdr:row>
      <xdr:rowOff>99745</xdr:rowOff>
    </xdr:to>
    <xdr:sp macro="" textlink="">
      <xdr:nvSpPr>
        <xdr:cNvPr id="5" name="Oval 12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gray">
        <a:xfrm>
          <a:off x="746603" y="7724096"/>
          <a:ext cx="641757" cy="61477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3</a:t>
          </a:r>
        </a:p>
      </xdr:txBody>
    </xdr:sp>
    <xdr:clientData/>
  </xdr:twoCellAnchor>
  <xdr:twoCellAnchor>
    <xdr:from>
      <xdr:col>4</xdr:col>
      <xdr:colOff>68035</xdr:colOff>
      <xdr:row>24</xdr:row>
      <xdr:rowOff>149679</xdr:rowOff>
    </xdr:from>
    <xdr:to>
      <xdr:col>4</xdr:col>
      <xdr:colOff>1675376</xdr:colOff>
      <xdr:row>28</xdr:row>
      <xdr:rowOff>153080</xdr:rowOff>
    </xdr:to>
    <xdr:sp macro="[0]!Update" textlink="">
      <xdr:nvSpPr>
        <xdr:cNvPr id="7" name="Rectangle à coins arrondi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4612821" y="5470072"/>
          <a:ext cx="1607341" cy="928687"/>
        </a:xfrm>
        <a:prstGeom prst="roundRect">
          <a:avLst/>
        </a:prstGeom>
        <a:gradFill>
          <a:gsLst>
            <a:gs pos="100000">
              <a:schemeClr val="accent5">
                <a:lumMod val="75000"/>
              </a:schemeClr>
            </a:gs>
            <a:gs pos="0">
              <a:schemeClr val="accent5">
                <a:lumMod val="75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0</xdr:rowOff>
    </xdr:from>
    <xdr:to>
      <xdr:col>10</xdr:col>
      <xdr:colOff>28575</xdr:colOff>
      <xdr:row>7</xdr:row>
      <xdr:rowOff>180975</xdr:rowOff>
    </xdr:to>
    <xdr:graphicFrame macro="">
      <xdr:nvGraphicFramePr>
        <xdr:cNvPr id="2" name="Graphiqu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10</xdr:row>
      <xdr:rowOff>19051</xdr:rowOff>
    </xdr:from>
    <xdr:to>
      <xdr:col>10</xdr:col>
      <xdr:colOff>9525</xdr:colOff>
      <xdr:row>16</xdr:row>
      <xdr:rowOff>19051</xdr:rowOff>
    </xdr:to>
    <xdr:graphicFrame macro="">
      <xdr:nvGraphicFramePr>
        <xdr:cNvPr id="3" name="Graphiqu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18</xdr:row>
      <xdr:rowOff>9525</xdr:rowOff>
    </xdr:from>
    <xdr:to>
      <xdr:col>9</xdr:col>
      <xdr:colOff>742950</xdr:colOff>
      <xdr:row>24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28575</xdr:colOff>
      <xdr:row>0</xdr:row>
      <xdr:rowOff>47626</xdr:rowOff>
    </xdr:from>
    <xdr:to>
      <xdr:col>9</xdr:col>
      <xdr:colOff>581025</xdr:colOff>
      <xdr:row>1</xdr:row>
      <xdr:rowOff>57150</xdr:rowOff>
    </xdr:to>
    <xdr:sp macro="" textlink="">
      <xdr:nvSpPr>
        <xdr:cNvPr id="5" name="Rectangle à coins arrondis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4581525" y="47626"/>
          <a:ext cx="2076450" cy="2000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Update graphs with SHIFT F9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85725</xdr:rowOff>
    </xdr:from>
    <xdr:to>
      <xdr:col>8</xdr:col>
      <xdr:colOff>515325</xdr:colOff>
      <xdr:row>24</xdr:row>
      <xdr:rowOff>188325</xdr:rowOff>
    </xdr:to>
    <xdr:grpSp>
      <xdr:nvGrpSpPr>
        <xdr:cNvPr id="14" name="Groupe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323850" y="276225"/>
          <a:ext cx="5763600" cy="3531600"/>
          <a:chOff x="0" y="190500"/>
          <a:chExt cx="5762400" cy="3330210"/>
        </a:xfrm>
      </xdr:grpSpPr>
      <xdr:grpSp>
        <xdr:nvGrpSpPr>
          <xdr:cNvPr id="10" name="Groupe 9">
            <a:extLst>
              <a:ext uri="{FF2B5EF4-FFF2-40B4-BE49-F238E27FC236}">
                <a16:creationId xmlns="" xmlns:a16="http://schemas.microsoft.com/office/drawing/2014/main" id="{00000000-0008-0000-0400-00000A000000}"/>
              </a:ext>
            </a:extLst>
          </xdr:cNvPr>
          <xdr:cNvGrpSpPr/>
        </xdr:nvGrpSpPr>
        <xdr:grpSpPr>
          <a:xfrm>
            <a:off x="0" y="199482"/>
            <a:ext cx="2714400" cy="1624975"/>
            <a:chOff x="0" y="199482"/>
            <a:chExt cx="2714400" cy="1624975"/>
          </a:xfrm>
        </xdr:grpSpPr>
        <xdr:graphicFrame macro="">
          <xdr:nvGraphicFramePr>
            <xdr:cNvPr id="3" name="PAO_LTP">
              <a:extLst>
                <a:ext uri="{FF2B5EF4-FFF2-40B4-BE49-F238E27FC236}">
                  <a16:creationId xmlns="" xmlns:a16="http://schemas.microsoft.com/office/drawing/2014/main" id="{00000000-0008-0000-04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312457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$C$3">
          <xdr:nvSpPr>
            <xdr:cNvPr id="2" name="Rectangle à coins arrondis 1">
              <a:extLst>
                <a:ext uri="{FF2B5EF4-FFF2-40B4-BE49-F238E27FC236}">
                  <a16:creationId xmlns="" xmlns:a16="http://schemas.microsoft.com/office/drawing/2014/main" id="{00000000-0008-0000-0400-000002000000}"/>
                </a:ext>
              </a:extLst>
            </xdr:cNvPr>
            <xdr:cNvSpPr/>
          </xdr:nvSpPr>
          <xdr:spPr>
            <a:xfrm>
              <a:off x="527382" y="199482"/>
              <a:ext cx="1619865" cy="116494"/>
            </a:xfrm>
            <a:prstGeom prst="roundRect">
              <a:avLst/>
            </a:prstGeom>
            <a:ln w="6350">
              <a:solidFill>
                <a:srgbClr val="C0C0C0"/>
              </a:solidFill>
              <a:beve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F831DED9-BBEC-43E9-AD17-12E1D6F2E786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Revenue (MEUR)</a:t>
              </a:fld>
              <a:endParaRPr lang="en-US" sz="900" b="1" i="0" u="none" strike="noStrike">
                <a:solidFill>
                  <a:schemeClr val="bg1">
                    <a:lumMod val="50000"/>
                  </a:schemeClr>
                </a:solidFill>
                <a:latin typeface="Calibri"/>
              </a:endParaRPr>
            </a:p>
          </xdr:txBody>
        </xdr:sp>
      </xdr:grpSp>
      <xdr:grpSp>
        <xdr:nvGrpSpPr>
          <xdr:cNvPr id="11" name="Groupe 10">
            <a:extLst>
              <a:ext uri="{FF2B5EF4-FFF2-40B4-BE49-F238E27FC236}">
                <a16:creationId xmlns="" xmlns:a16="http://schemas.microsoft.com/office/drawing/2014/main" id="{00000000-0008-0000-0400-00000B000000}"/>
              </a:ext>
            </a:extLst>
          </xdr:cNvPr>
          <xdr:cNvGrpSpPr/>
        </xdr:nvGrpSpPr>
        <xdr:grpSpPr>
          <a:xfrm>
            <a:off x="3048000" y="190500"/>
            <a:ext cx="2714400" cy="1624756"/>
            <a:chOff x="3048000" y="190500"/>
            <a:chExt cx="2714400" cy="1624756"/>
          </a:xfrm>
        </xdr:grpSpPr>
        <xdr:graphicFrame macro="">
          <xdr:nvGraphicFramePr>
            <xdr:cNvPr id="5" name="CAFOP_LTP">
              <a:extLst>
                <a:ext uri="{FF2B5EF4-FFF2-40B4-BE49-F238E27FC236}">
                  <a16:creationId xmlns="" xmlns:a16="http://schemas.microsoft.com/office/drawing/2014/main" id="{00000000-0008-0000-0400-000005000000}"/>
                </a:ext>
              </a:extLst>
            </xdr:cNvPr>
            <xdr:cNvGraphicFramePr>
              <a:graphicFrameLocks/>
            </xdr:cNvGraphicFramePr>
          </xdr:nvGraphicFramePr>
          <xdr:xfrm>
            <a:off x="3048000" y="303256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$C$4">
          <xdr:nvSpPr>
            <xdr:cNvPr id="4" name="Rectangle à coins arrondis 3">
              <a:extLst>
                <a:ext uri="{FF2B5EF4-FFF2-40B4-BE49-F238E27FC236}">
                  <a16:creationId xmlns="" xmlns:a16="http://schemas.microsoft.com/office/drawing/2014/main" id="{00000000-0008-0000-0400-000004000000}"/>
                </a:ext>
              </a:extLst>
            </xdr:cNvPr>
            <xdr:cNvSpPr/>
          </xdr:nvSpPr>
          <xdr:spPr>
            <a:xfrm>
              <a:off x="3647261" y="190500"/>
              <a:ext cx="1620000" cy="114285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E5B294E2-BE61-45C0-85B3-D685F2737C12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CAFOP bef.  MF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grpSp>
        <xdr:nvGrpSpPr>
          <xdr:cNvPr id="12" name="Groupe 11">
            <a:extLst>
              <a:ext uri="{FF2B5EF4-FFF2-40B4-BE49-F238E27FC236}">
                <a16:creationId xmlns="" xmlns:a16="http://schemas.microsoft.com/office/drawing/2014/main" id="{00000000-0008-0000-0400-00000C000000}"/>
              </a:ext>
            </a:extLst>
          </xdr:cNvPr>
          <xdr:cNvGrpSpPr/>
        </xdr:nvGrpSpPr>
        <xdr:grpSpPr>
          <a:xfrm>
            <a:off x="0" y="1887036"/>
            <a:ext cx="2714400" cy="1633674"/>
            <a:chOff x="0" y="1887036"/>
            <a:chExt cx="2714400" cy="1633674"/>
          </a:xfrm>
        </xdr:grpSpPr>
        <xdr:graphicFrame macro="">
          <xdr:nvGraphicFramePr>
            <xdr:cNvPr id="7" name="CAPEX_LTP">
              <a:extLst>
                <a:ext uri="{FF2B5EF4-FFF2-40B4-BE49-F238E27FC236}">
                  <a16:creationId xmlns="" xmlns:a16="http://schemas.microsoft.com/office/drawing/2014/main" id="{00000000-0008-0000-0400-000007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2008710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$C$5">
          <xdr:nvSpPr>
            <xdr:cNvPr id="6" name="Rectangle à coins arrondis 5">
              <a:extLst>
                <a:ext uri="{FF2B5EF4-FFF2-40B4-BE49-F238E27FC236}">
                  <a16:creationId xmlns="" xmlns:a16="http://schemas.microsoft.com/office/drawing/2014/main" id="{00000000-0008-0000-0400-000006000000}"/>
                </a:ext>
              </a:extLst>
            </xdr:cNvPr>
            <xdr:cNvSpPr/>
          </xdr:nvSpPr>
          <xdr:spPr>
            <a:xfrm>
              <a:off x="553505" y="1887036"/>
              <a:ext cx="1620000" cy="116751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EA787DDD-FAA7-4432-A9D3-9816ED9AD4A2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Net Industrial CAPEX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grpSp>
        <xdr:nvGrpSpPr>
          <xdr:cNvPr id="13" name="Groupe 12">
            <a:extLst>
              <a:ext uri="{FF2B5EF4-FFF2-40B4-BE49-F238E27FC236}">
                <a16:creationId xmlns="" xmlns:a16="http://schemas.microsoft.com/office/drawing/2014/main" id="{00000000-0008-0000-0400-00000D000000}"/>
              </a:ext>
            </a:extLst>
          </xdr:cNvPr>
          <xdr:cNvGrpSpPr/>
        </xdr:nvGrpSpPr>
        <xdr:grpSpPr>
          <a:xfrm>
            <a:off x="3048000" y="1887036"/>
            <a:ext cx="2714400" cy="1633672"/>
            <a:chOff x="3048000" y="1887036"/>
            <a:chExt cx="2714400" cy="1633672"/>
          </a:xfrm>
        </xdr:grpSpPr>
        <xdr:graphicFrame macro="">
          <xdr:nvGraphicFramePr>
            <xdr:cNvPr id="9" name="OP_FCF_LTP">
              <a:extLst>
                <a:ext uri="{FF2B5EF4-FFF2-40B4-BE49-F238E27FC236}">
                  <a16:creationId xmlns="" xmlns:a16="http://schemas.microsoft.com/office/drawing/2014/main" id="{00000000-0008-0000-0400-000009000000}"/>
                </a:ext>
              </a:extLst>
            </xdr:cNvPr>
            <xdr:cNvGraphicFramePr>
              <a:graphicFrameLocks/>
            </xdr:cNvGraphicFramePr>
          </xdr:nvGraphicFramePr>
          <xdr:xfrm>
            <a:off x="3048000" y="2008708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sp macro="" textlink="$C$6">
          <xdr:nvSpPr>
            <xdr:cNvPr id="8" name="Rectangle à coins arrondis 7">
              <a:extLst>
                <a:ext uri="{FF2B5EF4-FFF2-40B4-BE49-F238E27FC236}">
                  <a16:creationId xmlns=""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3585646" y="1887036"/>
              <a:ext cx="1620000" cy="116751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0446A4E4-A824-4AD0-BEAC-D0466507843B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Operating FCF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</xdr:row>
      <xdr:rowOff>104775</xdr:rowOff>
    </xdr:from>
    <xdr:to>
      <xdr:col>8</xdr:col>
      <xdr:colOff>437925</xdr:colOff>
      <xdr:row>26</xdr:row>
      <xdr:rowOff>16875</xdr:rowOff>
    </xdr:to>
    <xdr:grpSp>
      <xdr:nvGrpSpPr>
        <xdr:cNvPr id="14" name="Groupe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285750" y="676275"/>
          <a:ext cx="5762400" cy="3531600"/>
          <a:chOff x="762000" y="188886"/>
          <a:chExt cx="5762400" cy="3352507"/>
        </a:xfrm>
      </xdr:grpSpPr>
      <xdr:grpSp>
        <xdr:nvGrpSpPr>
          <xdr:cNvPr id="8" name="Groupe 7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GrpSpPr/>
        </xdr:nvGrpSpPr>
        <xdr:grpSpPr>
          <a:xfrm>
            <a:off x="762000" y="188886"/>
            <a:ext cx="2714400" cy="1628965"/>
            <a:chOff x="762000" y="198411"/>
            <a:chExt cx="2714400" cy="1628965"/>
          </a:xfrm>
        </xdr:grpSpPr>
        <xdr:sp macro="" textlink="$C$3">
          <xdr:nvSpPr>
            <xdr:cNvPr id="2" name="Rectangle à coins arrondis 1">
              <a:extLst>
                <a:ext uri="{FF2B5EF4-FFF2-40B4-BE49-F238E27FC236}">
                  <a16:creationId xmlns="" xmlns:a16="http://schemas.microsoft.com/office/drawing/2014/main" id="{00000000-0008-0000-0500-000002000000}"/>
                </a:ext>
              </a:extLst>
            </xdr:cNvPr>
            <xdr:cNvSpPr/>
          </xdr:nvSpPr>
          <xdr:spPr>
            <a:xfrm>
              <a:off x="1317625" y="198411"/>
              <a:ext cx="1620000" cy="117460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AA1809DC-FF95-415F-AB10-AD7B5FD3202D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EBIT bef.  MF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graphicFrame macro="">
          <xdr:nvGraphicFramePr>
            <xdr:cNvPr id="3" name="RESOP_LTP">
              <a:extLst>
                <a:ext uri="{FF2B5EF4-FFF2-40B4-BE49-F238E27FC236}">
                  <a16:creationId xmlns="" xmlns:a16="http://schemas.microsoft.com/office/drawing/2014/main" id="{00000000-0008-0000-05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762000" y="315376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</xdr:grpSp>
      <xdr:grpSp>
        <xdr:nvGrpSpPr>
          <xdr:cNvPr id="9" name="Groupe 8">
            <a:extLst>
              <a:ext uri="{FF2B5EF4-FFF2-40B4-BE49-F238E27FC236}">
                <a16:creationId xmlns="" xmlns:a16="http://schemas.microsoft.com/office/drawing/2014/main" id="{00000000-0008-0000-0500-000009000000}"/>
              </a:ext>
            </a:extLst>
          </xdr:cNvPr>
          <xdr:cNvGrpSpPr/>
        </xdr:nvGrpSpPr>
        <xdr:grpSpPr>
          <a:xfrm>
            <a:off x="3810000" y="188887"/>
            <a:ext cx="2714400" cy="1630023"/>
            <a:chOff x="3800475" y="188887"/>
            <a:chExt cx="2714400" cy="1630023"/>
          </a:xfrm>
        </xdr:grpSpPr>
        <xdr:sp macro="" textlink="$C$4">
          <xdr:nvSpPr>
            <xdr:cNvPr id="4" name="Rectangle à coins arrondis 3">
              <a:extLst>
                <a:ext uri="{FF2B5EF4-FFF2-40B4-BE49-F238E27FC236}">
                  <a16:creationId xmlns="" xmlns:a16="http://schemas.microsoft.com/office/drawing/2014/main" id="{00000000-0008-0000-0500-000004000000}"/>
                </a:ext>
              </a:extLst>
            </xdr:cNvPr>
            <xdr:cNvSpPr/>
          </xdr:nvSpPr>
          <xdr:spPr>
            <a:xfrm>
              <a:off x="4181475" y="188887"/>
              <a:ext cx="2009775" cy="117460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8C9E6A8C-7CED-49BE-84AB-6AE340DEFC98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Net Income Group Share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graphicFrame macro="">
          <xdr:nvGraphicFramePr>
            <xdr:cNvPr id="5" name="RNPG_LTP">
              <a:extLst>
                <a:ext uri="{FF2B5EF4-FFF2-40B4-BE49-F238E27FC236}">
                  <a16:creationId xmlns="" xmlns:a16="http://schemas.microsoft.com/office/drawing/2014/main" id="{00000000-0008-0000-0500-000005000000}"/>
                </a:ext>
              </a:extLst>
            </xdr:cNvPr>
            <xdr:cNvGraphicFramePr>
              <a:graphicFrameLocks/>
            </xdr:cNvGraphicFramePr>
          </xdr:nvGraphicFramePr>
          <xdr:xfrm>
            <a:off x="3800475" y="306910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xdr:grpSp>
      <xdr:grpSp>
        <xdr:nvGrpSpPr>
          <xdr:cNvPr id="10" name="Groupe 9">
            <a:extLst>
              <a:ext uri="{FF2B5EF4-FFF2-40B4-BE49-F238E27FC236}">
                <a16:creationId xmlns="" xmlns:a16="http://schemas.microsoft.com/office/drawing/2014/main" id="{00000000-0008-0000-0500-00000A000000}"/>
              </a:ext>
            </a:extLst>
          </xdr:cNvPr>
          <xdr:cNvGrpSpPr/>
        </xdr:nvGrpSpPr>
        <xdr:grpSpPr>
          <a:xfrm>
            <a:off x="762000" y="1915203"/>
            <a:ext cx="2714400" cy="1626190"/>
            <a:chOff x="762000" y="1903561"/>
            <a:chExt cx="2714400" cy="1626190"/>
          </a:xfrm>
        </xdr:grpSpPr>
        <xdr:sp macro="" textlink="$C$5">
          <xdr:nvSpPr>
            <xdr:cNvPr id="6" name="Rectangle à coins arrondis 5">
              <a:extLst>
                <a:ext uri="{FF2B5EF4-FFF2-40B4-BE49-F238E27FC236}">
                  <a16:creationId xmlns=""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1273177" y="1903561"/>
              <a:ext cx="1620000" cy="117460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D11912E3-3038-4443-AA5B-4230A6AC432E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CAPEM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graphicFrame macro="">
          <xdr:nvGraphicFramePr>
            <xdr:cNvPr id="7" name="CAP_EMP_LTP">
              <a:extLst>
                <a:ext uri="{FF2B5EF4-FFF2-40B4-BE49-F238E27FC236}">
                  <a16:creationId xmlns="" xmlns:a16="http://schemas.microsoft.com/office/drawing/2014/main" id="{00000000-0008-0000-0500-000007000000}"/>
                </a:ext>
              </a:extLst>
            </xdr:cNvPr>
            <xdr:cNvGraphicFramePr>
              <a:graphicFrameLocks/>
            </xdr:cNvGraphicFramePr>
          </xdr:nvGraphicFramePr>
          <xdr:xfrm>
            <a:off x="762000" y="2017751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</xdr:grpSp>
      <xdr:grpSp>
        <xdr:nvGrpSpPr>
          <xdr:cNvPr id="13" name="Groupe 12">
            <a:extLst>
              <a:ext uri="{FF2B5EF4-FFF2-40B4-BE49-F238E27FC236}">
                <a16:creationId xmlns="" xmlns:a16="http://schemas.microsoft.com/office/drawing/2014/main" id="{00000000-0008-0000-0500-00000D000000}"/>
              </a:ext>
            </a:extLst>
          </xdr:cNvPr>
          <xdr:cNvGrpSpPr/>
        </xdr:nvGrpSpPr>
        <xdr:grpSpPr>
          <a:xfrm>
            <a:off x="3810000" y="1912801"/>
            <a:ext cx="2714400" cy="1628588"/>
            <a:chOff x="3810000" y="1912801"/>
            <a:chExt cx="2714400" cy="1628588"/>
          </a:xfrm>
        </xdr:grpSpPr>
        <xdr:sp macro="" textlink="$C$6">
          <xdr:nvSpPr>
            <xdr:cNvPr id="11" name="Rectangle à coins arrondis 10">
              <a:extLst>
                <a:ext uri="{FF2B5EF4-FFF2-40B4-BE49-F238E27FC236}">
                  <a16:creationId xmlns="" xmlns:a16="http://schemas.microsoft.com/office/drawing/2014/main" id="{00000000-0008-0000-0500-00000B000000}"/>
                </a:ext>
              </a:extLst>
            </xdr:cNvPr>
            <xdr:cNvSpPr/>
          </xdr:nvSpPr>
          <xdr:spPr>
            <a:xfrm>
              <a:off x="4377268" y="1912801"/>
              <a:ext cx="1620000" cy="117460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D9B9509E-A76A-4E5C-AA78-4DBF28BF3743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NFD (MEUR)</a:t>
              </a:fld>
              <a:endParaRPr lang="fr-FR" sz="900" b="1" baseline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graphicFrame macro="">
          <xdr:nvGraphicFramePr>
            <xdr:cNvPr id="12" name="EFN_LTP">
              <a:extLst>
                <a:ext uri="{FF2B5EF4-FFF2-40B4-BE49-F238E27FC236}">
                  <a16:creationId xmlns="" xmlns:a16="http://schemas.microsoft.com/office/drawing/2014/main" id="{00000000-0008-0000-0500-00000C000000}"/>
                </a:ext>
              </a:extLst>
            </xdr:cNvPr>
            <xdr:cNvGraphicFramePr>
              <a:graphicFrameLocks/>
            </xdr:cNvGraphicFramePr>
          </xdr:nvGraphicFramePr>
          <xdr:xfrm>
            <a:off x="3810000" y="2029389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9525</xdr:rowOff>
    </xdr:from>
    <xdr:to>
      <xdr:col>3</xdr:col>
      <xdr:colOff>418875</xdr:colOff>
      <xdr:row>11</xdr:row>
      <xdr:rowOff>109958</xdr:rowOff>
    </xdr:to>
    <xdr:grpSp>
      <xdr:nvGrpSpPr>
        <xdr:cNvPr id="6" name="Groupe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247650" y="390525"/>
          <a:ext cx="2714400" cy="1624433"/>
          <a:chOff x="762000" y="200025"/>
          <a:chExt cx="2714400" cy="1624433"/>
        </a:xfrm>
      </xdr:grpSpPr>
      <xdr:sp macro="" textlink="$B$3">
        <xdr:nvSpPr>
          <xdr:cNvPr id="4" name="Rectangle à coins arrondis 3">
            <a:extLst>
              <a:ext uri="{FF2B5EF4-FFF2-40B4-BE49-F238E27FC236}">
                <a16:creationId xmlns=""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302972" y="200025"/>
            <a:ext cx="1619865" cy="116494"/>
          </a:xfrm>
          <a:prstGeom prst="roundRect">
            <a:avLst/>
          </a:prstGeom>
          <a:ln w="6350">
            <a:solidFill>
              <a:srgbClr val="C0C0C0"/>
            </a:solidFill>
            <a:beve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5986CBBB-2531-4574-BC1D-227300DF3C80}" type="TxLink">
              <a:rPr lang="en-US" sz="900" b="1" i="0" u="none" strike="noStrike">
                <a:solidFill>
                  <a:schemeClr val="bg1">
                    <a:lumMod val="50000"/>
                  </a:schemeClr>
                </a:solidFill>
                <a:latin typeface="Calibri"/>
              </a:rPr>
              <a:pPr algn="ctr"/>
              <a:t>Revenue (MEUR)</a:t>
            </a:fld>
            <a:endParaRPr lang="fr-FR" sz="900" b="1">
              <a:solidFill>
                <a:schemeClr val="bg1">
                  <a:lumMod val="50000"/>
                </a:schemeClr>
              </a:solidFill>
            </a:endParaRPr>
          </a:p>
        </xdr:txBody>
      </xdr:sp>
      <xdr:graphicFrame macro="">
        <xdr:nvGraphicFramePr>
          <xdr:cNvPr id="5" name="PAO_ZGP">
            <a:extLst>
              <a:ext uri="{FF2B5EF4-FFF2-40B4-BE49-F238E27FC236}">
                <a16:creationId xmlns="" xmlns:a16="http://schemas.microsoft.com/office/drawing/2014/main" id="{00000000-0008-0000-0700-000005000000}"/>
              </a:ext>
            </a:extLst>
          </xdr:cNvPr>
          <xdr:cNvGraphicFramePr>
            <a:graphicFrameLocks/>
          </xdr:cNvGraphicFramePr>
        </xdr:nvGraphicFramePr>
        <xdr:xfrm>
          <a:off x="762000" y="312458"/>
          <a:ext cx="2714400" cy="151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4029075" y="638174"/>
    <xdr:ext cx="2714400" cy="1616400"/>
    <xdr:graphicFrame macro="">
      <xdr:nvGraphicFramePr>
        <xdr:cNvPr id="22" name="VAR_CAFOP_ZGP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</xdr:col>
      <xdr:colOff>38100</xdr:colOff>
      <xdr:row>4</xdr:row>
      <xdr:rowOff>114300</xdr:rowOff>
    </xdr:from>
    <xdr:to>
      <xdr:col>4</xdr:col>
      <xdr:colOff>461625</xdr:colOff>
      <xdr:row>13</xdr:row>
      <xdr:rowOff>163800</xdr:rowOff>
    </xdr:to>
    <xdr:grpSp>
      <xdr:nvGrpSpPr>
        <xdr:cNvPr id="14" name="Groupe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pSpPr/>
      </xdr:nvGrpSpPr>
      <xdr:grpSpPr>
        <a:xfrm>
          <a:off x="800100" y="495300"/>
          <a:ext cx="2957175" cy="1764000"/>
          <a:chOff x="781050" y="390524"/>
          <a:chExt cx="2714400" cy="1633660"/>
        </a:xfrm>
      </xdr:grpSpPr>
      <xdr:graphicFrame macro="">
        <xdr:nvGraphicFramePr>
          <xdr:cNvPr id="3" name="CAFOP_ZGP">
            <a:extLst>
              <a:ext uri="{FF2B5EF4-FFF2-40B4-BE49-F238E27FC236}">
                <a16:creationId xmlns="" xmlns:a16="http://schemas.microsoft.com/office/drawing/2014/main" id="{00000000-0008-0000-0900-000003000000}"/>
              </a:ext>
            </a:extLst>
          </xdr:cNvPr>
          <xdr:cNvGraphicFramePr>
            <a:graphicFrameLocks/>
          </xdr:cNvGraphicFramePr>
        </xdr:nvGraphicFramePr>
        <xdr:xfrm>
          <a:off x="781050" y="512184"/>
          <a:ext cx="2714400" cy="151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3">
        <xdr:nvSpPr>
          <xdr:cNvPr id="2" name="Rectangle à coins arrondis 1">
            <a:extLst>
              <a:ext uri="{FF2B5EF4-FFF2-40B4-BE49-F238E27FC236}">
                <a16:creationId xmlns=""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1358465" y="390524"/>
            <a:ext cx="1620000" cy="122400"/>
          </a:xfrm>
          <a:prstGeom prst="roundRect">
            <a:avLst/>
          </a:prstGeom>
          <a:ln w="6350">
            <a:solidFill>
              <a:srgbClr val="C0C0C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1F0CA13A-C5FF-4AE3-BFC3-A6209E89E9C4}" type="TxLink">
              <a:rPr lang="en-US" sz="900" b="1" i="0" u="none" strike="noStrike">
                <a:solidFill>
                  <a:srgbClr val="5F5F5F"/>
                </a:solidFill>
                <a:latin typeface="Calibri"/>
              </a:rPr>
              <a:pPr algn="ctr"/>
              <a:t>EBIT bef.  MF (MEUR)</a:t>
            </a:fld>
            <a:endParaRPr lang="fr-FR" sz="900" b="1">
              <a:solidFill>
                <a:srgbClr val="5F5F5F"/>
              </a:solidFill>
            </a:endParaRPr>
          </a:p>
        </xdr:txBody>
      </xdr:sp>
    </xdr:grpSp>
    <xdr:clientData/>
  </xdr:twoCellAnchor>
  <xdr:twoCellAnchor>
    <xdr:from>
      <xdr:col>5</xdr:col>
      <xdr:colOff>409574</xdr:colOff>
      <xdr:row>4</xdr:row>
      <xdr:rowOff>95250</xdr:rowOff>
    </xdr:from>
    <xdr:to>
      <xdr:col>9</xdr:col>
      <xdr:colOff>419099</xdr:colOff>
      <xdr:row>5</xdr:row>
      <xdr:rowOff>28575</xdr:rowOff>
    </xdr:to>
    <xdr:sp macro="" textlink="$B$4">
      <xdr:nvSpPr>
        <xdr:cNvPr id="23" name="Rectangle à coins arrondis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4219574" y="476250"/>
          <a:ext cx="2066925" cy="123825"/>
        </a:xfrm>
        <a:prstGeom prst="roundRect">
          <a:avLst/>
        </a:prstGeom>
        <a:ln w="6350">
          <a:solidFill>
            <a:srgbClr val="C0C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6E9A4A68-2A2B-45ED-80A9-0FEDD1DCE797}" type="TxLink">
            <a:rPr lang="en-US" sz="900" b="1" i="0" u="none" strike="noStrike">
              <a:solidFill>
                <a:srgbClr val="7F7F7F"/>
              </a:solidFill>
              <a:latin typeface="Calibri"/>
            </a:rPr>
            <a:pPr algn="ctr"/>
            <a:t>EBIT evolution Year On Year (MEUR)</a:t>
          </a:fld>
          <a:endParaRPr lang="fr-FR" sz="9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84666</xdr:colOff>
      <xdr:row>2</xdr:row>
      <xdr:rowOff>126999</xdr:rowOff>
    </xdr:from>
    <xdr:to>
      <xdr:col>14</xdr:col>
      <xdr:colOff>709084</xdr:colOff>
      <xdr:row>17</xdr:row>
      <xdr:rowOff>127000</xdr:rowOff>
    </xdr:to>
    <xdr:grpSp>
      <xdr:nvGrpSpPr>
        <xdr:cNvPr id="2" name="Groupe 1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7683499" y="507999"/>
          <a:ext cx="4434418" cy="3259668"/>
          <a:chOff x="761999" y="132348"/>
          <a:chExt cx="4400551" cy="2763252"/>
        </a:xfrm>
      </xdr:grpSpPr>
      <xdr:sp macro="" textlink="$A$1">
        <xdr:nvSpPr>
          <xdr:cNvPr id="3" name="Rectangle à coins arrondis 2">
            <a:extLst>
              <a:ext uri="{FF2B5EF4-FFF2-40B4-BE49-F238E27FC236}">
                <a16:creationId xmlns="" xmlns:a16="http://schemas.microsoft.com/office/drawing/2014/main" id="{00000000-0008-0000-0B00-000002000000}"/>
              </a:ext>
            </a:extLst>
          </xdr:cNvPr>
          <xdr:cNvSpPr/>
        </xdr:nvSpPr>
        <xdr:spPr>
          <a:xfrm>
            <a:off x="1244083" y="132348"/>
            <a:ext cx="3555875" cy="326459"/>
          </a:xfrm>
          <a:prstGeom prst="roundRect">
            <a:avLst/>
          </a:prstGeom>
          <a:ln w="6350">
            <a:solidFill>
              <a:srgbClr val="C0C0C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fld id="{736BFEDA-1E88-4E1C-8EC0-0D8ADDF88892}" type="TxLink">
              <a:rPr lang="en-US" sz="1000" b="1" i="0" u="none" strike="noStrike">
                <a:solidFill>
                  <a:srgbClr val="000000"/>
                </a:solidFill>
                <a:latin typeface="Calibri"/>
              </a:rPr>
              <a:pPr algn="ctr"/>
              <a:t>Zero Growth Plan - Investments - Net industrial capex</a:t>
            </a:fld>
            <a:endParaRPr lang="fr-FR" sz="700" b="1">
              <a:solidFill>
                <a:schemeClr val="bg1">
                  <a:lumMod val="50000"/>
                </a:schemeClr>
              </a:solidFill>
            </a:endParaRPr>
          </a:p>
        </xdr:txBody>
      </xdr:sp>
      <xdr:graphicFrame macro="">
        <xdr:nvGraphicFramePr>
          <xdr:cNvPr id="4" name="CAPEX_EQUIV_ZGP">
            <a:extLst>
              <a:ext uri="{FF2B5EF4-FFF2-40B4-BE49-F238E27FC236}">
                <a16:creationId xmlns="" xmlns:a16="http://schemas.microsoft.com/office/drawing/2014/main" id="{00000000-0008-0000-0B00-000003000000}"/>
              </a:ext>
            </a:extLst>
          </xdr:cNvPr>
          <xdr:cNvGraphicFramePr>
            <a:graphicFrameLocks/>
          </xdr:cNvGraphicFramePr>
        </xdr:nvGraphicFramePr>
        <xdr:xfrm>
          <a:off x="761999" y="303682"/>
          <a:ext cx="4400551" cy="25919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5</xdr:row>
      <xdr:rowOff>123824</xdr:rowOff>
    </xdr:from>
    <xdr:to>
      <xdr:col>4</xdr:col>
      <xdr:colOff>752475</xdr:colOff>
      <xdr:row>32</xdr:row>
      <xdr:rowOff>135524</xdr:rowOff>
    </xdr:to>
    <xdr:grpSp>
      <xdr:nvGrpSpPr>
        <xdr:cNvPr id="11" name="Groupe 10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GrpSpPr/>
      </xdr:nvGrpSpPr>
      <xdr:grpSpPr>
        <a:xfrm>
          <a:off x="180974" y="314324"/>
          <a:ext cx="3048001" cy="5155200"/>
          <a:chOff x="761999" y="123825"/>
          <a:chExt cx="3048001" cy="5131493"/>
        </a:xfrm>
      </xdr:grpSpPr>
      <xdr:grpSp>
        <xdr:nvGrpSpPr>
          <xdr:cNvPr id="8" name="Groupe 7">
            <a:extLst>
              <a:ext uri="{FF2B5EF4-FFF2-40B4-BE49-F238E27FC236}">
                <a16:creationId xmlns="" xmlns:a16="http://schemas.microsoft.com/office/drawing/2014/main" id="{00000000-0008-0000-0E00-000008000000}"/>
              </a:ext>
            </a:extLst>
          </xdr:cNvPr>
          <xdr:cNvGrpSpPr/>
        </xdr:nvGrpSpPr>
        <xdr:grpSpPr>
          <a:xfrm>
            <a:off x="762000" y="123825"/>
            <a:ext cx="3048000" cy="1633378"/>
            <a:chOff x="762000" y="123825"/>
            <a:chExt cx="3048000" cy="1633378"/>
          </a:xfrm>
        </xdr:grpSpPr>
        <xdr:sp macro="" textlink="$C$2">
          <xdr:nvSpPr>
            <xdr:cNvPr id="2" name="Rectangle à coins arrondis 1">
              <a:extLst>
                <a:ext uri="{FF2B5EF4-FFF2-40B4-BE49-F238E27FC236}">
                  <a16:creationId xmlns="" xmlns:a16="http://schemas.microsoft.com/office/drawing/2014/main" id="{00000000-0008-0000-0E00-000002000000}"/>
                </a:ext>
              </a:extLst>
            </xdr:cNvPr>
            <xdr:cNvSpPr/>
          </xdr:nvSpPr>
          <xdr:spPr>
            <a:xfrm>
              <a:off x="1494966" y="123825"/>
              <a:ext cx="1619865" cy="122400"/>
            </a:xfrm>
            <a:prstGeom prst="roundRect">
              <a:avLst/>
            </a:prstGeom>
            <a:ln w="6350">
              <a:solidFill>
                <a:srgbClr val="C0C0C0"/>
              </a:solidFill>
              <a:beve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F88C30D0-9C48-4ACB-9E3F-07C26CE1876C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Revenue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graphicFrame macro="">
          <xdr:nvGraphicFramePr>
            <xdr:cNvPr id="3" name="PAO_OG">
              <a:extLst>
                <a:ext uri="{FF2B5EF4-FFF2-40B4-BE49-F238E27FC236}">
                  <a16:creationId xmlns="" xmlns:a16="http://schemas.microsoft.com/office/drawing/2014/main" id="{00000000-0008-0000-0E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762000" y="246591"/>
            <a:ext cx="3048000" cy="151061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</xdr:grpSp>
      <xdr:grpSp>
        <xdr:nvGrpSpPr>
          <xdr:cNvPr id="9" name="Groupe 8">
            <a:extLst>
              <a:ext uri="{FF2B5EF4-FFF2-40B4-BE49-F238E27FC236}">
                <a16:creationId xmlns="" xmlns:a16="http://schemas.microsoft.com/office/drawing/2014/main" id="{00000000-0008-0000-0E00-000009000000}"/>
              </a:ext>
            </a:extLst>
          </xdr:cNvPr>
          <xdr:cNvGrpSpPr/>
        </xdr:nvGrpSpPr>
        <xdr:grpSpPr>
          <a:xfrm>
            <a:off x="761999" y="1857374"/>
            <a:ext cx="3038476" cy="1635839"/>
            <a:chOff x="761999" y="1857374"/>
            <a:chExt cx="3038476" cy="1635839"/>
          </a:xfrm>
        </xdr:grpSpPr>
        <xdr:sp macro="" textlink="$C$3">
          <xdr:nvSpPr>
            <xdr:cNvPr id="4" name="Rectangle à coins arrondis 3">
              <a:extLst>
                <a:ext uri="{FF2B5EF4-FFF2-40B4-BE49-F238E27FC236}">
                  <a16:creationId xmlns="" xmlns:a16="http://schemas.microsoft.com/office/drawing/2014/main" id="{00000000-0008-0000-0E00-000004000000}"/>
                </a:ext>
              </a:extLst>
            </xdr:cNvPr>
            <xdr:cNvSpPr/>
          </xdr:nvSpPr>
          <xdr:spPr>
            <a:xfrm>
              <a:off x="1485901" y="1857374"/>
              <a:ext cx="1620000" cy="122400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A4646C9B-098A-44FE-A874-A36B48087F83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EBIT bef.  MF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graphicFrame macro="">
          <xdr:nvGraphicFramePr>
            <xdr:cNvPr id="5" name="CAFOP_OG">
              <a:extLst>
                <a:ext uri="{FF2B5EF4-FFF2-40B4-BE49-F238E27FC236}">
                  <a16:creationId xmlns="" xmlns:a16="http://schemas.microsoft.com/office/drawing/2014/main" id="{00000000-0008-0000-0E00-000005000000}"/>
                </a:ext>
              </a:extLst>
            </xdr:cNvPr>
            <xdr:cNvGraphicFramePr>
              <a:graphicFrameLocks/>
            </xdr:cNvGraphicFramePr>
          </xdr:nvGraphicFramePr>
          <xdr:xfrm>
            <a:off x="761999" y="1981213"/>
            <a:ext cx="3038476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xdr:grpSp>
      <xdr:grpSp>
        <xdr:nvGrpSpPr>
          <xdr:cNvPr id="10" name="Groupe 9">
            <a:extLst>
              <a:ext uri="{FF2B5EF4-FFF2-40B4-BE49-F238E27FC236}">
                <a16:creationId xmlns="" xmlns:a16="http://schemas.microsoft.com/office/drawing/2014/main" id="{00000000-0008-0000-0E00-00000A000000}"/>
              </a:ext>
            </a:extLst>
          </xdr:cNvPr>
          <xdr:cNvGrpSpPr/>
        </xdr:nvGrpSpPr>
        <xdr:grpSpPr>
          <a:xfrm>
            <a:off x="761999" y="3619499"/>
            <a:ext cx="3038475" cy="1635819"/>
            <a:chOff x="761999" y="3619499"/>
            <a:chExt cx="3038475" cy="1635819"/>
          </a:xfrm>
        </xdr:grpSpPr>
        <xdr:sp macro="" textlink="$C$4">
          <xdr:nvSpPr>
            <xdr:cNvPr id="6" name="Rectangle à coins arrondis 5">
              <a:extLst>
                <a:ext uri="{FF2B5EF4-FFF2-40B4-BE49-F238E27FC236}">
                  <a16:creationId xmlns="" xmlns:a16="http://schemas.microsoft.com/office/drawing/2014/main" id="{00000000-0008-0000-0E00-000006000000}"/>
                </a:ext>
              </a:extLst>
            </xdr:cNvPr>
            <xdr:cNvSpPr/>
          </xdr:nvSpPr>
          <xdr:spPr>
            <a:xfrm>
              <a:off x="1466851" y="3619499"/>
              <a:ext cx="1620000" cy="122400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F66FFB1C-66CC-4C29-A120-39DE157D8FDA}" type="TxLink">
                <a:rPr lang="en-US" sz="900" b="1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</a:rPr>
                <a:pPr algn="ctr"/>
                <a:t>Net Industrial CAPEX (MEUR)</a:t>
              </a:fld>
              <a:endParaRPr lang="fr-FR" sz="9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graphicFrame macro="">
          <xdr:nvGraphicFramePr>
            <xdr:cNvPr id="7" name="CAPEX_OG">
              <a:extLst>
                <a:ext uri="{FF2B5EF4-FFF2-40B4-BE49-F238E27FC236}">
                  <a16:creationId xmlns="" xmlns:a16="http://schemas.microsoft.com/office/drawing/2014/main" id="{00000000-0008-0000-0E00-000007000000}"/>
                </a:ext>
              </a:extLst>
            </xdr:cNvPr>
            <xdr:cNvGraphicFramePr>
              <a:graphicFrameLocks/>
            </xdr:cNvGraphicFramePr>
          </xdr:nvGraphicFramePr>
          <xdr:xfrm>
            <a:off x="761999" y="3743318"/>
            <a:ext cx="3038475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84666</xdr:colOff>
      <xdr:row>2</xdr:row>
      <xdr:rowOff>127000</xdr:rowOff>
    </xdr:from>
    <xdr:to>
      <xdr:col>13</xdr:col>
      <xdr:colOff>427567</xdr:colOff>
      <xdr:row>14</xdr:row>
      <xdr:rowOff>169335</xdr:rowOff>
    </xdr:to>
    <xdr:grpSp>
      <xdr:nvGrpSpPr>
        <xdr:cNvPr id="2" name="Groupe 1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7683499" y="508000"/>
          <a:ext cx="3390901" cy="2698752"/>
          <a:chOff x="761999" y="132349"/>
          <a:chExt cx="4400551" cy="2763251"/>
        </a:xfrm>
      </xdr:grpSpPr>
      <xdr:sp macro="" textlink="$A$1">
        <xdr:nvSpPr>
          <xdr:cNvPr id="3" name="Rectangle à coins arrondis 2">
            <a:extLst>
              <a:ext uri="{FF2B5EF4-FFF2-40B4-BE49-F238E27FC236}">
                <a16:creationId xmlns="" xmlns:a16="http://schemas.microsoft.com/office/drawing/2014/main" id="{00000000-0008-0000-0B00-000002000000}"/>
              </a:ext>
            </a:extLst>
          </xdr:cNvPr>
          <xdr:cNvSpPr/>
        </xdr:nvSpPr>
        <xdr:spPr>
          <a:xfrm>
            <a:off x="1244083" y="132349"/>
            <a:ext cx="3448745" cy="217114"/>
          </a:xfrm>
          <a:prstGeom prst="roundRect">
            <a:avLst/>
          </a:prstGeom>
          <a:ln w="6350">
            <a:solidFill>
              <a:srgbClr val="C0C0C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799AC0E4-ADFA-4074-AF85-652F931DFF24}" type="TxLink">
              <a:rPr lang="en-US" sz="900" b="1" i="0" u="none" strike="noStrike">
                <a:solidFill>
                  <a:srgbClr val="000000"/>
                </a:solidFill>
                <a:latin typeface="Calibri"/>
              </a:rPr>
              <a:pPr algn="ctr"/>
              <a:t>Organic growth - Investments - Net industrial capex</a:t>
            </a:fld>
            <a:endParaRPr lang="fr-FR" sz="600" b="1">
              <a:solidFill>
                <a:schemeClr val="bg1">
                  <a:lumMod val="50000"/>
                </a:schemeClr>
              </a:solidFill>
            </a:endParaRPr>
          </a:p>
        </xdr:txBody>
      </xdr:sp>
      <xdr:graphicFrame macro="">
        <xdr:nvGraphicFramePr>
          <xdr:cNvPr id="4" name="CAPEX_EQUIV_ZGP">
            <a:extLst>
              <a:ext uri="{FF2B5EF4-FFF2-40B4-BE49-F238E27FC236}">
                <a16:creationId xmlns="" xmlns:a16="http://schemas.microsoft.com/office/drawing/2014/main" id="{00000000-0008-0000-0B00-000003000000}"/>
              </a:ext>
            </a:extLst>
          </xdr:cNvPr>
          <xdr:cNvGraphicFramePr>
            <a:graphicFrameLocks/>
          </xdr:cNvGraphicFramePr>
        </xdr:nvGraphicFramePr>
        <xdr:xfrm>
          <a:off x="761999" y="303682"/>
          <a:ext cx="4400551" cy="25919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171448</xdr:rowOff>
    </xdr:from>
    <xdr:to>
      <xdr:col>5</xdr:col>
      <xdr:colOff>229800</xdr:colOff>
      <xdr:row>31</xdr:row>
      <xdr:rowOff>183148</xdr:rowOff>
    </xdr:to>
    <xdr:grpSp>
      <xdr:nvGrpSpPr>
        <xdr:cNvPr id="10" name="Groupe 9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190500" y="361948"/>
          <a:ext cx="3049200" cy="5155200"/>
          <a:chOff x="714375" y="361653"/>
          <a:chExt cx="2762025" cy="5168854"/>
        </a:xfrm>
      </xdr:grpSpPr>
      <xdr:grpSp>
        <xdr:nvGrpSpPr>
          <xdr:cNvPr id="8" name="Groupe 7">
            <a:extLst>
              <a:ext uri="{FF2B5EF4-FFF2-40B4-BE49-F238E27FC236}">
                <a16:creationId xmlns="" xmlns:a16="http://schemas.microsoft.com/office/drawing/2014/main" id="{00000000-0008-0000-0F00-000008000000}"/>
              </a:ext>
            </a:extLst>
          </xdr:cNvPr>
          <xdr:cNvGrpSpPr/>
        </xdr:nvGrpSpPr>
        <xdr:grpSpPr>
          <a:xfrm>
            <a:off x="762000" y="361653"/>
            <a:ext cx="2714400" cy="1634734"/>
            <a:chOff x="762000" y="171153"/>
            <a:chExt cx="2714400" cy="1634734"/>
          </a:xfrm>
        </xdr:grpSpPr>
        <xdr:graphicFrame macro="">
          <xdr:nvGraphicFramePr>
            <xdr:cNvPr id="4" name="PAO_EG">
              <a:extLst>
                <a:ext uri="{FF2B5EF4-FFF2-40B4-BE49-F238E27FC236}">
                  <a16:creationId xmlns="" xmlns:a16="http://schemas.microsoft.com/office/drawing/2014/main" id="{00000000-0008-0000-0F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762000" y="295275"/>
            <a:ext cx="2714400" cy="151061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$C$2">
          <xdr:nvSpPr>
            <xdr:cNvPr id="5" name="Rectangle à coins arrondis 4">
              <a:extLst>
                <a:ext uri="{FF2B5EF4-FFF2-40B4-BE49-F238E27FC236}">
                  <a16:creationId xmlns="" xmlns:a16="http://schemas.microsoft.com/office/drawing/2014/main" id="{00000000-0008-0000-0F00-000005000000}"/>
                </a:ext>
              </a:extLst>
            </xdr:cNvPr>
            <xdr:cNvSpPr/>
          </xdr:nvSpPr>
          <xdr:spPr>
            <a:xfrm>
              <a:off x="1325769" y="171153"/>
              <a:ext cx="1619865" cy="124307"/>
            </a:xfrm>
            <a:prstGeom prst="roundRect">
              <a:avLst/>
            </a:prstGeom>
            <a:ln w="6350">
              <a:solidFill>
                <a:srgbClr val="C0C0C0"/>
              </a:solidFill>
              <a:beve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C7C7BC82-CEB3-430E-8206-B2A6C137F0E2}" type="TxLink">
                <a:rPr lang="en-US" sz="900" b="1" i="0" u="none" strike="noStrike">
                  <a:solidFill>
                    <a:srgbClr val="5F5F5F"/>
                  </a:solidFill>
                  <a:latin typeface="Calibri"/>
                </a:rPr>
                <a:pPr algn="ctr"/>
                <a:t>Revenue (MEUR)</a:t>
              </a:fld>
              <a:endParaRPr lang="fr-FR" sz="900" b="1">
                <a:solidFill>
                  <a:srgbClr val="5F5F5F"/>
                </a:solidFill>
              </a:endParaRPr>
            </a:p>
          </xdr:txBody>
        </xdr:sp>
      </xdr:grpSp>
      <xdr:grpSp>
        <xdr:nvGrpSpPr>
          <xdr:cNvPr id="9" name="Groupe 8">
            <a:extLst>
              <a:ext uri="{FF2B5EF4-FFF2-40B4-BE49-F238E27FC236}">
                <a16:creationId xmlns="" xmlns:a16="http://schemas.microsoft.com/office/drawing/2014/main" id="{00000000-0008-0000-0F00-000009000000}"/>
              </a:ext>
            </a:extLst>
          </xdr:cNvPr>
          <xdr:cNvGrpSpPr/>
        </xdr:nvGrpSpPr>
        <xdr:grpSpPr>
          <a:xfrm>
            <a:off x="762000" y="2132885"/>
            <a:ext cx="2714400" cy="1627015"/>
            <a:chOff x="762000" y="2037635"/>
            <a:chExt cx="2714400" cy="1627015"/>
          </a:xfrm>
        </xdr:grpSpPr>
        <xdr:graphicFrame macro="">
          <xdr:nvGraphicFramePr>
            <xdr:cNvPr id="6" name="CAFOP_EG">
              <a:extLst>
                <a:ext uri="{FF2B5EF4-FFF2-40B4-BE49-F238E27FC236}">
                  <a16:creationId xmlns="" xmlns:a16="http://schemas.microsoft.com/office/drawing/2014/main" id="{00000000-0008-0000-0F00-000006000000}"/>
                </a:ext>
              </a:extLst>
            </xdr:cNvPr>
            <xdr:cNvGraphicFramePr>
              <a:graphicFrameLocks/>
            </xdr:cNvGraphicFramePr>
          </xdr:nvGraphicFramePr>
          <xdr:xfrm>
            <a:off x="762000" y="2152650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$C$3">
          <xdr:nvSpPr>
            <xdr:cNvPr id="7" name="Rectangle à coins arrondis 6">
              <a:extLst>
                <a:ext uri="{FF2B5EF4-FFF2-40B4-BE49-F238E27FC236}">
                  <a16:creationId xmlns="" xmlns:a16="http://schemas.microsoft.com/office/drawing/2014/main" id="{00000000-0008-0000-0F00-000007000000}"/>
                </a:ext>
              </a:extLst>
            </xdr:cNvPr>
            <xdr:cNvSpPr/>
          </xdr:nvSpPr>
          <xdr:spPr>
            <a:xfrm>
              <a:off x="1295400" y="2037635"/>
              <a:ext cx="1620000" cy="124307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A08A9C42-E40F-426F-B5F0-CD0CBCA26ADF}" type="TxLink">
                <a:rPr lang="en-US" sz="900" b="1" i="0" u="none" strike="noStrike">
                  <a:solidFill>
                    <a:srgbClr val="5F5F5F"/>
                  </a:solidFill>
                  <a:latin typeface="Calibri"/>
                </a:rPr>
                <a:pPr algn="ctr"/>
                <a:t>EBIT bef.  MF (MEUR)</a:t>
              </a:fld>
              <a:endParaRPr lang="fr-FR" sz="900" b="1">
                <a:solidFill>
                  <a:srgbClr val="5F5F5F"/>
                </a:solidFill>
              </a:endParaRPr>
            </a:p>
          </xdr:txBody>
        </xdr:sp>
      </xdr:grpSp>
      <xdr:grpSp>
        <xdr:nvGrpSpPr>
          <xdr:cNvPr id="2" name="Groupe 1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GrpSpPr/>
        </xdr:nvGrpSpPr>
        <xdr:grpSpPr>
          <a:xfrm>
            <a:off x="714375" y="3894097"/>
            <a:ext cx="2714400" cy="1636410"/>
            <a:chOff x="714375" y="3894097"/>
            <a:chExt cx="2714400" cy="1636410"/>
          </a:xfrm>
        </xdr:grpSpPr>
        <xdr:graphicFrame macro="">
          <xdr:nvGraphicFramePr>
            <xdr:cNvPr id="13" name="CAFOP_EG">
              <a:extLst>
                <a:ext uri="{FF2B5EF4-FFF2-40B4-BE49-F238E27FC236}">
                  <a16:creationId xmlns="" xmlns:a16="http://schemas.microsoft.com/office/drawing/2014/main" id="{00000000-0008-0000-0F00-00000D000000}"/>
                </a:ext>
              </a:extLst>
            </xdr:cNvPr>
            <xdr:cNvGraphicFramePr>
              <a:graphicFrameLocks/>
            </xdr:cNvGraphicFramePr>
          </xdr:nvGraphicFramePr>
          <xdr:xfrm>
            <a:off x="714375" y="4018507"/>
            <a:ext cx="2714400" cy="151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$C$4">
          <xdr:nvSpPr>
            <xdr:cNvPr id="3" name="Rectangle à coins arrondis 2">
              <a:extLst>
                <a:ext uri="{FF2B5EF4-FFF2-40B4-BE49-F238E27FC236}">
                  <a16:creationId xmlns="" xmlns:a16="http://schemas.microsoft.com/office/drawing/2014/main" id="{00000000-0008-0000-0F00-000003000000}"/>
                </a:ext>
              </a:extLst>
            </xdr:cNvPr>
            <xdr:cNvSpPr/>
          </xdr:nvSpPr>
          <xdr:spPr>
            <a:xfrm>
              <a:off x="1151970" y="3894097"/>
              <a:ext cx="1885950" cy="124307"/>
            </a:xfrm>
            <a:prstGeom prst="roundRect">
              <a:avLst/>
            </a:prstGeom>
            <a:ln w="6350">
              <a:solidFill>
                <a:srgbClr val="C0C0C0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C5944DA5-4268-4A39-96C2-66748BE69B11}" type="TxLink">
                <a:rPr lang="en-US" sz="900" b="1" i="0" u="none" strike="noStrike">
                  <a:solidFill>
                    <a:srgbClr val="5F5F5F"/>
                  </a:solidFill>
                  <a:latin typeface="Calibri"/>
                </a:rPr>
                <a:pPr algn="ctr"/>
                <a:t>Financial CAPEX (MEUR)</a:t>
              </a:fld>
              <a:endParaRPr lang="fr-FR" sz="900" b="1">
                <a:solidFill>
                  <a:srgbClr val="5F5F5F"/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/>
      </a:spPr>
      <a:bodyPr vertOverflow="clip" horzOverflow="clip" rtlCol="0" anchor="ctr"/>
      <a:lstStyle>
        <a:defPPr algn="ctr">
          <a:defRPr sz="2400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pageSetUpPr fitToPage="1"/>
  </sheetPr>
  <dimension ref="A1:X45"/>
  <sheetViews>
    <sheetView showGridLines="0" zoomScale="70" zoomScaleNormal="70" workbookViewId="0">
      <selection activeCell="P27" sqref="P27"/>
    </sheetView>
  </sheetViews>
  <sheetFormatPr baseColWidth="10" defaultRowHeight="18" customHeight="1"/>
  <cols>
    <col min="1" max="1" width="2.28515625" style="96" customWidth="1"/>
    <col min="2" max="2" width="24.28515625" style="96" customWidth="1"/>
    <col min="3" max="3" width="31.7109375" style="98" customWidth="1"/>
    <col min="4" max="4" width="10" style="98" customWidth="1"/>
    <col min="5" max="5" width="30.5703125" style="98" bestFit="1" customWidth="1"/>
    <col min="6" max="8" width="24.42578125" style="98" customWidth="1"/>
    <col min="9" max="9" width="5.28515625" style="98" customWidth="1"/>
    <col min="10" max="10" width="15.42578125" style="98" customWidth="1"/>
    <col min="11" max="13" width="11.42578125" style="98"/>
    <col min="14" max="14" width="12.5703125" style="98" bestFit="1" customWidth="1"/>
    <col min="15" max="17" width="11.5703125" style="98" bestFit="1" customWidth="1"/>
    <col min="18" max="23" width="11.5703125" style="98" customWidth="1"/>
    <col min="24" max="25" width="11.5703125" style="98" bestFit="1" customWidth="1"/>
    <col min="26" max="26" width="5.7109375" style="98" customWidth="1"/>
    <col min="27" max="16384" width="11.42578125" style="98"/>
  </cols>
  <sheetData>
    <row r="1" spans="1:10" s="91" customFormat="1" ht="59.25" customHeight="1">
      <c r="A1" s="90"/>
      <c r="B1" s="453" t="s">
        <v>77</v>
      </c>
      <c r="C1" s="453"/>
      <c r="D1" s="453"/>
      <c r="E1" s="453"/>
      <c r="F1" s="453"/>
      <c r="G1" s="453"/>
      <c r="H1" s="453"/>
      <c r="I1" s="453"/>
    </row>
    <row r="3" spans="1:10" s="94" customFormat="1" ht="30" customHeight="1">
      <c r="A3" s="92"/>
      <c r="B3" s="92"/>
      <c r="C3" s="227" t="s">
        <v>81</v>
      </c>
      <c r="D3" s="93"/>
      <c r="E3" s="93"/>
      <c r="F3" s="93"/>
      <c r="G3" s="93"/>
      <c r="H3" s="93"/>
      <c r="I3" s="93"/>
      <c r="J3" s="93"/>
    </row>
    <row r="4" spans="1:10" s="95" customFormat="1" ht="18" customHeight="1" thickBot="1"/>
    <row r="5" spans="1:10" ht="18" customHeight="1" thickBot="1">
      <c r="C5" s="134" t="s">
        <v>11</v>
      </c>
      <c r="D5" s="135"/>
      <c r="E5" s="226" t="s">
        <v>36</v>
      </c>
      <c r="F5" s="135"/>
    </row>
    <row r="6" spans="1:10" ht="8.1" customHeight="1" thickBot="1">
      <c r="C6" s="134"/>
      <c r="D6" s="135"/>
      <c r="E6" s="137"/>
      <c r="F6" s="135"/>
    </row>
    <row r="7" spans="1:10" ht="18" customHeight="1" thickBot="1">
      <c r="C7" s="134" t="s">
        <v>78</v>
      </c>
      <c r="D7" s="135"/>
      <c r="E7" s="136">
        <v>2023</v>
      </c>
      <c r="F7" s="135"/>
    </row>
    <row r="8" spans="1:10" ht="8.1" customHeight="1" thickBot="1">
      <c r="C8" s="135"/>
      <c r="D8" s="135"/>
      <c r="E8" s="135"/>
      <c r="F8" s="135"/>
    </row>
    <row r="9" spans="1:10" ht="18" customHeight="1" thickBot="1">
      <c r="C9" s="134" t="s">
        <v>68</v>
      </c>
      <c r="D9" s="135"/>
      <c r="E9" s="136" t="s">
        <v>316</v>
      </c>
      <c r="F9" s="135"/>
    </row>
    <row r="10" spans="1:10" ht="8.1" customHeight="1" thickBot="1">
      <c r="C10" s="135"/>
      <c r="D10" s="135"/>
      <c r="E10" s="135"/>
      <c r="F10" s="135"/>
    </row>
    <row r="11" spans="1:10" ht="18" customHeight="1" thickBot="1">
      <c r="C11" s="134" t="str">
        <f>IF(E5="French","Version Plan N-1","Prior year version")</f>
        <v>Prior year version</v>
      </c>
      <c r="D11" s="135"/>
      <c r="E11" s="136" t="s">
        <v>317</v>
      </c>
      <c r="F11" s="135"/>
    </row>
    <row r="12" spans="1:10" ht="8.1" customHeight="1" thickBot="1">
      <c r="C12" s="134"/>
      <c r="D12" s="135"/>
      <c r="E12" s="137"/>
      <c r="F12" s="135"/>
    </row>
    <row r="13" spans="1:10" ht="18" customHeight="1" thickBot="1">
      <c r="C13" s="134" t="s">
        <v>0</v>
      </c>
      <c r="D13" s="135"/>
      <c r="E13" s="226" t="s">
        <v>117</v>
      </c>
      <c r="F13" s="135"/>
    </row>
    <row r="14" spans="1:10" ht="8.1" customHeight="1" thickBot="1">
      <c r="C14" s="135"/>
      <c r="D14" s="135"/>
      <c r="E14" s="135"/>
      <c r="F14" s="135"/>
    </row>
    <row r="15" spans="1:10" ht="18" customHeight="1" thickBot="1">
      <c r="C15" s="134" t="s">
        <v>37</v>
      </c>
      <c r="D15" s="135"/>
      <c r="E15" s="226" t="str">
        <f ca="1">_xll.SUBNM("tango_core_model:Legal_Organization","","VTD_corp","English")</f>
        <v>TRANSDEV All</v>
      </c>
      <c r="F15" s="135"/>
    </row>
    <row r="16" spans="1:10" ht="8.1" customHeight="1" thickBot="1">
      <c r="C16" s="135"/>
      <c r="D16" s="135"/>
      <c r="E16" s="135"/>
      <c r="F16" s="135"/>
    </row>
    <row r="17" spans="1:24" ht="18" customHeight="1" thickBot="1">
      <c r="C17" s="134" t="s">
        <v>2</v>
      </c>
      <c r="D17" s="135"/>
      <c r="E17" s="226" t="str">
        <f ca="1">_xll.SUBNM("tango_core_model:Activity","","Tot_act","English")</f>
        <v>All activity</v>
      </c>
      <c r="F17" s="135"/>
    </row>
    <row r="18" spans="1:24" ht="8.1" customHeight="1">
      <c r="C18" s="135"/>
      <c r="D18" s="135"/>
      <c r="E18" s="135"/>
      <c r="F18" s="135"/>
    </row>
    <row r="19" spans="1:24" ht="8.1" customHeight="1">
      <c r="C19" s="97"/>
      <c r="E19" s="99"/>
    </row>
    <row r="20" spans="1:24" ht="18" customHeight="1">
      <c r="C20" s="97"/>
      <c r="E20" s="101"/>
      <c r="N20" s="100"/>
      <c r="O20" s="100"/>
      <c r="P20" s="100"/>
    </row>
    <row r="21" spans="1:24" ht="18" customHeight="1">
      <c r="D21" s="102" t="s">
        <v>69</v>
      </c>
      <c r="N21" s="100"/>
      <c r="O21" s="100"/>
      <c r="P21" s="100"/>
    </row>
    <row r="22" spans="1:24" s="95" customFormat="1" ht="18" customHeight="1">
      <c r="D22" s="102"/>
      <c r="N22" s="100"/>
      <c r="O22" s="100"/>
      <c r="P22" s="100"/>
      <c r="Q22" s="98"/>
      <c r="R22" s="98"/>
      <c r="S22" s="98"/>
      <c r="T22" s="98"/>
      <c r="U22" s="98"/>
      <c r="V22" s="98"/>
      <c r="W22" s="98"/>
      <c r="X22" s="98"/>
    </row>
    <row r="23" spans="1:24" s="95" customFormat="1" ht="18" customHeight="1">
      <c r="N23" s="100"/>
      <c r="O23" s="100"/>
      <c r="P23" s="100"/>
      <c r="Q23" s="98"/>
      <c r="R23" s="98"/>
      <c r="S23" s="98"/>
      <c r="T23" s="98"/>
      <c r="U23" s="98"/>
      <c r="V23" s="98"/>
      <c r="W23" s="98"/>
      <c r="X23" s="98"/>
    </row>
    <row r="24" spans="1:24" s="94" customFormat="1" ht="30" customHeight="1">
      <c r="A24" s="92"/>
      <c r="B24" s="92"/>
      <c r="C24" s="227" t="s">
        <v>80</v>
      </c>
      <c r="D24" s="103"/>
      <c r="E24" s="103"/>
      <c r="F24" s="93"/>
      <c r="G24" s="93"/>
      <c r="H24" s="93"/>
      <c r="I24" s="93"/>
      <c r="J24" s="93"/>
    </row>
    <row r="25" spans="1:24" s="95" customFormat="1" ht="18" customHeight="1">
      <c r="N25" s="100"/>
      <c r="O25" s="100"/>
      <c r="P25" s="100"/>
      <c r="Q25" s="98"/>
      <c r="R25" s="98"/>
      <c r="S25" s="98"/>
      <c r="T25" s="98"/>
      <c r="U25" s="98"/>
      <c r="V25" s="98"/>
      <c r="W25" s="98"/>
      <c r="X25" s="98"/>
    </row>
    <row r="26" spans="1:24" s="95" customFormat="1" ht="18" customHeight="1">
      <c r="F26" s="102"/>
      <c r="N26" s="100"/>
      <c r="O26" s="100"/>
      <c r="P26" s="100"/>
      <c r="Q26" s="98"/>
      <c r="R26" s="98"/>
      <c r="S26" s="98"/>
      <c r="T26" s="98"/>
      <c r="U26" s="98"/>
      <c r="V26" s="98"/>
      <c r="W26" s="98"/>
      <c r="X26" s="98"/>
    </row>
    <row r="27" spans="1:24" ht="18" customHeight="1">
      <c r="N27" s="100"/>
      <c r="O27" s="100"/>
      <c r="P27" s="100"/>
    </row>
    <row r="28" spans="1:24" ht="18" customHeight="1">
      <c r="N28" s="100"/>
      <c r="O28" s="100"/>
      <c r="P28" s="100"/>
    </row>
    <row r="29" spans="1:24" ht="18" customHeight="1">
      <c r="N29" s="100"/>
      <c r="O29" s="100"/>
      <c r="P29" s="100"/>
    </row>
    <row r="30" spans="1:24" s="95" customFormat="1" ht="18" customHeight="1">
      <c r="N30" s="100"/>
      <c r="O30" s="100"/>
      <c r="P30" s="100"/>
      <c r="Q30" s="98"/>
      <c r="R30" s="98"/>
      <c r="S30" s="98"/>
      <c r="T30" s="98"/>
      <c r="U30" s="98"/>
      <c r="V30" s="98"/>
      <c r="W30" s="98"/>
      <c r="X30" s="98"/>
    </row>
    <row r="31" spans="1:24" s="94" customFormat="1" ht="30" customHeight="1">
      <c r="A31" s="92"/>
      <c r="B31" s="92"/>
      <c r="C31" s="227" t="s">
        <v>79</v>
      </c>
      <c r="D31" s="103"/>
      <c r="E31" s="103"/>
      <c r="F31" s="93"/>
      <c r="G31" s="93"/>
      <c r="H31" s="93"/>
      <c r="I31" s="93"/>
      <c r="J31" s="93"/>
    </row>
    <row r="32" spans="1:24" s="95" customFormat="1" ht="18" customHeight="1">
      <c r="N32" s="100"/>
      <c r="O32" s="100"/>
      <c r="P32" s="100"/>
      <c r="Q32" s="98"/>
      <c r="R32" s="98"/>
      <c r="S32" s="98"/>
      <c r="T32" s="98"/>
      <c r="U32" s="98"/>
      <c r="V32" s="98"/>
      <c r="W32" s="98"/>
      <c r="X32" s="98"/>
    </row>
    <row r="33" spans="1:2" s="100" customFormat="1" ht="18" customHeight="1">
      <c r="A33" s="104"/>
      <c r="B33" s="104"/>
    </row>
    <row r="34" spans="1:2" s="100" customFormat="1" ht="18" customHeight="1">
      <c r="A34" s="104"/>
      <c r="B34" s="104"/>
    </row>
    <row r="35" spans="1:2" s="100" customFormat="1" ht="18" customHeight="1">
      <c r="A35" s="104"/>
      <c r="B35" s="104"/>
    </row>
    <row r="36" spans="1:2" s="100" customFormat="1" ht="18" customHeight="1">
      <c r="A36" s="104"/>
      <c r="B36" s="104"/>
    </row>
    <row r="37" spans="1:2" s="100" customFormat="1" ht="18" customHeight="1">
      <c r="A37" s="104"/>
      <c r="B37" s="104"/>
    </row>
    <row r="38" spans="1:2" s="100" customFormat="1" ht="18" customHeight="1">
      <c r="A38" s="104"/>
      <c r="B38" s="104"/>
    </row>
    <row r="39" spans="1:2" s="100" customFormat="1" ht="18" customHeight="1">
      <c r="A39" s="104"/>
      <c r="B39" s="104"/>
    </row>
    <row r="40" spans="1:2" s="100" customFormat="1" ht="18" customHeight="1">
      <c r="A40" s="104"/>
      <c r="B40" s="104"/>
    </row>
    <row r="41" spans="1:2" s="100" customFormat="1" ht="18" customHeight="1">
      <c r="A41" s="104"/>
      <c r="B41" s="104"/>
    </row>
    <row r="42" spans="1:2" s="100" customFormat="1" ht="18" customHeight="1">
      <c r="A42" s="104"/>
      <c r="B42" s="104"/>
    </row>
    <row r="43" spans="1:2" s="100" customFormat="1" ht="18" customHeight="1">
      <c r="A43" s="104"/>
      <c r="B43" s="104"/>
    </row>
    <row r="44" spans="1:2" s="100" customFormat="1" ht="18" customHeight="1">
      <c r="A44" s="104"/>
      <c r="B44" s="104"/>
    </row>
    <row r="45" spans="1:2" s="100" customFormat="1" ht="18" customHeight="1">
      <c r="A45" s="104"/>
      <c r="B45" s="104"/>
    </row>
  </sheetData>
  <protectedRanges>
    <protectedRange sqref="M8:M9 E5 M14 M16 E17 E15" name="Plage1"/>
  </protectedRanges>
  <mergeCells count="1">
    <mergeCell ref="B1:I1"/>
  </mergeCells>
  <dataValidations count="6">
    <dataValidation type="list" allowBlank="1" showInputMessage="1" showErrorMessage="1" sqref="E5">
      <formula1>"French,English"</formula1>
    </dataValidation>
    <dataValidation type="list" allowBlank="1" showInputMessage="1" showErrorMessage="1" sqref="E12 E6">
      <formula1>"tango_core_model:Report_PL,tango_core_model:RP_PL"</formula1>
    </dataValidation>
    <dataValidation type="list" allowBlank="1" showInputMessage="1" showErrorMessage="1" sqref="E7">
      <formula1>"2023"</formula1>
    </dataValidation>
    <dataValidation type="list" allowBlank="1" showInputMessage="1" showErrorMessage="1" sqref="E13">
      <formula1>Currency_list</formula1>
    </dataValidation>
    <dataValidation type="list" allowBlank="1" showInputMessage="1" showErrorMessage="1" sqref="E11">
      <formula1>"LTP_2022_V6"</formula1>
    </dataValidation>
    <dataValidation type="list" allowBlank="1" showInputMessage="1" showErrorMessage="1" sqref="E9">
      <formula1>"LTP_2023_VC"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9" tint="0.79998168889431442"/>
    <pageSetUpPr fitToPage="1"/>
  </sheetPr>
  <dimension ref="A1:XDX142"/>
  <sheetViews>
    <sheetView showGridLines="0" tabSelected="1" topLeftCell="F79" zoomScale="50" zoomScaleNormal="50" zoomScalePageLayoutView="60" workbookViewId="0">
      <selection activeCell="K13" sqref="K13"/>
    </sheetView>
  </sheetViews>
  <sheetFormatPr baseColWidth="10" defaultColWidth="11.42578125" defaultRowHeight="18" customHeight="1" outlineLevelRow="1" outlineLevelCol="1"/>
  <cols>
    <col min="1" max="1" width="23.5703125" style="312" hidden="1" customWidth="1" outlineLevel="1"/>
    <col min="2" max="2" width="21" style="312" hidden="1" customWidth="1" outlineLevel="1"/>
    <col min="3" max="3" width="35.85546875" style="312" hidden="1" customWidth="1" outlineLevel="1"/>
    <col min="4" max="4" width="11" style="312" hidden="1" customWidth="1" outlineLevel="1"/>
    <col min="5" max="5" width="5.42578125" style="250" hidden="1" customWidth="1" outlineLevel="1"/>
    <col min="6" max="6" width="5.7109375" style="296" customWidth="1" collapsed="1"/>
    <col min="7" max="7" width="42.42578125" style="283" customWidth="1"/>
    <col min="8" max="8" width="52.5703125" style="283" customWidth="1"/>
    <col min="9" max="9" width="19.28515625" style="284" bestFit="1" customWidth="1"/>
    <col min="10" max="10" width="20.42578125" style="284" bestFit="1" customWidth="1"/>
    <col min="11" max="16" width="19.28515625" style="284" bestFit="1" customWidth="1"/>
    <col min="17" max="17" width="7.28515625" style="285" customWidth="1"/>
    <col min="18" max="19" width="15.28515625" style="284" bestFit="1" customWidth="1"/>
    <col min="20" max="20" width="5.7109375" style="256" customWidth="1"/>
    <col min="21" max="21" width="6.42578125" style="301" customWidth="1"/>
    <col min="22" max="25" width="11.42578125" style="284"/>
    <col min="26" max="26" width="5.7109375" style="284" customWidth="1"/>
    <col min="27" max="16384" width="11.42578125" style="284"/>
  </cols>
  <sheetData>
    <row r="1" spans="1:21" s="254" customFormat="1" ht="23.25" hidden="1" outlineLevel="1">
      <c r="A1" s="250"/>
      <c r="B1" s="250"/>
      <c r="C1" s="250"/>
      <c r="D1" s="250"/>
      <c r="E1" s="250"/>
      <c r="F1" s="251"/>
      <c r="G1" s="252" t="s">
        <v>1</v>
      </c>
      <c r="H1" s="253" t="str">
        <f ca="1">H9</f>
        <v>LTP_2023_VC</v>
      </c>
      <c r="Q1" s="255"/>
      <c r="T1" s="256"/>
      <c r="U1" s="257"/>
    </row>
    <row r="2" spans="1:21" s="254" customFormat="1" ht="23.25" hidden="1" outlineLevel="1">
      <c r="A2" s="250"/>
      <c r="B2" s="250"/>
      <c r="C2" s="250"/>
      <c r="D2" s="250"/>
      <c r="E2" s="250"/>
      <c r="F2" s="251"/>
      <c r="G2" s="252" t="s">
        <v>216</v>
      </c>
      <c r="H2" s="258" t="str">
        <f ca="1">MID(H1,5,4)</f>
        <v>2023</v>
      </c>
      <c r="I2" s="259" t="str">
        <f ca="1">_xll.DBRA(Server&amp;$G$2,$J2,"Prior Year")</f>
        <v>F_year_2022</v>
      </c>
      <c r="J2" s="259" t="str">
        <f ca="1">"F_year_"&amp;$H$2</f>
        <v>F_year_2023</v>
      </c>
      <c r="K2" s="259" t="str">
        <f ca="1">_xll.DBRA(Server&amp;$G$2,J2,"Next Year")</f>
        <v>F_year_2024</v>
      </c>
      <c r="L2" s="259" t="str">
        <f ca="1">_xll.DBRA(Server&amp;$G$2,K2,"Next Year")</f>
        <v>F_year_2025</v>
      </c>
      <c r="M2" s="259" t="str">
        <f ca="1">_xll.DBRA(Server&amp;$G$2,L2,"Next Year")</f>
        <v>F_year_2026</v>
      </c>
      <c r="N2" s="259" t="str">
        <f ca="1">_xll.DBRA(Server&amp;$G$2,M2,"Next Year")</f>
        <v>F_year_2027</v>
      </c>
      <c r="O2" s="259" t="str">
        <f ca="1">_xll.DBRA(Server&amp;$G$2,N2,"Next Year")</f>
        <v>F_year_2028</v>
      </c>
      <c r="P2" s="259" t="str">
        <f ca="1">_xll.DBRA(Server&amp;$G$2,O2,"Next Year")</f>
        <v>F_year_2029</v>
      </c>
      <c r="Q2" s="260"/>
      <c r="R2" s="261"/>
      <c r="S2" s="261"/>
      <c r="T2" s="262"/>
      <c r="U2" s="257"/>
    </row>
    <row r="3" spans="1:21" s="254" customFormat="1" ht="23.25" hidden="1" outlineLevel="1">
      <c r="A3" s="250"/>
      <c r="B3" s="250"/>
      <c r="C3" s="250"/>
      <c r="D3" s="250"/>
      <c r="E3" s="250"/>
      <c r="F3" s="251"/>
      <c r="H3" s="263" t="s">
        <v>217</v>
      </c>
      <c r="I3" s="264" t="str">
        <f ca="1">_xll.DBRA(Server&amp;$G$2,$J3,"Prior Year")</f>
        <v>2022</v>
      </c>
      <c r="J3" s="264" t="str">
        <f ca="1">$H$2</f>
        <v>2023</v>
      </c>
      <c r="K3" s="264" t="str">
        <f ca="1">_xll.DBRA(Server&amp;$G$2,J3,"Next Year")</f>
        <v>2024</v>
      </c>
      <c r="L3" s="264" t="str">
        <f ca="1">_xll.DBRA(Server&amp;$G$2,K3,"Next Year")</f>
        <v>2025</v>
      </c>
      <c r="M3" s="264" t="str">
        <f ca="1">_xll.DBRA(Server&amp;$G$2,L3,"Next Year")</f>
        <v>2026</v>
      </c>
      <c r="N3" s="264" t="str">
        <f ca="1">_xll.DBRA(Server&amp;$G$2,M3,"Next Year")</f>
        <v>2027</v>
      </c>
      <c r="O3" s="264" t="str">
        <f ca="1">_xll.DBRA(Server&amp;$G$2,N3,"Next Year")</f>
        <v>2028</v>
      </c>
      <c r="P3" s="264" t="str">
        <f ca="1">_xll.DBRA(Server&amp;$G$2,O3,"Next Year")</f>
        <v>2029</v>
      </c>
      <c r="Q3" s="260"/>
      <c r="R3" s="261"/>
      <c r="S3" s="261"/>
      <c r="T3" s="262"/>
      <c r="U3" s="257"/>
    </row>
    <row r="4" spans="1:21" s="254" customFormat="1" ht="23.25" hidden="1" outlineLevel="1">
      <c r="A4" s="250"/>
      <c r="B4" s="250"/>
      <c r="C4" s="250"/>
      <c r="D4" s="250"/>
      <c r="E4" s="250"/>
      <c r="F4" s="251"/>
      <c r="G4" s="265"/>
      <c r="H4" s="266"/>
      <c r="I4" s="267" t="str">
        <f ca="1">_xll.DBRW("tango_core_model:TC_LTP_Version_Annee_Ouverture",$H$1,I$2,"STR_VAR1")</f>
        <v>Actual</v>
      </c>
      <c r="J4" s="267" t="str">
        <f ca="1">_xll.DBRW("tango_core_model:TC_LTP_Version_Annee_Ouverture",$H$1,J$2,"STR_VAR1")</f>
        <v>F2</v>
      </c>
      <c r="K4" s="267" t="str">
        <f ca="1">_xll.DBRW("tango_core_model:TC_LTP_Version_Annee_Ouverture",$H$1,K$2,"STR_VAR1")</f>
        <v>Budget</v>
      </c>
      <c r="L4" s="267" t="str">
        <f ca="1">_xll.DBRW("tango_core_model:TC_LTP_Version_Annee_Ouverture",$H$1,L$2,"STR_VAR1")</f>
        <v>LTP</v>
      </c>
      <c r="M4" s="267" t="str">
        <f ca="1">_xll.DBRW("tango_core_model:TC_LTP_Version_Annee_Ouverture",$H$1,M$2,"STR_VAR1")</f>
        <v>LTP</v>
      </c>
      <c r="N4" s="267" t="str">
        <f ca="1">_xll.DBRW("tango_core_model:TC_LTP_Version_Annee_Ouverture",$H$1,N$2,"STR_VAR1")</f>
        <v>LTP</v>
      </c>
      <c r="O4" s="267" t="str">
        <f ca="1">_xll.DBRW("tango_core_model:TC_LTP_Version_Annee_Ouverture",$H$1,O$2,"STR_VAR1")</f>
        <v>LTP</v>
      </c>
      <c r="P4" s="267" t="str">
        <f ca="1">_xll.DBRW("tango_core_model:TC_LTP_Version_Annee_Ouverture",$H$1,P$2,"STR_VAR1")</f>
        <v>LTP</v>
      </c>
      <c r="Q4" s="268"/>
      <c r="R4" s="269"/>
      <c r="S4" s="269"/>
      <c r="T4" s="256"/>
      <c r="U4" s="257"/>
    </row>
    <row r="5" spans="1:21" s="254" customFormat="1" ht="23.25" hidden="1" outlineLevel="1">
      <c r="A5" s="250"/>
      <c r="B5" s="250"/>
      <c r="C5" s="250"/>
      <c r="D5" s="250"/>
      <c r="E5" s="250"/>
      <c r="F5" s="251"/>
      <c r="G5" s="265"/>
      <c r="H5" s="266" t="str">
        <f ca="1">H9</f>
        <v>LTP_2023_VC</v>
      </c>
      <c r="I5" s="267"/>
      <c r="J5" s="270"/>
      <c r="K5" s="269"/>
      <c r="L5" s="269"/>
      <c r="M5" s="269"/>
      <c r="N5" s="269"/>
      <c r="O5" s="269"/>
      <c r="P5" s="269"/>
      <c r="Q5" s="268"/>
      <c r="R5" s="269"/>
      <c r="S5" s="269"/>
      <c r="T5" s="256"/>
      <c r="U5" s="257"/>
    </row>
    <row r="6" spans="1:21" s="254" customFormat="1" ht="23.25" hidden="1" outlineLevel="1">
      <c r="A6" s="250"/>
      <c r="B6" s="250"/>
      <c r="C6" s="250"/>
      <c r="D6" s="250"/>
      <c r="E6" s="250"/>
      <c r="F6" s="251"/>
      <c r="G6" s="271" t="s">
        <v>218</v>
      </c>
      <c r="H6" s="272" t="str">
        <f ca="1">LEFT(Server,LEN(Server)-1)</f>
        <v>tango_core_model</v>
      </c>
      <c r="I6" s="267"/>
      <c r="J6" s="270"/>
      <c r="K6" s="269"/>
      <c r="L6" s="269"/>
      <c r="M6" s="269"/>
      <c r="N6" s="269"/>
      <c r="O6" s="269"/>
      <c r="P6" s="269"/>
      <c r="Q6" s="268"/>
      <c r="R6" s="269"/>
      <c r="S6" s="269"/>
      <c r="T6" s="256"/>
      <c r="U6" s="257"/>
    </row>
    <row r="7" spans="1:21" s="254" customFormat="1" ht="23.25" hidden="1" outlineLevel="1">
      <c r="A7" s="250"/>
      <c r="B7" s="250"/>
      <c r="C7" s="250"/>
      <c r="D7" s="250"/>
      <c r="E7" s="250"/>
      <c r="F7" s="251"/>
      <c r="G7" s="271" t="s">
        <v>219</v>
      </c>
      <c r="H7" s="273" t="s">
        <v>220</v>
      </c>
      <c r="I7" s="267"/>
      <c r="J7" s="270"/>
      <c r="K7" s="269"/>
      <c r="L7" s="269"/>
      <c r="M7" s="269"/>
      <c r="N7" s="269"/>
      <c r="O7" s="269"/>
      <c r="P7" s="269"/>
      <c r="Q7" s="268"/>
      <c r="R7" s="269"/>
      <c r="S7" s="269"/>
      <c r="T7" s="256"/>
      <c r="U7" s="257"/>
    </row>
    <row r="8" spans="1:21" s="254" customFormat="1" ht="23.25" collapsed="1">
      <c r="A8" s="250"/>
      <c r="B8" s="250"/>
      <c r="C8" s="250"/>
      <c r="D8" s="250"/>
      <c r="E8" s="250"/>
      <c r="F8" s="251"/>
      <c r="G8" s="274" t="s">
        <v>4</v>
      </c>
      <c r="H8" s="275" t="s">
        <v>302</v>
      </c>
      <c r="I8" s="267"/>
      <c r="J8" s="270"/>
      <c r="K8" s="269"/>
      <c r="L8" s="269"/>
      <c r="M8" s="269"/>
      <c r="N8" s="269"/>
      <c r="O8" s="269"/>
      <c r="P8" s="269"/>
      <c r="Q8" s="268"/>
      <c r="R8" s="269"/>
      <c r="S8" s="269"/>
      <c r="T8" s="256"/>
      <c r="U8" s="257"/>
    </row>
    <row r="9" spans="1:21" s="254" customFormat="1" ht="23.25">
      <c r="A9" s="250"/>
      <c r="B9" s="250"/>
      <c r="C9" s="250"/>
      <c r="D9" s="250"/>
      <c r="E9" s="250"/>
      <c r="F9" s="251"/>
      <c r="G9" s="274" t="s">
        <v>1</v>
      </c>
      <c r="H9" s="275" t="str">
        <f>Current_Version</f>
        <v>LTP_2023_VC</v>
      </c>
      <c r="I9" s="267"/>
      <c r="J9" s="270"/>
      <c r="K9" s="269"/>
      <c r="L9" s="269"/>
      <c r="M9" s="276"/>
      <c r="N9" s="276"/>
      <c r="O9" s="269"/>
      <c r="P9" s="269"/>
      <c r="Q9" s="268"/>
      <c r="R9" s="269"/>
      <c r="S9" s="269"/>
      <c r="T9" s="256"/>
      <c r="U9" s="257"/>
    </row>
    <row r="10" spans="1:21" s="254" customFormat="1" ht="23.25">
      <c r="A10" s="250"/>
      <c r="B10" s="250"/>
      <c r="C10" s="250"/>
      <c r="D10" s="250"/>
      <c r="E10" s="250"/>
      <c r="F10" s="251"/>
      <c r="G10" s="274" t="s">
        <v>221</v>
      </c>
      <c r="H10" s="277" t="str">
        <f ca="1">_xll.SUBNM("tango_core_model:LTP_Components","","LTP")</f>
        <v>LTP</v>
      </c>
      <c r="I10" s="270"/>
      <c r="J10" s="270"/>
      <c r="K10" s="269"/>
      <c r="L10" s="278"/>
      <c r="M10" s="279"/>
      <c r="N10" s="276"/>
      <c r="O10" s="269"/>
      <c r="P10" s="269"/>
      <c r="Q10" s="268"/>
      <c r="R10" s="269"/>
      <c r="S10" s="269"/>
      <c r="T10" s="256"/>
      <c r="U10" s="257"/>
    </row>
    <row r="11" spans="1:21" s="254" customFormat="1" ht="23.25">
      <c r="A11" s="250"/>
      <c r="B11" s="250"/>
      <c r="C11" s="250"/>
      <c r="D11" s="250"/>
      <c r="E11" s="250"/>
      <c r="F11" s="251"/>
      <c r="G11" s="274" t="s">
        <v>222</v>
      </c>
      <c r="H11" s="277" t="str">
        <f ca="1">Legal_organization</f>
        <v>TRANSDEV All</v>
      </c>
      <c r="I11" s="270"/>
      <c r="J11" s="270"/>
      <c r="K11" s="269"/>
      <c r="L11" s="280"/>
      <c r="M11" s="279"/>
      <c r="N11" s="276"/>
      <c r="O11" s="269"/>
      <c r="P11" s="269"/>
      <c r="Q11" s="268"/>
      <c r="R11" s="269"/>
      <c r="S11" s="269"/>
      <c r="T11" s="256"/>
      <c r="U11" s="257"/>
    </row>
    <row r="12" spans="1:21" s="254" customFormat="1" ht="23.25">
      <c r="A12" s="250"/>
      <c r="B12" s="250"/>
      <c r="C12" s="250"/>
      <c r="D12" s="250"/>
      <c r="E12" s="250"/>
      <c r="F12" s="251"/>
      <c r="G12" s="274" t="s">
        <v>2</v>
      </c>
      <c r="H12" s="275" t="str">
        <f ca="1">Activity</f>
        <v>All activity</v>
      </c>
      <c r="I12" s="270"/>
      <c r="J12" s="270"/>
      <c r="K12" s="269"/>
      <c r="L12" s="280"/>
      <c r="M12" s="279"/>
      <c r="N12" s="276"/>
      <c r="O12" s="269"/>
      <c r="P12" s="269"/>
      <c r="Q12" s="268"/>
      <c r="R12" s="269"/>
      <c r="S12" s="269"/>
      <c r="T12" s="256"/>
      <c r="U12" s="257"/>
    </row>
    <row r="13" spans="1:21" s="254" customFormat="1" ht="23.25">
      <c r="A13" s="250"/>
      <c r="B13" s="250"/>
      <c r="C13" s="250"/>
      <c r="D13" s="250"/>
      <c r="E13" s="250"/>
      <c r="F13" s="251"/>
      <c r="G13" s="274" t="s">
        <v>38</v>
      </c>
      <c r="H13" s="275" t="str">
        <f ca="1">IF(MID(H9,5,4)&gt;"2020",_xll.SUBNM(Server&amp;"Weighting","","W_APP"),_xll.SUBNM(Server&amp;"Weighting","","W_NO_APP"))</f>
        <v>W_APP</v>
      </c>
      <c r="I13" s="267"/>
      <c r="J13" s="270"/>
      <c r="K13" s="269"/>
      <c r="L13" s="278"/>
      <c r="M13" s="279"/>
      <c r="N13" s="276"/>
      <c r="O13" s="269"/>
      <c r="P13" s="269"/>
      <c r="Q13" s="268"/>
      <c r="R13" s="269"/>
      <c r="S13" s="269"/>
      <c r="T13" s="256"/>
      <c r="U13" s="257"/>
    </row>
    <row r="14" spans="1:21" s="254" customFormat="1" ht="23.25">
      <c r="A14" s="250"/>
      <c r="B14" s="250"/>
      <c r="C14" s="250"/>
      <c r="D14" s="250"/>
      <c r="E14" s="250"/>
      <c r="F14" s="251"/>
      <c r="G14" s="274" t="s">
        <v>0</v>
      </c>
      <c r="H14" s="275" t="str">
        <f ca="1">_xll.SUBNM("tango_core_model:Currency","Par défaut","MEUR")</f>
        <v>MEUR</v>
      </c>
      <c r="I14" s="267"/>
      <c r="J14" s="270"/>
      <c r="K14" s="269"/>
      <c r="L14" s="269"/>
      <c r="M14" s="279"/>
      <c r="N14" s="276"/>
      <c r="O14" s="269"/>
      <c r="P14" s="269"/>
      <c r="Q14" s="268"/>
      <c r="R14" s="269"/>
      <c r="S14" s="269"/>
      <c r="T14" s="256"/>
      <c r="U14" s="257"/>
    </row>
    <row r="15" spans="1:21" s="254" customFormat="1" ht="23.25">
      <c r="A15" s="250"/>
      <c r="B15" s="250"/>
      <c r="C15" s="250"/>
      <c r="D15" s="250"/>
      <c r="E15" s="250"/>
      <c r="F15" s="251"/>
      <c r="G15" s="274" t="s">
        <v>11</v>
      </c>
      <c r="H15" s="281" t="s">
        <v>36</v>
      </c>
      <c r="I15" s="267"/>
      <c r="J15" s="270"/>
      <c r="K15" s="269"/>
      <c r="L15" s="269"/>
      <c r="M15" s="279"/>
      <c r="N15" s="276"/>
      <c r="O15" s="269"/>
      <c r="P15" s="269"/>
      <c r="Q15" s="268"/>
      <c r="R15" s="269"/>
      <c r="S15" s="269"/>
      <c r="T15" s="256"/>
      <c r="U15" s="257"/>
    </row>
    <row r="16" spans="1:21" ht="23.25">
      <c r="A16" s="282"/>
      <c r="B16" s="282"/>
      <c r="C16" s="282"/>
      <c r="D16" s="282"/>
      <c r="F16" s="251"/>
      <c r="U16" s="286"/>
    </row>
    <row r="17" spans="1:26" s="293" customFormat="1" ht="33.75">
      <c r="A17" s="287"/>
      <c r="B17" s="287"/>
      <c r="C17" s="287"/>
      <c r="D17" s="287"/>
      <c r="E17" s="288"/>
      <c r="F17" s="289"/>
      <c r="G17" s="290"/>
      <c r="H17" s="473" t="str">
        <f ca="1">H10</f>
        <v>LTP</v>
      </c>
      <c r="I17" s="473"/>
      <c r="J17" s="473"/>
      <c r="K17" s="473"/>
      <c r="L17" s="473"/>
      <c r="M17" s="473"/>
      <c r="N17" s="473"/>
      <c r="O17" s="473"/>
      <c r="P17" s="473"/>
      <c r="Q17" s="473"/>
      <c r="R17" s="473"/>
      <c r="S17" s="473"/>
      <c r="T17" s="291"/>
      <c r="U17" s="292"/>
    </row>
    <row r="18" spans="1:26" s="293" customFormat="1" ht="33.75">
      <c r="A18" s="287"/>
      <c r="B18" s="287"/>
      <c r="C18" s="287"/>
      <c r="D18" s="287"/>
      <c r="E18" s="288"/>
      <c r="F18" s="289"/>
      <c r="G18" s="294"/>
      <c r="H18" s="474" t="str">
        <f ca="1">$H$11&amp;" - "&amp;$H$12&amp;" - "&amp;$H$13&amp;" - "&amp;$H$14</f>
        <v>TRANSDEV All - All activity - W_APP - MEUR</v>
      </c>
      <c r="I18" s="474"/>
      <c r="J18" s="474"/>
      <c r="K18" s="474"/>
      <c r="L18" s="474"/>
      <c r="M18" s="474"/>
      <c r="N18" s="474"/>
      <c r="O18" s="474"/>
      <c r="P18" s="474"/>
      <c r="Q18" s="474"/>
      <c r="R18" s="474"/>
      <c r="S18" s="474"/>
      <c r="T18" s="291"/>
      <c r="U18" s="292"/>
    </row>
    <row r="19" spans="1:26" s="293" customFormat="1" ht="33.75">
      <c r="A19" s="287"/>
      <c r="B19" s="287"/>
      <c r="C19" s="287"/>
      <c r="D19" s="287"/>
      <c r="E19" s="288"/>
      <c r="F19" s="289"/>
      <c r="G19" s="295"/>
      <c r="H19" s="475" t="str">
        <f ca="1">H9</f>
        <v>LTP_2023_VC</v>
      </c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291"/>
      <c r="U19" s="292"/>
    </row>
    <row r="20" spans="1:26" ht="23.25">
      <c r="A20" s="282"/>
      <c r="B20" s="282"/>
      <c r="C20" s="282"/>
      <c r="D20" s="282"/>
      <c r="G20" s="297"/>
      <c r="H20" s="298"/>
      <c r="I20" s="298"/>
      <c r="J20" s="299"/>
      <c r="K20" s="299"/>
      <c r="L20" s="299"/>
      <c r="M20" s="299"/>
      <c r="N20" s="299"/>
      <c r="O20" s="299"/>
      <c r="P20" s="299"/>
      <c r="Q20" s="300"/>
      <c r="R20" s="299"/>
      <c r="S20" s="299"/>
    </row>
    <row r="21" spans="1:26" s="311" customFormat="1" ht="26.25">
      <c r="A21" s="302" t="s">
        <v>223</v>
      </c>
      <c r="B21" s="302"/>
      <c r="C21" s="302"/>
      <c r="D21" s="302">
        <v>1</v>
      </c>
      <c r="E21" s="303"/>
      <c r="F21" s="304"/>
      <c r="G21" s="454" t="str">
        <f ca="1">_xll.DBRA(Server&amp;#REF!,#REF!,$H$15)</f>
        <v/>
      </c>
      <c r="H21" s="454"/>
      <c r="I21" s="305" t="str">
        <f ca="1">I4&amp;" "&amp;I3</f>
        <v>Actual 2022</v>
      </c>
      <c r="J21" s="305" t="str">
        <f t="shared" ref="J21:P21" ca="1" si="0">J4&amp;" "&amp;J3</f>
        <v>F2 2023</v>
      </c>
      <c r="K21" s="305" t="str">
        <f t="shared" ca="1" si="0"/>
        <v>Budget 2024</v>
      </c>
      <c r="L21" s="305" t="str">
        <f t="shared" ca="1" si="0"/>
        <v>LTP 2025</v>
      </c>
      <c r="M21" s="305" t="str">
        <f t="shared" ca="1" si="0"/>
        <v>LTP 2026</v>
      </c>
      <c r="N21" s="305" t="str">
        <f t="shared" ca="1" si="0"/>
        <v>LTP 2027</v>
      </c>
      <c r="O21" s="305" t="str">
        <f t="shared" ca="1" si="0"/>
        <v>LTP 2028</v>
      </c>
      <c r="P21" s="305" t="str">
        <f t="shared" ca="1" si="0"/>
        <v>LTP 2029</v>
      </c>
      <c r="Q21" s="306"/>
      <c r="R21" s="307" t="str">
        <f ca="1">_xll.DBRA(Server&amp;#REF!,#REF!,$H$15)&amp;" "&amp;MID($H$1,7,2)&amp;"-"&amp;MID($M$2,10,2)</f>
        <v xml:space="preserve"> 23-26</v>
      </c>
      <c r="S21" s="308" t="str">
        <f ca="1">_xll.DBRA(Server&amp;#REF!,#REF!,$H$15)&amp;" "&amp;MID($H$1,7,2)&amp;"-"&amp;MID($P$2,10,2)</f>
        <v xml:space="preserve"> 23-29</v>
      </c>
      <c r="T21" s="309"/>
      <c r="U21" s="310"/>
      <c r="V21" s="309"/>
      <c r="W21" s="309"/>
      <c r="X21" s="309"/>
      <c r="Y21" s="309"/>
      <c r="Z21" s="309"/>
    </row>
    <row r="22" spans="1:26" ht="27" thickBot="1">
      <c r="B22" s="282"/>
      <c r="C22" s="282"/>
      <c r="D22" s="282">
        <v>2</v>
      </c>
      <c r="G22" s="313"/>
      <c r="H22" s="314"/>
      <c r="I22" s="315"/>
      <c r="J22" s="315"/>
      <c r="K22" s="315"/>
      <c r="L22" s="315"/>
      <c r="M22" s="315"/>
      <c r="N22" s="315"/>
      <c r="O22" s="315"/>
      <c r="P22" s="315"/>
      <c r="Q22" s="306"/>
      <c r="R22" s="316"/>
      <c r="S22" s="316"/>
      <c r="T22" s="284"/>
    </row>
    <row r="23" spans="1:26" ht="26.25">
      <c r="A23" s="317" t="s">
        <v>224</v>
      </c>
      <c r="B23" s="282"/>
      <c r="C23" s="282"/>
      <c r="D23" s="282">
        <v>3</v>
      </c>
      <c r="G23" s="457" t="str">
        <f ca="1">_xll.DBRA(Server&amp;$A$21,$A23,$H$15)</f>
        <v>Sales of goods and services</v>
      </c>
      <c r="H23" s="458"/>
      <c r="I23" s="318">
        <f ca="1">_xll.DBRW($H$8,$H$12,$H$14,$H$10,$H$13,$H$11,I$2,$H$9,$A23)</f>
        <v>0</v>
      </c>
      <c r="J23" s="319">
        <f ca="1">_xll.DBRW($H$8,$H$12,$H$14,$H$10,$H$13,$H$11,J$2,$H$9,$A23)</f>
        <v>0</v>
      </c>
      <c r="K23" s="319">
        <f ca="1">_xll.DBRW($H$8,$H$12,$H$14,$H$10,$H$13,$H$11,K$2,$H$9,$A23)</f>
        <v>0</v>
      </c>
      <c r="L23" s="319">
        <f ca="1">_xll.DBRW($H$8,$H$12,$H$14,$H$10,$H$13,$H$11,L$2,$H$9,$A23)</f>
        <v>0</v>
      </c>
      <c r="M23" s="319">
        <f ca="1">_xll.DBRW($H$8,$H$12,$H$14,$H$10,$H$13,$H$11,M$2,$H$9,$A23)</f>
        <v>0</v>
      </c>
      <c r="N23" s="319">
        <f ca="1">_xll.DBRW($H$8,$H$12,$H$14,$H$10,$H$13,$H$11,N$2,$H$9,$A23)</f>
        <v>0</v>
      </c>
      <c r="O23" s="319">
        <f ca="1">_xll.DBRW($H$8,$H$12,$H$14,$H$10,$H$13,$H$11,O$2,$H$9,$A23)</f>
        <v>0</v>
      </c>
      <c r="P23" s="320">
        <f ca="1">_xll.DBRW($H$8,$H$12,$H$14,$H$10,$H$13,$H$11,P$2,$H$9,$A23)</f>
        <v>0</v>
      </c>
      <c r="Q23" s="321"/>
      <c r="R23" s="322" t="str">
        <f t="shared" ref="R23:R32" ca="1" si="1">IF(ISERROR((M23/J23)^(1/3)-1),"",(M23/J23)^(1/3)-1)</f>
        <v/>
      </c>
      <c r="S23" s="323" t="str">
        <f t="shared" ref="S23:S32" ca="1" si="2">IF(ISERROR((P23/J23)^(1/6)-1),"",(P23/J23)^(1/6)-1)</f>
        <v/>
      </c>
      <c r="T23" s="284"/>
      <c r="U23" s="324"/>
      <c r="V23" s="324"/>
    </row>
    <row r="24" spans="1:26" ht="27" thickBot="1">
      <c r="A24" s="317" t="s">
        <v>225</v>
      </c>
      <c r="B24" s="282"/>
      <c r="C24" s="282"/>
      <c r="D24" s="282">
        <v>4</v>
      </c>
      <c r="G24" s="457" t="str">
        <f ca="1">_xll.DBRA(Server&amp;$A$21,$A24,$H$15)</f>
        <v>Revenues from operating financial assets (IFRIC12)</v>
      </c>
      <c r="H24" s="458"/>
      <c r="I24" s="318">
        <f ca="1">_xll.DBRW($H$8,$H$12,$H$14,$H$10,$H$13,$H$11,I$2,$H$9,$A24)</f>
        <v>0</v>
      </c>
      <c r="J24" s="319">
        <f ca="1">_xll.DBRW($H$8,$H$12,$H$14,$H$10,$H$13,$H$11,J$2,$H$9,$A24)</f>
        <v>0</v>
      </c>
      <c r="K24" s="319">
        <f ca="1">_xll.DBRW($H$8,$H$12,$H$14,$H$10,$H$13,$H$11,K$2,$H$9,$A24)</f>
        <v>0</v>
      </c>
      <c r="L24" s="319">
        <f ca="1">_xll.DBRW($H$8,$H$12,$H$14,$H$10,$H$13,$H$11,L$2,$H$9,$A24)</f>
        <v>0</v>
      </c>
      <c r="M24" s="319">
        <f ca="1">_xll.DBRW($H$8,$H$12,$H$14,$H$10,$H$13,$H$11,M$2,$H$9,$A24)</f>
        <v>0</v>
      </c>
      <c r="N24" s="319">
        <f ca="1">_xll.DBRW($H$8,$H$12,$H$14,$H$10,$H$13,$H$11,N$2,$H$9,$A24)</f>
        <v>0</v>
      </c>
      <c r="O24" s="319">
        <f ca="1">_xll.DBRW($H$8,$H$12,$H$14,$H$10,$H$13,$H$11,O$2,$H$9,$A24)</f>
        <v>0</v>
      </c>
      <c r="P24" s="320">
        <f ca="1">_xll.DBRW($H$8,$H$12,$H$14,$H$10,$H$13,$H$11,P$2,$H$9,$A24)</f>
        <v>0</v>
      </c>
      <c r="Q24" s="321"/>
      <c r="R24" s="322" t="str">
        <f t="shared" ca="1" si="1"/>
        <v/>
      </c>
      <c r="S24" s="323" t="str">
        <f t="shared" ca="1" si="2"/>
        <v/>
      </c>
      <c r="T24" s="284"/>
    </row>
    <row r="25" spans="1:26" ht="27" thickBot="1">
      <c r="A25" s="317" t="s">
        <v>17</v>
      </c>
      <c r="B25" s="282"/>
      <c r="C25" s="282"/>
      <c r="D25" s="282">
        <v>5</v>
      </c>
      <c r="G25" s="467" t="str">
        <f ca="1">_xll.DBRA(Server&amp;$A$21,$A25,$H$15)</f>
        <v>Revenue from ordinary activities</v>
      </c>
      <c r="H25" s="468"/>
      <c r="I25" s="325">
        <f ca="1">_xll.DBRW($H$8,$H$12,$H$14,$H$10,$H$13,$H$11,I$2,$H$9,$A25)</f>
        <v>0</v>
      </c>
      <c r="J25" s="325">
        <f ca="1">_xll.DBRW($H$8,$H$12,$H$14,$H$10,$H$13,$H$11,J$2,$H$9,$A25)</f>
        <v>0</v>
      </c>
      <c r="K25" s="325">
        <f ca="1">_xll.DBRW($H$8,$H$12,$H$14,$H$10,$H$13,$H$11,K$2,$H$9,$A25)</f>
        <v>0</v>
      </c>
      <c r="L25" s="325">
        <f ca="1">_xll.DBRW($H$8,$H$12,$H$14,$H$10,$H$13,$H$11,L$2,$H$9,$A25)</f>
        <v>0</v>
      </c>
      <c r="M25" s="325">
        <f ca="1">_xll.DBRW($H$8,$H$12,$H$14,$H$10,$H$13,$H$11,M$2,$H$9,$A25)</f>
        <v>0</v>
      </c>
      <c r="N25" s="325">
        <f ca="1">_xll.DBRW($H$8,$H$12,$H$14,$H$10,$H$13,$H$11,N$2,$H$9,$A25)</f>
        <v>0</v>
      </c>
      <c r="O25" s="325">
        <f ca="1">_xll.DBRW($H$8,$H$12,$H$14,$H$10,$H$13,$H$11,O$2,$H$9,$A25)</f>
        <v>0</v>
      </c>
      <c r="P25" s="325">
        <f ca="1">_xll.DBRW($H$8,$H$12,$H$14,$H$10,$H$13,$H$11,P$2,$H$9,$A25)</f>
        <v>0</v>
      </c>
      <c r="Q25" s="326">
        <f ca="1">SUM(I25:P25)-SUM(I23:P24)</f>
        <v>0</v>
      </c>
      <c r="R25" s="327" t="str">
        <f t="shared" ca="1" si="1"/>
        <v/>
      </c>
      <c r="S25" s="327" t="str">
        <f t="shared" ca="1" si="2"/>
        <v/>
      </c>
      <c r="T25" s="284"/>
    </row>
    <row r="26" spans="1:26" ht="26.25">
      <c r="A26" s="328" t="s">
        <v>226</v>
      </c>
      <c r="B26" s="282"/>
      <c r="C26" s="282"/>
      <c r="D26" s="282">
        <v>6</v>
      </c>
      <c r="G26" s="457" t="str">
        <f ca="1">IF($H$15="English","Total operating costs excluding MF","Total coûts opérationnels hors MF")</f>
        <v>Total operating costs excluding MF</v>
      </c>
      <c r="H26" s="458"/>
      <c r="I26" s="318">
        <f t="shared" ref="I26:P26" ca="1" si="3">I32-I25-I31</f>
        <v>0</v>
      </c>
      <c r="J26" s="318">
        <f t="shared" ca="1" si="3"/>
        <v>0</v>
      </c>
      <c r="K26" s="318">
        <f t="shared" ca="1" si="3"/>
        <v>0</v>
      </c>
      <c r="L26" s="318">
        <f t="shared" ca="1" si="3"/>
        <v>0</v>
      </c>
      <c r="M26" s="318">
        <f t="shared" ca="1" si="3"/>
        <v>0</v>
      </c>
      <c r="N26" s="318">
        <f t="shared" ca="1" si="3"/>
        <v>0</v>
      </c>
      <c r="O26" s="318">
        <f t="shared" ca="1" si="3"/>
        <v>0</v>
      </c>
      <c r="P26" s="318">
        <f t="shared" ca="1" si="3"/>
        <v>0</v>
      </c>
      <c r="Q26" s="321">
        <f ca="1">SUM(I27:P30)-SUM(I26:P26)</f>
        <v>0</v>
      </c>
      <c r="R26" s="322" t="str">
        <f t="shared" ca="1" si="1"/>
        <v/>
      </c>
      <c r="S26" s="323" t="str">
        <f t="shared" ca="1" si="2"/>
        <v/>
      </c>
      <c r="T26" s="284"/>
    </row>
    <row r="27" spans="1:26" ht="26.25" hidden="1" outlineLevel="1">
      <c r="A27" s="317" t="s">
        <v>227</v>
      </c>
      <c r="B27" s="328" t="s">
        <v>226</v>
      </c>
      <c r="C27" s="282"/>
      <c r="D27" s="282">
        <v>7</v>
      </c>
      <c r="G27" s="469" t="str">
        <f ca="1">_xll.DBRA(Server&amp;$A$21,$A27,$H$15)</f>
        <v>Operating costs excl.MF &amp; non cash items</v>
      </c>
      <c r="H27" s="470"/>
      <c r="I27" s="318">
        <f ca="1">IF(MID($H$9,5,4)&gt;"2019",_xll.DBRW($H$8,$H$12,$H$14,$H$10,$H$13,$H$11,I$2,$H$9,$A27),I26-SUM(I28:I30))</f>
        <v>0</v>
      </c>
      <c r="J27" s="318">
        <f ca="1">IF(MID($H$9,5,4)&gt;"2019",_xll.DBRW($H$8,$H$12,$H$14,$H$10,$H$13,$H$11,J$2,$H$9,$A27),J26-SUM(J28:J30))</f>
        <v>0</v>
      </c>
      <c r="K27" s="318">
        <f ca="1">IF(MID($H$9,5,4)&gt;"2019",_xll.DBRW($H$8,$H$12,$H$14,$H$10,$H$13,$H$11,K$2,$H$9,$A27),K26-SUM(K28:K30))</f>
        <v>0</v>
      </c>
      <c r="L27" s="318">
        <f ca="1">IF(MID($H$9,5,4)&gt;"2019",_xll.DBRW($H$8,$H$12,$H$14,$H$10,$H$13,$H$11,L$2,$H$9,$A27),L26-SUM(L28:L30))</f>
        <v>0</v>
      </c>
      <c r="M27" s="318">
        <f ca="1">IF(MID($H$9,5,4)&gt;"2019",_xll.DBRW($H$8,$H$12,$H$14,$H$10,$H$13,$H$11,M$2,$H$9,$A27),M26-SUM(M28:M30))</f>
        <v>0</v>
      </c>
      <c r="N27" s="318">
        <f ca="1">IF(MID($H$9,5,4)&gt;"2019",_xll.DBRW($H$8,$H$12,$H$14,$H$10,$H$13,$H$11,N$2,$H$9,$A27),N26-SUM(N28:N30))</f>
        <v>0</v>
      </c>
      <c r="O27" s="318">
        <f ca="1">IF(MID($H$9,5,4)&gt;"2019",_xll.DBRW($H$8,$H$12,$H$14,$H$10,$H$13,$H$11,O$2,$H$9,$A27),O26-SUM(O28:O30))</f>
        <v>0</v>
      </c>
      <c r="P27" s="318">
        <f ca="1">IF(MID($H$9,5,4)&gt;"2019",_xll.DBRW($H$8,$H$12,$H$14,$H$10,$H$13,$H$11,P$2,$H$9,$A27),P26-SUM(P28:P30))</f>
        <v>0</v>
      </c>
      <c r="Q27" s="321"/>
      <c r="R27" s="322" t="str">
        <f t="shared" ca="1" si="1"/>
        <v/>
      </c>
      <c r="S27" s="323" t="str">
        <f t="shared" ca="1" si="2"/>
        <v/>
      </c>
      <c r="T27" s="284"/>
    </row>
    <row r="28" spans="1:26" s="329" customFormat="1" ht="26.25" hidden="1" outlineLevel="1">
      <c r="A28" s="317" t="s">
        <v>208</v>
      </c>
      <c r="B28" s="282" t="s">
        <v>113</v>
      </c>
      <c r="C28" s="282"/>
      <c r="D28" s="282">
        <v>8</v>
      </c>
      <c r="E28" s="250"/>
      <c r="F28" s="296"/>
      <c r="G28" s="469" t="str">
        <f ca="1">_xll.DBRA(Server&amp;$A$21,$A28,$H$15)</f>
        <v>Amortization</v>
      </c>
      <c r="H28" s="470"/>
      <c r="I28" s="318">
        <f ca="1">-_xll.DBRW($H$8,$H$12,$H$14,$H$10,$H$13,$H$11,I$2,$H$9,$B28)+_xll.DBRW($H$8,$H$12,$H$14,$H$10,$H$13,$H$11,I$2,$H$9,$A28)</f>
        <v>0</v>
      </c>
      <c r="J28" s="318">
        <f ca="1">-_xll.DBRW($H$8,$H$12,$H$14,$H$10,$H$13,$H$11,J$2,$H$9,$B28)+_xll.DBRW($H$8,$H$12,$H$14,$H$10,$H$13,$H$11,J$2,$H$9,$A28)</f>
        <v>0</v>
      </c>
      <c r="K28" s="318">
        <f ca="1">-_xll.DBRW($H$8,$H$12,$H$14,$H$10,$H$13,$H$11,K$2,$H$9,$B28)+_xll.DBRW($H$8,$H$12,$H$14,$H$10,$H$13,$H$11,K$2,$H$9,$A28)</f>
        <v>0</v>
      </c>
      <c r="L28" s="318">
        <f ca="1">-_xll.DBRW($H$8,$H$12,$H$14,$H$10,$H$13,$H$11,L$2,$H$9,$B28)+_xll.DBRW($H$8,$H$12,$H$14,$H$10,$H$13,$H$11,L$2,$H$9,$A28)</f>
        <v>0</v>
      </c>
      <c r="M28" s="318">
        <f ca="1">-_xll.DBRW($H$8,$H$12,$H$14,$H$10,$H$13,$H$11,M$2,$H$9,$B28)+_xll.DBRW($H$8,$H$12,$H$14,$H$10,$H$13,$H$11,M$2,$H$9,$A28)</f>
        <v>0</v>
      </c>
      <c r="N28" s="318">
        <f ca="1">-_xll.DBRW($H$8,$H$12,$H$14,$H$10,$H$13,$H$11,N$2,$H$9,$B28)+_xll.DBRW($H$8,$H$12,$H$14,$H$10,$H$13,$H$11,N$2,$H$9,$A28)</f>
        <v>0</v>
      </c>
      <c r="O28" s="318">
        <f ca="1">-_xll.DBRW($H$8,$H$12,$H$14,$H$10,$H$13,$H$11,O$2,$H$9,$B28)+_xll.DBRW($H$8,$H$12,$H$14,$H$10,$H$13,$H$11,O$2,$H$9,$A28)</f>
        <v>0</v>
      </c>
      <c r="P28" s="318">
        <f ca="1">-_xll.DBRW($H$8,$H$12,$H$14,$H$10,$H$13,$H$11,P$2,$H$9,$B28)+_xll.DBRW($H$8,$H$12,$H$14,$H$10,$H$13,$H$11,P$2,$H$9,$A28)</f>
        <v>0</v>
      </c>
      <c r="Q28" s="321"/>
      <c r="R28" s="322" t="str">
        <f t="shared" ca="1" si="1"/>
        <v/>
      </c>
      <c r="S28" s="323" t="str">
        <f t="shared" ca="1" si="2"/>
        <v/>
      </c>
      <c r="T28" s="284"/>
      <c r="U28" s="301"/>
      <c r="V28" s="284"/>
      <c r="W28" s="284"/>
      <c r="X28" s="284"/>
      <c r="Y28" s="284"/>
      <c r="Z28" s="284"/>
    </row>
    <row r="29" spans="1:26" s="329" customFormat="1" ht="26.25" hidden="1" outlineLevel="1">
      <c r="A29" s="317" t="s">
        <v>209</v>
      </c>
      <c r="B29" s="282" t="s">
        <v>114</v>
      </c>
      <c r="C29" s="282"/>
      <c r="D29" s="282">
        <v>9</v>
      </c>
      <c r="E29" s="250"/>
      <c r="F29" s="296"/>
      <c r="G29" s="469" t="str">
        <f ca="1">_xll.DBRA(Server&amp;$A$21,$A29,$H$15)</f>
        <v>Provisions</v>
      </c>
      <c r="H29" s="470"/>
      <c r="I29" s="318">
        <f ca="1">-_xll.DBRW($H$8,$H$12,$H$14,$H$10,$H$13,$H$11,I$2,$H$9,$B29)+_xll.DBRW($H$8,$H$12,$H$14,$H$10,$H$13,$H$11,I$2,$H$9,$A29)</f>
        <v>0</v>
      </c>
      <c r="J29" s="318">
        <f ca="1">-_xll.DBRW($H$8,$H$12,$H$14,$H$10,$H$13,$H$11,J$2,$H$9,$B29)+_xll.DBRW($H$8,$H$12,$H$14,$H$10,$H$13,$H$11,J$2,$H$9,$A29)</f>
        <v>0</v>
      </c>
      <c r="K29" s="318">
        <f ca="1">-_xll.DBRW($H$8,$H$12,$H$14,$H$10,$H$13,$H$11,K$2,$H$9,$B29)+_xll.DBRW($H$8,$H$12,$H$14,$H$10,$H$13,$H$11,K$2,$H$9,$A29)</f>
        <v>0</v>
      </c>
      <c r="L29" s="318">
        <f ca="1">-_xll.DBRW($H$8,$H$12,$H$14,$H$10,$H$13,$H$11,L$2,$H$9,$B29)+_xll.DBRW($H$8,$H$12,$H$14,$H$10,$H$13,$H$11,L$2,$H$9,$A29)</f>
        <v>0</v>
      </c>
      <c r="M29" s="318">
        <f ca="1">-_xll.DBRW($H$8,$H$12,$H$14,$H$10,$H$13,$H$11,M$2,$H$9,$B29)+_xll.DBRW($H$8,$H$12,$H$14,$H$10,$H$13,$H$11,M$2,$H$9,$A29)</f>
        <v>0</v>
      </c>
      <c r="N29" s="318">
        <f ca="1">-_xll.DBRW($H$8,$H$12,$H$14,$H$10,$H$13,$H$11,N$2,$H$9,$B29)+_xll.DBRW($H$8,$H$12,$H$14,$H$10,$H$13,$H$11,N$2,$H$9,$A29)</f>
        <v>0</v>
      </c>
      <c r="O29" s="318">
        <f ca="1">-_xll.DBRW($H$8,$H$12,$H$14,$H$10,$H$13,$H$11,O$2,$H$9,$B29)+_xll.DBRW($H$8,$H$12,$H$14,$H$10,$H$13,$H$11,O$2,$H$9,$A29)</f>
        <v>0</v>
      </c>
      <c r="P29" s="318">
        <f ca="1">-_xll.DBRW($H$8,$H$12,$H$14,$H$10,$H$13,$H$11,P$2,$H$9,$B29)+_xll.DBRW($H$8,$H$12,$H$14,$H$10,$H$13,$H$11,P$2,$H$9,$A29)</f>
        <v>0</v>
      </c>
      <c r="Q29" s="321"/>
      <c r="R29" s="322" t="str">
        <f t="shared" ca="1" si="1"/>
        <v/>
      </c>
      <c r="S29" s="323" t="str">
        <f t="shared" ca="1" si="2"/>
        <v/>
      </c>
      <c r="T29" s="284"/>
      <c r="U29" s="301"/>
      <c r="V29" s="284"/>
      <c r="W29" s="284"/>
      <c r="X29" s="284"/>
      <c r="Y29" s="284"/>
      <c r="Z29" s="284"/>
    </row>
    <row r="30" spans="1:26" s="329" customFormat="1" ht="26.25" hidden="1" outlineLevel="1">
      <c r="A30" s="330" t="s">
        <v>228</v>
      </c>
      <c r="B30" s="328" t="s">
        <v>226</v>
      </c>
      <c r="C30" s="282"/>
      <c r="D30" s="282">
        <v>10</v>
      </c>
      <c r="E30" s="250"/>
      <c r="F30" s="296"/>
      <c r="G30" s="469" t="str">
        <f ca="1">_xll.DBRA(Server&amp;$A$21,$A30,$H$15)</f>
        <v>Other non cash items (Gain or loss on sales, Impairment)</v>
      </c>
      <c r="H30" s="470"/>
      <c r="I30" s="318">
        <f ca="1">IF(MID($H$9,5,4)&gt;"2019",_xll.DBRW($H$8,$H$12,$H$14,$H$10,$H$13,$H$11,I$2,$H$9,$A30),-I52)</f>
        <v>0</v>
      </c>
      <c r="J30" s="318">
        <f ca="1">IF(MID($H$9,5,4)&gt;"2019",_xll.DBRW($H$8,$H$12,$H$14,$H$10,$H$13,$H$11,J$2,$H$9,$A30),-J52)</f>
        <v>0</v>
      </c>
      <c r="K30" s="318">
        <f ca="1">IF(MID($H$9,5,4)&gt;"2019",_xll.DBRW($H$8,$H$12,$H$14,$H$10,$H$13,$H$11,K$2,$H$9,$A30),-K52)</f>
        <v>0</v>
      </c>
      <c r="L30" s="318">
        <f ca="1">IF(MID($H$9,5,4)&gt;"2019",_xll.DBRW($H$8,$H$12,$H$14,$H$10,$H$13,$H$11,L$2,$H$9,$A30),-L52)</f>
        <v>0</v>
      </c>
      <c r="M30" s="318">
        <f ca="1">IF(MID($H$9,5,4)&gt;"2019",_xll.DBRW($H$8,$H$12,$H$14,$H$10,$H$13,$H$11,M$2,$H$9,$A30),-M52)</f>
        <v>0</v>
      </c>
      <c r="N30" s="318">
        <f ca="1">IF(MID($H$9,5,4)&gt;"2019",_xll.DBRW($H$8,$H$12,$H$14,$H$10,$H$13,$H$11,N$2,$H$9,$A30),-N52)</f>
        <v>0</v>
      </c>
      <c r="O30" s="318">
        <f ca="1">IF(MID($H$9,5,4)&gt;"2019",_xll.DBRW($H$8,$H$12,$H$14,$H$10,$H$13,$H$11,O$2,$H$9,$A30),-O52)</f>
        <v>0</v>
      </c>
      <c r="P30" s="318">
        <f ca="1">IF(MID($H$9,5,4)&gt;"2019",_xll.DBRW($H$8,$H$12,$H$14,$H$10,$H$13,$H$11,P$2,$H$9,$A30),-P52)</f>
        <v>0</v>
      </c>
      <c r="Q30" s="321"/>
      <c r="R30" s="322" t="str">
        <f t="shared" ca="1" si="1"/>
        <v/>
      </c>
      <c r="S30" s="323" t="str">
        <f t="shared" ca="1" si="2"/>
        <v/>
      </c>
      <c r="T30" s="284"/>
      <c r="U30" s="301"/>
      <c r="V30" s="284"/>
      <c r="W30" s="284"/>
      <c r="X30" s="284"/>
      <c r="Y30" s="284"/>
      <c r="Z30" s="284"/>
    </row>
    <row r="31" spans="1:26" s="329" customFormat="1" ht="27" collapsed="1" thickBot="1">
      <c r="A31" s="317" t="s">
        <v>210</v>
      </c>
      <c r="B31" s="331" t="s">
        <v>211</v>
      </c>
      <c r="C31" s="282"/>
      <c r="D31" s="282">
        <v>11</v>
      </c>
      <c r="E31" s="250"/>
      <c r="F31" s="296"/>
      <c r="G31" s="457" t="str">
        <f ca="1">_xll.DBRA(Server&amp;$A$21,$A31,$H$15)</f>
        <v>Profit or loss of associates &amp; JV</v>
      </c>
      <c r="H31" s="458"/>
      <c r="I31" s="318">
        <f ca="1">_xll.DBRW($H$8,$H$12,$H$14,$H$10,$H$13,$H$11,I$2,$H$9,$B31)+_xll.DBRW($H$8,$H$12,$H$14,$H$10,$H$13,$H$11,I$2,$H$9,$A31)</f>
        <v>0</v>
      </c>
      <c r="J31" s="318">
        <f ca="1">_xll.DBRW($H$8,$H$12,$H$14,$H$10,$H$13,$H$11,J$2,$H$9,$B31)+_xll.DBRW($H$8,$H$12,$H$14,$H$10,$H$13,$H$11,J$2,$H$9,$A31)</f>
        <v>0</v>
      </c>
      <c r="K31" s="318">
        <f ca="1">_xll.DBRW($H$8,$H$12,$H$14,$H$10,$H$13,$H$11,K$2,$H$9,$B31)+_xll.DBRW($H$8,$H$12,$H$14,$H$10,$H$13,$H$11,K$2,$H$9,$A31)</f>
        <v>0</v>
      </c>
      <c r="L31" s="318">
        <f ca="1">_xll.DBRW($H$8,$H$12,$H$14,$H$10,$H$13,$H$11,L$2,$H$9,$B31)+_xll.DBRW($H$8,$H$12,$H$14,$H$10,$H$13,$H$11,L$2,$H$9,$A31)</f>
        <v>0</v>
      </c>
      <c r="M31" s="318">
        <f ca="1">_xll.DBRW($H$8,$H$12,$H$14,$H$10,$H$13,$H$11,M$2,$H$9,$B31)+_xll.DBRW($H$8,$H$12,$H$14,$H$10,$H$13,$H$11,M$2,$H$9,$A31)</f>
        <v>0</v>
      </c>
      <c r="N31" s="318">
        <f ca="1">_xll.DBRW($H$8,$H$12,$H$14,$H$10,$H$13,$H$11,N$2,$H$9,$B31)+_xll.DBRW($H$8,$H$12,$H$14,$H$10,$H$13,$H$11,N$2,$H$9,$A31)</f>
        <v>0</v>
      </c>
      <c r="O31" s="318">
        <f ca="1">_xll.DBRW($H$8,$H$12,$H$14,$H$10,$H$13,$H$11,O$2,$H$9,$B31)+_xll.DBRW($H$8,$H$12,$H$14,$H$10,$H$13,$H$11,O$2,$H$9,$A31)</f>
        <v>0</v>
      </c>
      <c r="P31" s="318">
        <f ca="1">_xll.DBRW($H$8,$H$12,$H$14,$H$10,$H$13,$H$11,P$2,$H$9,$B31)+_xll.DBRW($H$8,$H$12,$H$14,$H$10,$H$13,$H$11,P$2,$H$9,$A31)</f>
        <v>0</v>
      </c>
      <c r="Q31" s="321"/>
      <c r="R31" s="322" t="str">
        <f t="shared" ca="1" si="1"/>
        <v/>
      </c>
      <c r="S31" s="323" t="str">
        <f t="shared" ca="1" si="2"/>
        <v/>
      </c>
      <c r="T31" s="284"/>
      <c r="U31" s="301"/>
      <c r="V31" s="284"/>
      <c r="W31" s="284"/>
      <c r="X31" s="284"/>
      <c r="Y31" s="284"/>
      <c r="Z31" s="284"/>
    </row>
    <row r="32" spans="1:26" s="329" customFormat="1" ht="27" thickBot="1">
      <c r="A32" s="317" t="s">
        <v>192</v>
      </c>
      <c r="B32" s="331"/>
      <c r="C32" s="282"/>
      <c r="D32" s="282">
        <v>12</v>
      </c>
      <c r="E32" s="250"/>
      <c r="F32" s="296"/>
      <c r="G32" s="471" t="str">
        <f ca="1">_xll.DBRA(Server&amp;$A$21,$A32,$H$15)</f>
        <v>RESOP before Management fees</v>
      </c>
      <c r="H32" s="471"/>
      <c r="I32" s="325">
        <f ca="1">_xll.DBRW($H$8,$H$12,$H$14,$H$10,$H$13,$H$11,I$2,$H$9,$A32)</f>
        <v>0</v>
      </c>
      <c r="J32" s="325">
        <f ca="1">_xll.DBRW($H$8,$H$12,$H$14,$H$10,$H$13,$H$11,J$2,$H$9,$A32)</f>
        <v>0</v>
      </c>
      <c r="K32" s="325">
        <f ca="1">_xll.DBRW($H$8,$H$12,$H$14,$H$10,$H$13,$H$11,K$2,$H$9,$A32)</f>
        <v>0</v>
      </c>
      <c r="L32" s="325">
        <f ca="1">_xll.DBRW($H$8,$H$12,$H$14,$H$10,$H$13,$H$11,L$2,$H$9,$A32)</f>
        <v>0</v>
      </c>
      <c r="M32" s="325">
        <f ca="1">_xll.DBRW($H$8,$H$12,$H$14,$H$10,$H$13,$H$11,M$2,$H$9,$A32)</f>
        <v>0</v>
      </c>
      <c r="N32" s="325">
        <f ca="1">_xll.DBRW($H$8,$H$12,$H$14,$H$10,$H$13,$H$11,N$2,$H$9,$A32)</f>
        <v>0</v>
      </c>
      <c r="O32" s="325">
        <f ca="1">_xll.DBRW($H$8,$H$12,$H$14,$H$10,$H$13,$H$11,O$2,$H$9,$A32)</f>
        <v>0</v>
      </c>
      <c r="P32" s="325">
        <f ca="1">_xll.DBRW($H$8,$H$12,$H$14,$H$10,$H$13,$H$11,P$2,$H$9,$A32)</f>
        <v>0</v>
      </c>
      <c r="Q32" s="326">
        <f ca="1">SUM(I25:P25)+SUM(I26:P26)+SUM(I31:P31)-SUM(I32:P32)</f>
        <v>0</v>
      </c>
      <c r="R32" s="327" t="str">
        <f t="shared" ca="1" si="1"/>
        <v/>
      </c>
      <c r="S32" s="327" t="str">
        <f t="shared" ca="1" si="2"/>
        <v/>
      </c>
      <c r="T32" s="284"/>
      <c r="U32" s="301"/>
      <c r="V32" s="284"/>
      <c r="W32" s="284"/>
      <c r="X32" s="284"/>
      <c r="Y32" s="284"/>
      <c r="Z32" s="284"/>
    </row>
    <row r="33" spans="1:26" s="342" customFormat="1" ht="26.25">
      <c r="A33" s="332" t="s">
        <v>226</v>
      </c>
      <c r="B33" s="333"/>
      <c r="C33" s="334"/>
      <c r="D33" s="282">
        <v>13</v>
      </c>
      <c r="E33" s="335"/>
      <c r="F33" s="336"/>
      <c r="G33" s="337" t="str">
        <f ca="1">IF($H$15="English","        EBIT bef. MF margin (% ROA)","        Marge RESOP av. FS (%PAO)")</f>
        <v xml:space="preserve">        EBIT bef. MF margin (% ROA)</v>
      </c>
      <c r="H33" s="337"/>
      <c r="I33" s="338">
        <f t="shared" ref="I33:P33" ca="1" si="4">IF(ISERROR(+I$32/I$25)=TRUE,0,+I$32/I$25)</f>
        <v>0</v>
      </c>
      <c r="J33" s="338">
        <f t="shared" ca="1" si="4"/>
        <v>0</v>
      </c>
      <c r="K33" s="338">
        <f t="shared" ca="1" si="4"/>
        <v>0</v>
      </c>
      <c r="L33" s="338">
        <f t="shared" ca="1" si="4"/>
        <v>0</v>
      </c>
      <c r="M33" s="338">
        <f t="shared" ca="1" si="4"/>
        <v>0</v>
      </c>
      <c r="N33" s="338">
        <f t="shared" ca="1" si="4"/>
        <v>0</v>
      </c>
      <c r="O33" s="338">
        <f t="shared" ca="1" si="4"/>
        <v>0</v>
      </c>
      <c r="P33" s="338">
        <f t="shared" ca="1" si="4"/>
        <v>0</v>
      </c>
      <c r="Q33" s="326"/>
      <c r="R33" s="339"/>
      <c r="S33" s="339"/>
      <c r="T33" s="340"/>
      <c r="U33" s="341"/>
      <c r="V33" s="340"/>
      <c r="W33" s="340"/>
      <c r="X33" s="340"/>
      <c r="Y33" s="340"/>
      <c r="Z33" s="340"/>
    </row>
    <row r="34" spans="1:26" s="329" customFormat="1" ht="27" thickBot="1">
      <c r="A34" s="317" t="s">
        <v>229</v>
      </c>
      <c r="B34" s="282"/>
      <c r="C34" s="282"/>
      <c r="D34" s="282">
        <v>14</v>
      </c>
      <c r="E34" s="250"/>
      <c r="F34" s="296"/>
      <c r="G34" s="457" t="str">
        <f ca="1">_xll.DBRA(Server&amp;$A$21,$A34,$H$15)</f>
        <v>Management fees</v>
      </c>
      <c r="H34" s="458"/>
      <c r="I34" s="318">
        <f ca="1">_xll.DBRW($H$8,$H$12,$H$14,$H$10,$H$13,$H$11,I$2,$H$9,$A34)</f>
        <v>0</v>
      </c>
      <c r="J34" s="319">
        <f ca="1">_xll.DBRW($H$8,$H$12,$H$14,$H$10,$H$13,$H$11,J$2,$H$9,$A34)</f>
        <v>0</v>
      </c>
      <c r="K34" s="319">
        <f ca="1">_xll.DBRW($H$8,$H$12,$H$14,$H$10,$H$13,$H$11,K$2,$H$9,$A34)</f>
        <v>0</v>
      </c>
      <c r="L34" s="319">
        <f ca="1">_xll.DBRW($H$8,$H$12,$H$14,$H$10,$H$13,$H$11,L$2,$H$9,$A34)</f>
        <v>0</v>
      </c>
      <c r="M34" s="319">
        <f ca="1">_xll.DBRW($H$8,$H$12,$H$14,$H$10,$H$13,$H$11,M$2,$H$9,$A34)</f>
        <v>0</v>
      </c>
      <c r="N34" s="319">
        <f ca="1">_xll.DBRW($H$8,$H$12,$H$14,$H$10,$H$13,$H$11,N$2,$H$9,$A34)</f>
        <v>0</v>
      </c>
      <c r="O34" s="319">
        <f ca="1">_xll.DBRW($H$8,$H$12,$H$14,$H$10,$H$13,$H$11,O$2,$H$9,$A34)</f>
        <v>0</v>
      </c>
      <c r="P34" s="320">
        <f ca="1">_xll.DBRW($H$8,$H$12,$H$14,$H$10,$H$13,$H$11,P$2,$H$9,$A34)</f>
        <v>0</v>
      </c>
      <c r="Q34" s="321"/>
      <c r="R34" s="343" t="str">
        <f t="shared" ref="R34:R35" ca="1" si="5">IF(ISERROR((M34/J34)^(1/3)-1),"",(M34/J34)^(1/3)-1)</f>
        <v/>
      </c>
      <c r="S34" s="343" t="str">
        <f t="shared" ref="S34:S35" ca="1" si="6">IF(ISERROR((P34/J34)^(1/6)-1),"",(P34/J34)^(1/6)-1)</f>
        <v/>
      </c>
      <c r="T34" s="284"/>
      <c r="U34" s="301"/>
      <c r="V34" s="284"/>
      <c r="W34" s="284"/>
      <c r="X34" s="284"/>
      <c r="Y34" s="284"/>
      <c r="Z34" s="284"/>
    </row>
    <row r="35" spans="1:26" ht="27" thickBot="1">
      <c r="A35" s="317" t="s">
        <v>230</v>
      </c>
      <c r="B35" s="331"/>
      <c r="C35" s="282"/>
      <c r="D35" s="282">
        <v>15</v>
      </c>
      <c r="G35" s="472" t="str">
        <f ca="1">_xll.DBRA(Server&amp;$A$21,$A35,$H$15)</f>
        <v>OPERATING PROFIT</v>
      </c>
      <c r="H35" s="472"/>
      <c r="I35" s="325">
        <f ca="1">_xll.DBRW($H$8,$H$12,$H$14,$H$10,$H$13,$H$11,I$2,$H$9,$A35)</f>
        <v>0</v>
      </c>
      <c r="J35" s="325">
        <f ca="1">_xll.DBRW($H$8,$H$12,$H$14,$H$10,$H$13,$H$11,J$2,$H$9,$A35)</f>
        <v>0</v>
      </c>
      <c r="K35" s="325">
        <f ca="1">_xll.DBRW($H$8,$H$12,$H$14,$H$10,$H$13,$H$11,K$2,$H$9,$A35)</f>
        <v>0</v>
      </c>
      <c r="L35" s="325">
        <f ca="1">_xll.DBRW($H$8,$H$12,$H$14,$H$10,$H$13,$H$11,L$2,$H$9,$A35)</f>
        <v>0</v>
      </c>
      <c r="M35" s="325">
        <f ca="1">_xll.DBRW($H$8,$H$12,$H$14,$H$10,$H$13,$H$11,M$2,$H$9,$A35)</f>
        <v>0</v>
      </c>
      <c r="N35" s="325">
        <f ca="1">_xll.DBRW($H$8,$H$12,$H$14,$H$10,$H$13,$H$11,N$2,$H$9,$A35)</f>
        <v>0</v>
      </c>
      <c r="O35" s="325">
        <f ca="1">_xll.DBRW($H$8,$H$12,$H$14,$H$10,$H$13,$H$11,O$2,$H$9,$A35)</f>
        <v>0</v>
      </c>
      <c r="P35" s="325">
        <f ca="1">_xll.DBRW($H$8,$H$12,$H$14,$H$10,$H$13,$H$11,P$2,$H$9,$A35)</f>
        <v>0</v>
      </c>
      <c r="Q35" s="326">
        <f ca="1">SUM(I35:P35)-SUM(I32:P32)-SUM(I34:P34)</f>
        <v>0</v>
      </c>
      <c r="R35" s="327" t="str">
        <f t="shared" ca="1" si="5"/>
        <v/>
      </c>
      <c r="S35" s="327" t="str">
        <f t="shared" ca="1" si="6"/>
        <v/>
      </c>
      <c r="T35" s="284"/>
    </row>
    <row r="36" spans="1:26" s="340" customFormat="1" ht="26.25">
      <c r="A36" s="332" t="s">
        <v>226</v>
      </c>
      <c r="B36" s="333"/>
      <c r="C36" s="334"/>
      <c r="D36" s="282">
        <v>16</v>
      </c>
      <c r="E36" s="335"/>
      <c r="F36" s="336"/>
      <c r="G36" s="337" t="str">
        <f ca="1">IF(H15="English","        EBIT margin (% ROA)","        Marge RESOP (%PAO)")</f>
        <v xml:space="preserve">        EBIT margin (% ROA)</v>
      </c>
      <c r="H36" s="337"/>
      <c r="I36" s="338">
        <f t="shared" ref="I36:P36" ca="1" si="7">IF(ISERROR(+I$35/I$25)=TRUE,0,+I$35/I$25)</f>
        <v>0</v>
      </c>
      <c r="J36" s="338">
        <f t="shared" ca="1" si="7"/>
        <v>0</v>
      </c>
      <c r="K36" s="338">
        <f t="shared" ca="1" si="7"/>
        <v>0</v>
      </c>
      <c r="L36" s="338">
        <f t="shared" ca="1" si="7"/>
        <v>0</v>
      </c>
      <c r="M36" s="338">
        <f t="shared" ca="1" si="7"/>
        <v>0</v>
      </c>
      <c r="N36" s="338">
        <f t="shared" ca="1" si="7"/>
        <v>0</v>
      </c>
      <c r="O36" s="338">
        <f t="shared" ca="1" si="7"/>
        <v>0</v>
      </c>
      <c r="P36" s="338">
        <f t="shared" ca="1" si="7"/>
        <v>0</v>
      </c>
      <c r="Q36" s="321"/>
      <c r="R36" s="339"/>
      <c r="S36" s="339"/>
      <c r="U36" s="341"/>
    </row>
    <row r="37" spans="1:26" ht="26.25">
      <c r="A37" s="317" t="s">
        <v>231</v>
      </c>
      <c r="B37" s="331"/>
      <c r="C37" s="282"/>
      <c r="D37" s="282">
        <v>17</v>
      </c>
      <c r="G37" s="457" t="str">
        <f ca="1">_xll.DBRA(Server&amp;$A$21,$A37,$H$15)</f>
        <v>Cost of net financial debt (total)</v>
      </c>
      <c r="H37" s="458"/>
      <c r="I37" s="318">
        <f ca="1">_xll.DBRW($H$8,$H$12,$H$14,$H$10,$H$13,$H$11,I$2,$H$9,$A37)</f>
        <v>0</v>
      </c>
      <c r="J37" s="319">
        <f ca="1">_xll.DBRW($H$8,$H$12,$H$14,$H$10,$H$13,$H$11,J$2,$H$9,$A37)</f>
        <v>0</v>
      </c>
      <c r="K37" s="319">
        <f ca="1">_xll.DBRW($H$8,$H$12,$H$14,$H$10,$H$13,$H$11,K$2,$H$9,$A37)</f>
        <v>0</v>
      </c>
      <c r="L37" s="319">
        <f ca="1">_xll.DBRW($H$8,$H$12,$H$14,$H$10,$H$13,$H$11,L$2,$H$9,$A37)</f>
        <v>0</v>
      </c>
      <c r="M37" s="319">
        <f ca="1">_xll.DBRW($H$8,$H$12,$H$14,$H$10,$H$13,$H$11,M$2,$H$9,$A37)</f>
        <v>0</v>
      </c>
      <c r="N37" s="319">
        <f ca="1">_xll.DBRW($H$8,$H$12,$H$14,$H$10,$H$13,$H$11,N$2,$H$9,$A37)</f>
        <v>0</v>
      </c>
      <c r="O37" s="319">
        <f ca="1">_xll.DBRW($H$8,$H$12,$H$14,$H$10,$H$13,$H$11,O$2,$H$9,$A37)</f>
        <v>0</v>
      </c>
      <c r="P37" s="320">
        <f ca="1">_xll.DBRW($H$8,$H$12,$H$14,$H$10,$H$13,$H$11,P$2,$H$9,$A37)</f>
        <v>0</v>
      </c>
      <c r="Q37" s="306"/>
      <c r="R37" s="322" t="str">
        <f t="shared" ref="R37:R42" ca="1" si="8">IF(ISERROR((M37/J37)^(1/3)-1),"",(M37/J37)^(1/3)-1)</f>
        <v/>
      </c>
      <c r="S37" s="323" t="str">
        <f t="shared" ref="S37:S42" ca="1" si="9">IF(ISERROR((P37/J37)^(1/6)-1),"",(P37/J37)^(1/6)-1)</f>
        <v/>
      </c>
      <c r="T37" s="284"/>
    </row>
    <row r="38" spans="1:26" ht="27" thickBot="1">
      <c r="A38" s="317" t="s">
        <v>232</v>
      </c>
      <c r="B38" s="282"/>
      <c r="C38" s="282"/>
      <c r="D38" s="282">
        <v>18</v>
      </c>
      <c r="G38" s="457" t="str">
        <f ca="1">_xll.DBRA(Server&amp;$A$21,$A38,$H$15)</f>
        <v>Other financial result</v>
      </c>
      <c r="H38" s="458"/>
      <c r="I38" s="318">
        <f ca="1">_xll.DBRW($H$8,$H$12,$H$14,$H$10,$H$13,$H$11,I$2,$H$9,$A38)</f>
        <v>0</v>
      </c>
      <c r="J38" s="319">
        <f ca="1">_xll.DBRW($H$8,$H$12,$H$14,$H$10,$H$13,$H$11,J$2,$H$9,$A38)</f>
        <v>0</v>
      </c>
      <c r="K38" s="319">
        <f ca="1">_xll.DBRW($H$8,$H$12,$H$14,$H$10,$H$13,$H$11,K$2,$H$9,$A38)</f>
        <v>0</v>
      </c>
      <c r="L38" s="319">
        <f ca="1">_xll.DBRW($H$8,$H$12,$H$14,$H$10,$H$13,$H$11,L$2,$H$9,$A38)</f>
        <v>0</v>
      </c>
      <c r="M38" s="319">
        <f ca="1">_xll.DBRW($H$8,$H$12,$H$14,$H$10,$H$13,$H$11,M$2,$H$9,$A38)</f>
        <v>0</v>
      </c>
      <c r="N38" s="319">
        <f ca="1">_xll.DBRW($H$8,$H$12,$H$14,$H$10,$H$13,$H$11,N$2,$H$9,$A38)</f>
        <v>0</v>
      </c>
      <c r="O38" s="319">
        <f ca="1">_xll.DBRW($H$8,$H$12,$H$14,$H$10,$H$13,$H$11,O$2,$H$9,$A38)</f>
        <v>0</v>
      </c>
      <c r="P38" s="320">
        <f ca="1">_xll.DBRW($H$8,$H$12,$H$14,$H$10,$H$13,$H$11,P$2,$H$9,$A38)</f>
        <v>0</v>
      </c>
      <c r="Q38" s="306"/>
      <c r="R38" s="322" t="str">
        <f t="shared" ca="1" si="8"/>
        <v/>
      </c>
      <c r="S38" s="323" t="str">
        <f t="shared" ca="1" si="9"/>
        <v/>
      </c>
      <c r="T38" s="284"/>
    </row>
    <row r="39" spans="1:26" ht="27" thickBot="1">
      <c r="A39" s="317" t="s">
        <v>233</v>
      </c>
      <c r="B39" s="331"/>
      <c r="C39" s="282"/>
      <c r="D39" s="282">
        <v>19</v>
      </c>
      <c r="G39" s="463" t="str">
        <f ca="1">_xll.DBRA(Server&amp;$A$21,$A39,$H$15)</f>
        <v>PROFIT OR LOSS before Tax</v>
      </c>
      <c r="H39" s="464"/>
      <c r="I39" s="325">
        <f ca="1">_xll.DBRW($H$8,$H$12,$H$14,$H$10,$H$13,$H$11,I$2,$H$9,$A39)</f>
        <v>0</v>
      </c>
      <c r="J39" s="325">
        <f ca="1">_xll.DBRW($H$8,$H$12,$H$14,$H$10,$H$13,$H$11,J$2,$H$9,$A39)</f>
        <v>0</v>
      </c>
      <c r="K39" s="325">
        <f ca="1">_xll.DBRW($H$8,$H$12,$H$14,$H$10,$H$13,$H$11,K$2,$H$9,$A39)</f>
        <v>0</v>
      </c>
      <c r="L39" s="325">
        <f ca="1">_xll.DBRW($H$8,$H$12,$H$14,$H$10,$H$13,$H$11,L$2,$H$9,$A39)</f>
        <v>0</v>
      </c>
      <c r="M39" s="325">
        <f ca="1">_xll.DBRW($H$8,$H$12,$H$14,$H$10,$H$13,$H$11,M$2,$H$9,$A39)</f>
        <v>0</v>
      </c>
      <c r="N39" s="325">
        <f ca="1">_xll.DBRW($H$8,$H$12,$H$14,$H$10,$H$13,$H$11,N$2,$H$9,$A39)</f>
        <v>0</v>
      </c>
      <c r="O39" s="325">
        <f ca="1">_xll.DBRW($H$8,$H$12,$H$14,$H$10,$H$13,$H$11,O$2,$H$9,$A39)</f>
        <v>0</v>
      </c>
      <c r="P39" s="325">
        <f ca="1">_xll.DBRW($H$8,$H$12,$H$14,$H$10,$H$13,$H$11,P$2,$H$9,$A39)</f>
        <v>0</v>
      </c>
      <c r="Q39" s="326">
        <f ca="1">SUM(I39:P39)-SUM(I35:P35)-SUM(I37:P38)</f>
        <v>0</v>
      </c>
      <c r="R39" s="344" t="str">
        <f t="shared" ca="1" si="8"/>
        <v/>
      </c>
      <c r="S39" s="344" t="str">
        <f t="shared" ca="1" si="9"/>
        <v/>
      </c>
      <c r="T39" s="284"/>
    </row>
    <row r="40" spans="1:26" s="329" customFormat="1" ht="27" thickBot="1">
      <c r="A40" s="317" t="s">
        <v>234</v>
      </c>
      <c r="B40" s="345"/>
      <c r="C40" s="282"/>
      <c r="D40" s="282">
        <v>20</v>
      </c>
      <c r="E40" s="250"/>
      <c r="F40" s="296"/>
      <c r="G40" s="457" t="str">
        <f ca="1">_xll.DBRA(Server&amp;$A$21,$A40,$H$15)</f>
        <v>Income tax expense</v>
      </c>
      <c r="H40" s="458"/>
      <c r="I40" s="318">
        <f ca="1">_xll.DBRW($H$8,$H$12,$H$14,$H$10,$H$13,$H$11,I$2,$H$9,$A40)</f>
        <v>0</v>
      </c>
      <c r="J40" s="319">
        <f ca="1">_xll.DBRW($H$8,$H$12,$H$14,$H$10,$H$13,$H$11,J$2,$H$9,$A40)</f>
        <v>0</v>
      </c>
      <c r="K40" s="319">
        <f ca="1">_xll.DBRW($H$8,$H$12,$H$14,$H$10,$H$13,$H$11,K$2,$H$9,$A40)</f>
        <v>0</v>
      </c>
      <c r="L40" s="319">
        <f ca="1">_xll.DBRW($H$8,$H$12,$H$14,$H$10,$H$13,$H$11,L$2,$H$9,$A40)</f>
        <v>0</v>
      </c>
      <c r="M40" s="319">
        <f ca="1">_xll.DBRW($H$8,$H$12,$H$14,$H$10,$H$13,$H$11,M$2,$H$9,$A40)</f>
        <v>0</v>
      </c>
      <c r="N40" s="319">
        <f ca="1">_xll.DBRW($H$8,$H$12,$H$14,$H$10,$H$13,$H$11,N$2,$H$9,$A40)</f>
        <v>0</v>
      </c>
      <c r="O40" s="319">
        <f ca="1">_xll.DBRW($H$8,$H$12,$H$14,$H$10,$H$13,$H$11,O$2,$H$9,$A40)</f>
        <v>0</v>
      </c>
      <c r="P40" s="320">
        <f ca="1">_xll.DBRW($H$8,$H$12,$H$14,$H$10,$H$13,$H$11,P$2,$H$9,$A40)</f>
        <v>0</v>
      </c>
      <c r="Q40" s="326"/>
      <c r="R40" s="322" t="str">
        <f t="shared" ca="1" si="8"/>
        <v/>
      </c>
      <c r="S40" s="323" t="str">
        <f t="shared" ca="1" si="9"/>
        <v/>
      </c>
      <c r="T40" s="284"/>
      <c r="U40" s="301"/>
      <c r="V40" s="284"/>
      <c r="W40" s="284"/>
      <c r="X40" s="284"/>
      <c r="Y40" s="284"/>
      <c r="Z40" s="284"/>
    </row>
    <row r="41" spans="1:26" ht="27" hidden="1" outlineLevel="1" thickBot="1">
      <c r="A41" s="317" t="s">
        <v>235</v>
      </c>
      <c r="B41" s="345"/>
      <c r="C41" s="282"/>
      <c r="D41" s="282">
        <v>21</v>
      </c>
      <c r="G41" s="457" t="str">
        <f ca="1">_xll.DBRA(Server&amp;$A$21,$A41,$H$15)</f>
        <v>Profit or loss from discontinued activities</v>
      </c>
      <c r="H41" s="458"/>
      <c r="I41" s="318">
        <f ca="1">_xll.DBRW($H$8,$H$12,$H$14,$H$10,$H$13,$H$11,I$2,$H$9,$A41)</f>
        <v>0</v>
      </c>
      <c r="J41" s="319">
        <f ca="1">_xll.DBRW($H$8,$H$12,$H$14,$H$10,$H$13,$H$11,J$2,$H$9,$A41)</f>
        <v>0</v>
      </c>
      <c r="K41" s="319">
        <f ca="1">_xll.DBRW($H$8,$H$12,$H$14,$H$10,$H$13,$H$11,K$2,$H$9,$A41)</f>
        <v>0</v>
      </c>
      <c r="L41" s="319">
        <f ca="1">_xll.DBRW($H$8,$H$12,$H$14,$H$10,$H$13,$H$11,L$2,$H$9,$A41)</f>
        <v>0</v>
      </c>
      <c r="M41" s="319">
        <f ca="1">_xll.DBRW($H$8,$H$12,$H$14,$H$10,$H$13,$H$11,M$2,$H$9,$A41)</f>
        <v>0</v>
      </c>
      <c r="N41" s="319">
        <f ca="1">_xll.DBRW($H$8,$H$12,$H$14,$H$10,$H$13,$H$11,N$2,$H$9,$A41)</f>
        <v>0</v>
      </c>
      <c r="O41" s="319">
        <f ca="1">_xll.DBRW($H$8,$H$12,$H$14,$H$10,$H$13,$H$11,O$2,$H$9,$A41)</f>
        <v>0</v>
      </c>
      <c r="P41" s="320">
        <f ca="1">_xll.DBRW($H$8,$H$12,$H$14,$H$10,$H$13,$H$11,P$2,$H$9,$A41)</f>
        <v>0</v>
      </c>
      <c r="Q41" s="326"/>
      <c r="R41" s="322" t="str">
        <f t="shared" ca="1" si="8"/>
        <v/>
      </c>
      <c r="S41" s="323" t="str">
        <f t="shared" ca="1" si="9"/>
        <v/>
      </c>
      <c r="T41" s="284"/>
    </row>
    <row r="42" spans="1:26" ht="27" collapsed="1" thickBot="1">
      <c r="A42" s="317" t="s">
        <v>236</v>
      </c>
      <c r="B42" s="331"/>
      <c r="C42" s="282"/>
      <c r="D42" s="282">
        <v>22</v>
      </c>
      <c r="G42" s="463" t="str">
        <f ca="1">_xll.DBRA(Server&amp;$A$21,$A42,$H$15)</f>
        <v>NET PROFIT OR LOSS</v>
      </c>
      <c r="H42" s="464"/>
      <c r="I42" s="346">
        <f ca="1">_xll.DBRW($H$8,$H$12,$H$14,$H$10,$H$13,$H$11,I$2,$H$9,$A42)</f>
        <v>0</v>
      </c>
      <c r="J42" s="346">
        <f ca="1">_xll.DBRW($H$8,$H$12,$H$14,$H$10,$H$13,$H$11,J$2,$H$9,$A42)</f>
        <v>0</v>
      </c>
      <c r="K42" s="346">
        <f ca="1">_xll.DBRW($H$8,$H$12,$H$14,$H$10,$H$13,$H$11,K$2,$H$9,$A42)</f>
        <v>0</v>
      </c>
      <c r="L42" s="346">
        <f ca="1">_xll.DBRW($H$8,$H$12,$H$14,$H$10,$H$13,$H$11,L$2,$H$9,$A42)</f>
        <v>0</v>
      </c>
      <c r="M42" s="346">
        <f ca="1">_xll.DBRW($H$8,$H$12,$H$14,$H$10,$H$13,$H$11,M$2,$H$9,$A42)</f>
        <v>0</v>
      </c>
      <c r="N42" s="346">
        <f ca="1">_xll.DBRW($H$8,$H$12,$H$14,$H$10,$H$13,$H$11,N$2,$H$9,$A42)</f>
        <v>0</v>
      </c>
      <c r="O42" s="346">
        <f ca="1">_xll.DBRW($H$8,$H$12,$H$14,$H$10,$H$13,$H$11,O$2,$H$9,$A42)</f>
        <v>0</v>
      </c>
      <c r="P42" s="346">
        <f ca="1">_xll.DBRW($H$8,$H$12,$H$14,$H$10,$H$13,$H$11,P$2,$H$9,$A42)</f>
        <v>0</v>
      </c>
      <c r="Q42" s="326">
        <f ca="1">SUM(I42:P42)-SUM(I39:P41)</f>
        <v>0</v>
      </c>
      <c r="R42" s="344" t="str">
        <f t="shared" ca="1" si="8"/>
        <v/>
      </c>
      <c r="S42" s="344" t="str">
        <f t="shared" ca="1" si="9"/>
        <v/>
      </c>
      <c r="T42" s="284"/>
    </row>
    <row r="43" spans="1:26" ht="27" thickBot="1">
      <c r="A43" s="317" t="s">
        <v>237</v>
      </c>
      <c r="B43" s="282"/>
      <c r="C43" s="282"/>
      <c r="D43" s="282">
        <v>23</v>
      </c>
      <c r="G43" s="457" t="str">
        <f ca="1">_xll.DBRA(Server&amp;$A$21,$A43,$H$15)</f>
        <v>Non controlling Interest</v>
      </c>
      <c r="H43" s="458"/>
      <c r="I43" s="318">
        <f ca="1">_xll.DBRW($H$8,$H$12,$H$14,$H$10,$H$13,$H$11,I$2,$H$9,$A43)</f>
        <v>0</v>
      </c>
      <c r="J43" s="319">
        <f ca="1">_xll.DBRW($H$8,$H$12,$H$14,$H$10,$H$13,$H$11,J$2,$H$9,$A43)</f>
        <v>0</v>
      </c>
      <c r="K43" s="319">
        <f ca="1">_xll.DBRW($H$8,$H$12,$H$14,$H$10,$H$13,$H$11,K$2,$H$9,$A43)</f>
        <v>0</v>
      </c>
      <c r="L43" s="319">
        <f ca="1">_xll.DBRW($H$8,$H$12,$H$14,$H$10,$H$13,$H$11,L$2,$H$9,$A43)</f>
        <v>0</v>
      </c>
      <c r="M43" s="319">
        <f ca="1">_xll.DBRW($H$8,$H$12,$H$14,$H$10,$H$13,$H$11,M$2,$H$9,$A43)</f>
        <v>0</v>
      </c>
      <c r="N43" s="319">
        <f ca="1">_xll.DBRW($H$8,$H$12,$H$14,$H$10,$H$13,$H$11,N$2,$H$9,$A43)</f>
        <v>0</v>
      </c>
      <c r="O43" s="319">
        <f ca="1">_xll.DBRW($H$8,$H$12,$H$14,$H$10,$H$13,$H$11,O$2,$H$9,$A43)</f>
        <v>0</v>
      </c>
      <c r="P43" s="320">
        <f ca="1">_xll.DBRW($H$8,$H$12,$H$14,$H$10,$H$13,$H$11,P$2,$H$9,$A43)</f>
        <v>0</v>
      </c>
      <c r="Q43" s="326"/>
      <c r="R43" s="322" t="str">
        <f ca="1">IF(ISERROR((M43/J43)^(1/3)-1),"",(M43/J43)^(1/3)-1)</f>
        <v/>
      </c>
      <c r="S43" s="323" t="str">
        <f ca="1">IF(ISERROR((P43/J43)^(1/6)-1),"",(P43/J43)^(1/6)-1)</f>
        <v/>
      </c>
      <c r="T43" s="284"/>
    </row>
    <row r="44" spans="1:26" ht="27" thickBot="1">
      <c r="A44" s="317" t="s">
        <v>23</v>
      </c>
      <c r="B44" s="331"/>
      <c r="C44" s="282"/>
      <c r="D44" s="282">
        <v>24</v>
      </c>
      <c r="G44" s="463" t="str">
        <f ca="1">_xll.DBRA(Server&amp;$A$21,$A44,$H$15)</f>
        <v>NET PROFIT OR LOSS ATTRIBUTABLE TO GROUP</v>
      </c>
      <c r="H44" s="464"/>
      <c r="I44" s="346">
        <f ca="1">_xll.DBRW($H$8,$H$12,$H$14,$H$10,$H$13,$H$11,I$2,$H$9,$A44)</f>
        <v>0</v>
      </c>
      <c r="J44" s="346">
        <f ca="1">_xll.DBRW($H$8,$H$12,$H$14,$H$10,$H$13,$H$11,J$2,$H$9,$A44)</f>
        <v>0</v>
      </c>
      <c r="K44" s="346">
        <f ca="1">_xll.DBRW($H$8,$H$12,$H$14,$H$10,$H$13,$H$11,K$2,$H$9,$A44)</f>
        <v>0</v>
      </c>
      <c r="L44" s="346">
        <f ca="1">_xll.DBRW($H$8,$H$12,$H$14,$H$10,$H$13,$H$11,L$2,$H$9,$A44)</f>
        <v>0</v>
      </c>
      <c r="M44" s="346">
        <f ca="1">_xll.DBRW($H$8,$H$12,$H$14,$H$10,$H$13,$H$11,M$2,$H$9,$A44)</f>
        <v>0</v>
      </c>
      <c r="N44" s="346">
        <f ca="1">_xll.DBRW($H$8,$H$12,$H$14,$H$10,$H$13,$H$11,N$2,$H$9,$A44)</f>
        <v>0</v>
      </c>
      <c r="O44" s="346">
        <f ca="1">_xll.DBRW($H$8,$H$12,$H$14,$H$10,$H$13,$H$11,O$2,$H$9,$A44)</f>
        <v>0</v>
      </c>
      <c r="P44" s="346">
        <f ca="1">_xll.DBRW($H$8,$H$12,$H$14,$H$10,$H$13,$H$11,P$2,$H$9,$A44)</f>
        <v>0</v>
      </c>
      <c r="Q44" s="326">
        <f ca="1">SUM(I44:P44)-SUM(I42:P43)</f>
        <v>0</v>
      </c>
      <c r="R44" s="344" t="str">
        <f ca="1">IF(ISERROR((M44/J44)^(1/3)-1),"",(M44/J44)^(1/3)-1)</f>
        <v/>
      </c>
      <c r="S44" s="344" t="str">
        <f ca="1">IF(ISERROR((P44/J44)^(1/6)-1),"",(P44/J44)^(1/6)-1)</f>
        <v/>
      </c>
      <c r="T44" s="284"/>
    </row>
    <row r="45" spans="1:26" s="340" customFormat="1" ht="26.25">
      <c r="A45" s="332" t="s">
        <v>226</v>
      </c>
      <c r="B45" s="333"/>
      <c r="C45" s="334"/>
      <c r="D45" s="282">
        <v>25</v>
      </c>
      <c r="E45" s="335"/>
      <c r="F45" s="336"/>
      <c r="G45" s="337" t="str">
        <f ca="1">IF(H15="English","        Net profit GS margin (% ROA)","        Marge RNPG (%PAO)")</f>
        <v xml:space="preserve">        Net profit GS margin (% ROA)</v>
      </c>
      <c r="H45" s="337"/>
      <c r="I45" s="338">
        <f t="shared" ref="I45:P45" ca="1" si="10">IF(ISERROR(+I$44/I$25)=TRUE,0,+I$44/I$25)</f>
        <v>0</v>
      </c>
      <c r="J45" s="338">
        <f t="shared" ca="1" si="10"/>
        <v>0</v>
      </c>
      <c r="K45" s="338">
        <f t="shared" ca="1" si="10"/>
        <v>0</v>
      </c>
      <c r="L45" s="338">
        <f t="shared" ca="1" si="10"/>
        <v>0</v>
      </c>
      <c r="M45" s="338">
        <f t="shared" ca="1" si="10"/>
        <v>0</v>
      </c>
      <c r="N45" s="338">
        <f t="shared" ca="1" si="10"/>
        <v>0</v>
      </c>
      <c r="O45" s="338">
        <f t="shared" ca="1" si="10"/>
        <v>0</v>
      </c>
      <c r="P45" s="338">
        <f t="shared" ca="1" si="10"/>
        <v>0</v>
      </c>
      <c r="Q45" s="326"/>
      <c r="R45" s="339"/>
      <c r="S45" s="339"/>
      <c r="U45" s="341"/>
    </row>
    <row r="46" spans="1:26" ht="26.25">
      <c r="A46" s="282"/>
      <c r="B46" s="282"/>
      <c r="C46" s="282"/>
      <c r="D46" s="282">
        <v>26</v>
      </c>
      <c r="G46" s="347"/>
      <c r="H46" s="348" t="s">
        <v>238</v>
      </c>
      <c r="I46" s="349"/>
      <c r="J46" s="349"/>
      <c r="K46" s="349"/>
      <c r="L46" s="349"/>
      <c r="M46" s="349"/>
      <c r="N46" s="349"/>
      <c r="O46" s="349"/>
      <c r="P46" s="349"/>
      <c r="Q46" s="326"/>
      <c r="R46" s="329"/>
      <c r="T46" s="284"/>
    </row>
    <row r="47" spans="1:26" s="309" customFormat="1" ht="26.25">
      <c r="A47" s="302"/>
      <c r="B47" s="302"/>
      <c r="C47" s="302"/>
      <c r="D47" s="302">
        <v>27</v>
      </c>
      <c r="E47" s="303"/>
      <c r="F47" s="304"/>
      <c r="G47" s="454" t="str">
        <f ca="1">_xll.DBRA(Server&amp;#REF!,#REF!,$H$15)</f>
        <v/>
      </c>
      <c r="H47" s="454"/>
      <c r="I47" s="305" t="str">
        <f ca="1">I$21</f>
        <v>Actual 2022</v>
      </c>
      <c r="J47" s="305" t="str">
        <f t="shared" ref="J47:P47" ca="1" si="11">J$21</f>
        <v>F2 2023</v>
      </c>
      <c r="K47" s="305" t="str">
        <f t="shared" ca="1" si="11"/>
        <v>Budget 2024</v>
      </c>
      <c r="L47" s="305" t="str">
        <f t="shared" ca="1" si="11"/>
        <v>LTP 2025</v>
      </c>
      <c r="M47" s="305" t="str">
        <f t="shared" ca="1" si="11"/>
        <v>LTP 2026</v>
      </c>
      <c r="N47" s="305" t="str">
        <f t="shared" ca="1" si="11"/>
        <v>LTP 2027</v>
      </c>
      <c r="O47" s="305" t="str">
        <f t="shared" ca="1" si="11"/>
        <v>LTP 2028</v>
      </c>
      <c r="P47" s="305" t="str">
        <f t="shared" ca="1" si="11"/>
        <v>LTP 2029</v>
      </c>
      <c r="Q47" s="326"/>
      <c r="R47" s="307" t="str">
        <f ca="1">_xll.DBRA(Server&amp;#REF!,#REF!,$H$15)&amp;" "&amp;MID($H$1,7,2)&amp;"-"&amp;MID($M$2,10,2)</f>
        <v xml:space="preserve"> 23-26</v>
      </c>
      <c r="S47" s="308" t="str">
        <f ca="1">_xll.DBRA(Server&amp;#REF!,#REF!,$H$15)&amp;" "&amp;MID($H$1,7,2)&amp;"-"&amp;MID($P$2,10,2)</f>
        <v xml:space="preserve"> 23-29</v>
      </c>
      <c r="U47" s="310"/>
    </row>
    <row r="48" spans="1:26" ht="27" thickBot="1">
      <c r="A48" s="282"/>
      <c r="B48" s="282"/>
      <c r="C48" s="282"/>
      <c r="D48" s="282">
        <v>28</v>
      </c>
      <c r="G48" s="313"/>
      <c r="H48" s="314"/>
      <c r="I48" s="315"/>
      <c r="J48" s="315"/>
      <c r="K48" s="315"/>
      <c r="L48" s="315"/>
      <c r="M48" s="315"/>
      <c r="N48" s="315"/>
      <c r="O48" s="315"/>
      <c r="P48" s="315"/>
      <c r="Q48" s="326"/>
      <c r="R48" s="316"/>
      <c r="S48" s="316"/>
      <c r="T48" s="284"/>
    </row>
    <row r="49" spans="1:20" ht="27" thickBot="1">
      <c r="A49" s="317" t="s">
        <v>230</v>
      </c>
      <c r="B49" s="331"/>
      <c r="C49" s="282"/>
      <c r="D49" s="282">
        <v>29</v>
      </c>
      <c r="G49" s="465" t="str">
        <f ca="1">_xll.DBRA(Server&amp;$A$21,$A49,$H$15)</f>
        <v>OPERATING PROFIT</v>
      </c>
      <c r="H49" s="465"/>
      <c r="I49" s="350">
        <f ca="1">_xll.DBRW($H$8,$H$12,$H$14,$H$10,$H$13,$H$11,I$2,$H$9,$A49)</f>
        <v>0</v>
      </c>
      <c r="J49" s="350">
        <f ca="1">_xll.DBRW($H$8,$H$12,$H$14,$H$10,$H$13,$H$11,J$2,$H$9,$A49)</f>
        <v>0</v>
      </c>
      <c r="K49" s="350">
        <f ca="1">_xll.DBRW($H$8,$H$12,$H$14,$H$10,$H$13,$H$11,K$2,$H$9,$A49)</f>
        <v>0</v>
      </c>
      <c r="L49" s="350">
        <f ca="1">_xll.DBRW($H$8,$H$12,$H$14,$H$10,$H$13,$H$11,L$2,$H$9,$A49)</f>
        <v>0</v>
      </c>
      <c r="M49" s="350">
        <f ca="1">_xll.DBRW($H$8,$H$12,$H$14,$H$10,$H$13,$H$11,M$2,$H$9,$A49)</f>
        <v>0</v>
      </c>
      <c r="N49" s="350">
        <f ca="1">_xll.DBRW($H$8,$H$12,$H$14,$H$10,$H$13,$H$11,N$2,$H$9,$A49)</f>
        <v>0</v>
      </c>
      <c r="O49" s="350">
        <f ca="1">_xll.DBRW($H$8,$H$12,$H$14,$H$10,$H$13,$H$11,O$2,$H$9,$A49)</f>
        <v>0</v>
      </c>
      <c r="P49" s="350">
        <f ca="1">_xll.DBRW($H$8,$H$12,$H$14,$H$10,$H$13,$H$11,P$2,$H$9,$A49)</f>
        <v>0</v>
      </c>
      <c r="Q49" s="326">
        <f ca="1">SUM(I49:P49)-SUM(I35:P35)</f>
        <v>0</v>
      </c>
      <c r="R49" s="351" t="str">
        <f t="shared" ref="R49:R59" ca="1" si="12">IF(ISERROR((M49/J49)^(1/3)-1),"",(M49/J49)^(1/3)-1)</f>
        <v/>
      </c>
      <c r="S49" s="351" t="str">
        <f t="shared" ref="S49:S59" ca="1" si="13">IF(ISERROR((P49/J49)^(1/6)-1),"",(P49/J49)^(1/6)-1)</f>
        <v/>
      </c>
      <c r="T49" s="284"/>
    </row>
    <row r="50" spans="1:20" ht="26.25">
      <c r="A50" s="317" t="s">
        <v>208</v>
      </c>
      <c r="B50" s="282" t="s">
        <v>113</v>
      </c>
      <c r="C50" s="282"/>
      <c r="D50" s="282">
        <v>30</v>
      </c>
      <c r="G50" s="466" t="str">
        <f ca="1">_xll.DBRA(Server&amp;$A$21,$A50,$H$15)</f>
        <v>Amortization</v>
      </c>
      <c r="H50" s="466"/>
      <c r="I50" s="352">
        <f ca="1">_xll.DBRW($H$8,$H$12,$H$14,$H$10,$H$13,$H$11,I$2,$H$9,$B50)-_xll.DBRW($H$8,$H$12,$H$14,$H$10,$H$13,$H$11,I$2,$H$9,$A50)</f>
        <v>0</v>
      </c>
      <c r="J50" s="352">
        <f ca="1">_xll.DBRW($H$8,$H$12,$H$14,$H$10,$H$13,$H$11,J$2,$H$9,$B50)-_xll.DBRW($H$8,$H$12,$H$14,$H$10,$H$13,$H$11,J$2,$H$9,$A50)</f>
        <v>0</v>
      </c>
      <c r="K50" s="352">
        <f ca="1">_xll.DBRW($H$8,$H$12,$H$14,$H$10,$H$13,$H$11,K$2,$H$9,$B50)-_xll.DBRW($H$8,$H$12,$H$14,$H$10,$H$13,$H$11,K$2,$H$9,$A50)</f>
        <v>0</v>
      </c>
      <c r="L50" s="352">
        <f ca="1">_xll.DBRW($H$8,$H$12,$H$14,$H$10,$H$13,$H$11,L$2,$H$9,$B50)-_xll.DBRW($H$8,$H$12,$H$14,$H$10,$H$13,$H$11,L$2,$H$9,$A50)</f>
        <v>0</v>
      </c>
      <c r="M50" s="352">
        <f ca="1">_xll.DBRW($H$8,$H$12,$H$14,$H$10,$H$13,$H$11,M$2,$H$9,$B50)-_xll.DBRW($H$8,$H$12,$H$14,$H$10,$H$13,$H$11,M$2,$H$9,$A50)</f>
        <v>0</v>
      </c>
      <c r="N50" s="352">
        <f ca="1">_xll.DBRW($H$8,$H$12,$H$14,$H$10,$H$13,$H$11,N$2,$H$9,$B50)-_xll.DBRW($H$8,$H$12,$H$14,$H$10,$H$13,$H$11,N$2,$H$9,$A50)</f>
        <v>0</v>
      </c>
      <c r="O50" s="352">
        <f ca="1">_xll.DBRW($H$8,$H$12,$H$14,$H$10,$H$13,$H$11,O$2,$H$9,$B50)-_xll.DBRW($H$8,$H$12,$H$14,$H$10,$H$13,$H$11,O$2,$H$9,$A50)</f>
        <v>0</v>
      </c>
      <c r="P50" s="352">
        <f ca="1">_xll.DBRW($H$8,$H$12,$H$14,$H$10,$H$13,$H$11,P$2,$H$9,$B50)-_xll.DBRW($H$8,$H$12,$H$14,$H$10,$H$13,$H$11,P$2,$H$9,$A50)</f>
        <v>0</v>
      </c>
      <c r="Q50" s="326"/>
      <c r="R50" s="353" t="str">
        <f t="shared" ca="1" si="12"/>
        <v/>
      </c>
      <c r="S50" s="354" t="str">
        <f t="shared" ca="1" si="13"/>
        <v/>
      </c>
      <c r="T50" s="284"/>
    </row>
    <row r="51" spans="1:20" ht="26.25">
      <c r="A51" s="317" t="s">
        <v>209</v>
      </c>
      <c r="B51" s="282" t="s">
        <v>114</v>
      </c>
      <c r="C51" s="282"/>
      <c r="D51" s="282">
        <v>31</v>
      </c>
      <c r="G51" s="457" t="str">
        <f ca="1">_xll.DBRA(Server&amp;$A$21,$A51,$H$15)</f>
        <v>Provisions</v>
      </c>
      <c r="H51" s="458"/>
      <c r="I51" s="318">
        <f ca="1">_xll.DBRW($H$8,$H$12,$H$14,$H$10,$H$13,$H$11,I$2,$H$9,$B51)-_xll.DBRW($H$8,$H$12,$H$14,$H$10,$H$13,$H$11,I$2,$H$9,$A51)</f>
        <v>0</v>
      </c>
      <c r="J51" s="318">
        <f ca="1">_xll.DBRW($H$8,$H$12,$H$14,$H$10,$H$13,$H$11,J$2,$H$9,$B51)-_xll.DBRW($H$8,$H$12,$H$14,$H$10,$H$13,$H$11,J$2,$H$9,$A51)</f>
        <v>0</v>
      </c>
      <c r="K51" s="318">
        <f ca="1">_xll.DBRW($H$8,$H$12,$H$14,$H$10,$H$13,$H$11,K$2,$H$9,$B51)-_xll.DBRW($H$8,$H$12,$H$14,$H$10,$H$13,$H$11,K$2,$H$9,$A51)</f>
        <v>0</v>
      </c>
      <c r="L51" s="318">
        <f ca="1">_xll.DBRW($H$8,$H$12,$H$14,$H$10,$H$13,$H$11,L$2,$H$9,$B51)-_xll.DBRW($H$8,$H$12,$H$14,$H$10,$H$13,$H$11,L$2,$H$9,$A51)</f>
        <v>0</v>
      </c>
      <c r="M51" s="318">
        <f ca="1">_xll.DBRW($H$8,$H$12,$H$14,$H$10,$H$13,$H$11,M$2,$H$9,$B51)-_xll.DBRW($H$8,$H$12,$H$14,$H$10,$H$13,$H$11,M$2,$H$9,$A51)</f>
        <v>0</v>
      </c>
      <c r="N51" s="318">
        <f ca="1">_xll.DBRW($H$8,$H$12,$H$14,$H$10,$H$13,$H$11,N$2,$H$9,$B51)-_xll.DBRW($H$8,$H$12,$H$14,$H$10,$H$13,$H$11,N$2,$H$9,$A51)</f>
        <v>0</v>
      </c>
      <c r="O51" s="318">
        <f ca="1">_xll.DBRW($H$8,$H$12,$H$14,$H$10,$H$13,$H$11,O$2,$H$9,$B51)-_xll.DBRW($H$8,$H$12,$H$14,$H$10,$H$13,$H$11,O$2,$H$9,$A51)</f>
        <v>0</v>
      </c>
      <c r="P51" s="318">
        <f ca="1">_xll.DBRW($H$8,$H$12,$H$14,$H$10,$H$13,$H$11,P$2,$H$9,$B51)-_xll.DBRW($H$8,$H$12,$H$14,$H$10,$H$13,$H$11,P$2,$H$9,$A51)</f>
        <v>0</v>
      </c>
      <c r="Q51" s="326"/>
      <c r="R51" s="322" t="str">
        <f t="shared" ca="1" si="12"/>
        <v/>
      </c>
      <c r="S51" s="323" t="str">
        <f t="shared" ca="1" si="13"/>
        <v/>
      </c>
      <c r="T51" s="284"/>
    </row>
    <row r="52" spans="1:20" ht="26.25">
      <c r="A52" s="317" t="s">
        <v>228</v>
      </c>
      <c r="B52" s="328" t="s">
        <v>226</v>
      </c>
      <c r="C52" s="282"/>
      <c r="D52" s="282">
        <v>32</v>
      </c>
      <c r="G52" s="457" t="str">
        <f ca="1">_xll.DBRA(Server&amp;$A$21,$A52,$H$15)</f>
        <v>Other non cash items (Gain or loss on sales, Impairment)</v>
      </c>
      <c r="H52" s="458"/>
      <c r="I52" s="318">
        <f ca="1">I54-I49-I50-I51-I53</f>
        <v>0</v>
      </c>
      <c r="J52" s="318">
        <f t="shared" ref="J52:P52" ca="1" si="14">J54-J49-J50-J51-J53</f>
        <v>0</v>
      </c>
      <c r="K52" s="318">
        <f t="shared" ca="1" si="14"/>
        <v>0</v>
      </c>
      <c r="L52" s="318">
        <f t="shared" ca="1" si="14"/>
        <v>0</v>
      </c>
      <c r="M52" s="318">
        <f t="shared" ca="1" si="14"/>
        <v>0</v>
      </c>
      <c r="N52" s="318">
        <f t="shared" ca="1" si="14"/>
        <v>0</v>
      </c>
      <c r="O52" s="318">
        <f t="shared" ca="1" si="14"/>
        <v>0</v>
      </c>
      <c r="P52" s="318">
        <f t="shared" ca="1" si="14"/>
        <v>0</v>
      </c>
      <c r="Q52" s="326"/>
      <c r="R52" s="322" t="str">
        <f t="shared" ca="1" si="12"/>
        <v/>
      </c>
      <c r="S52" s="323" t="str">
        <f t="shared" ca="1" si="13"/>
        <v/>
      </c>
      <c r="T52" s="284"/>
    </row>
    <row r="53" spans="1:20" ht="27" thickBot="1">
      <c r="A53" s="317" t="s">
        <v>210</v>
      </c>
      <c r="B53" s="331" t="s">
        <v>211</v>
      </c>
      <c r="C53" s="282"/>
      <c r="D53" s="282">
        <v>33</v>
      </c>
      <c r="G53" s="457" t="str">
        <f ca="1">_xll.DBRA(Server&amp;$A$21,$A53,$H$15)</f>
        <v>Profit or loss of associates &amp; JV</v>
      </c>
      <c r="H53" s="458"/>
      <c r="I53" s="318">
        <f ca="1">-_xll.DBRW($H$8,$H$12,$H$14,$H$10,$H$13,$H$11,I$2,$H$9,$B53)-_xll.DBRW($H$8,$H$12,$H$14,$H$10,$H$13,$H$11,I$2,$H$9,$A53)</f>
        <v>0</v>
      </c>
      <c r="J53" s="318">
        <f ca="1">-_xll.DBRW($H$8,$H$12,$H$14,$H$10,$H$13,$H$11,J$2,$H$9,$B53)-_xll.DBRW($H$8,$H$12,$H$14,$H$10,$H$13,$H$11,J$2,$H$9,$A53)</f>
        <v>0</v>
      </c>
      <c r="K53" s="318">
        <f ca="1">-_xll.DBRW($H$8,$H$12,$H$14,$H$10,$H$13,$H$11,K$2,$H$9,$B53)-_xll.DBRW($H$8,$H$12,$H$14,$H$10,$H$13,$H$11,K$2,$H$9,$A53)</f>
        <v>0</v>
      </c>
      <c r="L53" s="318">
        <f ca="1">-_xll.DBRW($H$8,$H$12,$H$14,$H$10,$H$13,$H$11,L$2,$H$9,$B53)-_xll.DBRW($H$8,$H$12,$H$14,$H$10,$H$13,$H$11,L$2,$H$9,$A53)</f>
        <v>0</v>
      </c>
      <c r="M53" s="318">
        <f ca="1">-_xll.DBRW($H$8,$H$12,$H$14,$H$10,$H$13,$H$11,M$2,$H$9,$B53)-_xll.DBRW($H$8,$H$12,$H$14,$H$10,$H$13,$H$11,M$2,$H$9,$A53)</f>
        <v>0</v>
      </c>
      <c r="N53" s="318">
        <f ca="1">-_xll.DBRW($H$8,$H$12,$H$14,$H$10,$H$13,$H$11,N$2,$H$9,$B53)-_xll.DBRW($H$8,$H$12,$H$14,$H$10,$H$13,$H$11,N$2,$H$9,$A53)</f>
        <v>0</v>
      </c>
      <c r="O53" s="318">
        <f ca="1">-_xll.DBRW($H$8,$H$12,$H$14,$H$10,$H$13,$H$11,O$2,$H$9,$B53)-_xll.DBRW($H$8,$H$12,$H$14,$H$10,$H$13,$H$11,O$2,$H$9,$A53)</f>
        <v>0</v>
      </c>
      <c r="P53" s="318">
        <f ca="1">-_xll.DBRW($H$8,$H$12,$H$14,$H$10,$H$13,$H$11,P$2,$H$9,$B53)-_xll.DBRW($H$8,$H$12,$H$14,$H$10,$H$13,$H$11,P$2,$H$9,$A53)</f>
        <v>0</v>
      </c>
      <c r="Q53" s="326"/>
      <c r="R53" s="322" t="str">
        <f t="shared" ca="1" si="12"/>
        <v/>
      </c>
      <c r="S53" s="323" t="str">
        <f t="shared" ca="1" si="13"/>
        <v/>
      </c>
      <c r="T53" s="284"/>
    </row>
    <row r="54" spans="1:20" ht="27" thickBot="1">
      <c r="A54" s="317" t="s">
        <v>239</v>
      </c>
      <c r="B54" s="331"/>
      <c r="C54" s="282"/>
      <c r="D54" s="282">
        <v>34</v>
      </c>
      <c r="G54" s="456" t="str">
        <f ca="1">_xll.DBRA(Server&amp;$A$21,$A54,$H$15)</f>
        <v>OPERATING CASH FLOW (EBITDA)</v>
      </c>
      <c r="H54" s="456"/>
      <c r="I54" s="346">
        <f ca="1">_xll.DBRW($H$8,$H$12,$H$14,$H$10,$H$13,$H$11,I$2,$H$9,$A54)</f>
        <v>0</v>
      </c>
      <c r="J54" s="346">
        <f ca="1">_xll.DBRW($H$8,$H$12,$H$14,$H$10,$H$13,$H$11,J$2,$H$9,$A54)</f>
        <v>0</v>
      </c>
      <c r="K54" s="346">
        <f ca="1">_xll.DBRW($H$8,$H$12,$H$14,$H$10,$H$13,$H$11,K$2,$H$9,$A54)</f>
        <v>0</v>
      </c>
      <c r="L54" s="346">
        <f ca="1">_xll.DBRW($H$8,$H$12,$H$14,$H$10,$H$13,$H$11,L$2,$H$9,$A54)</f>
        <v>0</v>
      </c>
      <c r="M54" s="346">
        <f ca="1">_xll.DBRW($H$8,$H$12,$H$14,$H$10,$H$13,$H$11,M$2,$H$9,$A54)</f>
        <v>0</v>
      </c>
      <c r="N54" s="346">
        <f ca="1">_xll.DBRW($H$8,$H$12,$H$14,$H$10,$H$13,$H$11,N$2,$H$9,$A54)</f>
        <v>0</v>
      </c>
      <c r="O54" s="346">
        <f ca="1">_xll.DBRW($H$8,$H$12,$H$14,$H$10,$H$13,$H$11,O$2,$H$9,$A54)</f>
        <v>0</v>
      </c>
      <c r="P54" s="346">
        <f ca="1">_xll.DBRW($H$8,$H$12,$H$14,$H$10,$H$13,$H$11,P$2,$H$9,$A54)</f>
        <v>0</v>
      </c>
      <c r="Q54" s="326">
        <f ca="1">SUM(I54:P54)-SUM(I49:P53)</f>
        <v>0</v>
      </c>
      <c r="R54" s="344" t="str">
        <f t="shared" ca="1" si="12"/>
        <v/>
      </c>
      <c r="S54" s="344" t="str">
        <f t="shared" ca="1" si="13"/>
        <v/>
      </c>
      <c r="T54" s="284"/>
    </row>
    <row r="55" spans="1:20" ht="27" thickBot="1">
      <c r="A55" s="317" t="s">
        <v>240</v>
      </c>
      <c r="B55" s="282"/>
      <c r="C55" s="282"/>
      <c r="D55" s="282">
        <v>35</v>
      </c>
      <c r="G55" s="457" t="str">
        <f ca="1">_xll.DBRA(Server&amp;$A$21,$A55,$H$15)</f>
        <v>Other financial income and expenses (cash)</v>
      </c>
      <c r="H55" s="458"/>
      <c r="I55" s="318">
        <f ca="1">_xll.DBRW($H$8,$H$12,$H$14,$H$10,$H$13,$H$11,I$2,$H$9,$A55)</f>
        <v>0</v>
      </c>
      <c r="J55" s="318">
        <f ca="1">_xll.DBRW($H$8,$H$12,$H$14,$H$10,$H$13,$H$11,J$2,$H$9,$A55)</f>
        <v>0</v>
      </c>
      <c r="K55" s="318">
        <f ca="1">_xll.DBRW($H$8,$H$12,$H$14,$H$10,$H$13,$H$11,K$2,$H$9,$A55)</f>
        <v>0</v>
      </c>
      <c r="L55" s="318">
        <f ca="1">_xll.DBRW($H$8,$H$12,$H$14,$H$10,$H$13,$H$11,L$2,$H$9,$A55)</f>
        <v>0</v>
      </c>
      <c r="M55" s="318">
        <f ca="1">_xll.DBRW($H$8,$H$12,$H$14,$H$10,$H$13,$H$11,M$2,$H$9,$A55)</f>
        <v>0</v>
      </c>
      <c r="N55" s="318">
        <f ca="1">_xll.DBRW($H$8,$H$12,$H$14,$H$10,$H$13,$H$11,N$2,$H$9,$A55)</f>
        <v>0</v>
      </c>
      <c r="O55" s="318">
        <f ca="1">_xll.DBRW($H$8,$H$12,$H$14,$H$10,$H$13,$H$11,O$2,$H$9,$A55)</f>
        <v>0</v>
      </c>
      <c r="P55" s="318">
        <f ca="1">_xll.DBRW($H$8,$H$12,$H$14,$H$10,$H$13,$H$11,P$2,$H$9,$A55)</f>
        <v>0</v>
      </c>
      <c r="Q55" s="326"/>
      <c r="R55" s="322" t="str">
        <f t="shared" ca="1" si="12"/>
        <v/>
      </c>
      <c r="S55" s="323" t="str">
        <f t="shared" ca="1" si="13"/>
        <v/>
      </c>
      <c r="T55" s="284"/>
    </row>
    <row r="56" spans="1:20" ht="27" hidden="1" outlineLevel="1" thickBot="1">
      <c r="A56" s="317" t="s">
        <v>241</v>
      </c>
      <c r="B56" s="282"/>
      <c r="C56" s="282"/>
      <c r="D56" s="282">
        <v>36</v>
      </c>
      <c r="G56" s="457" t="str">
        <f ca="1">_xll.DBRA(Server&amp;$A$21,$A56,$H$15)</f>
        <v>Operating cash flow from discontinued activities</v>
      </c>
      <c r="H56" s="458"/>
      <c r="I56" s="318">
        <f ca="1">_xll.DBRW($H$8,$H$12,$H$14,$H$10,$H$13,$H$11,I$2,$H$9,$A56)</f>
        <v>0</v>
      </c>
      <c r="J56" s="318">
        <f ca="1">_xll.DBRW($H$8,$H$12,$H$14,$H$10,$H$13,$H$11,J$2,$H$9,$A56)</f>
        <v>0</v>
      </c>
      <c r="K56" s="318">
        <f ca="1">_xll.DBRW($H$8,$H$12,$H$14,$H$10,$H$13,$H$11,K$2,$H$9,$A56)</f>
        <v>0</v>
      </c>
      <c r="L56" s="318">
        <f ca="1">_xll.DBRW($H$8,$H$12,$H$14,$H$10,$H$13,$H$11,L$2,$H$9,$A56)</f>
        <v>0</v>
      </c>
      <c r="M56" s="318">
        <f ca="1">_xll.DBRW($H$8,$H$12,$H$14,$H$10,$H$13,$H$11,M$2,$H$9,$A56)</f>
        <v>0</v>
      </c>
      <c r="N56" s="318">
        <f ca="1">_xll.DBRW($H$8,$H$12,$H$14,$H$10,$H$13,$H$11,N$2,$H$9,$A56)</f>
        <v>0</v>
      </c>
      <c r="O56" s="318">
        <f ca="1">_xll.DBRW($H$8,$H$12,$H$14,$H$10,$H$13,$H$11,O$2,$H$9,$A56)</f>
        <v>0</v>
      </c>
      <c r="P56" s="318">
        <f ca="1">_xll.DBRW($H$8,$H$12,$H$14,$H$10,$H$13,$H$11,P$2,$H$9,$A56)</f>
        <v>0</v>
      </c>
      <c r="Q56" s="326"/>
      <c r="R56" s="322" t="str">
        <f t="shared" ca="1" si="12"/>
        <v/>
      </c>
      <c r="S56" s="323" t="str">
        <f t="shared" ca="1" si="13"/>
        <v/>
      </c>
      <c r="T56" s="284"/>
    </row>
    <row r="57" spans="1:20" ht="27" collapsed="1" thickBot="1">
      <c r="A57" s="317" t="s">
        <v>242</v>
      </c>
      <c r="B57" s="331"/>
      <c r="C57" s="282"/>
      <c r="D57" s="282">
        <v>37</v>
      </c>
      <c r="G57" s="456" t="str">
        <f ca="1">_xll.DBRA(Server&amp;$A$21,$A57,$H$15)</f>
        <v>CASH FLOW FROM OPERATION ACTIVITIES before WC &amp; Tax</v>
      </c>
      <c r="H57" s="456"/>
      <c r="I57" s="346">
        <f ca="1">_xll.DBRW($H$8,$H$12,$H$14,$H$10,$H$13,$H$11,I$2,$H$9,$A57)</f>
        <v>0</v>
      </c>
      <c r="J57" s="346">
        <f ca="1">_xll.DBRW($H$8,$H$12,$H$14,$H$10,$H$13,$H$11,J$2,$H$9,$A57)</f>
        <v>0</v>
      </c>
      <c r="K57" s="346">
        <f ca="1">_xll.DBRW($H$8,$H$12,$H$14,$H$10,$H$13,$H$11,K$2,$H$9,$A57)</f>
        <v>0</v>
      </c>
      <c r="L57" s="346">
        <f ca="1">_xll.DBRW($H$8,$H$12,$H$14,$H$10,$H$13,$H$11,L$2,$H$9,$A57)</f>
        <v>0</v>
      </c>
      <c r="M57" s="346">
        <f ca="1">_xll.DBRW($H$8,$H$12,$H$14,$H$10,$H$13,$H$11,M$2,$H$9,$A57)</f>
        <v>0</v>
      </c>
      <c r="N57" s="346">
        <f ca="1">_xll.DBRW($H$8,$H$12,$H$14,$H$10,$H$13,$H$11,N$2,$H$9,$A57)</f>
        <v>0</v>
      </c>
      <c r="O57" s="346">
        <f ca="1">_xll.DBRW($H$8,$H$12,$H$14,$H$10,$H$13,$H$11,O$2,$H$9,$A57)</f>
        <v>0</v>
      </c>
      <c r="P57" s="346">
        <f ca="1">_xll.DBRW($H$8,$H$12,$H$14,$H$10,$H$13,$H$11,P$2,$H$9,$A57)</f>
        <v>0</v>
      </c>
      <c r="Q57" s="326">
        <f ca="1">SUM(I57:P57)-SUM(I54:P56)</f>
        <v>0</v>
      </c>
      <c r="R57" s="344" t="str">
        <f t="shared" ca="1" si="12"/>
        <v/>
      </c>
      <c r="S57" s="344" t="str">
        <f t="shared" ca="1" si="13"/>
        <v/>
      </c>
      <c r="T57" s="284"/>
    </row>
    <row r="58" spans="1:20" ht="26.25">
      <c r="A58" s="317" t="s">
        <v>243</v>
      </c>
      <c r="B58" s="282"/>
      <c r="C58" s="282"/>
      <c r="D58" s="282">
        <v>38</v>
      </c>
      <c r="G58" s="457" t="str">
        <f ca="1">_xll.DBRA(Server&amp;$A$21,$A58,$H$15)</f>
        <v>Income tax paid &amp; tax working capital</v>
      </c>
      <c r="H58" s="458"/>
      <c r="I58" s="318">
        <f ca="1">_xll.DBRW($H$8,$H$12,$H$14,$H$10,$H$13,$H$11,I$2,$H$9,$A58)</f>
        <v>0</v>
      </c>
      <c r="J58" s="319">
        <f ca="1">_xll.DBRW($H$8,$H$12,$H$14,$H$10,$H$13,$H$11,J$2,$H$9,$A58)</f>
        <v>0</v>
      </c>
      <c r="K58" s="319">
        <f ca="1">_xll.DBRW($H$8,$H$12,$H$14,$H$10,$H$13,$H$11,K$2,$H$9,$A58)</f>
        <v>0</v>
      </c>
      <c r="L58" s="319">
        <f ca="1">_xll.DBRW($H$8,$H$12,$H$14,$H$10,$H$13,$H$11,L$2,$H$9,$A58)</f>
        <v>0</v>
      </c>
      <c r="M58" s="319">
        <f ca="1">_xll.DBRW($H$8,$H$12,$H$14,$H$10,$H$13,$H$11,M$2,$H$9,$A58)</f>
        <v>0</v>
      </c>
      <c r="N58" s="319">
        <f ca="1">_xll.DBRW($H$8,$H$12,$H$14,$H$10,$H$13,$H$11,N$2,$H$9,$A58)</f>
        <v>0</v>
      </c>
      <c r="O58" s="319">
        <f ca="1">_xll.DBRW($H$8,$H$12,$H$14,$H$10,$H$13,$H$11,O$2,$H$9,$A58)</f>
        <v>0</v>
      </c>
      <c r="P58" s="320">
        <f ca="1">_xll.DBRW($H$8,$H$12,$H$14,$H$10,$H$13,$H$11,P$2,$H$9,$A58)</f>
        <v>0</v>
      </c>
      <c r="Q58" s="326"/>
      <c r="R58" s="322" t="str">
        <f t="shared" ca="1" si="12"/>
        <v/>
      </c>
      <c r="S58" s="323" t="str">
        <f t="shared" ca="1" si="13"/>
        <v/>
      </c>
      <c r="T58" s="284"/>
    </row>
    <row r="59" spans="1:20" ht="27" thickBot="1">
      <c r="A59" s="317" t="s">
        <v>15</v>
      </c>
      <c r="B59" s="282"/>
      <c r="C59" s="282"/>
      <c r="D59" s="282">
        <v>39</v>
      </c>
      <c r="G59" s="457" t="str">
        <f ca="1">_xll.DBRA(Server&amp;$A$21,$A59,$H$15)</f>
        <v>Change in operating working capital</v>
      </c>
      <c r="H59" s="458"/>
      <c r="I59" s="318">
        <f ca="1">_xll.DBRW($H$8,$H$12,$H$14,$H$10,$H$13,$H$11,I$2,$H$9,$A59)</f>
        <v>0</v>
      </c>
      <c r="J59" s="319">
        <f ca="1">_xll.DBRW($H$8,$H$12,$H$14,$H$10,$H$13,$H$11,J$2,$H$9,$A59)</f>
        <v>0</v>
      </c>
      <c r="K59" s="319">
        <f ca="1">_xll.DBRW($H$8,$H$12,$H$14,$H$10,$H$13,$H$11,K$2,$H$9,$A59)</f>
        <v>0</v>
      </c>
      <c r="L59" s="319">
        <f ca="1">_xll.DBRW($H$8,$H$12,$H$14,$H$10,$H$13,$H$11,L$2,$H$9,$A59)</f>
        <v>0</v>
      </c>
      <c r="M59" s="319">
        <f ca="1">_xll.DBRW($H$8,$H$12,$H$14,$H$10,$H$13,$H$11,M$2,$H$9,$A59)</f>
        <v>0</v>
      </c>
      <c r="N59" s="319">
        <f ca="1">_xll.DBRW($H$8,$H$12,$H$14,$H$10,$H$13,$H$11,N$2,$H$9,$A59)</f>
        <v>0</v>
      </c>
      <c r="O59" s="319">
        <f ca="1">_xll.DBRW($H$8,$H$12,$H$14,$H$10,$H$13,$H$11,O$2,$H$9,$A59)</f>
        <v>0</v>
      </c>
      <c r="P59" s="320">
        <f ca="1">_xll.DBRW($H$8,$H$12,$H$14,$H$10,$H$13,$H$11,P$2,$H$9,$A59)</f>
        <v>0</v>
      </c>
      <c r="Q59" s="326"/>
      <c r="R59" s="322" t="str">
        <f t="shared" ca="1" si="12"/>
        <v/>
      </c>
      <c r="S59" s="323" t="str">
        <f t="shared" ca="1" si="13"/>
        <v/>
      </c>
      <c r="T59" s="284"/>
    </row>
    <row r="60" spans="1:20" ht="27" thickBot="1">
      <c r="A60" s="317" t="s">
        <v>244</v>
      </c>
      <c r="B60" s="331"/>
      <c r="C60" s="282"/>
      <c r="D60" s="282">
        <v>40</v>
      </c>
      <c r="G60" s="456" t="str">
        <f ca="1">_xll.DBRA(Server&amp;$A$21,$A60,$H$15)</f>
        <v>NET CASH FLOW FROM OPERATIONS</v>
      </c>
      <c r="H60" s="456"/>
      <c r="I60" s="346">
        <f ca="1">_xll.DBRW($H$8,$H$12,$H$14,$H$10,$H$13,$H$11,I$2,$H$9,$A60)</f>
        <v>0</v>
      </c>
      <c r="J60" s="346">
        <f ca="1">_xll.DBRW($H$8,$H$12,$H$14,$H$10,$H$13,$H$11,J$2,$H$9,$A60)</f>
        <v>0</v>
      </c>
      <c r="K60" s="346">
        <f ca="1">_xll.DBRW($H$8,$H$12,$H$14,$H$10,$H$13,$H$11,K$2,$H$9,$A60)</f>
        <v>0</v>
      </c>
      <c r="L60" s="346">
        <f ca="1">_xll.DBRW($H$8,$H$12,$H$14,$H$10,$H$13,$H$11,L$2,$H$9,$A60)</f>
        <v>0</v>
      </c>
      <c r="M60" s="346">
        <f ca="1">_xll.DBRW($H$8,$H$12,$H$14,$H$10,$H$13,$H$11,M$2,$H$9,$A60)</f>
        <v>0</v>
      </c>
      <c r="N60" s="346">
        <f ca="1">_xll.DBRW($H$8,$H$12,$H$14,$H$10,$H$13,$H$11,N$2,$H$9,$A60)</f>
        <v>0</v>
      </c>
      <c r="O60" s="346">
        <f ca="1">_xll.DBRW($H$8,$H$12,$H$14,$H$10,$H$13,$H$11,O$2,$H$9,$A60)</f>
        <v>0</v>
      </c>
      <c r="P60" s="346">
        <f ca="1">_xll.DBRW($H$8,$H$12,$H$14,$H$10,$H$13,$H$11,P$2,$H$9,$A60)</f>
        <v>0</v>
      </c>
      <c r="Q60" s="326">
        <f ca="1">SUM(I60:P60)-SUM(I57:P59)</f>
        <v>0</v>
      </c>
      <c r="R60" s="344" t="str">
        <f ca="1">IF(ISERROR((M60/J60)^(1/3)-1),"",(M60/J60)^(1/3)-1)</f>
        <v/>
      </c>
      <c r="S60" s="344" t="str">
        <f ca="1">IF(ISERROR((P60/J60)^(1/6)-1),"",(P60/J60)^(1/6)-1)</f>
        <v/>
      </c>
      <c r="T60" s="284"/>
    </row>
    <row r="61" spans="1:20" ht="26.25">
      <c r="A61" s="317" t="s">
        <v>245</v>
      </c>
      <c r="B61" s="282" t="s">
        <v>246</v>
      </c>
      <c r="C61" s="282" t="s">
        <v>247</v>
      </c>
      <c r="D61" s="282">
        <v>41</v>
      </c>
      <c r="G61" s="457" t="str">
        <f ca="1">_xll.DBRA(Server&amp;$A$21,$A61,$H$15)</f>
        <v>CAPEX - All financing mode (excl. IFRIC 12)</v>
      </c>
      <c r="H61" s="458"/>
      <c r="I61" s="318">
        <f ca="1">_xll.DBRW($H$8,$H$12,$H$14,$H$10,$H$13,$H$11,I$2,$H$9,$B61)+_xll.DBRW($H$8,$H$12,$H$14,$H$10,$H$13,$H$11,I$2,$H$9,$C61)+_xll.DBRW($H$8,$H$12,$H$14,$H$10,$H$13,$H$11,I$2,$H$9,$A61)</f>
        <v>0</v>
      </c>
      <c r="J61" s="318">
        <f ca="1">_xll.DBRW($H$8,$H$12,$H$14,$H$10,$H$13,$H$11,J$2,$H$9,$B61)+_xll.DBRW($H$8,$H$12,$H$14,$H$10,$H$13,$H$11,J$2,$H$9,$C61)+_xll.DBRW($H$8,$H$12,$H$14,$H$10,$H$13,$H$11,J$2,$H$9,$A61)</f>
        <v>0</v>
      </c>
      <c r="K61" s="318">
        <f ca="1">_xll.DBRW($H$8,$H$12,$H$14,$H$10,$H$13,$H$11,K$2,$H$9,$B61)+_xll.DBRW($H$8,$H$12,$H$14,$H$10,$H$13,$H$11,K$2,$H$9,$C61)+_xll.DBRW($H$8,$H$12,$H$14,$H$10,$H$13,$H$11,K$2,$H$9,$A61)</f>
        <v>0</v>
      </c>
      <c r="L61" s="318">
        <f ca="1">_xll.DBRW($H$8,$H$12,$H$14,$H$10,$H$13,$H$11,L$2,$H$9,$B61)+_xll.DBRW($H$8,$H$12,$H$14,$H$10,$H$13,$H$11,L$2,$H$9,$C61)+_xll.DBRW($H$8,$H$12,$H$14,$H$10,$H$13,$H$11,L$2,$H$9,$A61)</f>
        <v>0</v>
      </c>
      <c r="M61" s="318">
        <f ca="1">_xll.DBRW($H$8,$H$12,$H$14,$H$10,$H$13,$H$11,M$2,$H$9,$B61)+_xll.DBRW($H$8,$H$12,$H$14,$H$10,$H$13,$H$11,M$2,$H$9,$C61)+_xll.DBRW($H$8,$H$12,$H$14,$H$10,$H$13,$H$11,M$2,$H$9,$A61)</f>
        <v>0</v>
      </c>
      <c r="N61" s="318">
        <f ca="1">_xll.DBRW($H$8,$H$12,$H$14,$H$10,$H$13,$H$11,N$2,$H$9,$B61)+_xll.DBRW($H$8,$H$12,$H$14,$H$10,$H$13,$H$11,N$2,$H$9,$C61)+_xll.DBRW($H$8,$H$12,$H$14,$H$10,$H$13,$H$11,N$2,$H$9,$A61)</f>
        <v>0</v>
      </c>
      <c r="O61" s="318">
        <f ca="1">_xll.DBRW($H$8,$H$12,$H$14,$H$10,$H$13,$H$11,O$2,$H$9,$B61)+_xll.DBRW($H$8,$H$12,$H$14,$H$10,$H$13,$H$11,O$2,$H$9,$C61)+_xll.DBRW($H$8,$H$12,$H$14,$H$10,$H$13,$H$11,O$2,$H$9,$A61)</f>
        <v>0</v>
      </c>
      <c r="P61" s="318">
        <f ca="1">_xll.DBRW($H$8,$H$12,$H$14,$H$10,$H$13,$H$11,P$2,$H$9,$B61)+_xll.DBRW($H$8,$H$12,$H$14,$H$10,$H$13,$H$11,P$2,$H$9,$C61)+_xll.DBRW($H$8,$H$12,$H$14,$H$10,$H$13,$H$11,P$2,$H$9,$A61)</f>
        <v>0</v>
      </c>
      <c r="Q61" s="326"/>
      <c r="R61" s="322" t="str">
        <f t="shared" ref="R61:R81" ca="1" si="15">IF(ISERROR((M61/J61)^(1/3)-1),"",(M61/J61)^(1/3)-1)</f>
        <v/>
      </c>
      <c r="S61" s="323" t="str">
        <f t="shared" ref="S61:S81" ca="1" si="16">IF(ISERROR((P61/J61)^(1/6)-1),"",(P61/J61)^(1/6)-1)</f>
        <v/>
      </c>
      <c r="T61" s="284"/>
    </row>
    <row r="62" spans="1:20" ht="26.25">
      <c r="A62" s="317" t="s">
        <v>248</v>
      </c>
      <c r="B62" s="282"/>
      <c r="C62" s="282"/>
      <c r="D62" s="282">
        <v>42</v>
      </c>
      <c r="G62" s="457" t="str">
        <f ca="1">_xll.DBRA(Server&amp;$A$21,$A62,$H$15)</f>
        <v>New Operating financial assets - IFRIC 12 impacting NFD</v>
      </c>
      <c r="H62" s="458"/>
      <c r="I62" s="318">
        <f ca="1">_xll.DBRW($H$8,$H$12,$H$14,$H$10,$H$13,$H$11,I$2,$H$9,$A62)</f>
        <v>0</v>
      </c>
      <c r="J62" s="319">
        <f ca="1">_xll.DBRW($H$8,$H$12,$H$14,$H$10,$H$13,$H$11,J$2,$H$9,$A62)</f>
        <v>0</v>
      </c>
      <c r="K62" s="319">
        <f ca="1">_xll.DBRW($H$8,$H$12,$H$14,$H$10,$H$13,$H$11,K$2,$H$9,$A62)</f>
        <v>0</v>
      </c>
      <c r="L62" s="319">
        <f ca="1">_xll.DBRW($H$8,$H$12,$H$14,$H$10,$H$13,$H$11,L$2,$H$9,$A62)</f>
        <v>0</v>
      </c>
      <c r="M62" s="319">
        <f ca="1">_xll.DBRW($H$8,$H$12,$H$14,$H$10,$H$13,$H$11,M$2,$H$9,$A62)</f>
        <v>0</v>
      </c>
      <c r="N62" s="319">
        <f ca="1">_xll.DBRW($H$8,$H$12,$H$14,$H$10,$H$13,$H$11,N$2,$H$9,$A62)</f>
        <v>0</v>
      </c>
      <c r="O62" s="319">
        <f ca="1">_xll.DBRW($H$8,$H$12,$H$14,$H$10,$H$13,$H$11,O$2,$H$9,$A62)</f>
        <v>0</v>
      </c>
      <c r="P62" s="320">
        <f ca="1">_xll.DBRW($H$8,$H$12,$H$14,$H$10,$H$13,$H$11,P$2,$H$9,$A62)</f>
        <v>0</v>
      </c>
      <c r="Q62" s="326"/>
      <c r="R62" s="322" t="str">
        <f t="shared" ca="1" si="15"/>
        <v/>
      </c>
      <c r="S62" s="323" t="str">
        <f t="shared" ca="1" si="16"/>
        <v/>
      </c>
      <c r="T62" s="284"/>
    </row>
    <row r="63" spans="1:20" ht="26.25">
      <c r="A63" s="317" t="s">
        <v>249</v>
      </c>
      <c r="B63" s="282" t="s">
        <v>250</v>
      </c>
      <c r="C63" s="282"/>
      <c r="D63" s="282">
        <v>43</v>
      </c>
      <c r="G63" s="457" t="str">
        <f ca="1">_xll.DBRA(Server&amp;$A$21,$A63,$H$15)</f>
        <v>Financial investments (incl. Net debt of acquired entities)</v>
      </c>
      <c r="H63" s="458"/>
      <c r="I63" s="318">
        <f ca="1">_xll.DBRW($H$8,$H$12,$H$14,$H$10,$H$13,$H$11,I$2,$H$9,$B63)+_xll.DBRW($H$8,$H$12,$H$14,$H$10,$H$13,$H$11,I$2,$H$9,$A63)</f>
        <v>0</v>
      </c>
      <c r="J63" s="318">
        <f ca="1">_xll.DBRW($H$8,$H$12,$H$14,$H$10,$H$13,$H$11,J$2,$H$9,$B63)+_xll.DBRW($H$8,$H$12,$H$14,$H$10,$H$13,$H$11,J$2,$H$9,$A63)</f>
        <v>0</v>
      </c>
      <c r="K63" s="318">
        <f ca="1">_xll.DBRW($H$8,$H$12,$H$14,$H$10,$H$13,$H$11,K$2,$H$9,$B63)+_xll.DBRW($H$8,$H$12,$H$14,$H$10,$H$13,$H$11,K$2,$H$9,$A63)</f>
        <v>0</v>
      </c>
      <c r="L63" s="318">
        <f ca="1">_xll.DBRW($H$8,$H$12,$H$14,$H$10,$H$13,$H$11,L$2,$H$9,$B63)+_xll.DBRW($H$8,$H$12,$H$14,$H$10,$H$13,$H$11,L$2,$H$9,$A63)</f>
        <v>0</v>
      </c>
      <c r="M63" s="318">
        <f ca="1">_xll.DBRW($H$8,$H$12,$H$14,$H$10,$H$13,$H$11,M$2,$H$9,$B63)+_xll.DBRW($H$8,$H$12,$H$14,$H$10,$H$13,$H$11,M$2,$H$9,$A63)</f>
        <v>0</v>
      </c>
      <c r="N63" s="318">
        <f ca="1">_xll.DBRW($H$8,$H$12,$H$14,$H$10,$H$13,$H$11,N$2,$H$9,$B63)+_xll.DBRW($H$8,$H$12,$H$14,$H$10,$H$13,$H$11,N$2,$H$9,$A63)</f>
        <v>0</v>
      </c>
      <c r="O63" s="318">
        <f ca="1">_xll.DBRW($H$8,$H$12,$H$14,$H$10,$H$13,$H$11,O$2,$H$9,$B63)+_xll.DBRW($H$8,$H$12,$H$14,$H$10,$H$13,$H$11,O$2,$H$9,$A63)</f>
        <v>0</v>
      </c>
      <c r="P63" s="318">
        <f ca="1">_xll.DBRW($H$8,$H$12,$H$14,$H$10,$H$13,$H$11,P$2,$H$9,$B63)+_xll.DBRW($H$8,$H$12,$H$14,$H$10,$H$13,$H$11,P$2,$H$9,$A63)</f>
        <v>0</v>
      </c>
      <c r="Q63" s="326"/>
      <c r="R63" s="322" t="str">
        <f t="shared" ca="1" si="15"/>
        <v/>
      </c>
      <c r="S63" s="323" t="str">
        <f t="shared" ca="1" si="16"/>
        <v/>
      </c>
      <c r="T63" s="284"/>
    </row>
    <row r="64" spans="1:20" ht="26.25">
      <c r="A64" s="317" t="s">
        <v>251</v>
      </c>
      <c r="B64" s="282"/>
      <c r="C64" s="282"/>
      <c r="D64" s="282">
        <v>44</v>
      </c>
      <c r="G64" s="457" t="str">
        <f ca="1">_xll.DBRA(Server&amp;$A$21,$A64,$H$15)</f>
        <v>Industrial disposal</v>
      </c>
      <c r="H64" s="458"/>
      <c r="I64" s="318">
        <f ca="1">_xll.DBRW($H$8,$H$12,$H$14,$H$10,$H$13,$H$11,I$2,$H$9,$A64)</f>
        <v>0</v>
      </c>
      <c r="J64" s="319">
        <f ca="1">_xll.DBRW($H$8,$H$12,$H$14,$H$10,$H$13,$H$11,J$2,$H$9,$A64)</f>
        <v>0</v>
      </c>
      <c r="K64" s="319">
        <f ca="1">_xll.DBRW($H$8,$H$12,$H$14,$H$10,$H$13,$H$11,K$2,$H$9,$A64)</f>
        <v>0</v>
      </c>
      <c r="L64" s="319">
        <f ca="1">_xll.DBRW($H$8,$H$12,$H$14,$H$10,$H$13,$H$11,L$2,$H$9,$A64)</f>
        <v>0</v>
      </c>
      <c r="M64" s="319">
        <f ca="1">_xll.DBRW($H$8,$H$12,$H$14,$H$10,$H$13,$H$11,M$2,$H$9,$A64)</f>
        <v>0</v>
      </c>
      <c r="N64" s="319">
        <f ca="1">_xll.DBRW($H$8,$H$12,$H$14,$H$10,$H$13,$H$11,N$2,$H$9,$A64)</f>
        <v>0</v>
      </c>
      <c r="O64" s="319">
        <f ca="1">_xll.DBRW($H$8,$H$12,$H$14,$H$10,$H$13,$H$11,O$2,$H$9,$A64)</f>
        <v>0</v>
      </c>
      <c r="P64" s="320">
        <f ca="1">_xll.DBRW($H$8,$H$12,$H$14,$H$10,$H$13,$H$11,P$2,$H$9,$A64)</f>
        <v>0</v>
      </c>
      <c r="Q64" s="326"/>
      <c r="R64" s="322" t="str">
        <f t="shared" ca="1" si="15"/>
        <v/>
      </c>
      <c r="S64" s="323" t="str">
        <f t="shared" ca="1" si="16"/>
        <v/>
      </c>
      <c r="T64" s="284"/>
    </row>
    <row r="65" spans="1:20" ht="26.25">
      <c r="A65" s="317" t="s">
        <v>252</v>
      </c>
      <c r="B65" s="282"/>
      <c r="C65" s="282"/>
      <c r="D65" s="282">
        <v>45</v>
      </c>
      <c r="G65" s="457" t="str">
        <f ca="1">_xll.DBRA(Server&amp;$A$21,$A65,$H$15)</f>
        <v>Repayments on operating financial assets  - IFRIC 12 impacting NFD</v>
      </c>
      <c r="H65" s="458"/>
      <c r="I65" s="318">
        <f ca="1">_xll.DBRW($H$8,$H$12,$H$14,$H$10,$H$13,$H$11,I$2,$H$9,$A65)</f>
        <v>0</v>
      </c>
      <c r="J65" s="318">
        <f ca="1">_xll.DBRW($H$8,$H$12,$H$14,$H$10,$H$13,$H$11,J$2,$H$9,$A65)</f>
        <v>0</v>
      </c>
      <c r="K65" s="318">
        <f ca="1">_xll.DBRW($H$8,$H$12,$H$14,$H$10,$H$13,$H$11,K$2,$H$9,$A65)</f>
        <v>0</v>
      </c>
      <c r="L65" s="318">
        <f ca="1">_xll.DBRW($H$8,$H$12,$H$14,$H$10,$H$13,$H$11,L$2,$H$9,$A65)</f>
        <v>0</v>
      </c>
      <c r="M65" s="318">
        <f ca="1">_xll.DBRW($H$8,$H$12,$H$14,$H$10,$H$13,$H$11,M$2,$H$9,$A65)</f>
        <v>0</v>
      </c>
      <c r="N65" s="318">
        <f ca="1">_xll.DBRW($H$8,$H$12,$H$14,$H$10,$H$13,$H$11,N$2,$H$9,$A65)</f>
        <v>0</v>
      </c>
      <c r="O65" s="318">
        <f ca="1">_xll.DBRW($H$8,$H$12,$H$14,$H$10,$H$13,$H$11,O$2,$H$9,$A65)</f>
        <v>0</v>
      </c>
      <c r="P65" s="318">
        <f ca="1">_xll.DBRW($H$8,$H$12,$H$14,$H$10,$H$13,$H$11,P$2,$H$9,$A65)</f>
        <v>0</v>
      </c>
      <c r="Q65" s="326"/>
      <c r="R65" s="322" t="str">
        <f t="shared" ca="1" si="15"/>
        <v/>
      </c>
      <c r="S65" s="323" t="str">
        <f t="shared" ca="1" si="16"/>
        <v/>
      </c>
      <c r="T65" s="284"/>
    </row>
    <row r="66" spans="1:20" ht="26.25">
      <c r="A66" s="317" t="s">
        <v>253</v>
      </c>
      <c r="B66" s="282" t="s">
        <v>254</v>
      </c>
      <c r="C66" s="282"/>
      <c r="D66" s="282">
        <v>46</v>
      </c>
      <c r="G66" s="457" t="str">
        <f ca="1">_xll.DBRA(Server&amp;$A$21,$A66,$H$15)</f>
        <v>Financial disposals (Incl. Net debt of sold entities)</v>
      </c>
      <c r="H66" s="458"/>
      <c r="I66" s="318">
        <f ca="1">_xll.DBRW($H$8,$H$12,$H$14,$H$10,$H$13,$H$11,I$2,$H$9,$B66)+_xll.DBRW($H$8,$H$12,$H$14,$H$10,$H$13,$H$11,I$2,$H$9,$A66)</f>
        <v>0</v>
      </c>
      <c r="J66" s="318">
        <f ca="1">_xll.DBRW($H$8,$H$12,$H$14,$H$10,$H$13,$H$11,J$2,$H$9,$B66)+_xll.DBRW($H$8,$H$12,$H$14,$H$10,$H$13,$H$11,J$2,$H$9,$A66)</f>
        <v>0</v>
      </c>
      <c r="K66" s="318">
        <f ca="1">_xll.DBRW($H$8,$H$12,$H$14,$H$10,$H$13,$H$11,K$2,$H$9,$B66)+_xll.DBRW($H$8,$H$12,$H$14,$H$10,$H$13,$H$11,K$2,$H$9,$A66)</f>
        <v>0</v>
      </c>
      <c r="L66" s="318">
        <f ca="1">_xll.DBRW($H$8,$H$12,$H$14,$H$10,$H$13,$H$11,L$2,$H$9,$B66)+_xll.DBRW($H$8,$H$12,$H$14,$H$10,$H$13,$H$11,L$2,$H$9,$A66)</f>
        <v>0</v>
      </c>
      <c r="M66" s="318">
        <f ca="1">_xll.DBRW($H$8,$H$12,$H$14,$H$10,$H$13,$H$11,M$2,$H$9,$B66)+_xll.DBRW($H$8,$H$12,$H$14,$H$10,$H$13,$H$11,M$2,$H$9,$A66)</f>
        <v>0</v>
      </c>
      <c r="N66" s="318">
        <f ca="1">_xll.DBRW($H$8,$H$12,$H$14,$H$10,$H$13,$H$11,N$2,$H$9,$B66)+_xll.DBRW($H$8,$H$12,$H$14,$H$10,$H$13,$H$11,N$2,$H$9,$A66)</f>
        <v>0</v>
      </c>
      <c r="O66" s="318">
        <f ca="1">_xll.DBRW($H$8,$H$12,$H$14,$H$10,$H$13,$H$11,O$2,$H$9,$B66)+_xll.DBRW($H$8,$H$12,$H$14,$H$10,$H$13,$H$11,O$2,$H$9,$A66)</f>
        <v>0</v>
      </c>
      <c r="P66" s="318">
        <f ca="1">_xll.DBRW($H$8,$H$12,$H$14,$H$10,$H$13,$H$11,P$2,$H$9,$B66)+_xll.DBRW($H$8,$H$12,$H$14,$H$10,$H$13,$H$11,P$2,$H$9,$A66)</f>
        <v>0</v>
      </c>
      <c r="Q66" s="326"/>
      <c r="R66" s="322" t="str">
        <f t="shared" ca="1" si="15"/>
        <v/>
      </c>
      <c r="S66" s="323" t="str">
        <f t="shared" ca="1" si="16"/>
        <v/>
      </c>
      <c r="T66" s="284"/>
    </row>
    <row r="67" spans="1:20" ht="26.25">
      <c r="A67" s="317" t="s">
        <v>255</v>
      </c>
      <c r="B67" s="282"/>
      <c r="C67" s="282"/>
      <c r="D67" s="282">
        <v>47</v>
      </c>
      <c r="G67" s="457" t="str">
        <f ca="1">_xll.DBRA(Server&amp;$A$21,$A67,$H$15)</f>
        <v>Change in other financial assets</v>
      </c>
      <c r="H67" s="458"/>
      <c r="I67" s="318">
        <f ca="1">_xll.DBRW($H$8,$H$12,$H$14,$H$10,$H$13,$H$11,I$2,$H$9,$A67)</f>
        <v>0</v>
      </c>
      <c r="J67" s="319">
        <f ca="1">_xll.DBRW($H$8,$H$12,$H$14,$H$10,$H$13,$H$11,J$2,$H$9,$A67)</f>
        <v>0</v>
      </c>
      <c r="K67" s="319">
        <f ca="1">_xll.DBRW($H$8,$H$12,$H$14,$H$10,$H$13,$H$11,K$2,$H$9,$A67)</f>
        <v>0</v>
      </c>
      <c r="L67" s="319">
        <f ca="1">_xll.DBRW($H$8,$H$12,$H$14,$H$10,$H$13,$H$11,L$2,$H$9,$A67)</f>
        <v>0</v>
      </c>
      <c r="M67" s="319">
        <f ca="1">_xll.DBRW($H$8,$H$12,$H$14,$H$10,$H$13,$H$11,M$2,$H$9,$A67)</f>
        <v>0</v>
      </c>
      <c r="N67" s="319">
        <f ca="1">_xll.DBRW($H$8,$H$12,$H$14,$H$10,$H$13,$H$11,N$2,$H$9,$A67)</f>
        <v>0</v>
      </c>
      <c r="O67" s="319">
        <f ca="1">_xll.DBRW($H$8,$H$12,$H$14,$H$10,$H$13,$H$11,O$2,$H$9,$A67)</f>
        <v>0</v>
      </c>
      <c r="P67" s="320">
        <f ca="1">_xll.DBRW($H$8,$H$12,$H$14,$H$10,$H$13,$H$11,P$2,$H$9,$A67)</f>
        <v>0</v>
      </c>
      <c r="Q67" s="326"/>
      <c r="R67" s="322" t="str">
        <f t="shared" ca="1" si="15"/>
        <v/>
      </c>
      <c r="S67" s="323" t="str">
        <f t="shared" ca="1" si="16"/>
        <v/>
      </c>
      <c r="T67" s="284"/>
    </row>
    <row r="68" spans="1:20" ht="26.25">
      <c r="A68" s="317" t="s">
        <v>256</v>
      </c>
      <c r="B68" s="282"/>
      <c r="C68" s="282"/>
      <c r="D68" s="282">
        <v>48</v>
      </c>
      <c r="G68" s="457" t="str">
        <f ca="1">_xll.DBRA(Server&amp;$A$21,$A68,$H$15)</f>
        <v>Dividends from investments in associates</v>
      </c>
      <c r="H68" s="458"/>
      <c r="I68" s="318">
        <f ca="1">_xll.DBRW($H$8,$H$12,$H$14,$H$10,$H$13,$H$11,I$2,$H$9,$A68)</f>
        <v>0</v>
      </c>
      <c r="J68" s="319">
        <f ca="1">_xll.DBRW($H$8,$H$12,$H$14,$H$10,$H$13,$H$11,J$2,$H$9,$A68)</f>
        <v>0</v>
      </c>
      <c r="K68" s="319">
        <f ca="1">_xll.DBRW($H$8,$H$12,$H$14,$H$10,$H$13,$H$11,K$2,$H$9,$A68)</f>
        <v>0</v>
      </c>
      <c r="L68" s="319">
        <f ca="1">_xll.DBRW($H$8,$H$12,$H$14,$H$10,$H$13,$H$11,L$2,$H$9,$A68)</f>
        <v>0</v>
      </c>
      <c r="M68" s="319">
        <f ca="1">_xll.DBRW($H$8,$H$12,$H$14,$H$10,$H$13,$H$11,M$2,$H$9,$A68)</f>
        <v>0</v>
      </c>
      <c r="N68" s="319">
        <f ca="1">_xll.DBRW($H$8,$H$12,$H$14,$H$10,$H$13,$H$11,N$2,$H$9,$A68)</f>
        <v>0</v>
      </c>
      <c r="O68" s="319">
        <f ca="1">_xll.DBRW($H$8,$H$12,$H$14,$H$10,$H$13,$H$11,O$2,$H$9,$A68)</f>
        <v>0</v>
      </c>
      <c r="P68" s="320">
        <f ca="1">_xll.DBRW($H$8,$H$12,$H$14,$H$10,$H$13,$H$11,P$2,$H$9,$A68)</f>
        <v>0</v>
      </c>
      <c r="Q68" s="326"/>
      <c r="R68" s="322" t="str">
        <f t="shared" ca="1" si="15"/>
        <v/>
      </c>
      <c r="S68" s="323" t="str">
        <f t="shared" ca="1" si="16"/>
        <v/>
      </c>
      <c r="T68" s="284"/>
    </row>
    <row r="69" spans="1:20" ht="26.25">
      <c r="A69" s="317" t="s">
        <v>257</v>
      </c>
      <c r="B69" s="282"/>
      <c r="C69" s="282"/>
      <c r="D69" s="282">
        <v>49</v>
      </c>
      <c r="G69" s="457" t="str">
        <f ca="1">_xll.DBRA(Server&amp;$A$21,$A69,$H$15)</f>
        <v>Final and interim dividends</v>
      </c>
      <c r="H69" s="458"/>
      <c r="I69" s="318">
        <f ca="1">_xll.DBRW($H$8,$H$12,$H$14,$H$10,$H$13,$H$11,I$2,$H$9,$A69)</f>
        <v>0</v>
      </c>
      <c r="J69" s="319">
        <f ca="1">_xll.DBRW($H$8,$H$12,$H$14,$H$10,$H$13,$H$11,J$2,$H$9,$A69)</f>
        <v>0</v>
      </c>
      <c r="K69" s="319">
        <f ca="1">_xll.DBRW($H$8,$H$12,$H$14,$H$10,$H$13,$H$11,K$2,$H$9,$A69)</f>
        <v>0</v>
      </c>
      <c r="L69" s="319">
        <f ca="1">_xll.DBRW($H$8,$H$12,$H$14,$H$10,$H$13,$H$11,L$2,$H$9,$A69)</f>
        <v>0</v>
      </c>
      <c r="M69" s="319">
        <f ca="1">_xll.DBRW($H$8,$H$12,$H$14,$H$10,$H$13,$H$11,M$2,$H$9,$A69)</f>
        <v>0</v>
      </c>
      <c r="N69" s="319">
        <f ca="1">_xll.DBRW($H$8,$H$12,$H$14,$H$10,$H$13,$H$11,N$2,$H$9,$A69)</f>
        <v>0</v>
      </c>
      <c r="O69" s="319">
        <f ca="1">_xll.DBRW($H$8,$H$12,$H$14,$H$10,$H$13,$H$11,O$2,$H$9,$A69)</f>
        <v>0</v>
      </c>
      <c r="P69" s="320">
        <f ca="1">_xll.DBRW($H$8,$H$12,$H$14,$H$10,$H$13,$H$11,P$2,$H$9,$A69)</f>
        <v>0</v>
      </c>
      <c r="Q69" s="326"/>
      <c r="R69" s="322" t="str">
        <f t="shared" ca="1" si="15"/>
        <v/>
      </c>
      <c r="S69" s="323" t="str">
        <f t="shared" ca="1" si="16"/>
        <v/>
      </c>
      <c r="T69" s="284"/>
    </row>
    <row r="70" spans="1:20" ht="27" thickBot="1">
      <c r="A70" s="317" t="s">
        <v>258</v>
      </c>
      <c r="B70" s="282"/>
      <c r="C70" s="282"/>
      <c r="D70" s="282">
        <v>50</v>
      </c>
      <c r="G70" s="457" t="str">
        <f ca="1">_xll.DBRA(Server&amp;$A$21,$A70,$H$15)</f>
        <v>Internal Transfers</v>
      </c>
      <c r="H70" s="458"/>
      <c r="I70" s="318">
        <f ca="1">_xll.DBRW($H$8,$H$12,$H$14,$H$10,$H$13,$H$11,I$2,$H$9,$A70)</f>
        <v>0</v>
      </c>
      <c r="J70" s="319">
        <f ca="1">_xll.DBRW($H$8,$H$12,$H$14,$H$10,$H$13,$H$11,J$2,$H$9,$A70)</f>
        <v>0</v>
      </c>
      <c r="K70" s="319">
        <f ca="1">_xll.DBRW($H$8,$H$12,$H$14,$H$10,$H$13,$H$11,K$2,$H$9,$A70)</f>
        <v>0</v>
      </c>
      <c r="L70" s="319">
        <f ca="1">_xll.DBRW($H$8,$H$12,$H$14,$H$10,$H$13,$H$11,L$2,$H$9,$A70)</f>
        <v>0</v>
      </c>
      <c r="M70" s="319">
        <f ca="1">_xll.DBRW($H$8,$H$12,$H$14,$H$10,$H$13,$H$11,M$2,$H$9,$A70)</f>
        <v>0</v>
      </c>
      <c r="N70" s="319">
        <f ca="1">_xll.DBRW($H$8,$H$12,$H$14,$H$10,$H$13,$H$11,N$2,$H$9,$A70)</f>
        <v>0</v>
      </c>
      <c r="O70" s="319">
        <f ca="1">_xll.DBRW($H$8,$H$12,$H$14,$H$10,$H$13,$H$11,O$2,$H$9,$A70)</f>
        <v>0</v>
      </c>
      <c r="P70" s="320">
        <f ca="1">_xll.DBRW($H$8,$H$12,$H$14,$H$10,$H$13,$H$11,P$2,$H$9,$A70)</f>
        <v>0</v>
      </c>
      <c r="Q70" s="326"/>
      <c r="R70" s="322" t="str">
        <f t="shared" ca="1" si="15"/>
        <v/>
      </c>
      <c r="S70" s="323" t="str">
        <f t="shared" ca="1" si="16"/>
        <v/>
      </c>
      <c r="T70" s="284"/>
    </row>
    <row r="71" spans="1:20" ht="26.25" hidden="1" outlineLevel="1">
      <c r="A71" s="355" t="s">
        <v>259</v>
      </c>
      <c r="B71" s="282"/>
      <c r="C71" s="282"/>
      <c r="D71" s="282">
        <v>51</v>
      </c>
      <c r="G71" s="457" t="str">
        <f ca="1">_xll.DBRA(Server&amp;$A$21,$A71,$H$15)</f>
        <v>Tech_Lease Liability decrease_Var2</v>
      </c>
      <c r="H71" s="458"/>
      <c r="I71" s="318">
        <f ca="1">_xll.DBRW($H$8,$H$12,$H$14,$H$10,$H$13,$H$11,I$2,$H$9,$A71)</f>
        <v>0</v>
      </c>
      <c r="J71" s="319">
        <f ca="1">_xll.DBRW($H$8,$H$12,$H$14,$H$10,$H$13,$H$11,J$2,$H$9,$A71)</f>
        <v>0</v>
      </c>
      <c r="K71" s="319">
        <f ca="1">_xll.DBRW($H$8,$H$12,$H$14,$H$10,$H$13,$H$11,K$2,$H$9,$A71)</f>
        <v>0</v>
      </c>
      <c r="L71" s="319">
        <f ca="1">_xll.DBRW($H$8,$H$12,$H$14,$H$10,$H$13,$H$11,L$2,$H$9,$A71)</f>
        <v>0</v>
      </c>
      <c r="M71" s="319">
        <f ca="1">_xll.DBRW($H$8,$H$12,$H$14,$H$10,$H$13,$H$11,M$2,$H$9,$A71)</f>
        <v>0</v>
      </c>
      <c r="N71" s="319">
        <f ca="1">_xll.DBRW($H$8,$H$12,$H$14,$H$10,$H$13,$H$11,N$2,$H$9,$A71)</f>
        <v>0</v>
      </c>
      <c r="O71" s="319">
        <f ca="1">_xll.DBRW($H$8,$H$12,$H$14,$H$10,$H$13,$H$11,O$2,$H$9,$A71)</f>
        <v>0</v>
      </c>
      <c r="P71" s="320">
        <f ca="1">_xll.DBRW($H$8,$H$12,$H$14,$H$10,$H$13,$H$11,P$2,$H$9,$A71)</f>
        <v>0</v>
      </c>
      <c r="Q71" s="326"/>
      <c r="R71" s="322" t="str">
        <f t="shared" ca="1" si="15"/>
        <v/>
      </c>
      <c r="S71" s="323" t="str">
        <f t="shared" ca="1" si="16"/>
        <v/>
      </c>
      <c r="T71" s="284"/>
    </row>
    <row r="72" spans="1:20" ht="27" hidden="1" outlineLevel="1" thickBot="1">
      <c r="A72" s="355" t="s">
        <v>260</v>
      </c>
      <c r="B72" s="282"/>
      <c r="C72" s="282"/>
      <c r="D72" s="282">
        <v>52</v>
      </c>
      <c r="G72" s="457" t="str">
        <f ca="1">_xll.DBRA(Server&amp;$A$21,$A72,$H$15)</f>
        <v>Tech_Lease Liability decrease_Var1</v>
      </c>
      <c r="H72" s="458"/>
      <c r="I72" s="318">
        <f ca="1">_xll.DBRW($H$8,$H$12,$H$14,$H$10,$H$13,$H$11,I$2,$H$9,$A72)</f>
        <v>0</v>
      </c>
      <c r="J72" s="319">
        <f ca="1">_xll.DBRW($H$8,$H$12,$H$14,$H$10,$H$13,$H$11,J$2,$H$9,$A72)</f>
        <v>0</v>
      </c>
      <c r="K72" s="319">
        <f ca="1">_xll.DBRW($H$8,$H$12,$H$14,$H$10,$H$13,$H$11,K$2,$H$9,$A72)</f>
        <v>0</v>
      </c>
      <c r="L72" s="319">
        <f ca="1">_xll.DBRW($H$8,$H$12,$H$14,$H$10,$H$13,$H$11,L$2,$H$9,$A72)</f>
        <v>0</v>
      </c>
      <c r="M72" s="319">
        <f ca="1">_xll.DBRW($H$8,$H$12,$H$14,$H$10,$H$13,$H$11,M$2,$H$9,$A72)</f>
        <v>0</v>
      </c>
      <c r="N72" s="319">
        <f ca="1">_xll.DBRW($H$8,$H$12,$H$14,$H$10,$H$13,$H$11,N$2,$H$9,$A72)</f>
        <v>0</v>
      </c>
      <c r="O72" s="319">
        <f ca="1">_xll.DBRW($H$8,$H$12,$H$14,$H$10,$H$13,$H$11,O$2,$H$9,$A72)</f>
        <v>0</v>
      </c>
      <c r="P72" s="320">
        <f ca="1">_xll.DBRW($H$8,$H$12,$H$14,$H$10,$H$13,$H$11,P$2,$H$9,$A72)</f>
        <v>0</v>
      </c>
      <c r="Q72" s="326"/>
      <c r="R72" s="322" t="str">
        <f t="shared" ca="1" si="15"/>
        <v/>
      </c>
      <c r="S72" s="323" t="str">
        <f t="shared" ca="1" si="16"/>
        <v/>
      </c>
      <c r="T72" s="284"/>
    </row>
    <row r="73" spans="1:20" ht="27" collapsed="1" thickBot="1">
      <c r="A73" s="317" t="s">
        <v>261</v>
      </c>
      <c r="B73" s="331"/>
      <c r="C73" s="282"/>
      <c r="D73" s="282">
        <v>53</v>
      </c>
      <c r="G73" s="456" t="str">
        <f ca="1">_xll.DBRA(Server&amp;$A$21,$A73,$H$15)</f>
        <v>CASH FLOW FROM INVESTING ACTIVITIES</v>
      </c>
      <c r="H73" s="456"/>
      <c r="I73" s="346">
        <f ca="1">_xll.DBRW($H$8,$H$12,$H$14,$H$10,$H$13,$H$11,I$2,$H$9,$A73)</f>
        <v>0</v>
      </c>
      <c r="J73" s="346">
        <f ca="1">_xll.DBRW($H$8,$H$12,$H$14,$H$10,$H$13,$H$11,J$2,$H$9,$A73)</f>
        <v>0</v>
      </c>
      <c r="K73" s="346">
        <f ca="1">_xll.DBRW($H$8,$H$12,$H$14,$H$10,$H$13,$H$11,K$2,$H$9,$A73)</f>
        <v>0</v>
      </c>
      <c r="L73" s="346">
        <f ca="1">_xll.DBRW($H$8,$H$12,$H$14,$H$10,$H$13,$H$11,L$2,$H$9,$A73)</f>
        <v>0</v>
      </c>
      <c r="M73" s="346">
        <f ca="1">_xll.DBRW($H$8,$H$12,$H$14,$H$10,$H$13,$H$11,M$2,$H$9,$A73)</f>
        <v>0</v>
      </c>
      <c r="N73" s="346">
        <f ca="1">_xll.DBRW($H$8,$H$12,$H$14,$H$10,$H$13,$H$11,N$2,$H$9,$A73)</f>
        <v>0</v>
      </c>
      <c r="O73" s="346">
        <f ca="1">_xll.DBRW($H$8,$H$12,$H$14,$H$10,$H$13,$H$11,O$2,$H$9,$A73)</f>
        <v>0</v>
      </c>
      <c r="P73" s="346">
        <f ca="1">_xll.DBRW($H$8,$H$12,$H$14,$H$10,$H$13,$H$11,P$2,$H$9,$A73)</f>
        <v>0</v>
      </c>
      <c r="Q73" s="326">
        <f ca="1">SUM(I73:P73)-SUM(I61:P72)</f>
        <v>0</v>
      </c>
      <c r="R73" s="344" t="str">
        <f t="shared" ca="1" si="15"/>
        <v/>
      </c>
      <c r="S73" s="344" t="str">
        <f t="shared" ca="1" si="16"/>
        <v/>
      </c>
      <c r="T73" s="284"/>
    </row>
    <row r="74" spans="1:20" ht="27" thickBot="1">
      <c r="A74" s="317" t="s">
        <v>203</v>
      </c>
      <c r="B74" s="331"/>
      <c r="C74" s="282"/>
      <c r="D74" s="282">
        <v>54</v>
      </c>
      <c r="G74" s="456" t="str">
        <f ca="1">_xll.DBRA(Server&amp;$A$21,$A74,$H$15)</f>
        <v>OPERATING FREE CASH FLOW</v>
      </c>
      <c r="H74" s="456"/>
      <c r="I74" s="346">
        <f ca="1">_xll.DBRW($H$8,$H$12,$H$14,$H$10,$H$13,$H$11,I$2,$H$9,$A74)</f>
        <v>0</v>
      </c>
      <c r="J74" s="346">
        <f ca="1">_xll.DBRW($H$8,$H$12,$H$14,$H$10,$H$13,$H$11,J$2,$H$9,$A74)</f>
        <v>0</v>
      </c>
      <c r="K74" s="346">
        <f ca="1">_xll.DBRW($H$8,$H$12,$H$14,$H$10,$H$13,$H$11,K$2,$H$9,$A74)</f>
        <v>0</v>
      </c>
      <c r="L74" s="346">
        <f ca="1">_xll.DBRW($H$8,$H$12,$H$14,$H$10,$H$13,$H$11,L$2,$H$9,$A74)</f>
        <v>0</v>
      </c>
      <c r="M74" s="346">
        <f ca="1">_xll.DBRW($H$8,$H$12,$H$14,$H$10,$H$13,$H$11,M$2,$H$9,$A74)</f>
        <v>0</v>
      </c>
      <c r="N74" s="346">
        <f ca="1">_xll.DBRW($H$8,$H$12,$H$14,$H$10,$H$13,$H$11,N$2,$H$9,$A74)</f>
        <v>0</v>
      </c>
      <c r="O74" s="346">
        <f ca="1">_xll.DBRW($H$8,$H$12,$H$14,$H$10,$H$13,$H$11,O$2,$H$9,$A74)</f>
        <v>0</v>
      </c>
      <c r="P74" s="346">
        <f ca="1">_xll.DBRW($H$8,$H$12,$H$14,$H$10,$H$13,$H$11,P$2,$H$9,$A74)</f>
        <v>0</v>
      </c>
      <c r="Q74" s="326">
        <f ca="1">SUM(I74:P74)-SUM(I73:P73)-SUM(I60:P60)</f>
        <v>0</v>
      </c>
      <c r="R74" s="344" t="str">
        <f t="shared" ca="1" si="15"/>
        <v/>
      </c>
      <c r="S74" s="344" t="str">
        <f t="shared" ca="1" si="16"/>
        <v/>
      </c>
      <c r="T74" s="284"/>
    </row>
    <row r="75" spans="1:20" ht="26.25">
      <c r="A75" s="317" t="s">
        <v>262</v>
      </c>
      <c r="B75" s="282" t="s">
        <v>263</v>
      </c>
      <c r="C75" s="282"/>
      <c r="D75" s="282">
        <v>55</v>
      </c>
      <c r="F75" s="251"/>
      <c r="G75" s="461" t="str">
        <f ca="1">G37</f>
        <v>Cost of net financial debt (total)</v>
      </c>
      <c r="H75" s="462"/>
      <c r="I75" s="356">
        <f ca="1">_xll.DBRW($H$8,$H$12,$H$14,$H$10,$H$13,$H$11,I$2,$H$9,$B75)+_xll.DBRW($H$8,$H$12,$H$14,$H$10,$H$13,$H$11,I$2,$H$9,$A75)</f>
        <v>0</v>
      </c>
      <c r="J75" s="356">
        <f ca="1">_xll.DBRW($H$8,$H$12,$H$14,$H$10,$H$13,$H$11,J$2,$H$9,$B75)+_xll.DBRW($H$8,$H$12,$H$14,$H$10,$H$13,$H$11,J$2,$H$9,$A75)</f>
        <v>0</v>
      </c>
      <c r="K75" s="356">
        <f ca="1">_xll.DBRW($H$8,$H$12,$H$14,$H$10,$H$13,$H$11,K$2,$H$9,$B75)+_xll.DBRW($H$8,$H$12,$H$14,$H$10,$H$13,$H$11,K$2,$H$9,$A75)</f>
        <v>0</v>
      </c>
      <c r="L75" s="356">
        <f ca="1">_xll.DBRW($H$8,$H$12,$H$14,$H$10,$H$13,$H$11,L$2,$H$9,$B75)+_xll.DBRW($H$8,$H$12,$H$14,$H$10,$H$13,$H$11,L$2,$H$9,$A75)</f>
        <v>0</v>
      </c>
      <c r="M75" s="356">
        <f ca="1">_xll.DBRW($H$8,$H$12,$H$14,$H$10,$H$13,$H$11,M$2,$H$9,$B75)+_xll.DBRW($H$8,$H$12,$H$14,$H$10,$H$13,$H$11,M$2,$H$9,$A75)</f>
        <v>0</v>
      </c>
      <c r="N75" s="356">
        <f ca="1">_xll.DBRW($H$8,$H$12,$H$14,$H$10,$H$13,$H$11,N$2,$H$9,$B75)+_xll.DBRW($H$8,$H$12,$H$14,$H$10,$H$13,$H$11,N$2,$H$9,$A75)</f>
        <v>0</v>
      </c>
      <c r="O75" s="356">
        <f ca="1">_xll.DBRW($H$8,$H$12,$H$14,$H$10,$H$13,$H$11,O$2,$H$9,$B75)+_xll.DBRW($H$8,$H$12,$H$14,$H$10,$H$13,$H$11,O$2,$H$9,$A75)</f>
        <v>0</v>
      </c>
      <c r="P75" s="356">
        <f ca="1">_xll.DBRW($H$8,$H$12,$H$14,$H$10,$H$13,$H$11,P$2,$H$9,$B75)+_xll.DBRW($H$8,$H$12,$H$14,$H$10,$H$13,$H$11,P$2,$H$9,$A75)</f>
        <v>0</v>
      </c>
      <c r="Q75" s="326"/>
      <c r="R75" s="357" t="str">
        <f t="shared" ca="1" si="15"/>
        <v/>
      </c>
      <c r="S75" s="358" t="str">
        <f t="shared" ca="1" si="16"/>
        <v/>
      </c>
      <c r="T75" s="284"/>
    </row>
    <row r="76" spans="1:20" ht="26.25">
      <c r="A76" s="317" t="s">
        <v>264</v>
      </c>
      <c r="B76" s="282"/>
      <c r="C76" s="282"/>
      <c r="D76" s="282">
        <v>56</v>
      </c>
      <c r="F76" s="251"/>
      <c r="G76" s="461" t="str">
        <f ca="1">_xll.DBRA(Server&amp;$A$21,$A76,$H$15)</f>
        <v>Dividend paid to parent</v>
      </c>
      <c r="H76" s="462"/>
      <c r="I76" s="356">
        <f ca="1">_xll.DBRW($H$8,$H$12,$H$14,$H$10,$H$13,$H$11,I$2,$H$9,$A76)</f>
        <v>0</v>
      </c>
      <c r="J76" s="359">
        <f ca="1">_xll.DBRW($H$8,$H$12,$H$14,$H$10,$H$13,$H$11,J$2,$H$9,$A76)</f>
        <v>0</v>
      </c>
      <c r="K76" s="359">
        <f ca="1">_xll.DBRW($H$8,$H$12,$H$14,$H$10,$H$13,$H$11,K$2,$H$9,$A76)</f>
        <v>0</v>
      </c>
      <c r="L76" s="359">
        <f ca="1">_xll.DBRW($H$8,$H$12,$H$14,$H$10,$H$13,$H$11,L$2,$H$9,$A76)</f>
        <v>0</v>
      </c>
      <c r="M76" s="359">
        <f ca="1">_xll.DBRW($H$8,$H$12,$H$14,$H$10,$H$13,$H$11,M$2,$H$9,$A76)</f>
        <v>0</v>
      </c>
      <c r="N76" s="359">
        <f ca="1">_xll.DBRW($H$8,$H$12,$H$14,$H$10,$H$13,$H$11,N$2,$H$9,$A76)</f>
        <v>0</v>
      </c>
      <c r="O76" s="359">
        <f ca="1">_xll.DBRW($H$8,$H$12,$H$14,$H$10,$H$13,$H$11,O$2,$H$9,$A76)</f>
        <v>0</v>
      </c>
      <c r="P76" s="360">
        <f ca="1">_xll.DBRW($H$8,$H$12,$H$14,$H$10,$H$13,$H$11,P$2,$H$9,$A76)</f>
        <v>0</v>
      </c>
      <c r="Q76" s="326"/>
      <c r="R76" s="357" t="str">
        <f t="shared" ca="1" si="15"/>
        <v/>
      </c>
      <c r="S76" s="358" t="str">
        <f t="shared" ca="1" si="16"/>
        <v/>
      </c>
      <c r="T76" s="284"/>
    </row>
    <row r="77" spans="1:20" ht="26.25">
      <c r="A77" s="317" t="s">
        <v>265</v>
      </c>
      <c r="B77" s="282"/>
      <c r="C77" s="282"/>
      <c r="D77" s="282">
        <v>57</v>
      </c>
      <c r="G77" s="461" t="str">
        <f ca="1">_xll.DBRA(Server&amp;$A$21,$A77,$H$15)</f>
        <v>Dividend paid to minority interests</v>
      </c>
      <c r="H77" s="462"/>
      <c r="I77" s="356">
        <f ca="1">_xll.DBRW($H$8,$H$12,$H$14,$H$10,$H$13,$H$11,I$2,$H$9,$A77)</f>
        <v>0</v>
      </c>
      <c r="J77" s="359">
        <f ca="1">_xll.DBRW($H$8,$H$12,$H$14,$H$10,$H$13,$H$11,J$2,$H$9,$A77)</f>
        <v>0</v>
      </c>
      <c r="K77" s="359">
        <f ca="1">_xll.DBRW($H$8,$H$12,$H$14,$H$10,$H$13,$H$11,K$2,$H$9,$A77)</f>
        <v>0</v>
      </c>
      <c r="L77" s="359">
        <f ca="1">_xll.DBRW($H$8,$H$12,$H$14,$H$10,$H$13,$H$11,L$2,$H$9,$A77)</f>
        <v>0</v>
      </c>
      <c r="M77" s="359">
        <f ca="1">_xll.DBRW($H$8,$H$12,$H$14,$H$10,$H$13,$H$11,M$2,$H$9,$A77)</f>
        <v>0</v>
      </c>
      <c r="N77" s="359">
        <f ca="1">_xll.DBRW($H$8,$H$12,$H$14,$H$10,$H$13,$H$11,N$2,$H$9,$A77)</f>
        <v>0</v>
      </c>
      <c r="O77" s="359">
        <f ca="1">_xll.DBRW($H$8,$H$12,$H$14,$H$10,$H$13,$H$11,O$2,$H$9,$A77)</f>
        <v>0</v>
      </c>
      <c r="P77" s="360">
        <f ca="1">_xll.DBRW($H$8,$H$12,$H$14,$H$10,$H$13,$H$11,P$2,$H$9,$A77)</f>
        <v>0</v>
      </c>
      <c r="Q77" s="326"/>
      <c r="R77" s="357" t="str">
        <f t="shared" ca="1" si="15"/>
        <v/>
      </c>
      <c r="S77" s="358" t="str">
        <f t="shared" ca="1" si="16"/>
        <v/>
      </c>
      <c r="T77" s="284"/>
    </row>
    <row r="78" spans="1:20" ht="26.25">
      <c r="A78" s="317" t="s">
        <v>266</v>
      </c>
      <c r="B78" s="282"/>
      <c r="C78" s="282"/>
      <c r="D78" s="282">
        <v>58</v>
      </c>
      <c r="G78" s="457" t="str">
        <f ca="1">_xll.DBRA(Server&amp;$A$21,$A78,$H$15)</f>
        <v>Group share capital increase and change</v>
      </c>
      <c r="H78" s="458"/>
      <c r="I78" s="318">
        <f ca="1">_xll.DBRW($H$8,$H$12,$H$14,$H$10,$H$13,$H$11,I$2,$H$9,$A78)</f>
        <v>0</v>
      </c>
      <c r="J78" s="319">
        <f ca="1">_xll.DBRW($H$8,$H$12,$H$14,$H$10,$H$13,$H$11,J$2,$H$9,$A78)</f>
        <v>0</v>
      </c>
      <c r="K78" s="319">
        <f ca="1">_xll.DBRW($H$8,$H$12,$H$14,$H$10,$H$13,$H$11,K$2,$H$9,$A78)</f>
        <v>0</v>
      </c>
      <c r="L78" s="319">
        <f ca="1">_xll.DBRW($H$8,$H$12,$H$14,$H$10,$H$13,$H$11,L$2,$H$9,$A78)</f>
        <v>0</v>
      </c>
      <c r="M78" s="319">
        <f ca="1">_xll.DBRW($H$8,$H$12,$H$14,$H$10,$H$13,$H$11,M$2,$H$9,$A78)</f>
        <v>0</v>
      </c>
      <c r="N78" s="319">
        <f ca="1">_xll.DBRW($H$8,$H$12,$H$14,$H$10,$H$13,$H$11,N$2,$H$9,$A78)</f>
        <v>0</v>
      </c>
      <c r="O78" s="319">
        <f ca="1">_xll.DBRW($H$8,$H$12,$H$14,$H$10,$H$13,$H$11,O$2,$H$9,$A78)</f>
        <v>0</v>
      </c>
      <c r="P78" s="320">
        <f ca="1">_xll.DBRW($H$8,$H$12,$H$14,$H$10,$H$13,$H$11,P$2,$H$9,$A78)</f>
        <v>0</v>
      </c>
      <c r="Q78" s="326"/>
      <c r="R78" s="322" t="str">
        <f t="shared" ca="1" si="15"/>
        <v/>
      </c>
      <c r="S78" s="323" t="str">
        <f t="shared" ca="1" si="16"/>
        <v/>
      </c>
      <c r="T78" s="284"/>
    </row>
    <row r="79" spans="1:20" ht="27" thickBot="1">
      <c r="A79" s="317" t="s">
        <v>267</v>
      </c>
      <c r="B79" s="282"/>
      <c r="C79" s="282"/>
      <c r="D79" s="282">
        <v>59</v>
      </c>
      <c r="G79" s="457" t="str">
        <f ca="1">_xll.DBRA(Server&amp;$A$21,$A79,$H$15)</f>
        <v>Share capital increase (suscribed by minority)</v>
      </c>
      <c r="H79" s="458"/>
      <c r="I79" s="318">
        <f ca="1">_xll.DBRW($H$8,$H$12,$H$14,$H$10,$H$13,$H$11,I$2,$H$9,$A79)</f>
        <v>0</v>
      </c>
      <c r="J79" s="319">
        <f ca="1">_xll.DBRW($H$8,$H$12,$H$14,$H$10,$H$13,$H$11,J$2,$H$9,$A79)</f>
        <v>0</v>
      </c>
      <c r="K79" s="319">
        <f ca="1">_xll.DBRW($H$8,$H$12,$H$14,$H$10,$H$13,$H$11,K$2,$H$9,$A79)</f>
        <v>0</v>
      </c>
      <c r="L79" s="319">
        <f ca="1">_xll.DBRW($H$8,$H$12,$H$14,$H$10,$H$13,$H$11,L$2,$H$9,$A79)</f>
        <v>0</v>
      </c>
      <c r="M79" s="319">
        <f ca="1">_xll.DBRW($H$8,$H$12,$H$14,$H$10,$H$13,$H$11,M$2,$H$9,$A79)</f>
        <v>0</v>
      </c>
      <c r="N79" s="319">
        <f ca="1">_xll.DBRW($H$8,$H$12,$H$14,$H$10,$H$13,$H$11,N$2,$H$9,$A79)</f>
        <v>0</v>
      </c>
      <c r="O79" s="319">
        <f ca="1">_xll.DBRW($H$8,$H$12,$H$14,$H$10,$H$13,$H$11,O$2,$H$9,$A79)</f>
        <v>0</v>
      </c>
      <c r="P79" s="320">
        <f ca="1">_xll.DBRW($H$8,$H$12,$H$14,$H$10,$H$13,$H$11,P$2,$H$9,$A79)</f>
        <v>0</v>
      </c>
      <c r="Q79" s="326"/>
      <c r="R79" s="322" t="str">
        <f t="shared" ca="1" si="15"/>
        <v/>
      </c>
      <c r="S79" s="323" t="str">
        <f t="shared" ca="1" si="16"/>
        <v/>
      </c>
      <c r="T79" s="284"/>
    </row>
    <row r="80" spans="1:20" ht="26.25" hidden="1" outlineLevel="1">
      <c r="A80" s="317" t="s">
        <v>268</v>
      </c>
      <c r="B80" s="282"/>
      <c r="C80" s="282"/>
      <c r="D80" s="282">
        <v>60</v>
      </c>
      <c r="G80" s="457" t="str">
        <f ca="1">_xll.DBRA(Server&amp;$A$21,$A80,$H$15)</f>
        <v>Shareholders transactions: Increase in ownership interest</v>
      </c>
      <c r="H80" s="458"/>
      <c r="I80" s="318">
        <f ca="1">_xll.DBRW($H$8,$H$12,$H$14,$H$10,$H$13,$H$11,I$2,$H$9,$A80)</f>
        <v>0</v>
      </c>
      <c r="J80" s="319">
        <f ca="1">_xll.DBRW($H$8,$H$12,$H$14,$H$10,$H$13,$H$11,J$2,$H$9,$A80)</f>
        <v>0</v>
      </c>
      <c r="K80" s="319">
        <f ca="1">_xll.DBRW($H$8,$H$12,$H$14,$H$10,$H$13,$H$11,K$2,$H$9,$A80)</f>
        <v>0</v>
      </c>
      <c r="L80" s="319">
        <f ca="1">_xll.DBRW($H$8,$H$12,$H$14,$H$10,$H$13,$H$11,L$2,$H$9,$A80)</f>
        <v>0</v>
      </c>
      <c r="M80" s="319">
        <f ca="1">_xll.DBRW($H$8,$H$12,$H$14,$H$10,$H$13,$H$11,M$2,$H$9,$A80)</f>
        <v>0</v>
      </c>
      <c r="N80" s="319">
        <f ca="1">_xll.DBRW($H$8,$H$12,$H$14,$H$10,$H$13,$H$11,N$2,$H$9,$A80)</f>
        <v>0</v>
      </c>
      <c r="O80" s="319">
        <f ca="1">_xll.DBRW($H$8,$H$12,$H$14,$H$10,$H$13,$H$11,O$2,$H$9,$A80)</f>
        <v>0</v>
      </c>
      <c r="P80" s="320">
        <f ca="1">_xll.DBRW($H$8,$H$12,$H$14,$H$10,$H$13,$H$11,P$2,$H$9,$A80)</f>
        <v>0</v>
      </c>
      <c r="Q80" s="326"/>
      <c r="R80" s="322" t="str">
        <f t="shared" ca="1" si="15"/>
        <v/>
      </c>
      <c r="S80" s="323" t="str">
        <f t="shared" ca="1" si="16"/>
        <v/>
      </c>
      <c r="T80" s="284"/>
    </row>
    <row r="81" spans="1:21" ht="27" hidden="1" outlineLevel="1" thickBot="1">
      <c r="A81" s="317" t="s">
        <v>269</v>
      </c>
      <c r="B81" s="282"/>
      <c r="C81" s="282"/>
      <c r="D81" s="282">
        <v>61</v>
      </c>
      <c r="G81" s="457" t="str">
        <f ca="1">_xll.DBRA(Server&amp;$A$21,$A81,$H$15)</f>
        <v>Shareholders transactions: Decrease in ownership interest</v>
      </c>
      <c r="H81" s="458"/>
      <c r="I81" s="318">
        <f ca="1">_xll.DBRW($H$8,$H$12,$H$14,$H$10,$H$13,$H$11,I$2,$H$9,$A81)</f>
        <v>0</v>
      </c>
      <c r="J81" s="319">
        <f ca="1">_xll.DBRW($H$8,$H$12,$H$14,$H$10,$H$13,$H$11,J$2,$H$9,$A81)</f>
        <v>0</v>
      </c>
      <c r="K81" s="319">
        <f ca="1">_xll.DBRW($H$8,$H$12,$H$14,$H$10,$H$13,$H$11,K$2,$H$9,$A81)</f>
        <v>0</v>
      </c>
      <c r="L81" s="319">
        <f ca="1">_xll.DBRW($H$8,$H$12,$H$14,$H$10,$H$13,$H$11,L$2,$H$9,$A81)</f>
        <v>0</v>
      </c>
      <c r="M81" s="319">
        <f ca="1">_xll.DBRW($H$8,$H$12,$H$14,$H$10,$H$13,$H$11,M$2,$H$9,$A81)</f>
        <v>0</v>
      </c>
      <c r="N81" s="319">
        <f ca="1">_xll.DBRW($H$8,$H$12,$H$14,$H$10,$H$13,$H$11,N$2,$H$9,$A81)</f>
        <v>0</v>
      </c>
      <c r="O81" s="319">
        <f ca="1">_xll.DBRW($H$8,$H$12,$H$14,$H$10,$H$13,$H$11,O$2,$H$9,$A81)</f>
        <v>0</v>
      </c>
      <c r="P81" s="320">
        <f ca="1">_xll.DBRW($H$8,$H$12,$H$14,$H$10,$H$13,$H$11,P$2,$H$9,$A81)</f>
        <v>0</v>
      </c>
      <c r="Q81" s="326"/>
      <c r="R81" s="322" t="str">
        <f t="shared" ca="1" si="15"/>
        <v/>
      </c>
      <c r="S81" s="323" t="str">
        <f t="shared" ca="1" si="16"/>
        <v/>
      </c>
      <c r="T81" s="284"/>
    </row>
    <row r="82" spans="1:21" ht="27" collapsed="1" thickBot="1">
      <c r="A82" s="317" t="s">
        <v>270</v>
      </c>
      <c r="B82" s="331"/>
      <c r="C82" s="282"/>
      <c r="D82" s="282">
        <v>62</v>
      </c>
      <c r="G82" s="456" t="str">
        <f ca="1">_xll.DBRA(Server&amp;$A$21,$A82,$H$15)</f>
        <v>NET CASH FLOW FROM FINANCING ACTIVITIES</v>
      </c>
      <c r="H82" s="456"/>
      <c r="I82" s="346">
        <f ca="1">_xll.DBRW($H$8,$H$12,$H$14,$H$10,$H$13,$H$11,I$2,$H$9,$A82)</f>
        <v>0</v>
      </c>
      <c r="J82" s="346">
        <f ca="1">_xll.DBRW($H$8,$H$12,$H$14,$H$10,$H$13,$H$11,J$2,$H$9,$A82)</f>
        <v>0</v>
      </c>
      <c r="K82" s="346">
        <f ca="1">_xll.DBRW($H$8,$H$12,$H$14,$H$10,$H$13,$H$11,K$2,$H$9,$A82)</f>
        <v>0</v>
      </c>
      <c r="L82" s="346">
        <f ca="1">_xll.DBRW($H$8,$H$12,$H$14,$H$10,$H$13,$H$11,L$2,$H$9,$A82)</f>
        <v>0</v>
      </c>
      <c r="M82" s="346">
        <f ca="1">_xll.DBRW($H$8,$H$12,$H$14,$H$10,$H$13,$H$11,M$2,$H$9,$A82)</f>
        <v>0</v>
      </c>
      <c r="N82" s="346">
        <f ca="1">_xll.DBRW($H$8,$H$12,$H$14,$H$10,$H$13,$H$11,N$2,$H$9,$A82)</f>
        <v>0</v>
      </c>
      <c r="O82" s="346">
        <f ca="1">_xll.DBRW($H$8,$H$12,$H$14,$H$10,$H$13,$H$11,O$2,$H$9,$A82)</f>
        <v>0</v>
      </c>
      <c r="P82" s="346">
        <f ca="1">_xll.DBRW($H$8,$H$12,$H$14,$H$10,$H$13,$H$11,P$2,$H$9,$A82)</f>
        <v>0</v>
      </c>
      <c r="Q82" s="326">
        <f ca="1">SUM(I82:P82)-SUM(I75:P81)</f>
        <v>0</v>
      </c>
      <c r="R82" s="344" t="str">
        <f ca="1">IF(ISERROR((M82/J82)^(1/3)-1),"",(M82/J82)^(1/3)-1)</f>
        <v/>
      </c>
      <c r="S82" s="344" t="str">
        <f ca="1">IF(ISERROR((P82/J82)^(1/6)-1),"",(P82/J82)^(1/6)-1)</f>
        <v/>
      </c>
      <c r="T82" s="284"/>
    </row>
    <row r="83" spans="1:21" ht="27" thickBot="1">
      <c r="A83" s="317" t="s">
        <v>271</v>
      </c>
      <c r="B83" s="331"/>
      <c r="C83" s="282"/>
      <c r="D83" s="282">
        <v>63</v>
      </c>
      <c r="G83" s="459" t="str">
        <f ca="1">_xll.DBRA(Server&amp;$A$21,$A83,$H$15)</f>
        <v>OTHER FLOWS (exchange rate, revaluation…)</v>
      </c>
      <c r="H83" s="460"/>
      <c r="I83" s="361">
        <f ca="1">_xll.DBRW($H$8,$H$12,$H$14,$H$10,$H$13,$H$11,I$2,$H$9,$A83)</f>
        <v>0</v>
      </c>
      <c r="J83" s="362">
        <f ca="1">_xll.DBRW($H$8,$H$12,$H$14,$H$10,$H$13,$H$11,J$2,$H$9,$A83)</f>
        <v>0</v>
      </c>
      <c r="K83" s="362">
        <f ca="1">_xll.DBRW($H$8,$H$12,$H$14,$H$10,$H$13,$H$11,K$2,$H$9,$A83)</f>
        <v>0</v>
      </c>
      <c r="L83" s="362">
        <f ca="1">_xll.DBRW($H$8,$H$12,$H$14,$H$10,$H$13,$H$11,L$2,$H$9,$A83)</f>
        <v>0</v>
      </c>
      <c r="M83" s="362">
        <f ca="1">_xll.DBRW($H$8,$H$12,$H$14,$H$10,$H$13,$H$11,M$2,$H$9,$A83)</f>
        <v>0</v>
      </c>
      <c r="N83" s="362">
        <f ca="1">_xll.DBRW($H$8,$H$12,$H$14,$H$10,$H$13,$H$11,N$2,$H$9,$A83)</f>
        <v>0</v>
      </c>
      <c r="O83" s="362">
        <f ca="1">_xll.DBRW($H$8,$H$12,$H$14,$H$10,$H$13,$H$11,O$2,$H$9,$A83)</f>
        <v>0</v>
      </c>
      <c r="P83" s="363">
        <f ca="1">_xll.DBRW($H$8,$H$12,$H$14,$H$10,$H$13,$H$11,P$2,$H$9,$A83)</f>
        <v>0</v>
      </c>
      <c r="Q83" s="326"/>
      <c r="R83" s="364" t="str">
        <f ca="1">IF(ISERROR((M83/J83)^(1/3)-1),"",(M83/J83)^(1/3)-1)</f>
        <v/>
      </c>
      <c r="S83" s="365" t="str">
        <f ca="1">IF(ISERROR((P83/J83)^(1/6)-1),"",(P83/J83)^(1/6)-1)</f>
        <v/>
      </c>
      <c r="T83" s="284"/>
    </row>
    <row r="84" spans="1:21" ht="27" thickBot="1">
      <c r="A84" s="317" t="s">
        <v>272</v>
      </c>
      <c r="B84" s="331"/>
      <c r="C84" s="282"/>
      <c r="D84" s="282">
        <v>64</v>
      </c>
      <c r="G84" s="456" t="str">
        <f ca="1">_xll.DBRA(Server&amp;$A$21,$A84,$H$15)</f>
        <v>CHANGE IN NET FINANCIAL DEBT</v>
      </c>
      <c r="H84" s="456"/>
      <c r="I84" s="346">
        <f ca="1">_xll.DBRW($H$8,$H$12,$H$14,$H$10,$H$13,$H$11,I$2,$H$9,$A84)</f>
        <v>0</v>
      </c>
      <c r="J84" s="346">
        <f ca="1">_xll.DBRW($H$8,$H$12,$H$14,$H$10,$H$13,$H$11,J$2,$H$9,$A84)</f>
        <v>0</v>
      </c>
      <c r="K84" s="346">
        <f ca="1">_xll.DBRW($H$8,$H$12,$H$14,$H$10,$H$13,$H$11,K$2,$H$9,$A84)</f>
        <v>0</v>
      </c>
      <c r="L84" s="346">
        <f ca="1">_xll.DBRW($H$8,$H$12,$H$14,$H$10,$H$13,$H$11,L$2,$H$9,$A84)</f>
        <v>0</v>
      </c>
      <c r="M84" s="346">
        <f ca="1">_xll.DBRW($H$8,$H$12,$H$14,$H$10,$H$13,$H$11,M$2,$H$9,$A84)</f>
        <v>0</v>
      </c>
      <c r="N84" s="346">
        <f ca="1">_xll.DBRW($H$8,$H$12,$H$14,$H$10,$H$13,$H$11,N$2,$H$9,$A84)</f>
        <v>0</v>
      </c>
      <c r="O84" s="346">
        <f ca="1">_xll.DBRW($H$8,$H$12,$H$14,$H$10,$H$13,$H$11,O$2,$H$9,$A84)</f>
        <v>0</v>
      </c>
      <c r="P84" s="346">
        <f ca="1">_xll.DBRW($H$8,$H$12,$H$14,$H$10,$H$13,$H$11,P$2,$H$9,$A84)</f>
        <v>0</v>
      </c>
      <c r="Q84" s="326">
        <f ca="1">SUM(I84:P84)-SUM(I82:P83)-SUM(I74:P74)</f>
        <v>0</v>
      </c>
      <c r="R84" s="344" t="str">
        <f ca="1">IF(ISERROR((M84/J84)^(1/3)-1),"",(M84/J84)^(1/3)-1)</f>
        <v/>
      </c>
      <c r="S84" s="344" t="str">
        <f ca="1">IF(ISERROR((P84/J84)^(1/6)-1),"",(P84/J84)^(1/6)-1)</f>
        <v/>
      </c>
      <c r="T84" s="284"/>
    </row>
    <row r="85" spans="1:21" ht="26.25">
      <c r="A85" s="282"/>
      <c r="B85" s="282"/>
      <c r="C85" s="282"/>
      <c r="D85" s="282">
        <v>65</v>
      </c>
      <c r="G85" s="309"/>
      <c r="H85" s="309"/>
      <c r="I85" s="309"/>
      <c r="J85" s="309"/>
      <c r="K85" s="309"/>
      <c r="L85" s="309"/>
      <c r="M85" s="309"/>
      <c r="N85" s="309"/>
      <c r="O85" s="309"/>
      <c r="P85" s="309"/>
      <c r="Q85" s="326"/>
      <c r="R85" s="329"/>
      <c r="T85" s="284"/>
    </row>
    <row r="86" spans="1:21" s="309" customFormat="1" ht="26.25">
      <c r="A86" s="302"/>
      <c r="B86" s="302"/>
      <c r="C86" s="302"/>
      <c r="D86" s="302">
        <v>66</v>
      </c>
      <c r="E86" s="303"/>
      <c r="F86" s="304"/>
      <c r="G86" s="454" t="str">
        <f ca="1">_xll.DBRA(Server&amp;#REF!,#REF!,$H$15)</f>
        <v/>
      </c>
      <c r="H86" s="454"/>
      <c r="I86" s="305" t="str">
        <f ca="1">I$21</f>
        <v>Actual 2022</v>
      </c>
      <c r="J86" s="305" t="str">
        <f t="shared" ref="J86:P86" ca="1" si="17">J$21</f>
        <v>F2 2023</v>
      </c>
      <c r="K86" s="305" t="str">
        <f t="shared" ca="1" si="17"/>
        <v>Budget 2024</v>
      </c>
      <c r="L86" s="305" t="str">
        <f t="shared" ca="1" si="17"/>
        <v>LTP 2025</v>
      </c>
      <c r="M86" s="305" t="str">
        <f t="shared" ca="1" si="17"/>
        <v>LTP 2026</v>
      </c>
      <c r="N86" s="305" t="str">
        <f t="shared" ca="1" si="17"/>
        <v>LTP 2027</v>
      </c>
      <c r="O86" s="305" t="str">
        <f t="shared" ca="1" si="17"/>
        <v>LTP 2028</v>
      </c>
      <c r="P86" s="305" t="str">
        <f t="shared" ca="1" si="17"/>
        <v>LTP 2029</v>
      </c>
      <c r="Q86" s="326"/>
      <c r="R86" s="307" t="str">
        <f ca="1">_xll.DBRA(Server&amp;#REF!,#REF!,$H$15)&amp;" "&amp;MID($H$1,7,2)&amp;"-"&amp;MID($M$2,10,2)</f>
        <v xml:space="preserve"> 23-26</v>
      </c>
      <c r="S86" s="308" t="str">
        <f ca="1">_xll.DBRA(Server&amp;#REF!,#REF!,$H$15)&amp;" "&amp;MID($H$1,7,2)&amp;"-"&amp;MID($P$2,10,2)</f>
        <v xml:space="preserve"> 23-29</v>
      </c>
      <c r="U86" s="310"/>
    </row>
    <row r="87" spans="1:21" ht="27" thickBot="1">
      <c r="B87" s="282"/>
      <c r="C87" s="282"/>
      <c r="D87" s="282">
        <v>67</v>
      </c>
      <c r="G87" s="313"/>
      <c r="H87" s="314"/>
      <c r="I87" s="315"/>
      <c r="J87" s="315"/>
      <c r="K87" s="315"/>
      <c r="L87" s="315"/>
      <c r="M87" s="315"/>
      <c r="N87" s="315"/>
      <c r="O87" s="315"/>
      <c r="P87" s="315"/>
      <c r="Q87" s="326"/>
      <c r="R87" s="316"/>
      <c r="S87" s="316"/>
      <c r="T87" s="284"/>
    </row>
    <row r="88" spans="1:21" ht="26.25">
      <c r="A88" s="317" t="s">
        <v>273</v>
      </c>
      <c r="B88" s="282"/>
      <c r="C88" s="282"/>
      <c r="D88" s="282">
        <v>68</v>
      </c>
      <c r="G88" s="457" t="str">
        <f ca="1">_xll.DBRA(Server&amp;$A$21,$A88,$H$15)</f>
        <v>Goodwill &amp; Tangible &amp; intangible assets &amp; ROU + net WC on investments</v>
      </c>
      <c r="H88" s="458"/>
      <c r="I88" s="318">
        <f ca="1">_xll.DBRW($H$8,$H$12,$H$14,$H$10,$H$13,$H$11,I$2,$H$9,$A88)</f>
        <v>0</v>
      </c>
      <c r="J88" s="319">
        <f ca="1">_xll.DBRW($H$8,$H$12,$H$14,$H$10,$H$13,$H$11,J$2,$H$9,$A88)</f>
        <v>0</v>
      </c>
      <c r="K88" s="319">
        <f ca="1">_xll.DBRW($H$8,$H$12,$H$14,$H$10,$H$13,$H$11,K$2,$H$9,$A88)</f>
        <v>0</v>
      </c>
      <c r="L88" s="319">
        <f ca="1">_xll.DBRW($H$8,$H$12,$H$14,$H$10,$H$13,$H$11,L$2,$H$9,$A88)</f>
        <v>0</v>
      </c>
      <c r="M88" s="319">
        <f ca="1">_xll.DBRW($H$8,$H$12,$H$14,$H$10,$H$13,$H$11,M$2,$H$9,$A88)</f>
        <v>0</v>
      </c>
      <c r="N88" s="319">
        <f ca="1">_xll.DBRW($H$8,$H$12,$H$14,$H$10,$H$13,$H$11,N$2,$H$9,$A88)</f>
        <v>0</v>
      </c>
      <c r="O88" s="319">
        <f ca="1">_xll.DBRW($H$8,$H$12,$H$14,$H$10,$H$13,$H$11,O$2,$H$9,$A88)</f>
        <v>0</v>
      </c>
      <c r="P88" s="320">
        <f ca="1">_xll.DBRW($H$8,$H$12,$H$14,$H$10,$H$13,$H$11,P$2,$H$9,$A88)</f>
        <v>0</v>
      </c>
      <c r="Q88" s="326"/>
      <c r="R88" s="366" t="str">
        <f t="shared" ref="R88:R92" ca="1" si="18">IF(ISERROR((M88/J88)^(1/3)-1),"",(M88/J88)^(1/3)-1)</f>
        <v/>
      </c>
      <c r="S88" s="323" t="str">
        <f t="shared" ref="S88:S92" ca="1" si="19">IF(ISERROR((P88/J88)^(1/6)-1),"",(P88/J88)^(1/6)-1)</f>
        <v/>
      </c>
      <c r="T88" s="284"/>
    </row>
    <row r="89" spans="1:21" ht="26.25">
      <c r="A89" s="317" t="s">
        <v>274</v>
      </c>
      <c r="B89" s="282"/>
      <c r="C89" s="282"/>
      <c r="D89" s="282">
        <v>69</v>
      </c>
      <c r="G89" s="457" t="str">
        <f ca="1">_xll.DBRA(Server&amp;$A$21,$A89,$H$15)</f>
        <v>Investments in associates</v>
      </c>
      <c r="H89" s="458"/>
      <c r="I89" s="318">
        <f ca="1">_xll.DBRW($H$8,$H$12,$H$14,$H$10,$H$13,$H$11,I$2,$H$9,$A89)</f>
        <v>0</v>
      </c>
      <c r="J89" s="319">
        <f ca="1">_xll.DBRW($H$8,$H$12,$H$14,$H$10,$H$13,$H$11,J$2,$H$9,$A89)</f>
        <v>0</v>
      </c>
      <c r="K89" s="319">
        <f ca="1">_xll.DBRW($H$8,$H$12,$H$14,$H$10,$H$13,$H$11,K$2,$H$9,$A89)</f>
        <v>0</v>
      </c>
      <c r="L89" s="319">
        <f ca="1">_xll.DBRW($H$8,$H$12,$H$14,$H$10,$H$13,$H$11,L$2,$H$9,$A89)</f>
        <v>0</v>
      </c>
      <c r="M89" s="319">
        <f ca="1">_xll.DBRW($H$8,$H$12,$H$14,$H$10,$H$13,$H$11,M$2,$H$9,$A89)</f>
        <v>0</v>
      </c>
      <c r="N89" s="319">
        <f ca="1">_xll.DBRW($H$8,$H$12,$H$14,$H$10,$H$13,$H$11,N$2,$H$9,$A89)</f>
        <v>0</v>
      </c>
      <c r="O89" s="319">
        <f ca="1">_xll.DBRW($H$8,$H$12,$H$14,$H$10,$H$13,$H$11,O$2,$H$9,$A89)</f>
        <v>0</v>
      </c>
      <c r="P89" s="320">
        <f ca="1">_xll.DBRW($H$8,$H$12,$H$14,$H$10,$H$13,$H$11,P$2,$H$9,$A89)</f>
        <v>0</v>
      </c>
      <c r="Q89" s="326"/>
      <c r="R89" s="366" t="str">
        <f t="shared" ca="1" si="18"/>
        <v/>
      </c>
      <c r="S89" s="323" t="str">
        <f t="shared" ca="1" si="19"/>
        <v/>
      </c>
      <c r="T89" s="284"/>
    </row>
    <row r="90" spans="1:21" ht="26.25">
      <c r="A90" s="317" t="s">
        <v>275</v>
      </c>
      <c r="B90" s="282"/>
      <c r="C90" s="282"/>
      <c r="D90" s="282">
        <v>70</v>
      </c>
      <c r="G90" s="457" t="str">
        <f ca="1">_xll.DBRA(Server&amp;$A$21,$A90,$H$15)</f>
        <v>Net WC on income tax (payable &amp; differed)</v>
      </c>
      <c r="H90" s="458"/>
      <c r="I90" s="318">
        <f ca="1">_xll.DBRW($H$8,$H$12,$H$14,$H$10,$H$13,$H$11,I$2,$H$9,$A90)</f>
        <v>0</v>
      </c>
      <c r="J90" s="319">
        <f ca="1">_xll.DBRW($H$8,$H$12,$H$14,$H$10,$H$13,$H$11,J$2,$H$9,$A90)</f>
        <v>0</v>
      </c>
      <c r="K90" s="319">
        <f ca="1">_xll.DBRW($H$8,$H$12,$H$14,$H$10,$H$13,$H$11,K$2,$H$9,$A90)</f>
        <v>0</v>
      </c>
      <c r="L90" s="319">
        <f ca="1">_xll.DBRW($H$8,$H$12,$H$14,$H$10,$H$13,$H$11,L$2,$H$9,$A90)</f>
        <v>0</v>
      </c>
      <c r="M90" s="319">
        <f ca="1">_xll.DBRW($H$8,$H$12,$H$14,$H$10,$H$13,$H$11,M$2,$H$9,$A90)</f>
        <v>0</v>
      </c>
      <c r="N90" s="319">
        <f ca="1">_xll.DBRW($H$8,$H$12,$H$14,$H$10,$H$13,$H$11,N$2,$H$9,$A90)</f>
        <v>0</v>
      </c>
      <c r="O90" s="319">
        <f ca="1">_xll.DBRW($H$8,$H$12,$H$14,$H$10,$H$13,$H$11,O$2,$H$9,$A90)</f>
        <v>0</v>
      </c>
      <c r="P90" s="320">
        <f ca="1">_xll.DBRW($H$8,$H$12,$H$14,$H$10,$H$13,$H$11,P$2,$H$9,$A90)</f>
        <v>0</v>
      </c>
      <c r="Q90" s="326"/>
      <c r="R90" s="366" t="str">
        <f t="shared" ca="1" si="18"/>
        <v/>
      </c>
      <c r="S90" s="323" t="str">
        <f t="shared" ca="1" si="19"/>
        <v/>
      </c>
    </row>
    <row r="91" spans="1:21" ht="26.25">
      <c r="A91" s="317" t="s">
        <v>276</v>
      </c>
      <c r="B91" s="282"/>
      <c r="C91" s="282"/>
      <c r="D91" s="282">
        <v>71</v>
      </c>
      <c r="G91" s="457" t="str">
        <f ca="1">_xll.DBRA(Server&amp;$A$21,$A91,$H$15)</f>
        <v>Net operating WC</v>
      </c>
      <c r="H91" s="458"/>
      <c r="I91" s="318">
        <f ca="1">_xll.DBRW($H$8,$H$12,$H$14,$H$10,$H$13,$H$11,I$2,$H$9,$A91)</f>
        <v>0</v>
      </c>
      <c r="J91" s="319">
        <f ca="1">_xll.DBRW($H$8,$H$12,$H$14,$H$10,$H$13,$H$11,J$2,$H$9,$A91)</f>
        <v>0</v>
      </c>
      <c r="K91" s="319">
        <f ca="1">_xll.DBRW($H$8,$H$12,$H$14,$H$10,$H$13,$H$11,K$2,$H$9,$A91)</f>
        <v>0</v>
      </c>
      <c r="L91" s="319">
        <f ca="1">_xll.DBRW($H$8,$H$12,$H$14,$H$10,$H$13,$H$11,L$2,$H$9,$A91)</f>
        <v>0</v>
      </c>
      <c r="M91" s="319">
        <f ca="1">_xll.DBRW($H$8,$H$12,$H$14,$H$10,$H$13,$H$11,M$2,$H$9,$A91)</f>
        <v>0</v>
      </c>
      <c r="N91" s="319">
        <f ca="1">_xll.DBRW($H$8,$H$12,$H$14,$H$10,$H$13,$H$11,N$2,$H$9,$A91)</f>
        <v>0</v>
      </c>
      <c r="O91" s="319">
        <f ca="1">_xll.DBRW($H$8,$H$12,$H$14,$H$10,$H$13,$H$11,O$2,$H$9,$A91)</f>
        <v>0</v>
      </c>
      <c r="P91" s="320">
        <f ca="1">_xll.DBRW($H$8,$H$12,$H$14,$H$10,$H$13,$H$11,P$2,$H$9,$A91)</f>
        <v>0</v>
      </c>
      <c r="Q91" s="326"/>
      <c r="R91" s="366" t="str">
        <f t="shared" ca="1" si="18"/>
        <v/>
      </c>
      <c r="S91" s="323" t="str">
        <f t="shared" ca="1" si="19"/>
        <v/>
      </c>
      <c r="T91" s="284"/>
    </row>
    <row r="92" spans="1:21" ht="27" thickBot="1">
      <c r="A92" s="317" t="s">
        <v>277</v>
      </c>
      <c r="B92" s="282"/>
      <c r="C92" s="282"/>
      <c r="D92" s="282">
        <v>72</v>
      </c>
      <c r="G92" s="457" t="str">
        <f ca="1">_xll.DBRA(Server&amp;$A$21,$A92,$H$15)</f>
        <v>Reserves and allowances</v>
      </c>
      <c r="H92" s="458"/>
      <c r="I92" s="318">
        <f ca="1">_xll.DBRW($H$8,$H$12,$H$14,$H$10,$H$13,$H$11,I$2,$H$9,$A92)</f>
        <v>0</v>
      </c>
      <c r="J92" s="319">
        <f ca="1">_xll.DBRW($H$8,$H$12,$H$14,$H$10,$H$13,$H$11,J$2,$H$9,$A92)</f>
        <v>0</v>
      </c>
      <c r="K92" s="319">
        <f ca="1">_xll.DBRW($H$8,$H$12,$H$14,$H$10,$H$13,$H$11,K$2,$H$9,$A92)</f>
        <v>0</v>
      </c>
      <c r="L92" s="319">
        <f ca="1">_xll.DBRW($H$8,$H$12,$H$14,$H$10,$H$13,$H$11,L$2,$H$9,$A92)</f>
        <v>0</v>
      </c>
      <c r="M92" s="319">
        <f ca="1">_xll.DBRW($H$8,$H$12,$H$14,$H$10,$H$13,$H$11,M$2,$H$9,$A92)</f>
        <v>0</v>
      </c>
      <c r="N92" s="319">
        <f ca="1">_xll.DBRW($H$8,$H$12,$H$14,$H$10,$H$13,$H$11,N$2,$H$9,$A92)</f>
        <v>0</v>
      </c>
      <c r="O92" s="319">
        <f ca="1">_xll.DBRW($H$8,$H$12,$H$14,$H$10,$H$13,$H$11,O$2,$H$9,$A92)</f>
        <v>0</v>
      </c>
      <c r="P92" s="320">
        <f ca="1">_xll.DBRW($H$8,$H$12,$H$14,$H$10,$H$13,$H$11,P$2,$H$9,$A92)</f>
        <v>0</v>
      </c>
      <c r="Q92" s="326"/>
      <c r="R92" s="366" t="str">
        <f t="shared" ca="1" si="18"/>
        <v/>
      </c>
      <c r="S92" s="323" t="str">
        <f t="shared" ca="1" si="19"/>
        <v/>
      </c>
      <c r="T92" s="284"/>
    </row>
    <row r="93" spans="1:21" ht="27" thickBot="1">
      <c r="A93" s="317" t="s">
        <v>278</v>
      </c>
      <c r="B93" s="331"/>
      <c r="C93" s="282"/>
      <c r="D93" s="282">
        <v>73</v>
      </c>
      <c r="G93" s="456" t="str">
        <f ca="1">_xll.DBRA(Server&amp;$A$21,$A93,$H$15)</f>
        <v>CAPITAL EMPLOYED</v>
      </c>
      <c r="H93" s="456"/>
      <c r="I93" s="346">
        <f ca="1">_xll.DBRW($H$8,$H$12,$H$14,$H$10,$H$13,$H$11,I$2,$H$9,$A93)</f>
        <v>0</v>
      </c>
      <c r="J93" s="346">
        <f ca="1">_xll.DBRW($H$8,$H$12,$H$14,$H$10,$H$13,$H$11,J$2,$H$9,$A93)</f>
        <v>0</v>
      </c>
      <c r="K93" s="346">
        <f ca="1">_xll.DBRW($H$8,$H$12,$H$14,$H$10,$H$13,$H$11,K$2,$H$9,$A93)</f>
        <v>0</v>
      </c>
      <c r="L93" s="346">
        <f ca="1">_xll.DBRW($H$8,$H$12,$H$14,$H$10,$H$13,$H$11,L$2,$H$9,$A93)</f>
        <v>0</v>
      </c>
      <c r="M93" s="346">
        <f ca="1">_xll.DBRW($H$8,$H$12,$H$14,$H$10,$H$13,$H$11,M$2,$H$9,$A93)</f>
        <v>0</v>
      </c>
      <c r="N93" s="346">
        <f ca="1">_xll.DBRW($H$8,$H$12,$H$14,$H$10,$H$13,$H$11,N$2,$H$9,$A93)</f>
        <v>0</v>
      </c>
      <c r="O93" s="346">
        <f ca="1">_xll.DBRW($H$8,$H$12,$H$14,$H$10,$H$13,$H$11,O$2,$H$9,$A93)</f>
        <v>0</v>
      </c>
      <c r="P93" s="346">
        <f ca="1">_xll.DBRW($H$8,$H$12,$H$14,$H$10,$H$13,$H$11,P$2,$H$9,$A93)</f>
        <v>0</v>
      </c>
      <c r="Q93" s="326">
        <f ca="1">SUM(I93:P93)-SUM(I88:P92)</f>
        <v>0</v>
      </c>
      <c r="R93" s="344" t="str">
        <f ca="1">IF(ISERROR((M93/J93)^(1/3)-1),"",(M93/J93)^(1/3)-1)</f>
        <v/>
      </c>
      <c r="S93" s="344" t="str">
        <f ca="1">IF(ISERROR((P93/J93)^(1/6)-1),"",(P93/J93)^(1/6)-1)</f>
        <v/>
      </c>
      <c r="T93" s="284"/>
      <c r="U93" s="284"/>
    </row>
    <row r="94" spans="1:21" ht="27" thickBot="1">
      <c r="A94" s="317" t="s">
        <v>279</v>
      </c>
      <c r="B94" s="331"/>
      <c r="C94" s="282"/>
      <c r="D94" s="282">
        <v>74</v>
      </c>
      <c r="G94" s="457" t="str">
        <f ca="1">_xll.DBRA(Server&amp;$A$21,$A94,$H$15)</f>
        <v>Operating financial asset (Net)</v>
      </c>
      <c r="H94" s="458"/>
      <c r="I94" s="318">
        <f ca="1">_xll.DBRW($H$8,$H$12,$H$14,$H$10,$H$13,$H$11,I$2,$H$9,$A94)</f>
        <v>0</v>
      </c>
      <c r="J94" s="319">
        <f ca="1">_xll.DBRW($H$8,$H$12,$H$14,$H$10,$H$13,$H$11,J$2,$H$9,$A94)</f>
        <v>0</v>
      </c>
      <c r="K94" s="319">
        <f ca="1">_xll.DBRW($H$8,$H$12,$H$14,$H$10,$H$13,$H$11,K$2,$H$9,$A94)</f>
        <v>0</v>
      </c>
      <c r="L94" s="319">
        <f ca="1">_xll.DBRW($H$8,$H$12,$H$14,$H$10,$H$13,$H$11,L$2,$H$9,$A94)</f>
        <v>0</v>
      </c>
      <c r="M94" s="319">
        <f ca="1">_xll.DBRW($H$8,$H$12,$H$14,$H$10,$H$13,$H$11,M$2,$H$9,$A94)</f>
        <v>0</v>
      </c>
      <c r="N94" s="319">
        <f ca="1">_xll.DBRW($H$8,$H$12,$H$14,$H$10,$H$13,$H$11,N$2,$H$9,$A94)</f>
        <v>0</v>
      </c>
      <c r="O94" s="319">
        <f ca="1">_xll.DBRW($H$8,$H$12,$H$14,$H$10,$H$13,$H$11,O$2,$H$9,$A94)</f>
        <v>0</v>
      </c>
      <c r="P94" s="320">
        <f ca="1">_xll.DBRW($H$8,$H$12,$H$14,$H$10,$H$13,$H$11,P$2,$H$9,$A94)</f>
        <v>0</v>
      </c>
      <c r="Q94" s="326"/>
      <c r="R94" s="366" t="str">
        <f t="shared" ref="R94" ca="1" si="20">IF(ISERROR((M94/J94)^(1/3)-1),"",(M94/J94)^(1/3)-1)</f>
        <v/>
      </c>
      <c r="S94" s="323" t="str">
        <f t="shared" ref="S94" ca="1" si="21">IF(ISERROR((P94/J94)^(1/6)-1),"",(P94/J94)^(1/6)-1)</f>
        <v/>
      </c>
      <c r="T94" s="284"/>
      <c r="U94" s="284"/>
    </row>
    <row r="95" spans="1:21" ht="27" thickBot="1">
      <c r="A95" s="317" t="s">
        <v>280</v>
      </c>
      <c r="B95" s="331"/>
      <c r="C95" s="282"/>
      <c r="D95" s="282">
        <v>75</v>
      </c>
      <c r="G95" s="456" t="str">
        <f ca="1">_xll.DBRA(Server&amp;$A$21,$A95,$H$15)</f>
        <v>CAPITAL EMPLOYED incl IFRIC12</v>
      </c>
      <c r="H95" s="456"/>
      <c r="I95" s="346">
        <f ca="1">_xll.DBRW($H$8,$H$12,$H$14,$H$10,$H$13,$H$11,I$2,$H$9,$A95)</f>
        <v>0</v>
      </c>
      <c r="J95" s="346">
        <f ca="1">_xll.DBRW($H$8,$H$12,$H$14,$H$10,$H$13,$H$11,J$2,$H$9,$A95)</f>
        <v>0</v>
      </c>
      <c r="K95" s="346">
        <f ca="1">_xll.DBRW($H$8,$H$12,$H$14,$H$10,$H$13,$H$11,K$2,$H$9,$A95)</f>
        <v>0</v>
      </c>
      <c r="L95" s="346">
        <f ca="1">_xll.DBRW($H$8,$H$12,$H$14,$H$10,$H$13,$H$11,L$2,$H$9,$A95)</f>
        <v>0</v>
      </c>
      <c r="M95" s="346">
        <f ca="1">_xll.DBRW($H$8,$H$12,$H$14,$H$10,$H$13,$H$11,M$2,$H$9,$A95)</f>
        <v>0</v>
      </c>
      <c r="N95" s="346">
        <f ca="1">_xll.DBRW($H$8,$H$12,$H$14,$H$10,$H$13,$H$11,N$2,$H$9,$A95)</f>
        <v>0</v>
      </c>
      <c r="O95" s="346">
        <f ca="1">_xll.DBRW($H$8,$H$12,$H$14,$H$10,$H$13,$H$11,O$2,$H$9,$A95)</f>
        <v>0</v>
      </c>
      <c r="P95" s="346">
        <f ca="1">_xll.DBRW($H$8,$H$12,$H$14,$H$10,$H$13,$H$11,P$2,$H$9,$A95)</f>
        <v>0</v>
      </c>
      <c r="Q95" s="367">
        <f ca="1">SUM(I95:P95)-SUM(I93:P94)</f>
        <v>0</v>
      </c>
      <c r="R95" s="344" t="str">
        <f ca="1">IF(ISERROR((M95/J95)^(1/3)-1),"",(M95/J95)^(1/3)-1)</f>
        <v/>
      </c>
      <c r="S95" s="344" t="str">
        <f ca="1">IF(ISERROR((P95/J95)^(1/6)-1),"",(P95/J95)^(1/6)-1)</f>
        <v/>
      </c>
      <c r="T95" s="284"/>
    </row>
    <row r="96" spans="1:21" ht="27" thickBot="1">
      <c r="A96" s="317" t="s">
        <v>189</v>
      </c>
      <c r="B96" s="282"/>
      <c r="C96" s="282"/>
      <c r="D96" s="282">
        <v>76</v>
      </c>
      <c r="G96" s="456" t="str">
        <f ca="1">_xll.DBRA(Server&amp;$A$21,$A96,$H$15)</f>
        <v>NET FINANCIAL DEBT (NFD)</v>
      </c>
      <c r="H96" s="456"/>
      <c r="I96" s="346">
        <f ca="1">_xll.DBRW($H$8,$H$12,$H$14,$H$10,$H$13,$H$11,I$2,$H$9,$A96)</f>
        <v>0</v>
      </c>
      <c r="J96" s="346">
        <f ca="1">_xll.DBRW($H$8,$H$12,$H$14,$H$10,$H$13,$H$11,J$2,$H$9,$A96)</f>
        <v>0</v>
      </c>
      <c r="K96" s="346">
        <f ca="1">_xll.DBRW($H$8,$H$12,$H$14,$H$10,$H$13,$H$11,K$2,$H$9,$A96)</f>
        <v>0</v>
      </c>
      <c r="L96" s="346">
        <f ca="1">_xll.DBRW($H$8,$H$12,$H$14,$H$10,$H$13,$H$11,L$2,$H$9,$A96)</f>
        <v>0</v>
      </c>
      <c r="M96" s="346">
        <f ca="1">_xll.DBRW($H$8,$H$12,$H$14,$H$10,$H$13,$H$11,M$2,$H$9,$A96)</f>
        <v>0</v>
      </c>
      <c r="N96" s="346">
        <f ca="1">_xll.DBRW($H$8,$H$12,$H$14,$H$10,$H$13,$H$11,N$2,$H$9,$A96)</f>
        <v>0</v>
      </c>
      <c r="O96" s="346">
        <f ca="1">_xll.DBRW($H$8,$H$12,$H$14,$H$10,$H$13,$H$11,O$2,$H$9,$A96)</f>
        <v>0</v>
      </c>
      <c r="P96" s="346">
        <f ca="1">_xll.DBRW($H$8,$H$12,$H$14,$H$10,$H$13,$H$11,P$2,$H$9,$A96)</f>
        <v>0</v>
      </c>
      <c r="Q96" s="326"/>
      <c r="R96" s="344" t="str">
        <f ca="1">IF(ISERROR((M96/J96)^(1/3)-1),"",(M96/J96)^(1/3)-1)</f>
        <v/>
      </c>
      <c r="S96" s="344" t="str">
        <f ca="1">IF(ISERROR((P96/J96)^(1/6)-1),"",(P96/J96)^(1/6)-1)</f>
        <v/>
      </c>
      <c r="T96" s="284"/>
    </row>
    <row r="97" spans="1:16352" ht="27" thickBot="1">
      <c r="A97" s="317" t="s">
        <v>281</v>
      </c>
      <c r="B97" s="282"/>
      <c r="C97" s="282"/>
      <c r="D97" s="282">
        <v>77</v>
      </c>
      <c r="G97" s="457" t="str">
        <f ca="1">_xll.DBRA(Server&amp;$A$21,$A97,$H$15)</f>
        <v>Other financial assets</v>
      </c>
      <c r="H97" s="458"/>
      <c r="I97" s="318">
        <f ca="1">_xll.DBRW($H$8,$H$12,$H$14,$H$10,$H$13,$H$11,I$2,$H$9,$A97)</f>
        <v>0</v>
      </c>
      <c r="J97" s="319">
        <f ca="1">_xll.DBRW($H$8,$H$12,$H$14,$H$10,$H$13,$H$11,J$2,$H$9,$A97)</f>
        <v>0</v>
      </c>
      <c r="K97" s="319">
        <f ca="1">_xll.DBRW($H$8,$H$12,$H$14,$H$10,$H$13,$H$11,K$2,$H$9,$A97)</f>
        <v>0</v>
      </c>
      <c r="L97" s="319">
        <f ca="1">_xll.DBRW($H$8,$H$12,$H$14,$H$10,$H$13,$H$11,L$2,$H$9,$A97)</f>
        <v>0</v>
      </c>
      <c r="M97" s="319">
        <f ca="1">_xll.DBRW($H$8,$H$12,$H$14,$H$10,$H$13,$H$11,M$2,$H$9,$A97)</f>
        <v>0</v>
      </c>
      <c r="N97" s="319">
        <f ca="1">_xll.DBRW($H$8,$H$12,$H$14,$H$10,$H$13,$H$11,N$2,$H$9,$A97)</f>
        <v>0</v>
      </c>
      <c r="O97" s="319">
        <f ca="1">_xll.DBRW($H$8,$H$12,$H$14,$H$10,$H$13,$H$11,O$2,$H$9,$A97)</f>
        <v>0</v>
      </c>
      <c r="P97" s="320">
        <f ca="1">_xll.DBRW($H$8,$H$12,$H$14,$H$10,$H$13,$H$11,P$2,$H$9,$A97)</f>
        <v>0</v>
      </c>
      <c r="Q97" s="326"/>
      <c r="R97" s="366" t="str">
        <f t="shared" ref="R97" ca="1" si="22">IF(ISERROR((M97/J97)^(1/3)-1),"",(M97/J97)^(1/3)-1)</f>
        <v/>
      </c>
      <c r="S97" s="323" t="str">
        <f t="shared" ref="S97" ca="1" si="23">IF(ISERROR((P97/J97)^(1/6)-1),"",(P97/J97)^(1/6)-1)</f>
        <v/>
      </c>
      <c r="T97" s="284"/>
    </row>
    <row r="98" spans="1:16352" ht="27" thickBot="1">
      <c r="A98" s="317" t="s">
        <v>282</v>
      </c>
      <c r="B98" s="331"/>
      <c r="C98" s="282"/>
      <c r="D98" s="282">
        <v>78</v>
      </c>
      <c r="G98" s="456" t="str">
        <f ca="1">_xll.DBRA(Server&amp;$A$21,$A98,$H$15)</f>
        <v>NET ECONOMICAL DEBT</v>
      </c>
      <c r="H98" s="456"/>
      <c r="I98" s="346">
        <f ca="1">_xll.DBRW($H$8,$H$12,$H$14,$H$10,$H$13,$H$11,I$2,$H$9,$A98)</f>
        <v>0</v>
      </c>
      <c r="J98" s="346">
        <f ca="1">_xll.DBRW($H$8,$H$12,$H$14,$H$10,$H$13,$H$11,J$2,$H$9,$A98)</f>
        <v>0</v>
      </c>
      <c r="K98" s="346">
        <f ca="1">_xll.DBRW($H$8,$H$12,$H$14,$H$10,$H$13,$H$11,K$2,$H$9,$A98)</f>
        <v>0</v>
      </c>
      <c r="L98" s="346">
        <f ca="1">_xll.DBRW($H$8,$H$12,$H$14,$H$10,$H$13,$H$11,L$2,$H$9,$A98)</f>
        <v>0</v>
      </c>
      <c r="M98" s="346">
        <f ca="1">_xll.DBRW($H$8,$H$12,$H$14,$H$10,$H$13,$H$11,M$2,$H$9,$A98)</f>
        <v>0</v>
      </c>
      <c r="N98" s="346">
        <f ca="1">_xll.DBRW($H$8,$H$12,$H$14,$H$10,$H$13,$H$11,N$2,$H$9,$A98)</f>
        <v>0</v>
      </c>
      <c r="O98" s="346">
        <f ca="1">_xll.DBRW($H$8,$H$12,$H$14,$H$10,$H$13,$H$11,O$2,$H$9,$A98)</f>
        <v>0</v>
      </c>
      <c r="P98" s="346">
        <f ca="1">_xll.DBRW($H$8,$H$12,$H$14,$H$10,$H$13,$H$11,P$2,$H$9,$A98)</f>
        <v>0</v>
      </c>
      <c r="Q98" s="326">
        <f ca="1">SUM(I98:P98)-SUM(I96:P97)</f>
        <v>0</v>
      </c>
      <c r="R98" s="344" t="str">
        <f ca="1">IF(ISERROR((M98/J98)^(1/3)-1),"",(M98/J98)^(1/3)-1)</f>
        <v/>
      </c>
      <c r="S98" s="344" t="str">
        <f ca="1">IF(ISERROR((P98/J98)^(1/6)-1),"",(P98/J98)^(1/6)-1)</f>
        <v/>
      </c>
      <c r="T98" s="284"/>
    </row>
    <row r="99" spans="1:16352" ht="26.25">
      <c r="A99" s="317" t="s">
        <v>283</v>
      </c>
      <c r="B99" s="282"/>
      <c r="C99" s="282"/>
      <c r="D99" s="282">
        <v>79</v>
      </c>
      <c r="G99" s="457" t="str">
        <f ca="1">_xll.DBRA(Server&amp;$A$21,$A99,$H$15)</f>
        <v>Net assets of discontinued activities</v>
      </c>
      <c r="H99" s="458"/>
      <c r="I99" s="318">
        <f ca="1">_xll.DBRW($H$8,$H$12,$H$14,$H$10,$H$13,$H$11,I$2,$H$9,$A99)</f>
        <v>0</v>
      </c>
      <c r="J99" s="319">
        <f ca="1">_xll.DBRW($H$8,$H$12,$H$14,$H$10,$H$13,$H$11,J$2,$H$9,$A99)</f>
        <v>0</v>
      </c>
      <c r="K99" s="319">
        <f ca="1">_xll.DBRW($H$8,$H$12,$H$14,$H$10,$H$13,$H$11,K$2,$H$9,$A99)</f>
        <v>0</v>
      </c>
      <c r="L99" s="319">
        <f ca="1">_xll.DBRW($H$8,$H$12,$H$14,$H$10,$H$13,$H$11,L$2,$H$9,$A99)</f>
        <v>0</v>
      </c>
      <c r="M99" s="319">
        <f ca="1">_xll.DBRW($H$8,$H$12,$H$14,$H$10,$H$13,$H$11,M$2,$H$9,$A99)</f>
        <v>0</v>
      </c>
      <c r="N99" s="319">
        <f ca="1">_xll.DBRW($H$8,$H$12,$H$14,$H$10,$H$13,$H$11,N$2,$H$9,$A99)</f>
        <v>0</v>
      </c>
      <c r="O99" s="319">
        <f ca="1">_xll.DBRW($H$8,$H$12,$H$14,$H$10,$H$13,$H$11,O$2,$H$9,$A99)</f>
        <v>0</v>
      </c>
      <c r="P99" s="320">
        <f ca="1">_xll.DBRW($H$8,$H$12,$H$14,$H$10,$H$13,$H$11,P$2,$H$9,$A99)</f>
        <v>0</v>
      </c>
      <c r="Q99" s="326"/>
      <c r="R99" s="366" t="str">
        <f t="shared" ref="R99:R103" ca="1" si="24">IF(ISERROR((M99/J99)^(1/3)-1),"",(M99/J99)^(1/3)-1)</f>
        <v/>
      </c>
      <c r="S99" s="323" t="str">
        <f t="shared" ref="S99:S103" ca="1" si="25">IF(ISERROR((P99/J99)^(1/6)-1),"",(P99/J99)^(1/6)-1)</f>
        <v/>
      </c>
      <c r="T99" s="284"/>
    </row>
    <row r="100" spans="1:16352" ht="26.25">
      <c r="A100" s="317" t="s">
        <v>284</v>
      </c>
      <c r="B100" s="282"/>
      <c r="C100" s="282"/>
      <c r="D100" s="282">
        <v>80</v>
      </c>
      <c r="G100" s="457" t="str">
        <f ca="1">_xll.DBRA(Server&amp;$A$21,$A100,$H$15)</f>
        <v>Investments in subsidiaries</v>
      </c>
      <c r="H100" s="458"/>
      <c r="I100" s="318">
        <f ca="1">_xll.DBRW($H$8,$H$12,$H$14,$H$10,$H$13,$H$11,I$2,$H$9,$A100)</f>
        <v>0</v>
      </c>
      <c r="J100" s="319">
        <f ca="1">_xll.DBRW($H$8,$H$12,$H$14,$H$10,$H$13,$H$11,J$2,$H$9,$A100)</f>
        <v>0</v>
      </c>
      <c r="K100" s="319">
        <f ca="1">_xll.DBRW($H$8,$H$12,$H$14,$H$10,$H$13,$H$11,K$2,$H$9,$A100)</f>
        <v>0</v>
      </c>
      <c r="L100" s="319">
        <f ca="1">_xll.DBRW($H$8,$H$12,$H$14,$H$10,$H$13,$H$11,L$2,$H$9,$A100)</f>
        <v>0</v>
      </c>
      <c r="M100" s="319">
        <f ca="1">_xll.DBRW($H$8,$H$12,$H$14,$H$10,$H$13,$H$11,M$2,$H$9,$A100)</f>
        <v>0</v>
      </c>
      <c r="N100" s="319">
        <f ca="1">_xll.DBRW($H$8,$H$12,$H$14,$H$10,$H$13,$H$11,N$2,$H$9,$A100)</f>
        <v>0</v>
      </c>
      <c r="O100" s="319">
        <f ca="1">_xll.DBRW($H$8,$H$12,$H$14,$H$10,$H$13,$H$11,O$2,$H$9,$A100)</f>
        <v>0</v>
      </c>
      <c r="P100" s="320">
        <f ca="1">_xll.DBRW($H$8,$H$12,$H$14,$H$10,$H$13,$H$11,P$2,$H$9,$A100)</f>
        <v>0</v>
      </c>
      <c r="Q100" s="326"/>
      <c r="R100" s="366" t="str">
        <f t="shared" ca="1" si="24"/>
        <v/>
      </c>
      <c r="S100" s="323" t="str">
        <f t="shared" ca="1" si="25"/>
        <v/>
      </c>
      <c r="T100" s="284"/>
    </row>
    <row r="101" spans="1:16352" ht="26.25" hidden="1" outlineLevel="1">
      <c r="A101" s="317" t="s">
        <v>285</v>
      </c>
      <c r="B101" s="282"/>
      <c r="C101" s="282"/>
      <c r="D101" s="282">
        <v>81</v>
      </c>
      <c r="G101" s="457" t="str">
        <f ca="1">_xll.DBRA(Server&amp;$A$21,$A101,$H$15)</f>
        <v>Link a/c Investments</v>
      </c>
      <c r="H101" s="458"/>
      <c r="I101" s="318">
        <f ca="1">_xll.DBRW($H$8,$H$12,$H$14,$H$10,$H$13,$H$11,I$2,$H$9,$A101)</f>
        <v>0</v>
      </c>
      <c r="J101" s="319">
        <f ca="1">_xll.DBRW($H$8,$H$12,$H$14,$H$10,$H$13,$H$11,J$2,$H$9,$A101)</f>
        <v>0</v>
      </c>
      <c r="K101" s="319">
        <f ca="1">_xll.DBRW($H$8,$H$12,$H$14,$H$10,$H$13,$H$11,K$2,$H$9,$A101)</f>
        <v>0</v>
      </c>
      <c r="L101" s="319">
        <f ca="1">_xll.DBRW($H$8,$H$12,$H$14,$H$10,$H$13,$H$11,L$2,$H$9,$A101)</f>
        <v>0</v>
      </c>
      <c r="M101" s="319">
        <f ca="1">_xll.DBRW($H$8,$H$12,$H$14,$H$10,$H$13,$H$11,M$2,$H$9,$A101)</f>
        <v>0</v>
      </c>
      <c r="N101" s="319">
        <f ca="1">_xll.DBRW($H$8,$H$12,$H$14,$H$10,$H$13,$H$11,N$2,$H$9,$A101)</f>
        <v>0</v>
      </c>
      <c r="O101" s="319">
        <f ca="1">_xll.DBRW($H$8,$H$12,$H$14,$H$10,$H$13,$H$11,O$2,$H$9,$A101)</f>
        <v>0</v>
      </c>
      <c r="P101" s="320">
        <f ca="1">_xll.DBRW($H$8,$H$12,$H$14,$H$10,$H$13,$H$11,P$2,$H$9,$A101)</f>
        <v>0</v>
      </c>
      <c r="Q101" s="326"/>
      <c r="R101" s="366" t="str">
        <f t="shared" ca="1" si="24"/>
        <v/>
      </c>
      <c r="S101" s="323" t="str">
        <f t="shared" ca="1" si="25"/>
        <v/>
      </c>
      <c r="T101" s="284"/>
    </row>
    <row r="102" spans="1:16352" ht="26.25" collapsed="1">
      <c r="A102" s="317" t="s">
        <v>286</v>
      </c>
      <c r="B102" s="282"/>
      <c r="C102" s="282"/>
      <c r="D102" s="282">
        <v>82</v>
      </c>
      <c r="G102" s="457" t="str">
        <f ca="1">_xll.DBRA(Server&amp;$A$21,$A102,$H$15)</f>
        <v>Group shareholder's equity</v>
      </c>
      <c r="H102" s="458"/>
      <c r="I102" s="318">
        <f ca="1">_xll.DBRW($H$8,$H$12,$H$14,$H$10,$H$13,$H$11,I$2,$H$9,$A102)</f>
        <v>0</v>
      </c>
      <c r="J102" s="319">
        <f ca="1">_xll.DBRW($H$8,$H$12,$H$14,$H$10,$H$13,$H$11,J$2,$H$9,$A102)</f>
        <v>0</v>
      </c>
      <c r="K102" s="319">
        <f ca="1">_xll.DBRW($H$8,$H$12,$H$14,$H$10,$H$13,$H$11,K$2,$H$9,$A102)</f>
        <v>0</v>
      </c>
      <c r="L102" s="319">
        <f ca="1">_xll.DBRW($H$8,$H$12,$H$14,$H$10,$H$13,$H$11,L$2,$H$9,$A102)</f>
        <v>0</v>
      </c>
      <c r="M102" s="319">
        <f ca="1">_xll.DBRW($H$8,$H$12,$H$14,$H$10,$H$13,$H$11,M$2,$H$9,$A102)</f>
        <v>0</v>
      </c>
      <c r="N102" s="319">
        <f ca="1">_xll.DBRW($H$8,$H$12,$H$14,$H$10,$H$13,$H$11,N$2,$H$9,$A102)</f>
        <v>0</v>
      </c>
      <c r="O102" s="319">
        <f ca="1">_xll.DBRW($H$8,$H$12,$H$14,$H$10,$H$13,$H$11,O$2,$H$9,$A102)</f>
        <v>0</v>
      </c>
      <c r="P102" s="320">
        <f ca="1">_xll.DBRW($H$8,$H$12,$H$14,$H$10,$H$13,$H$11,P$2,$H$9,$A102)</f>
        <v>0</v>
      </c>
      <c r="Q102" s="326"/>
      <c r="R102" s="366" t="str">
        <f t="shared" ca="1" si="24"/>
        <v/>
      </c>
      <c r="S102" s="323" t="str">
        <f t="shared" ca="1" si="25"/>
        <v/>
      </c>
      <c r="T102" s="284"/>
    </row>
    <row r="103" spans="1:16352" ht="27" thickBot="1">
      <c r="A103" s="317" t="s">
        <v>287</v>
      </c>
      <c r="B103" s="282"/>
      <c r="C103" s="282"/>
      <c r="D103" s="282">
        <v>83</v>
      </c>
      <c r="G103" s="457" t="str">
        <f ca="1">_xll.DBRA(Server&amp;$A$21,$A103,$H$15)</f>
        <v>Shareholder's equity attributable to non controlling Interest</v>
      </c>
      <c r="H103" s="458"/>
      <c r="I103" s="318">
        <f ca="1">_xll.DBRW($H$8,$H$12,$H$14,$H$10,$H$13,$H$11,I$2,$H$9,$A103)</f>
        <v>0</v>
      </c>
      <c r="J103" s="319">
        <f ca="1">_xll.DBRW($H$8,$H$12,$H$14,$H$10,$H$13,$H$11,J$2,$H$9,$A103)</f>
        <v>0</v>
      </c>
      <c r="K103" s="319">
        <f ca="1">_xll.DBRW($H$8,$H$12,$H$14,$H$10,$H$13,$H$11,K$2,$H$9,$A103)</f>
        <v>0</v>
      </c>
      <c r="L103" s="319">
        <f ca="1">_xll.DBRW($H$8,$H$12,$H$14,$H$10,$H$13,$H$11,L$2,$H$9,$A103)</f>
        <v>0</v>
      </c>
      <c r="M103" s="319">
        <f ca="1">_xll.DBRW($H$8,$H$12,$H$14,$H$10,$H$13,$H$11,M$2,$H$9,$A103)</f>
        <v>0</v>
      </c>
      <c r="N103" s="319">
        <f ca="1">_xll.DBRW($H$8,$H$12,$H$14,$H$10,$H$13,$H$11,N$2,$H$9,$A103)</f>
        <v>0</v>
      </c>
      <c r="O103" s="319">
        <f ca="1">_xll.DBRW($H$8,$H$12,$H$14,$H$10,$H$13,$H$11,O$2,$H$9,$A103)</f>
        <v>0</v>
      </c>
      <c r="P103" s="320">
        <f ca="1">_xll.DBRW($H$8,$H$12,$H$14,$H$10,$H$13,$H$11,P$2,$H$9,$A103)</f>
        <v>0</v>
      </c>
      <c r="Q103" s="326"/>
      <c r="R103" s="366" t="str">
        <f t="shared" ca="1" si="24"/>
        <v/>
      </c>
      <c r="S103" s="323" t="str">
        <f t="shared" ca="1" si="25"/>
        <v/>
      </c>
      <c r="T103" s="284"/>
    </row>
    <row r="104" spans="1:16352" s="254" customFormat="1" ht="27" thickBot="1">
      <c r="A104" s="317" t="s">
        <v>288</v>
      </c>
      <c r="B104" s="331"/>
      <c r="C104" s="282"/>
      <c r="D104" s="282">
        <v>84</v>
      </c>
      <c r="E104" s="250"/>
      <c r="F104" s="296"/>
      <c r="G104" s="456" t="str">
        <f ca="1">_xll.DBRA(Server&amp;$A$21,$A104,$H$15)</f>
        <v>TOTAL EQUITY AND INVESTMENTS</v>
      </c>
      <c r="H104" s="456"/>
      <c r="I104" s="346">
        <f ca="1">_xll.DBRW($H$8,$H$12,$H$14,$H$10,$H$13,$H$11,I$2,$H$9,$A104)</f>
        <v>0</v>
      </c>
      <c r="J104" s="346">
        <f ca="1">_xll.DBRW($H$8,$H$12,$H$14,$H$10,$H$13,$H$11,J$2,$H$9,$A104)</f>
        <v>0</v>
      </c>
      <c r="K104" s="346">
        <f ca="1">_xll.DBRW($H$8,$H$12,$H$14,$H$10,$H$13,$H$11,K$2,$H$9,$A104)</f>
        <v>0</v>
      </c>
      <c r="L104" s="346">
        <f ca="1">_xll.DBRW($H$8,$H$12,$H$14,$H$10,$H$13,$H$11,L$2,$H$9,$A104)</f>
        <v>0</v>
      </c>
      <c r="M104" s="346">
        <f ca="1">_xll.DBRW($H$8,$H$12,$H$14,$H$10,$H$13,$H$11,M$2,$H$9,$A104)</f>
        <v>0</v>
      </c>
      <c r="N104" s="346">
        <f ca="1">_xll.DBRW($H$8,$H$12,$H$14,$H$10,$H$13,$H$11,N$2,$H$9,$A104)</f>
        <v>0</v>
      </c>
      <c r="O104" s="346">
        <f ca="1">_xll.DBRW($H$8,$H$12,$H$14,$H$10,$H$13,$H$11,O$2,$H$9,$A104)</f>
        <v>0</v>
      </c>
      <c r="P104" s="346">
        <f ca="1">_xll.DBRW($H$8,$H$12,$H$14,$H$10,$H$13,$H$11,P$2,$H$9,$A104)</f>
        <v>0</v>
      </c>
      <c r="Q104" s="326">
        <f ca="1">SUM(I104:P104)-SUM(I99:P103)</f>
        <v>0</v>
      </c>
      <c r="R104" s="344" t="str">
        <f ca="1">IF(ISERROR((M104/J104)^(1/3)-1),"",(M104/J104)^(1/3)-1)</f>
        <v/>
      </c>
      <c r="S104" s="344" t="str">
        <f ca="1">IF(ISERROR((P104/J104)^(1/6)-1),"",(P104/J104)^(1/6)-1)</f>
        <v/>
      </c>
      <c r="T104" s="284"/>
      <c r="U104" s="301"/>
      <c r="V104" s="284"/>
      <c r="W104" s="284"/>
      <c r="X104" s="284"/>
      <c r="Y104" s="284"/>
      <c r="Z104" s="284"/>
      <c r="AA104" s="284"/>
      <c r="AB104" s="284"/>
      <c r="AC104" s="284"/>
      <c r="AD104" s="284"/>
      <c r="AE104" s="284"/>
      <c r="AF104" s="284"/>
      <c r="AG104" s="284"/>
      <c r="AH104" s="284"/>
      <c r="AI104" s="284"/>
      <c r="AJ104" s="284"/>
      <c r="AK104" s="284"/>
      <c r="AL104" s="284"/>
      <c r="AM104" s="284"/>
      <c r="AN104" s="284"/>
      <c r="AO104" s="284"/>
      <c r="AP104" s="284"/>
      <c r="AQ104" s="284"/>
      <c r="AR104" s="284"/>
      <c r="AS104" s="284"/>
      <c r="AT104" s="284"/>
      <c r="AU104" s="284"/>
      <c r="AV104" s="284"/>
      <c r="AW104" s="284"/>
      <c r="AX104" s="284"/>
      <c r="AY104" s="284"/>
      <c r="AZ104" s="284"/>
      <c r="BA104" s="284"/>
      <c r="BB104" s="284"/>
      <c r="BC104" s="284"/>
      <c r="BD104" s="284"/>
      <c r="BE104" s="284"/>
      <c r="BF104" s="284"/>
      <c r="BG104" s="284"/>
      <c r="BH104" s="284"/>
      <c r="BI104" s="284"/>
      <c r="BJ104" s="284"/>
      <c r="BK104" s="284"/>
      <c r="BL104" s="284"/>
      <c r="BM104" s="284"/>
      <c r="BN104" s="284"/>
      <c r="BO104" s="284"/>
      <c r="BP104" s="284"/>
      <c r="BQ104" s="284"/>
      <c r="BR104" s="284"/>
      <c r="BS104" s="284"/>
      <c r="BT104" s="284"/>
      <c r="BU104" s="284"/>
      <c r="BV104" s="284"/>
      <c r="BW104" s="284"/>
      <c r="BX104" s="284"/>
      <c r="BY104" s="284"/>
      <c r="BZ104" s="284"/>
      <c r="CA104" s="284"/>
      <c r="CB104" s="284"/>
      <c r="CC104" s="284"/>
      <c r="CD104" s="284"/>
      <c r="CE104" s="284"/>
      <c r="CF104" s="284"/>
      <c r="CG104" s="284"/>
      <c r="CH104" s="284"/>
      <c r="CI104" s="284"/>
      <c r="CJ104" s="284"/>
      <c r="CK104" s="284"/>
      <c r="CL104" s="284"/>
      <c r="CM104" s="284"/>
      <c r="CN104" s="284"/>
      <c r="CO104" s="284"/>
      <c r="CP104" s="284"/>
      <c r="CQ104" s="284"/>
      <c r="CR104" s="284"/>
      <c r="CS104" s="284"/>
      <c r="CT104" s="284"/>
      <c r="CU104" s="284"/>
      <c r="CV104" s="284"/>
      <c r="CW104" s="284"/>
      <c r="CX104" s="284"/>
      <c r="CY104" s="284"/>
      <c r="CZ104" s="284"/>
      <c r="DA104" s="284"/>
      <c r="DB104" s="284"/>
      <c r="DC104" s="284"/>
      <c r="DD104" s="284"/>
      <c r="DE104" s="284"/>
      <c r="DF104" s="284"/>
      <c r="DG104" s="284"/>
      <c r="DH104" s="284"/>
      <c r="DI104" s="284"/>
      <c r="DJ104" s="284"/>
      <c r="DK104" s="284"/>
      <c r="DL104" s="284"/>
      <c r="DM104" s="284"/>
      <c r="DN104" s="284"/>
      <c r="DO104" s="284"/>
      <c r="DP104" s="284"/>
      <c r="DQ104" s="284"/>
      <c r="DR104" s="284"/>
      <c r="DS104" s="284"/>
      <c r="DT104" s="284"/>
      <c r="DU104" s="284"/>
      <c r="DV104" s="284"/>
      <c r="DW104" s="284"/>
      <c r="DX104" s="284"/>
      <c r="DY104" s="284"/>
      <c r="DZ104" s="284"/>
      <c r="EA104" s="284"/>
      <c r="EB104" s="284"/>
      <c r="EC104" s="284"/>
      <c r="ED104" s="284"/>
      <c r="EE104" s="284"/>
      <c r="EF104" s="284"/>
      <c r="EG104" s="284"/>
      <c r="EH104" s="284"/>
      <c r="EI104" s="284"/>
      <c r="EJ104" s="284"/>
      <c r="EK104" s="284"/>
      <c r="EL104" s="284"/>
      <c r="EM104" s="284"/>
      <c r="EN104" s="284"/>
      <c r="EO104" s="284"/>
      <c r="EP104" s="284"/>
      <c r="EQ104" s="284"/>
      <c r="ER104" s="284"/>
      <c r="ES104" s="284"/>
      <c r="ET104" s="284"/>
      <c r="EU104" s="284"/>
      <c r="EV104" s="284"/>
      <c r="EW104" s="284"/>
      <c r="EX104" s="284"/>
      <c r="EY104" s="284"/>
      <c r="EZ104" s="284"/>
      <c r="FA104" s="284"/>
      <c r="FB104" s="284"/>
      <c r="FC104" s="284"/>
      <c r="FD104" s="284"/>
      <c r="FE104" s="284"/>
      <c r="FF104" s="284"/>
      <c r="FG104" s="284"/>
      <c r="FH104" s="284"/>
      <c r="FI104" s="284"/>
      <c r="FJ104" s="284"/>
      <c r="FK104" s="284"/>
      <c r="FL104" s="284"/>
      <c r="FM104" s="284"/>
      <c r="FN104" s="284"/>
      <c r="FO104" s="284"/>
      <c r="FP104" s="284"/>
      <c r="FQ104" s="284"/>
      <c r="FR104" s="284"/>
      <c r="FS104" s="284"/>
      <c r="FT104" s="284"/>
      <c r="FU104" s="284"/>
      <c r="FV104" s="284"/>
      <c r="FW104" s="284"/>
      <c r="FX104" s="284"/>
      <c r="FY104" s="284"/>
      <c r="FZ104" s="284"/>
      <c r="GA104" s="284"/>
      <c r="GB104" s="284"/>
      <c r="GC104" s="284"/>
      <c r="GD104" s="284"/>
      <c r="GE104" s="284"/>
      <c r="GF104" s="284"/>
      <c r="GG104" s="284"/>
      <c r="GH104" s="284"/>
      <c r="GI104" s="284"/>
      <c r="GJ104" s="284"/>
      <c r="GK104" s="284"/>
      <c r="GL104" s="284"/>
      <c r="GM104" s="284"/>
      <c r="GN104" s="284"/>
      <c r="GO104" s="284"/>
      <c r="GP104" s="284"/>
      <c r="GQ104" s="284"/>
      <c r="GR104" s="284"/>
      <c r="GS104" s="284"/>
      <c r="GT104" s="284"/>
      <c r="GU104" s="284"/>
      <c r="GV104" s="284"/>
      <c r="GW104" s="284"/>
      <c r="GX104" s="284"/>
      <c r="GY104" s="284"/>
      <c r="GZ104" s="284"/>
      <c r="HA104" s="284"/>
      <c r="HB104" s="284"/>
      <c r="HC104" s="284"/>
      <c r="HD104" s="284"/>
      <c r="HE104" s="284"/>
      <c r="HF104" s="284"/>
      <c r="HG104" s="284"/>
      <c r="HH104" s="284"/>
      <c r="HI104" s="284"/>
      <c r="HJ104" s="284"/>
      <c r="HK104" s="284"/>
      <c r="HL104" s="284"/>
      <c r="HM104" s="284"/>
      <c r="HN104" s="284"/>
      <c r="HO104" s="284"/>
      <c r="HP104" s="284"/>
      <c r="HQ104" s="284"/>
      <c r="HR104" s="284"/>
      <c r="HS104" s="284"/>
      <c r="HT104" s="284"/>
      <c r="HU104" s="284"/>
      <c r="HV104" s="284"/>
      <c r="HW104" s="284"/>
      <c r="HX104" s="284"/>
      <c r="HY104" s="284"/>
      <c r="HZ104" s="284"/>
      <c r="IA104" s="284"/>
      <c r="IB104" s="284"/>
      <c r="IC104" s="284"/>
      <c r="ID104" s="284"/>
      <c r="IE104" s="284"/>
      <c r="IF104" s="284"/>
      <c r="IG104" s="284"/>
      <c r="IH104" s="284"/>
      <c r="II104" s="284"/>
      <c r="IJ104" s="284"/>
      <c r="IK104" s="284"/>
      <c r="IL104" s="284"/>
      <c r="IM104" s="284"/>
      <c r="IN104" s="284"/>
      <c r="IO104" s="284"/>
      <c r="IP104" s="284"/>
      <c r="IQ104" s="284"/>
      <c r="IR104" s="284"/>
      <c r="IS104" s="284"/>
      <c r="IT104" s="284"/>
      <c r="IU104" s="284"/>
      <c r="IV104" s="284"/>
      <c r="IW104" s="284"/>
      <c r="IX104" s="284"/>
      <c r="IY104" s="284"/>
      <c r="IZ104" s="284"/>
      <c r="JA104" s="284"/>
      <c r="JB104" s="284"/>
      <c r="JC104" s="284"/>
      <c r="JD104" s="284"/>
      <c r="JE104" s="284"/>
      <c r="JF104" s="284"/>
      <c r="JG104" s="284"/>
      <c r="JH104" s="284"/>
      <c r="JI104" s="284"/>
      <c r="JJ104" s="284"/>
      <c r="JK104" s="284"/>
      <c r="JL104" s="284"/>
      <c r="JM104" s="284"/>
      <c r="JN104" s="284"/>
      <c r="JO104" s="284"/>
      <c r="JP104" s="284"/>
      <c r="JQ104" s="284"/>
      <c r="JR104" s="284"/>
      <c r="JS104" s="284"/>
      <c r="JT104" s="284"/>
      <c r="JU104" s="284"/>
      <c r="JV104" s="284"/>
      <c r="JW104" s="284"/>
      <c r="JX104" s="284"/>
      <c r="JY104" s="284"/>
      <c r="JZ104" s="284"/>
      <c r="KA104" s="284"/>
      <c r="KB104" s="284"/>
      <c r="KC104" s="284"/>
      <c r="KD104" s="284"/>
      <c r="KE104" s="284"/>
      <c r="KF104" s="284"/>
      <c r="KG104" s="284"/>
      <c r="KH104" s="284"/>
      <c r="KI104" s="284"/>
      <c r="KJ104" s="284"/>
      <c r="KK104" s="284"/>
      <c r="KL104" s="284"/>
      <c r="KM104" s="284"/>
      <c r="KN104" s="284"/>
      <c r="KO104" s="284"/>
      <c r="KP104" s="284"/>
      <c r="KQ104" s="284"/>
      <c r="KR104" s="284"/>
      <c r="KS104" s="284"/>
      <c r="KT104" s="284"/>
      <c r="KU104" s="284"/>
      <c r="KV104" s="284"/>
      <c r="KW104" s="284"/>
      <c r="KX104" s="284"/>
      <c r="KY104" s="284"/>
      <c r="KZ104" s="284"/>
      <c r="LA104" s="284"/>
      <c r="LB104" s="284"/>
      <c r="LC104" s="284"/>
      <c r="LD104" s="284"/>
      <c r="LE104" s="284"/>
      <c r="LF104" s="284"/>
      <c r="LG104" s="284"/>
      <c r="LH104" s="284"/>
      <c r="LI104" s="284"/>
      <c r="LJ104" s="284"/>
      <c r="LK104" s="284"/>
      <c r="LL104" s="284"/>
      <c r="LM104" s="284"/>
      <c r="LN104" s="284"/>
      <c r="LO104" s="284"/>
      <c r="LP104" s="284"/>
      <c r="LQ104" s="284"/>
      <c r="LR104" s="284"/>
      <c r="LS104" s="284"/>
      <c r="LT104" s="284"/>
      <c r="LU104" s="284"/>
      <c r="LV104" s="284"/>
      <c r="LW104" s="284"/>
      <c r="LX104" s="284"/>
      <c r="LY104" s="284"/>
      <c r="LZ104" s="284"/>
      <c r="MA104" s="284"/>
      <c r="MB104" s="284"/>
      <c r="MC104" s="284"/>
      <c r="MD104" s="284"/>
      <c r="ME104" s="284"/>
      <c r="MF104" s="284"/>
      <c r="MG104" s="284"/>
      <c r="MH104" s="284"/>
      <c r="MI104" s="284"/>
      <c r="MJ104" s="284"/>
      <c r="MK104" s="284"/>
      <c r="ML104" s="284"/>
      <c r="MM104" s="284"/>
      <c r="MN104" s="284"/>
      <c r="MO104" s="284"/>
      <c r="MP104" s="284"/>
      <c r="MQ104" s="284"/>
      <c r="MR104" s="284"/>
      <c r="MS104" s="284"/>
      <c r="MT104" s="284"/>
      <c r="MU104" s="284"/>
      <c r="MV104" s="284"/>
      <c r="MW104" s="284"/>
      <c r="MX104" s="284"/>
      <c r="MY104" s="284"/>
      <c r="MZ104" s="284"/>
      <c r="NA104" s="284"/>
      <c r="NB104" s="284"/>
      <c r="NC104" s="284"/>
      <c r="ND104" s="284"/>
      <c r="NE104" s="284"/>
      <c r="NF104" s="284"/>
      <c r="NG104" s="284"/>
      <c r="NH104" s="284"/>
      <c r="NI104" s="284"/>
      <c r="NJ104" s="284"/>
      <c r="NK104" s="284"/>
      <c r="NL104" s="284"/>
      <c r="NM104" s="284"/>
      <c r="NN104" s="284"/>
      <c r="NO104" s="284"/>
      <c r="NP104" s="284"/>
      <c r="NQ104" s="284"/>
      <c r="NR104" s="284"/>
      <c r="NS104" s="284"/>
      <c r="NT104" s="284"/>
      <c r="NU104" s="284"/>
      <c r="NV104" s="284"/>
      <c r="NW104" s="284"/>
      <c r="NX104" s="284"/>
      <c r="NY104" s="284"/>
      <c r="NZ104" s="284"/>
      <c r="OA104" s="284"/>
      <c r="OB104" s="284"/>
      <c r="OC104" s="284"/>
      <c r="OD104" s="284"/>
      <c r="OE104" s="284"/>
      <c r="OF104" s="284"/>
      <c r="OG104" s="284"/>
      <c r="OH104" s="284"/>
      <c r="OI104" s="284"/>
      <c r="OJ104" s="284"/>
      <c r="OK104" s="284"/>
      <c r="OL104" s="284"/>
      <c r="OM104" s="284"/>
      <c r="ON104" s="284"/>
      <c r="OO104" s="284"/>
      <c r="OP104" s="284"/>
      <c r="OQ104" s="284"/>
      <c r="OR104" s="284"/>
      <c r="OS104" s="284"/>
      <c r="OT104" s="284"/>
      <c r="OU104" s="284"/>
      <c r="OV104" s="284"/>
      <c r="OW104" s="284"/>
      <c r="OX104" s="284"/>
      <c r="OY104" s="284"/>
      <c r="OZ104" s="284"/>
      <c r="PA104" s="284"/>
      <c r="PB104" s="284"/>
      <c r="PC104" s="284"/>
      <c r="PD104" s="284"/>
      <c r="PE104" s="284"/>
      <c r="PF104" s="284"/>
      <c r="PG104" s="284"/>
      <c r="PH104" s="284"/>
      <c r="PI104" s="284"/>
      <c r="PJ104" s="284"/>
      <c r="PK104" s="284"/>
      <c r="PL104" s="284"/>
      <c r="PM104" s="284"/>
      <c r="PN104" s="284"/>
      <c r="PO104" s="284"/>
      <c r="PP104" s="284"/>
      <c r="PQ104" s="284"/>
      <c r="PR104" s="284"/>
      <c r="PS104" s="284"/>
      <c r="PT104" s="284"/>
      <c r="PU104" s="284"/>
      <c r="PV104" s="284"/>
      <c r="PW104" s="284"/>
      <c r="PX104" s="284"/>
      <c r="PY104" s="284"/>
      <c r="PZ104" s="284"/>
      <c r="QA104" s="284"/>
      <c r="QB104" s="284"/>
      <c r="QC104" s="284"/>
      <c r="QD104" s="284"/>
      <c r="QE104" s="284"/>
      <c r="QF104" s="284"/>
      <c r="QG104" s="284"/>
      <c r="QH104" s="284"/>
      <c r="QI104" s="284"/>
      <c r="QJ104" s="284"/>
      <c r="QK104" s="284"/>
      <c r="QL104" s="284"/>
      <c r="QM104" s="284"/>
      <c r="QN104" s="284"/>
      <c r="QO104" s="284"/>
      <c r="QP104" s="284"/>
      <c r="QQ104" s="284"/>
      <c r="QR104" s="284"/>
      <c r="QS104" s="284"/>
      <c r="QT104" s="284"/>
      <c r="QU104" s="284"/>
      <c r="QV104" s="284"/>
      <c r="QW104" s="284"/>
      <c r="QX104" s="284"/>
      <c r="QY104" s="284"/>
      <c r="QZ104" s="284"/>
      <c r="RA104" s="284"/>
      <c r="RB104" s="284"/>
      <c r="RC104" s="284"/>
      <c r="RD104" s="284"/>
      <c r="RE104" s="284"/>
      <c r="RF104" s="284"/>
      <c r="RG104" s="284"/>
      <c r="RH104" s="284"/>
      <c r="RI104" s="284"/>
      <c r="RJ104" s="284"/>
      <c r="RK104" s="284"/>
      <c r="RL104" s="284"/>
      <c r="RM104" s="284"/>
      <c r="RN104" s="284"/>
      <c r="RO104" s="284"/>
      <c r="RP104" s="284"/>
      <c r="RQ104" s="284"/>
      <c r="RR104" s="284"/>
      <c r="RS104" s="284"/>
      <c r="RT104" s="284"/>
      <c r="RU104" s="284"/>
      <c r="RV104" s="284"/>
      <c r="RW104" s="284"/>
      <c r="RX104" s="284"/>
      <c r="RY104" s="284"/>
      <c r="RZ104" s="284"/>
      <c r="SA104" s="284"/>
      <c r="SB104" s="284"/>
      <c r="SC104" s="284"/>
      <c r="SD104" s="284"/>
      <c r="SE104" s="284"/>
      <c r="SF104" s="284"/>
      <c r="SG104" s="284"/>
      <c r="SH104" s="284"/>
      <c r="SI104" s="284"/>
      <c r="SJ104" s="284"/>
      <c r="SK104" s="284"/>
      <c r="SL104" s="284"/>
      <c r="SM104" s="284"/>
      <c r="SN104" s="284"/>
      <c r="SO104" s="284"/>
      <c r="SP104" s="284"/>
      <c r="SQ104" s="284"/>
      <c r="SR104" s="284"/>
      <c r="SS104" s="284"/>
      <c r="ST104" s="284"/>
      <c r="SU104" s="284"/>
      <c r="SV104" s="284"/>
      <c r="SW104" s="284"/>
      <c r="SX104" s="284"/>
      <c r="SY104" s="284"/>
      <c r="SZ104" s="284"/>
      <c r="TA104" s="284"/>
      <c r="TB104" s="284"/>
      <c r="TC104" s="284"/>
      <c r="TD104" s="284"/>
      <c r="TE104" s="284"/>
      <c r="TF104" s="284"/>
      <c r="TG104" s="284"/>
      <c r="TH104" s="284"/>
      <c r="TI104" s="284"/>
      <c r="TJ104" s="284"/>
      <c r="TK104" s="284"/>
      <c r="TL104" s="284"/>
      <c r="TM104" s="284"/>
      <c r="TN104" s="284"/>
      <c r="TO104" s="284"/>
      <c r="TP104" s="284"/>
      <c r="TQ104" s="284"/>
      <c r="TR104" s="284"/>
      <c r="TS104" s="284"/>
      <c r="TT104" s="284"/>
      <c r="TU104" s="284"/>
      <c r="TV104" s="284"/>
      <c r="TW104" s="284"/>
      <c r="TX104" s="284"/>
      <c r="TY104" s="284"/>
      <c r="TZ104" s="284"/>
      <c r="UA104" s="284"/>
      <c r="UB104" s="284"/>
      <c r="UC104" s="284"/>
      <c r="UD104" s="284"/>
      <c r="UE104" s="284"/>
      <c r="UF104" s="284"/>
      <c r="UG104" s="284"/>
      <c r="UH104" s="284"/>
      <c r="UI104" s="284"/>
      <c r="UJ104" s="284"/>
      <c r="UK104" s="284"/>
      <c r="UL104" s="284"/>
      <c r="UM104" s="284"/>
      <c r="UN104" s="284"/>
      <c r="UO104" s="284"/>
      <c r="UP104" s="284"/>
      <c r="UQ104" s="284"/>
      <c r="UR104" s="284"/>
      <c r="US104" s="284"/>
      <c r="UT104" s="284"/>
      <c r="UU104" s="284"/>
      <c r="UV104" s="284"/>
      <c r="UW104" s="284"/>
      <c r="UX104" s="284"/>
      <c r="UY104" s="284"/>
      <c r="UZ104" s="284"/>
      <c r="VA104" s="284"/>
      <c r="VB104" s="284"/>
      <c r="VC104" s="284"/>
      <c r="VD104" s="284"/>
      <c r="VE104" s="284"/>
      <c r="VF104" s="284"/>
      <c r="VG104" s="284"/>
      <c r="VH104" s="284"/>
      <c r="VI104" s="284"/>
      <c r="VJ104" s="284"/>
      <c r="VK104" s="284"/>
      <c r="VL104" s="284"/>
      <c r="VM104" s="284"/>
      <c r="VN104" s="284"/>
      <c r="VO104" s="284"/>
      <c r="VP104" s="284"/>
      <c r="VQ104" s="284"/>
      <c r="VR104" s="284"/>
      <c r="VS104" s="284"/>
      <c r="VT104" s="284"/>
      <c r="VU104" s="284"/>
      <c r="VV104" s="284"/>
      <c r="VW104" s="284"/>
      <c r="VX104" s="284"/>
      <c r="VY104" s="284"/>
      <c r="VZ104" s="284"/>
      <c r="WA104" s="284"/>
      <c r="WB104" s="284"/>
      <c r="WC104" s="284"/>
      <c r="WD104" s="284"/>
      <c r="WE104" s="284"/>
      <c r="WF104" s="284"/>
      <c r="WG104" s="284"/>
      <c r="WH104" s="284"/>
      <c r="WI104" s="284"/>
      <c r="WJ104" s="284"/>
      <c r="WK104" s="284"/>
      <c r="WL104" s="284"/>
      <c r="WM104" s="284"/>
      <c r="WN104" s="284"/>
      <c r="WO104" s="284"/>
      <c r="WP104" s="284"/>
      <c r="WQ104" s="284"/>
      <c r="WR104" s="284"/>
      <c r="WS104" s="284"/>
      <c r="WT104" s="284"/>
      <c r="WU104" s="284"/>
      <c r="WV104" s="284"/>
      <c r="WW104" s="284"/>
      <c r="WX104" s="284"/>
      <c r="WY104" s="284"/>
      <c r="WZ104" s="284"/>
      <c r="XA104" s="284"/>
      <c r="XB104" s="284"/>
      <c r="XC104" s="284"/>
      <c r="XD104" s="284"/>
      <c r="XE104" s="284"/>
      <c r="XF104" s="284"/>
      <c r="XG104" s="284"/>
      <c r="XH104" s="284"/>
      <c r="XI104" s="284"/>
      <c r="XJ104" s="284"/>
      <c r="XK104" s="284"/>
      <c r="XL104" s="284"/>
      <c r="XM104" s="284"/>
      <c r="XN104" s="284"/>
      <c r="XO104" s="284"/>
      <c r="XP104" s="284"/>
      <c r="XQ104" s="284"/>
      <c r="XR104" s="284"/>
      <c r="XS104" s="284"/>
      <c r="XT104" s="284"/>
      <c r="XU104" s="284"/>
      <c r="XV104" s="284"/>
      <c r="XW104" s="284"/>
      <c r="XX104" s="284"/>
      <c r="XY104" s="284"/>
      <c r="XZ104" s="284"/>
      <c r="YA104" s="284"/>
      <c r="YB104" s="284"/>
      <c r="YC104" s="284"/>
      <c r="YD104" s="284"/>
      <c r="YE104" s="284"/>
      <c r="YF104" s="284"/>
      <c r="YG104" s="284"/>
      <c r="YH104" s="284"/>
      <c r="YI104" s="284"/>
      <c r="YJ104" s="284"/>
      <c r="YK104" s="284"/>
      <c r="YL104" s="284"/>
      <c r="YM104" s="284"/>
      <c r="YN104" s="284"/>
      <c r="YO104" s="284"/>
      <c r="YP104" s="284"/>
      <c r="YQ104" s="284"/>
      <c r="YR104" s="284"/>
      <c r="YS104" s="284"/>
      <c r="YT104" s="284"/>
      <c r="YU104" s="284"/>
      <c r="YV104" s="284"/>
      <c r="YW104" s="284"/>
      <c r="YX104" s="284"/>
      <c r="YY104" s="284"/>
      <c r="YZ104" s="284"/>
      <c r="ZA104" s="284"/>
      <c r="ZB104" s="284"/>
      <c r="ZC104" s="284"/>
      <c r="ZD104" s="284"/>
      <c r="ZE104" s="284"/>
      <c r="ZF104" s="284"/>
      <c r="ZG104" s="284"/>
      <c r="ZH104" s="284"/>
      <c r="ZI104" s="284"/>
      <c r="ZJ104" s="284"/>
      <c r="ZK104" s="284"/>
      <c r="ZL104" s="284"/>
      <c r="ZM104" s="284"/>
      <c r="ZN104" s="284"/>
      <c r="ZO104" s="284"/>
      <c r="ZP104" s="284"/>
      <c r="ZQ104" s="284"/>
      <c r="ZR104" s="284"/>
      <c r="ZS104" s="284"/>
      <c r="ZT104" s="284"/>
      <c r="ZU104" s="284"/>
      <c r="ZV104" s="284"/>
      <c r="ZW104" s="284"/>
      <c r="ZX104" s="284"/>
      <c r="ZY104" s="284"/>
      <c r="ZZ104" s="284"/>
      <c r="AAA104" s="284"/>
      <c r="AAB104" s="284"/>
      <c r="AAC104" s="284"/>
      <c r="AAD104" s="284"/>
      <c r="AAE104" s="284"/>
      <c r="AAF104" s="284"/>
      <c r="AAG104" s="284"/>
      <c r="AAH104" s="284"/>
      <c r="AAI104" s="284"/>
      <c r="AAJ104" s="284"/>
      <c r="AAK104" s="284"/>
      <c r="AAL104" s="284"/>
      <c r="AAM104" s="284"/>
      <c r="AAN104" s="284"/>
      <c r="AAO104" s="284"/>
      <c r="AAP104" s="284"/>
      <c r="AAQ104" s="284"/>
      <c r="AAR104" s="284"/>
      <c r="AAS104" s="284"/>
      <c r="AAT104" s="284"/>
      <c r="AAU104" s="284"/>
      <c r="AAV104" s="284"/>
      <c r="AAW104" s="284"/>
      <c r="AAX104" s="284"/>
      <c r="AAY104" s="284"/>
      <c r="AAZ104" s="284"/>
      <c r="ABA104" s="284"/>
      <c r="ABB104" s="284"/>
      <c r="ABC104" s="284"/>
      <c r="ABD104" s="284"/>
      <c r="ABE104" s="284"/>
      <c r="ABF104" s="284"/>
      <c r="ABG104" s="284"/>
      <c r="ABH104" s="284"/>
      <c r="ABI104" s="284"/>
      <c r="ABJ104" s="284"/>
      <c r="ABK104" s="284"/>
      <c r="ABL104" s="284"/>
      <c r="ABM104" s="284"/>
      <c r="ABN104" s="284"/>
      <c r="ABO104" s="284"/>
      <c r="ABP104" s="284"/>
      <c r="ABQ104" s="284"/>
      <c r="ABR104" s="284"/>
      <c r="ABS104" s="284"/>
      <c r="ABT104" s="284"/>
      <c r="ABU104" s="284"/>
      <c r="ABV104" s="284"/>
      <c r="ABW104" s="284"/>
      <c r="ABX104" s="284"/>
      <c r="ABY104" s="284"/>
      <c r="ABZ104" s="284"/>
      <c r="ACA104" s="284"/>
      <c r="ACB104" s="284"/>
      <c r="ACC104" s="284"/>
      <c r="ACD104" s="284"/>
      <c r="ACE104" s="284"/>
      <c r="ACF104" s="284"/>
      <c r="ACG104" s="284"/>
      <c r="ACH104" s="284"/>
      <c r="ACI104" s="284"/>
      <c r="ACJ104" s="284"/>
      <c r="ACK104" s="284"/>
      <c r="ACL104" s="284"/>
      <c r="ACM104" s="284"/>
      <c r="ACN104" s="284"/>
      <c r="ACO104" s="284"/>
      <c r="ACP104" s="284"/>
      <c r="ACQ104" s="284"/>
      <c r="ACR104" s="284"/>
      <c r="ACS104" s="284"/>
      <c r="ACT104" s="284"/>
      <c r="ACU104" s="284"/>
      <c r="ACV104" s="284"/>
      <c r="ACW104" s="284"/>
      <c r="ACX104" s="284"/>
      <c r="ACY104" s="284"/>
      <c r="ACZ104" s="284"/>
      <c r="ADA104" s="284"/>
      <c r="ADB104" s="284"/>
      <c r="ADC104" s="284"/>
      <c r="ADD104" s="284"/>
      <c r="ADE104" s="284"/>
      <c r="ADF104" s="284"/>
      <c r="ADG104" s="284"/>
      <c r="ADH104" s="284"/>
      <c r="ADI104" s="284"/>
      <c r="ADJ104" s="284"/>
      <c r="ADK104" s="284"/>
      <c r="ADL104" s="284"/>
      <c r="ADM104" s="284"/>
      <c r="ADN104" s="284"/>
      <c r="ADO104" s="284"/>
      <c r="ADP104" s="284"/>
      <c r="ADQ104" s="284"/>
      <c r="ADR104" s="284"/>
      <c r="ADS104" s="284"/>
      <c r="ADT104" s="284"/>
      <c r="ADU104" s="284"/>
      <c r="ADV104" s="284"/>
      <c r="ADW104" s="284"/>
      <c r="ADX104" s="284"/>
      <c r="ADY104" s="284"/>
      <c r="ADZ104" s="284"/>
      <c r="AEA104" s="284"/>
      <c r="AEB104" s="284"/>
      <c r="AEC104" s="284"/>
      <c r="AED104" s="284"/>
      <c r="AEE104" s="284"/>
      <c r="AEF104" s="284"/>
      <c r="AEG104" s="284"/>
      <c r="AEH104" s="284"/>
      <c r="AEI104" s="284"/>
      <c r="AEJ104" s="284"/>
      <c r="AEK104" s="284"/>
      <c r="AEL104" s="284"/>
      <c r="AEM104" s="284"/>
      <c r="AEN104" s="284"/>
      <c r="AEO104" s="284"/>
      <c r="AEP104" s="284"/>
      <c r="AEQ104" s="284"/>
      <c r="AER104" s="284"/>
      <c r="AES104" s="284"/>
      <c r="AET104" s="284"/>
      <c r="AEU104" s="284"/>
      <c r="AEV104" s="284"/>
      <c r="AEW104" s="284"/>
      <c r="AEX104" s="284"/>
      <c r="AEY104" s="284"/>
      <c r="AEZ104" s="284"/>
      <c r="AFA104" s="284"/>
      <c r="AFB104" s="284"/>
      <c r="AFC104" s="284"/>
      <c r="AFD104" s="284"/>
      <c r="AFE104" s="284"/>
      <c r="AFF104" s="284"/>
      <c r="AFG104" s="284"/>
      <c r="AFH104" s="284"/>
      <c r="AFI104" s="284"/>
      <c r="AFJ104" s="284"/>
      <c r="AFK104" s="284"/>
      <c r="AFL104" s="284"/>
      <c r="AFM104" s="284"/>
      <c r="AFN104" s="284"/>
      <c r="AFO104" s="284"/>
      <c r="AFP104" s="284"/>
      <c r="AFQ104" s="284"/>
      <c r="AFR104" s="284"/>
      <c r="AFS104" s="284"/>
      <c r="AFT104" s="284"/>
      <c r="AFU104" s="284"/>
      <c r="AFV104" s="284"/>
      <c r="AFW104" s="284"/>
      <c r="AFX104" s="284"/>
      <c r="AFY104" s="284"/>
      <c r="AFZ104" s="284"/>
      <c r="AGA104" s="284"/>
      <c r="AGB104" s="284"/>
      <c r="AGC104" s="284"/>
      <c r="AGD104" s="284"/>
      <c r="AGE104" s="284"/>
      <c r="AGF104" s="284"/>
      <c r="AGG104" s="284"/>
      <c r="AGH104" s="284"/>
      <c r="AGI104" s="284"/>
      <c r="AGJ104" s="284"/>
      <c r="AGK104" s="284"/>
      <c r="AGL104" s="284"/>
      <c r="AGM104" s="284"/>
      <c r="AGN104" s="284"/>
      <c r="AGO104" s="284"/>
      <c r="AGP104" s="284"/>
      <c r="AGQ104" s="284"/>
      <c r="AGR104" s="284"/>
      <c r="AGS104" s="284"/>
      <c r="AGT104" s="284"/>
      <c r="AGU104" s="284"/>
      <c r="AGV104" s="284"/>
      <c r="AGW104" s="284"/>
      <c r="AGX104" s="284"/>
      <c r="AGY104" s="284"/>
      <c r="AGZ104" s="284"/>
      <c r="AHA104" s="284"/>
      <c r="AHB104" s="284"/>
      <c r="AHC104" s="284"/>
      <c r="AHD104" s="284"/>
      <c r="AHE104" s="284"/>
      <c r="AHF104" s="284"/>
      <c r="AHG104" s="284"/>
      <c r="AHH104" s="284"/>
      <c r="AHI104" s="284"/>
      <c r="AHJ104" s="284"/>
      <c r="AHK104" s="284"/>
      <c r="AHL104" s="284"/>
      <c r="AHM104" s="284"/>
      <c r="AHN104" s="284"/>
      <c r="AHO104" s="284"/>
      <c r="AHP104" s="284"/>
      <c r="AHQ104" s="284"/>
      <c r="AHR104" s="284"/>
      <c r="AHS104" s="284"/>
      <c r="AHT104" s="284"/>
      <c r="AHU104" s="284"/>
      <c r="AHV104" s="284"/>
      <c r="AHW104" s="284"/>
      <c r="AHX104" s="284"/>
      <c r="AHY104" s="284"/>
      <c r="AHZ104" s="284"/>
      <c r="AIA104" s="284"/>
      <c r="AIB104" s="284"/>
      <c r="AIC104" s="284"/>
      <c r="AID104" s="284"/>
      <c r="AIE104" s="284"/>
      <c r="AIF104" s="284"/>
      <c r="AIG104" s="284"/>
      <c r="AIH104" s="284"/>
      <c r="AII104" s="284"/>
      <c r="AIJ104" s="284"/>
      <c r="AIK104" s="284"/>
      <c r="AIL104" s="284"/>
      <c r="AIM104" s="284"/>
      <c r="AIN104" s="284"/>
      <c r="AIO104" s="284"/>
      <c r="AIP104" s="284"/>
      <c r="AIQ104" s="284"/>
      <c r="AIR104" s="284"/>
      <c r="AIS104" s="284"/>
      <c r="AIT104" s="284"/>
      <c r="AIU104" s="284"/>
      <c r="AIV104" s="284"/>
      <c r="AIW104" s="284"/>
      <c r="AIX104" s="284"/>
      <c r="AIY104" s="284"/>
      <c r="AIZ104" s="284"/>
      <c r="AJA104" s="284"/>
      <c r="AJB104" s="284"/>
      <c r="AJC104" s="284"/>
      <c r="AJD104" s="284"/>
      <c r="AJE104" s="284"/>
      <c r="AJF104" s="284"/>
      <c r="AJG104" s="284"/>
      <c r="AJH104" s="284"/>
      <c r="AJI104" s="284"/>
      <c r="AJJ104" s="284"/>
      <c r="AJK104" s="284"/>
      <c r="AJL104" s="284"/>
      <c r="AJM104" s="284"/>
      <c r="AJN104" s="284"/>
      <c r="AJO104" s="284"/>
      <c r="AJP104" s="284"/>
      <c r="AJQ104" s="284"/>
      <c r="AJR104" s="284"/>
      <c r="AJS104" s="284"/>
      <c r="AJT104" s="284"/>
      <c r="AJU104" s="284"/>
      <c r="AJV104" s="284"/>
      <c r="AJW104" s="284"/>
      <c r="AJX104" s="284"/>
      <c r="AJY104" s="284"/>
      <c r="AJZ104" s="284"/>
      <c r="AKA104" s="284"/>
      <c r="AKB104" s="284"/>
      <c r="AKC104" s="284"/>
      <c r="AKD104" s="284"/>
      <c r="AKE104" s="284"/>
      <c r="AKF104" s="284"/>
      <c r="AKG104" s="284"/>
      <c r="AKH104" s="284"/>
      <c r="AKI104" s="284"/>
      <c r="AKJ104" s="284"/>
      <c r="AKK104" s="284"/>
      <c r="AKL104" s="284"/>
      <c r="AKM104" s="284"/>
      <c r="AKN104" s="284"/>
      <c r="AKO104" s="284"/>
      <c r="AKP104" s="284"/>
      <c r="AKQ104" s="284"/>
      <c r="AKR104" s="284"/>
      <c r="AKS104" s="284"/>
      <c r="AKT104" s="284"/>
      <c r="AKU104" s="284"/>
      <c r="AKV104" s="284"/>
      <c r="AKW104" s="284"/>
      <c r="AKX104" s="284"/>
      <c r="AKY104" s="284"/>
      <c r="AKZ104" s="284"/>
      <c r="ALA104" s="284"/>
      <c r="ALB104" s="284"/>
      <c r="ALC104" s="284"/>
      <c r="ALD104" s="284"/>
      <c r="ALE104" s="284"/>
      <c r="ALF104" s="284"/>
      <c r="ALG104" s="284"/>
      <c r="ALH104" s="284"/>
      <c r="ALI104" s="284"/>
      <c r="ALJ104" s="284"/>
      <c r="ALK104" s="284"/>
      <c r="ALL104" s="284"/>
      <c r="ALM104" s="284"/>
      <c r="ALN104" s="284"/>
      <c r="ALO104" s="284"/>
      <c r="ALP104" s="284"/>
      <c r="ALQ104" s="284"/>
      <c r="ALR104" s="284"/>
      <c r="ALS104" s="284"/>
      <c r="ALT104" s="284"/>
      <c r="ALU104" s="284"/>
      <c r="ALV104" s="284"/>
      <c r="ALW104" s="284"/>
      <c r="ALX104" s="284"/>
      <c r="ALY104" s="284"/>
      <c r="ALZ104" s="284"/>
      <c r="AMA104" s="284"/>
      <c r="AMB104" s="284"/>
      <c r="AMC104" s="284"/>
      <c r="AMD104" s="284"/>
      <c r="AME104" s="284"/>
      <c r="AMF104" s="284"/>
      <c r="AMG104" s="284"/>
      <c r="AMH104" s="284"/>
      <c r="AMI104" s="284"/>
      <c r="AMJ104" s="284"/>
      <c r="AMK104" s="284"/>
      <c r="AML104" s="284"/>
      <c r="AMM104" s="284"/>
      <c r="AMN104" s="284"/>
      <c r="AMO104" s="284"/>
      <c r="AMP104" s="284"/>
      <c r="AMQ104" s="284"/>
      <c r="AMR104" s="284"/>
      <c r="AMS104" s="284"/>
      <c r="AMT104" s="284"/>
      <c r="AMU104" s="284"/>
      <c r="AMV104" s="284"/>
      <c r="AMW104" s="284"/>
      <c r="AMX104" s="284"/>
      <c r="AMY104" s="284"/>
      <c r="AMZ104" s="284"/>
      <c r="ANA104" s="284"/>
      <c r="ANB104" s="284"/>
      <c r="ANC104" s="284"/>
      <c r="AND104" s="284"/>
      <c r="ANE104" s="284"/>
      <c r="ANF104" s="284"/>
      <c r="ANG104" s="284"/>
      <c r="ANH104" s="284"/>
      <c r="ANI104" s="284"/>
      <c r="ANJ104" s="284"/>
      <c r="ANK104" s="284"/>
      <c r="ANL104" s="284"/>
      <c r="ANM104" s="284"/>
      <c r="ANN104" s="284"/>
      <c r="ANO104" s="284"/>
      <c r="ANP104" s="284"/>
      <c r="ANQ104" s="284"/>
      <c r="ANR104" s="284"/>
      <c r="ANS104" s="284"/>
      <c r="ANT104" s="284"/>
      <c r="ANU104" s="284"/>
      <c r="ANV104" s="284"/>
      <c r="ANW104" s="284"/>
      <c r="ANX104" s="284"/>
      <c r="ANY104" s="284"/>
      <c r="ANZ104" s="284"/>
      <c r="AOA104" s="284"/>
      <c r="AOB104" s="284"/>
      <c r="AOC104" s="284"/>
      <c r="AOD104" s="284"/>
      <c r="AOE104" s="284"/>
      <c r="AOF104" s="284"/>
      <c r="AOG104" s="284"/>
      <c r="AOH104" s="284"/>
      <c r="AOI104" s="284"/>
      <c r="AOJ104" s="284"/>
      <c r="AOK104" s="284"/>
      <c r="AOL104" s="284"/>
      <c r="AOM104" s="284"/>
      <c r="AON104" s="284"/>
      <c r="AOO104" s="284"/>
      <c r="AOP104" s="284"/>
      <c r="AOQ104" s="284"/>
      <c r="AOR104" s="284"/>
      <c r="AOS104" s="284"/>
      <c r="AOT104" s="284"/>
      <c r="AOU104" s="284"/>
      <c r="AOV104" s="284"/>
      <c r="AOW104" s="284"/>
      <c r="AOX104" s="284"/>
      <c r="AOY104" s="284"/>
      <c r="AOZ104" s="284"/>
      <c r="APA104" s="284"/>
      <c r="APB104" s="284"/>
      <c r="APC104" s="284"/>
      <c r="APD104" s="284"/>
      <c r="APE104" s="284"/>
      <c r="APF104" s="284"/>
      <c r="APG104" s="284"/>
      <c r="APH104" s="284"/>
      <c r="API104" s="284"/>
      <c r="APJ104" s="284"/>
      <c r="APK104" s="284"/>
      <c r="APL104" s="284"/>
      <c r="APM104" s="284"/>
      <c r="APN104" s="284"/>
      <c r="APO104" s="284"/>
      <c r="APP104" s="284"/>
      <c r="APQ104" s="284"/>
      <c r="APR104" s="284"/>
      <c r="APS104" s="284"/>
      <c r="APT104" s="284"/>
      <c r="APU104" s="284"/>
      <c r="APV104" s="284"/>
      <c r="APW104" s="284"/>
      <c r="APX104" s="284"/>
      <c r="APY104" s="284"/>
      <c r="APZ104" s="284"/>
      <c r="AQA104" s="284"/>
      <c r="AQB104" s="284"/>
      <c r="AQC104" s="284"/>
      <c r="AQD104" s="284"/>
      <c r="AQE104" s="284"/>
      <c r="AQF104" s="284"/>
      <c r="AQG104" s="284"/>
      <c r="AQH104" s="284"/>
      <c r="AQI104" s="284"/>
      <c r="AQJ104" s="284"/>
      <c r="AQK104" s="284"/>
      <c r="AQL104" s="284"/>
      <c r="AQM104" s="284"/>
      <c r="AQN104" s="284"/>
      <c r="AQO104" s="284"/>
      <c r="AQP104" s="284"/>
      <c r="AQQ104" s="284"/>
      <c r="AQR104" s="284"/>
      <c r="AQS104" s="284"/>
      <c r="AQT104" s="284"/>
      <c r="AQU104" s="284"/>
      <c r="AQV104" s="284"/>
      <c r="AQW104" s="284"/>
      <c r="AQX104" s="284"/>
      <c r="AQY104" s="284"/>
      <c r="AQZ104" s="284"/>
      <c r="ARA104" s="284"/>
      <c r="ARB104" s="284"/>
      <c r="ARC104" s="284"/>
      <c r="ARD104" s="284"/>
      <c r="ARE104" s="284"/>
      <c r="ARF104" s="284"/>
      <c r="ARG104" s="284"/>
      <c r="ARH104" s="284"/>
      <c r="ARI104" s="284"/>
      <c r="ARJ104" s="284"/>
      <c r="ARK104" s="284"/>
      <c r="ARL104" s="284"/>
      <c r="ARM104" s="284"/>
      <c r="ARN104" s="284"/>
      <c r="ARO104" s="284"/>
      <c r="ARP104" s="284"/>
      <c r="ARQ104" s="284"/>
      <c r="ARR104" s="284"/>
      <c r="ARS104" s="284"/>
      <c r="ART104" s="284"/>
      <c r="ARU104" s="284"/>
      <c r="ARV104" s="284"/>
      <c r="ARW104" s="284"/>
      <c r="ARX104" s="284"/>
      <c r="ARY104" s="284"/>
      <c r="ARZ104" s="284"/>
      <c r="ASA104" s="284"/>
      <c r="ASB104" s="284"/>
      <c r="ASC104" s="284"/>
      <c r="ASD104" s="284"/>
      <c r="ASE104" s="284"/>
      <c r="ASF104" s="284"/>
      <c r="ASG104" s="284"/>
      <c r="ASH104" s="284"/>
      <c r="ASI104" s="284"/>
      <c r="ASJ104" s="284"/>
      <c r="ASK104" s="284"/>
      <c r="ASL104" s="284"/>
      <c r="ASM104" s="284"/>
      <c r="ASN104" s="284"/>
      <c r="ASO104" s="284"/>
      <c r="ASP104" s="284"/>
      <c r="ASQ104" s="284"/>
      <c r="ASR104" s="284"/>
      <c r="ASS104" s="284"/>
      <c r="AST104" s="284"/>
      <c r="ASU104" s="284"/>
      <c r="ASV104" s="284"/>
      <c r="ASW104" s="284"/>
      <c r="ASX104" s="284"/>
      <c r="ASY104" s="284"/>
      <c r="ASZ104" s="284"/>
      <c r="ATA104" s="284"/>
      <c r="ATB104" s="284"/>
      <c r="ATC104" s="284"/>
      <c r="ATD104" s="284"/>
      <c r="ATE104" s="284"/>
      <c r="ATF104" s="284"/>
      <c r="ATG104" s="284"/>
      <c r="ATH104" s="284"/>
      <c r="ATI104" s="284"/>
      <c r="ATJ104" s="284"/>
      <c r="ATK104" s="284"/>
      <c r="ATL104" s="284"/>
      <c r="ATM104" s="284"/>
      <c r="ATN104" s="284"/>
      <c r="ATO104" s="284"/>
      <c r="ATP104" s="284"/>
      <c r="ATQ104" s="284"/>
      <c r="ATR104" s="284"/>
      <c r="ATS104" s="284"/>
      <c r="ATT104" s="284"/>
      <c r="ATU104" s="284"/>
      <c r="ATV104" s="284"/>
      <c r="ATW104" s="284"/>
      <c r="ATX104" s="284"/>
      <c r="ATY104" s="284"/>
      <c r="ATZ104" s="284"/>
      <c r="AUA104" s="284"/>
      <c r="AUB104" s="284"/>
      <c r="AUC104" s="284"/>
      <c r="AUD104" s="284"/>
      <c r="AUE104" s="284"/>
      <c r="AUF104" s="284"/>
      <c r="AUG104" s="284"/>
      <c r="AUH104" s="284"/>
      <c r="AUI104" s="284"/>
      <c r="AUJ104" s="284"/>
      <c r="AUK104" s="284"/>
      <c r="AUL104" s="284"/>
      <c r="AUM104" s="284"/>
      <c r="AUN104" s="284"/>
      <c r="AUO104" s="284"/>
      <c r="AUP104" s="284"/>
      <c r="AUQ104" s="284"/>
      <c r="AUR104" s="284"/>
      <c r="AUS104" s="284"/>
      <c r="AUT104" s="284"/>
      <c r="AUU104" s="284"/>
      <c r="AUV104" s="284"/>
      <c r="AUW104" s="284"/>
      <c r="AUX104" s="284"/>
      <c r="AUY104" s="284"/>
      <c r="AUZ104" s="284"/>
      <c r="AVA104" s="284"/>
      <c r="AVB104" s="284"/>
      <c r="AVC104" s="284"/>
      <c r="AVD104" s="284"/>
      <c r="AVE104" s="284"/>
      <c r="AVF104" s="284"/>
      <c r="AVG104" s="284"/>
      <c r="AVH104" s="284"/>
      <c r="AVI104" s="284"/>
      <c r="AVJ104" s="284"/>
      <c r="AVK104" s="284"/>
      <c r="AVL104" s="284"/>
      <c r="AVM104" s="284"/>
      <c r="AVN104" s="284"/>
      <c r="AVO104" s="284"/>
      <c r="AVP104" s="284"/>
      <c r="AVQ104" s="284"/>
      <c r="AVR104" s="284"/>
      <c r="AVS104" s="284"/>
      <c r="AVT104" s="284"/>
      <c r="AVU104" s="284"/>
      <c r="AVV104" s="284"/>
      <c r="AVW104" s="284"/>
      <c r="AVX104" s="284"/>
      <c r="AVY104" s="284"/>
      <c r="AVZ104" s="284"/>
      <c r="AWA104" s="284"/>
      <c r="AWB104" s="284"/>
      <c r="AWC104" s="284"/>
      <c r="AWD104" s="284"/>
      <c r="AWE104" s="284"/>
      <c r="AWF104" s="284"/>
      <c r="AWG104" s="284"/>
      <c r="AWH104" s="284"/>
      <c r="AWI104" s="284"/>
      <c r="AWJ104" s="284"/>
      <c r="AWK104" s="284"/>
      <c r="AWL104" s="284"/>
      <c r="AWM104" s="284"/>
      <c r="AWN104" s="284"/>
      <c r="AWO104" s="284"/>
      <c r="AWP104" s="284"/>
      <c r="AWQ104" s="284"/>
      <c r="AWR104" s="284"/>
      <c r="AWS104" s="284"/>
      <c r="AWT104" s="284"/>
      <c r="AWU104" s="284"/>
      <c r="AWV104" s="284"/>
      <c r="AWW104" s="284"/>
      <c r="AWX104" s="284"/>
      <c r="AWY104" s="284"/>
      <c r="AWZ104" s="284"/>
      <c r="AXA104" s="284"/>
      <c r="AXB104" s="284"/>
      <c r="AXC104" s="284"/>
      <c r="AXD104" s="284"/>
      <c r="AXE104" s="284"/>
      <c r="AXF104" s="284"/>
      <c r="AXG104" s="284"/>
      <c r="AXH104" s="284"/>
      <c r="AXI104" s="284"/>
      <c r="AXJ104" s="284"/>
      <c r="AXK104" s="284"/>
      <c r="AXL104" s="284"/>
      <c r="AXM104" s="284"/>
      <c r="AXN104" s="284"/>
      <c r="AXO104" s="284"/>
      <c r="AXP104" s="284"/>
      <c r="AXQ104" s="284"/>
      <c r="AXR104" s="284"/>
      <c r="AXS104" s="284"/>
      <c r="AXT104" s="284"/>
      <c r="AXU104" s="284"/>
      <c r="AXV104" s="284"/>
      <c r="AXW104" s="284"/>
      <c r="AXX104" s="284"/>
      <c r="AXY104" s="284"/>
      <c r="AXZ104" s="284"/>
      <c r="AYA104" s="284"/>
      <c r="AYB104" s="284"/>
      <c r="AYC104" s="284"/>
      <c r="AYD104" s="284"/>
      <c r="AYE104" s="284"/>
      <c r="AYF104" s="284"/>
      <c r="AYG104" s="284"/>
      <c r="AYH104" s="284"/>
      <c r="AYI104" s="284"/>
      <c r="AYJ104" s="284"/>
      <c r="AYK104" s="284"/>
      <c r="AYL104" s="284"/>
      <c r="AYM104" s="284"/>
      <c r="AYN104" s="284"/>
      <c r="AYO104" s="284"/>
      <c r="AYP104" s="284"/>
      <c r="AYQ104" s="284"/>
      <c r="AYR104" s="284"/>
      <c r="AYS104" s="284"/>
      <c r="AYT104" s="284"/>
      <c r="AYU104" s="284"/>
      <c r="AYV104" s="284"/>
      <c r="AYW104" s="284"/>
      <c r="AYX104" s="284"/>
      <c r="AYY104" s="284"/>
      <c r="AYZ104" s="284"/>
      <c r="AZA104" s="284"/>
      <c r="AZB104" s="284"/>
      <c r="AZC104" s="284"/>
      <c r="AZD104" s="284"/>
      <c r="AZE104" s="284"/>
      <c r="AZF104" s="284"/>
      <c r="AZG104" s="284"/>
      <c r="AZH104" s="284"/>
      <c r="AZI104" s="284"/>
      <c r="AZJ104" s="284"/>
      <c r="AZK104" s="284"/>
      <c r="AZL104" s="284"/>
      <c r="AZM104" s="284"/>
      <c r="AZN104" s="284"/>
      <c r="AZO104" s="284"/>
      <c r="AZP104" s="284"/>
      <c r="AZQ104" s="284"/>
      <c r="AZR104" s="284"/>
      <c r="AZS104" s="284"/>
      <c r="AZT104" s="284"/>
      <c r="AZU104" s="284"/>
      <c r="AZV104" s="284"/>
      <c r="AZW104" s="284"/>
      <c r="AZX104" s="284"/>
      <c r="AZY104" s="284"/>
      <c r="AZZ104" s="284"/>
      <c r="BAA104" s="284"/>
      <c r="BAB104" s="284"/>
      <c r="BAC104" s="284"/>
      <c r="BAD104" s="284"/>
      <c r="BAE104" s="284"/>
      <c r="BAF104" s="284"/>
      <c r="BAG104" s="284"/>
      <c r="BAH104" s="284"/>
      <c r="BAI104" s="284"/>
      <c r="BAJ104" s="284"/>
      <c r="BAK104" s="284"/>
      <c r="BAL104" s="284"/>
      <c r="BAM104" s="284"/>
      <c r="BAN104" s="284"/>
      <c r="BAO104" s="284"/>
      <c r="BAP104" s="284"/>
      <c r="BAQ104" s="284"/>
      <c r="BAR104" s="284"/>
      <c r="BAS104" s="284"/>
      <c r="BAT104" s="284"/>
      <c r="BAU104" s="284"/>
      <c r="BAV104" s="284"/>
      <c r="BAW104" s="284"/>
      <c r="BAX104" s="284"/>
      <c r="BAY104" s="284"/>
      <c r="BAZ104" s="284"/>
      <c r="BBA104" s="284"/>
      <c r="BBB104" s="284"/>
      <c r="BBC104" s="284"/>
      <c r="BBD104" s="284"/>
      <c r="BBE104" s="284"/>
      <c r="BBF104" s="284"/>
      <c r="BBG104" s="284"/>
      <c r="BBH104" s="284"/>
      <c r="BBI104" s="284"/>
      <c r="BBJ104" s="284"/>
      <c r="BBK104" s="284"/>
      <c r="BBL104" s="284"/>
      <c r="BBM104" s="284"/>
      <c r="BBN104" s="284"/>
      <c r="BBO104" s="284"/>
      <c r="BBP104" s="284"/>
      <c r="BBQ104" s="284"/>
      <c r="BBR104" s="284"/>
      <c r="BBS104" s="284"/>
      <c r="BBT104" s="284"/>
      <c r="BBU104" s="284"/>
      <c r="BBV104" s="284"/>
      <c r="BBW104" s="284"/>
      <c r="BBX104" s="284"/>
      <c r="BBY104" s="284"/>
      <c r="BBZ104" s="284"/>
      <c r="BCA104" s="284"/>
      <c r="BCB104" s="284"/>
      <c r="BCC104" s="284"/>
      <c r="BCD104" s="284"/>
      <c r="BCE104" s="284"/>
      <c r="BCF104" s="284"/>
      <c r="BCG104" s="284"/>
      <c r="BCH104" s="284"/>
      <c r="BCI104" s="284"/>
      <c r="BCJ104" s="284"/>
      <c r="BCK104" s="284"/>
      <c r="BCL104" s="284"/>
      <c r="BCM104" s="284"/>
      <c r="BCN104" s="284"/>
      <c r="BCO104" s="284"/>
      <c r="BCP104" s="284"/>
      <c r="BCQ104" s="284"/>
      <c r="BCR104" s="284"/>
      <c r="BCS104" s="284"/>
      <c r="BCT104" s="284"/>
      <c r="BCU104" s="284"/>
      <c r="BCV104" s="284"/>
      <c r="BCW104" s="284"/>
      <c r="BCX104" s="284"/>
      <c r="BCY104" s="284"/>
      <c r="BCZ104" s="284"/>
      <c r="BDA104" s="284"/>
      <c r="BDB104" s="284"/>
      <c r="BDC104" s="284"/>
      <c r="BDD104" s="284"/>
      <c r="BDE104" s="284"/>
      <c r="BDF104" s="284"/>
      <c r="BDG104" s="284"/>
      <c r="BDH104" s="284"/>
      <c r="BDI104" s="284"/>
      <c r="BDJ104" s="284"/>
      <c r="BDK104" s="284"/>
      <c r="BDL104" s="284"/>
      <c r="BDM104" s="284"/>
      <c r="BDN104" s="284"/>
      <c r="BDO104" s="284"/>
      <c r="BDP104" s="284"/>
      <c r="BDQ104" s="284"/>
      <c r="BDR104" s="284"/>
      <c r="BDS104" s="284"/>
      <c r="BDT104" s="284"/>
      <c r="BDU104" s="284"/>
      <c r="BDV104" s="284"/>
      <c r="BDW104" s="284"/>
      <c r="BDX104" s="284"/>
      <c r="BDY104" s="284"/>
      <c r="BDZ104" s="284"/>
      <c r="BEA104" s="284"/>
      <c r="BEB104" s="284"/>
      <c r="BEC104" s="284"/>
      <c r="BED104" s="284"/>
      <c r="BEE104" s="284"/>
      <c r="BEF104" s="284"/>
      <c r="BEG104" s="284"/>
      <c r="BEH104" s="284"/>
      <c r="BEI104" s="284"/>
      <c r="BEJ104" s="284"/>
      <c r="BEK104" s="284"/>
      <c r="BEL104" s="284"/>
      <c r="BEM104" s="284"/>
      <c r="BEN104" s="284"/>
      <c r="BEO104" s="284"/>
      <c r="BEP104" s="284"/>
      <c r="BEQ104" s="284"/>
      <c r="BER104" s="284"/>
      <c r="BES104" s="284"/>
      <c r="BET104" s="284"/>
      <c r="BEU104" s="284"/>
      <c r="BEV104" s="284"/>
      <c r="BEW104" s="284"/>
      <c r="BEX104" s="284"/>
      <c r="BEY104" s="284"/>
      <c r="BEZ104" s="284"/>
      <c r="BFA104" s="284"/>
      <c r="BFB104" s="284"/>
      <c r="BFC104" s="284"/>
      <c r="BFD104" s="284"/>
      <c r="BFE104" s="284"/>
      <c r="BFF104" s="284"/>
      <c r="BFG104" s="284"/>
      <c r="BFH104" s="284"/>
      <c r="BFI104" s="284"/>
      <c r="BFJ104" s="284"/>
      <c r="BFK104" s="284"/>
      <c r="BFL104" s="284"/>
      <c r="BFM104" s="284"/>
      <c r="BFN104" s="284"/>
      <c r="BFO104" s="284"/>
      <c r="BFP104" s="284"/>
      <c r="BFQ104" s="284"/>
      <c r="BFR104" s="284"/>
      <c r="BFS104" s="284"/>
      <c r="BFT104" s="284"/>
      <c r="BFU104" s="284"/>
      <c r="BFV104" s="284"/>
      <c r="BFW104" s="284"/>
      <c r="BFX104" s="284"/>
      <c r="BFY104" s="284"/>
      <c r="BFZ104" s="284"/>
      <c r="BGA104" s="284"/>
      <c r="BGB104" s="284"/>
      <c r="BGC104" s="284"/>
      <c r="BGD104" s="284"/>
      <c r="BGE104" s="284"/>
      <c r="BGF104" s="284"/>
      <c r="BGG104" s="284"/>
      <c r="BGH104" s="284"/>
      <c r="BGI104" s="284"/>
      <c r="BGJ104" s="284"/>
      <c r="BGK104" s="284"/>
      <c r="BGL104" s="284"/>
      <c r="BGM104" s="284"/>
      <c r="BGN104" s="284"/>
      <c r="BGO104" s="284"/>
      <c r="BGP104" s="284"/>
      <c r="BGQ104" s="284"/>
      <c r="BGR104" s="284"/>
      <c r="BGS104" s="284"/>
      <c r="BGT104" s="284"/>
      <c r="BGU104" s="284"/>
      <c r="BGV104" s="284"/>
      <c r="BGW104" s="284"/>
      <c r="BGX104" s="284"/>
      <c r="BGY104" s="284"/>
      <c r="BGZ104" s="284"/>
      <c r="BHA104" s="284"/>
      <c r="BHB104" s="284"/>
      <c r="BHC104" s="284"/>
      <c r="BHD104" s="284"/>
      <c r="BHE104" s="284"/>
      <c r="BHF104" s="284"/>
      <c r="BHG104" s="284"/>
      <c r="BHH104" s="284"/>
      <c r="BHI104" s="284"/>
      <c r="BHJ104" s="284"/>
      <c r="BHK104" s="284"/>
      <c r="BHL104" s="284"/>
      <c r="BHM104" s="284"/>
      <c r="BHN104" s="284"/>
      <c r="BHO104" s="284"/>
      <c r="BHP104" s="284"/>
      <c r="BHQ104" s="284"/>
      <c r="BHR104" s="284"/>
      <c r="BHS104" s="284"/>
      <c r="BHT104" s="284"/>
      <c r="BHU104" s="284"/>
      <c r="BHV104" s="284"/>
      <c r="BHW104" s="284"/>
      <c r="BHX104" s="284"/>
      <c r="BHY104" s="284"/>
      <c r="BHZ104" s="284"/>
      <c r="BIA104" s="284"/>
      <c r="BIB104" s="284"/>
      <c r="BIC104" s="284"/>
      <c r="BID104" s="284"/>
      <c r="BIE104" s="284"/>
      <c r="BIF104" s="284"/>
      <c r="BIG104" s="284"/>
      <c r="BIH104" s="284"/>
      <c r="BII104" s="284"/>
      <c r="BIJ104" s="284"/>
      <c r="BIK104" s="284"/>
      <c r="BIL104" s="284"/>
      <c r="BIM104" s="284"/>
      <c r="BIN104" s="284"/>
      <c r="BIO104" s="284"/>
      <c r="BIP104" s="284"/>
      <c r="BIQ104" s="284"/>
      <c r="BIR104" s="284"/>
      <c r="BIS104" s="284"/>
      <c r="BIT104" s="284"/>
      <c r="BIU104" s="284"/>
      <c r="BIV104" s="284"/>
      <c r="BIW104" s="284"/>
      <c r="BIX104" s="284"/>
      <c r="BIY104" s="284"/>
      <c r="BIZ104" s="284"/>
      <c r="BJA104" s="284"/>
      <c r="BJB104" s="284"/>
      <c r="BJC104" s="284"/>
      <c r="BJD104" s="284"/>
      <c r="BJE104" s="284"/>
      <c r="BJF104" s="284"/>
      <c r="BJG104" s="284"/>
      <c r="BJH104" s="284"/>
      <c r="BJI104" s="284"/>
      <c r="BJJ104" s="284"/>
      <c r="BJK104" s="284"/>
      <c r="BJL104" s="284"/>
      <c r="BJM104" s="284"/>
      <c r="BJN104" s="284"/>
      <c r="BJO104" s="284"/>
      <c r="BJP104" s="284"/>
      <c r="BJQ104" s="284"/>
      <c r="BJR104" s="284"/>
      <c r="BJS104" s="284"/>
      <c r="BJT104" s="284"/>
      <c r="BJU104" s="284"/>
      <c r="BJV104" s="284"/>
      <c r="BJW104" s="284"/>
      <c r="BJX104" s="284"/>
      <c r="BJY104" s="284"/>
      <c r="BJZ104" s="284"/>
      <c r="BKA104" s="284"/>
      <c r="BKB104" s="284"/>
      <c r="BKC104" s="284"/>
      <c r="BKD104" s="284"/>
      <c r="BKE104" s="284"/>
      <c r="BKF104" s="284"/>
      <c r="BKG104" s="284"/>
      <c r="BKH104" s="284"/>
      <c r="BKI104" s="284"/>
      <c r="BKJ104" s="284"/>
      <c r="BKK104" s="284"/>
      <c r="BKL104" s="284"/>
      <c r="BKM104" s="284"/>
      <c r="BKN104" s="284"/>
      <c r="BKO104" s="284"/>
      <c r="BKP104" s="284"/>
      <c r="BKQ104" s="284"/>
      <c r="BKR104" s="284"/>
      <c r="BKS104" s="284"/>
      <c r="BKT104" s="284"/>
      <c r="BKU104" s="284"/>
      <c r="BKV104" s="284"/>
      <c r="BKW104" s="284"/>
      <c r="BKX104" s="284"/>
      <c r="BKY104" s="284"/>
      <c r="BKZ104" s="284"/>
      <c r="BLA104" s="284"/>
      <c r="BLB104" s="284"/>
      <c r="BLC104" s="284"/>
      <c r="BLD104" s="284"/>
      <c r="BLE104" s="284"/>
      <c r="BLF104" s="284"/>
      <c r="BLG104" s="284"/>
      <c r="BLH104" s="284"/>
      <c r="BLI104" s="284"/>
      <c r="BLJ104" s="284"/>
      <c r="BLK104" s="284"/>
      <c r="BLL104" s="284"/>
      <c r="BLM104" s="284"/>
      <c r="BLN104" s="284"/>
      <c r="BLO104" s="284"/>
      <c r="BLP104" s="284"/>
      <c r="BLQ104" s="284"/>
      <c r="BLR104" s="284"/>
      <c r="BLS104" s="284"/>
      <c r="BLT104" s="284"/>
      <c r="BLU104" s="284"/>
      <c r="BLV104" s="284"/>
      <c r="BLW104" s="284"/>
      <c r="BLX104" s="284"/>
      <c r="BLY104" s="284"/>
      <c r="BLZ104" s="284"/>
      <c r="BMA104" s="284"/>
      <c r="BMB104" s="284"/>
      <c r="BMC104" s="284"/>
      <c r="BMD104" s="284"/>
      <c r="BME104" s="284"/>
      <c r="BMF104" s="284"/>
      <c r="BMG104" s="284"/>
      <c r="BMH104" s="284"/>
      <c r="BMI104" s="284"/>
      <c r="BMJ104" s="284"/>
      <c r="BMK104" s="284"/>
      <c r="BML104" s="284"/>
      <c r="BMM104" s="284"/>
      <c r="BMN104" s="284"/>
      <c r="BMO104" s="284"/>
      <c r="BMP104" s="284"/>
      <c r="BMQ104" s="284"/>
      <c r="BMR104" s="284"/>
      <c r="BMS104" s="284"/>
      <c r="BMT104" s="284"/>
      <c r="BMU104" s="284"/>
      <c r="BMV104" s="284"/>
      <c r="BMW104" s="284"/>
      <c r="BMX104" s="284"/>
      <c r="BMY104" s="284"/>
      <c r="BMZ104" s="284"/>
      <c r="BNA104" s="284"/>
      <c r="BNB104" s="284"/>
      <c r="BNC104" s="284"/>
      <c r="BND104" s="284"/>
      <c r="BNE104" s="284"/>
      <c r="BNF104" s="284"/>
      <c r="BNG104" s="284"/>
      <c r="BNH104" s="284"/>
      <c r="BNI104" s="284"/>
      <c r="BNJ104" s="284"/>
      <c r="BNK104" s="284"/>
      <c r="BNL104" s="284"/>
      <c r="BNM104" s="284"/>
      <c r="BNN104" s="284"/>
      <c r="BNO104" s="284"/>
      <c r="BNP104" s="284"/>
      <c r="BNQ104" s="284"/>
      <c r="BNR104" s="284"/>
      <c r="BNS104" s="284"/>
      <c r="BNT104" s="284"/>
      <c r="BNU104" s="284"/>
      <c r="BNV104" s="284"/>
      <c r="BNW104" s="284"/>
      <c r="BNX104" s="284"/>
      <c r="BNY104" s="284"/>
      <c r="BNZ104" s="284"/>
      <c r="BOA104" s="284"/>
      <c r="BOB104" s="284"/>
      <c r="BOC104" s="284"/>
      <c r="BOD104" s="284"/>
      <c r="BOE104" s="284"/>
      <c r="BOF104" s="284"/>
      <c r="BOG104" s="284"/>
      <c r="BOH104" s="284"/>
      <c r="BOI104" s="284"/>
      <c r="BOJ104" s="284"/>
      <c r="BOK104" s="284"/>
      <c r="BOL104" s="284"/>
      <c r="BOM104" s="284"/>
      <c r="BON104" s="284"/>
      <c r="BOO104" s="284"/>
      <c r="BOP104" s="284"/>
      <c r="BOQ104" s="284"/>
      <c r="BOR104" s="284"/>
      <c r="BOS104" s="284"/>
      <c r="BOT104" s="284"/>
      <c r="BOU104" s="284"/>
      <c r="BOV104" s="284"/>
      <c r="BOW104" s="284"/>
      <c r="BOX104" s="284"/>
      <c r="BOY104" s="284"/>
      <c r="BOZ104" s="284"/>
      <c r="BPA104" s="284"/>
      <c r="BPB104" s="284"/>
      <c r="BPC104" s="284"/>
      <c r="BPD104" s="284"/>
      <c r="BPE104" s="284"/>
      <c r="BPF104" s="284"/>
      <c r="BPG104" s="284"/>
      <c r="BPH104" s="284"/>
      <c r="BPI104" s="284"/>
      <c r="BPJ104" s="284"/>
      <c r="BPK104" s="284"/>
      <c r="BPL104" s="284"/>
      <c r="BPM104" s="284"/>
      <c r="BPN104" s="284"/>
      <c r="BPO104" s="284"/>
      <c r="BPP104" s="284"/>
      <c r="BPQ104" s="284"/>
      <c r="BPR104" s="284"/>
      <c r="BPS104" s="284"/>
      <c r="BPT104" s="284"/>
      <c r="BPU104" s="284"/>
      <c r="BPV104" s="284"/>
      <c r="BPW104" s="284"/>
      <c r="BPX104" s="284"/>
      <c r="BPY104" s="284"/>
      <c r="BPZ104" s="284"/>
      <c r="BQA104" s="284"/>
      <c r="BQB104" s="284"/>
      <c r="BQC104" s="284"/>
      <c r="BQD104" s="284"/>
      <c r="BQE104" s="284"/>
      <c r="BQF104" s="284"/>
      <c r="BQG104" s="284"/>
      <c r="BQH104" s="284"/>
      <c r="BQI104" s="284"/>
      <c r="BQJ104" s="284"/>
      <c r="BQK104" s="284"/>
      <c r="BQL104" s="284"/>
      <c r="BQM104" s="284"/>
      <c r="BQN104" s="284"/>
      <c r="BQO104" s="284"/>
      <c r="BQP104" s="284"/>
      <c r="BQQ104" s="284"/>
      <c r="BQR104" s="284"/>
      <c r="BQS104" s="284"/>
      <c r="BQT104" s="284"/>
      <c r="BQU104" s="284"/>
      <c r="BQV104" s="284"/>
      <c r="BQW104" s="284"/>
      <c r="BQX104" s="284"/>
      <c r="BQY104" s="284"/>
      <c r="BQZ104" s="284"/>
      <c r="BRA104" s="284"/>
      <c r="BRB104" s="284"/>
      <c r="BRC104" s="284"/>
      <c r="BRD104" s="284"/>
      <c r="BRE104" s="284"/>
      <c r="BRF104" s="284"/>
      <c r="BRG104" s="284"/>
      <c r="BRH104" s="284"/>
      <c r="BRI104" s="284"/>
      <c r="BRJ104" s="284"/>
      <c r="BRK104" s="284"/>
      <c r="BRL104" s="284"/>
      <c r="BRM104" s="284"/>
      <c r="BRN104" s="284"/>
      <c r="BRO104" s="284"/>
      <c r="BRP104" s="284"/>
      <c r="BRQ104" s="284"/>
      <c r="BRR104" s="284"/>
      <c r="BRS104" s="284"/>
      <c r="BRT104" s="284"/>
      <c r="BRU104" s="284"/>
      <c r="BRV104" s="284"/>
      <c r="BRW104" s="284"/>
      <c r="BRX104" s="284"/>
      <c r="BRY104" s="284"/>
      <c r="BRZ104" s="284"/>
      <c r="BSA104" s="284"/>
      <c r="BSB104" s="284"/>
      <c r="BSC104" s="284"/>
      <c r="BSD104" s="284"/>
      <c r="BSE104" s="284"/>
      <c r="BSF104" s="284"/>
      <c r="BSG104" s="284"/>
      <c r="BSH104" s="284"/>
      <c r="BSI104" s="284"/>
      <c r="BSJ104" s="284"/>
      <c r="BSK104" s="284"/>
      <c r="BSL104" s="284"/>
      <c r="BSM104" s="284"/>
      <c r="BSN104" s="284"/>
      <c r="BSO104" s="284"/>
      <c r="BSP104" s="284"/>
      <c r="BSQ104" s="284"/>
      <c r="BSR104" s="284"/>
      <c r="BSS104" s="284"/>
      <c r="BST104" s="284"/>
      <c r="BSU104" s="284"/>
      <c r="BSV104" s="284"/>
      <c r="BSW104" s="284"/>
      <c r="BSX104" s="284"/>
      <c r="BSY104" s="284"/>
      <c r="BSZ104" s="284"/>
      <c r="BTA104" s="284"/>
      <c r="BTB104" s="284"/>
      <c r="BTC104" s="284"/>
      <c r="BTD104" s="284"/>
      <c r="BTE104" s="284"/>
      <c r="BTF104" s="284"/>
      <c r="BTG104" s="284"/>
      <c r="BTH104" s="284"/>
      <c r="BTI104" s="284"/>
      <c r="BTJ104" s="284"/>
      <c r="BTK104" s="284"/>
      <c r="BTL104" s="284"/>
      <c r="BTM104" s="284"/>
      <c r="BTN104" s="284"/>
      <c r="BTO104" s="284"/>
      <c r="BTP104" s="284"/>
      <c r="BTQ104" s="284"/>
      <c r="BTR104" s="284"/>
      <c r="BTS104" s="284"/>
      <c r="BTT104" s="284"/>
      <c r="BTU104" s="284"/>
      <c r="BTV104" s="284"/>
      <c r="BTW104" s="284"/>
      <c r="BTX104" s="284"/>
      <c r="BTY104" s="284"/>
      <c r="BTZ104" s="284"/>
      <c r="BUA104" s="284"/>
      <c r="BUB104" s="284"/>
      <c r="BUC104" s="284"/>
      <c r="BUD104" s="284"/>
      <c r="BUE104" s="284"/>
      <c r="BUF104" s="284"/>
      <c r="BUG104" s="284"/>
      <c r="BUH104" s="284"/>
      <c r="BUI104" s="284"/>
      <c r="BUJ104" s="284"/>
      <c r="BUK104" s="284"/>
      <c r="BUL104" s="284"/>
      <c r="BUM104" s="284"/>
      <c r="BUN104" s="284"/>
      <c r="BUO104" s="284"/>
      <c r="BUP104" s="284"/>
      <c r="BUQ104" s="284"/>
      <c r="BUR104" s="284"/>
      <c r="BUS104" s="284"/>
      <c r="BUT104" s="284"/>
      <c r="BUU104" s="284"/>
      <c r="BUV104" s="284"/>
      <c r="BUW104" s="284"/>
      <c r="BUX104" s="284"/>
      <c r="BUY104" s="284"/>
      <c r="BUZ104" s="284"/>
      <c r="BVA104" s="284"/>
      <c r="BVB104" s="284"/>
      <c r="BVC104" s="284"/>
      <c r="BVD104" s="284"/>
      <c r="BVE104" s="284"/>
      <c r="BVF104" s="284"/>
      <c r="BVG104" s="284"/>
      <c r="BVH104" s="284"/>
      <c r="BVI104" s="284"/>
      <c r="BVJ104" s="284"/>
      <c r="BVK104" s="284"/>
      <c r="BVL104" s="284"/>
      <c r="BVM104" s="284"/>
      <c r="BVN104" s="284"/>
      <c r="BVO104" s="284"/>
      <c r="BVP104" s="284"/>
      <c r="BVQ104" s="284"/>
      <c r="BVR104" s="284"/>
      <c r="BVS104" s="284"/>
      <c r="BVT104" s="284"/>
      <c r="BVU104" s="284"/>
      <c r="BVV104" s="284"/>
      <c r="BVW104" s="284"/>
      <c r="BVX104" s="284"/>
      <c r="BVY104" s="284"/>
      <c r="BVZ104" s="284"/>
      <c r="BWA104" s="284"/>
      <c r="BWB104" s="284"/>
      <c r="BWC104" s="284"/>
      <c r="BWD104" s="284"/>
      <c r="BWE104" s="284"/>
      <c r="BWF104" s="284"/>
      <c r="BWG104" s="284"/>
      <c r="BWH104" s="284"/>
      <c r="BWI104" s="284"/>
      <c r="BWJ104" s="284"/>
      <c r="BWK104" s="284"/>
      <c r="BWL104" s="284"/>
      <c r="BWM104" s="284"/>
      <c r="BWN104" s="284"/>
      <c r="BWO104" s="284"/>
      <c r="BWP104" s="284"/>
      <c r="BWQ104" s="284"/>
      <c r="BWR104" s="284"/>
      <c r="BWS104" s="284"/>
      <c r="BWT104" s="284"/>
      <c r="BWU104" s="284"/>
      <c r="BWV104" s="284"/>
      <c r="BWW104" s="284"/>
      <c r="BWX104" s="284"/>
      <c r="BWY104" s="284"/>
      <c r="BWZ104" s="284"/>
      <c r="BXA104" s="284"/>
      <c r="BXB104" s="284"/>
      <c r="BXC104" s="284"/>
      <c r="BXD104" s="284"/>
      <c r="BXE104" s="284"/>
      <c r="BXF104" s="284"/>
      <c r="BXG104" s="284"/>
      <c r="BXH104" s="284"/>
      <c r="BXI104" s="284"/>
      <c r="BXJ104" s="284"/>
      <c r="BXK104" s="284"/>
      <c r="BXL104" s="284"/>
      <c r="BXM104" s="284"/>
      <c r="BXN104" s="284"/>
      <c r="BXO104" s="284"/>
      <c r="BXP104" s="284"/>
      <c r="BXQ104" s="284"/>
      <c r="BXR104" s="284"/>
      <c r="BXS104" s="284"/>
      <c r="BXT104" s="284"/>
      <c r="BXU104" s="284"/>
      <c r="BXV104" s="284"/>
      <c r="BXW104" s="284"/>
      <c r="BXX104" s="284"/>
      <c r="BXY104" s="284"/>
      <c r="BXZ104" s="284"/>
      <c r="BYA104" s="284"/>
      <c r="BYB104" s="284"/>
      <c r="BYC104" s="284"/>
      <c r="BYD104" s="284"/>
      <c r="BYE104" s="284"/>
      <c r="BYF104" s="284"/>
      <c r="BYG104" s="284"/>
      <c r="BYH104" s="284"/>
      <c r="BYI104" s="284"/>
      <c r="BYJ104" s="284"/>
      <c r="BYK104" s="284"/>
      <c r="BYL104" s="284"/>
      <c r="BYM104" s="284"/>
      <c r="BYN104" s="284"/>
      <c r="BYO104" s="284"/>
      <c r="BYP104" s="284"/>
      <c r="BYQ104" s="284"/>
      <c r="BYR104" s="284"/>
      <c r="BYS104" s="284"/>
      <c r="BYT104" s="284"/>
      <c r="BYU104" s="284"/>
      <c r="BYV104" s="284"/>
      <c r="BYW104" s="284"/>
      <c r="BYX104" s="284"/>
      <c r="BYY104" s="284"/>
      <c r="BYZ104" s="284"/>
      <c r="BZA104" s="284"/>
      <c r="BZB104" s="284"/>
      <c r="BZC104" s="284"/>
      <c r="BZD104" s="284"/>
      <c r="BZE104" s="284"/>
      <c r="BZF104" s="284"/>
      <c r="BZG104" s="284"/>
      <c r="BZH104" s="284"/>
      <c r="BZI104" s="284"/>
      <c r="BZJ104" s="284"/>
      <c r="BZK104" s="284"/>
      <c r="BZL104" s="284"/>
      <c r="BZM104" s="284"/>
      <c r="BZN104" s="284"/>
      <c r="BZO104" s="284"/>
      <c r="BZP104" s="284"/>
      <c r="BZQ104" s="284"/>
      <c r="BZR104" s="284"/>
      <c r="BZS104" s="284"/>
      <c r="BZT104" s="284"/>
      <c r="BZU104" s="284"/>
      <c r="BZV104" s="284"/>
      <c r="BZW104" s="284"/>
      <c r="BZX104" s="284"/>
      <c r="BZY104" s="284"/>
      <c r="BZZ104" s="284"/>
      <c r="CAA104" s="284"/>
      <c r="CAB104" s="284"/>
      <c r="CAC104" s="284"/>
      <c r="CAD104" s="284"/>
      <c r="CAE104" s="284"/>
      <c r="CAF104" s="284"/>
      <c r="CAG104" s="284"/>
      <c r="CAH104" s="284"/>
      <c r="CAI104" s="284"/>
      <c r="CAJ104" s="284"/>
      <c r="CAK104" s="284"/>
      <c r="CAL104" s="284"/>
      <c r="CAM104" s="284"/>
      <c r="CAN104" s="284"/>
      <c r="CAO104" s="284"/>
      <c r="CAP104" s="284"/>
      <c r="CAQ104" s="284"/>
      <c r="CAR104" s="284"/>
      <c r="CAS104" s="284"/>
      <c r="CAT104" s="284"/>
      <c r="CAU104" s="284"/>
      <c r="CAV104" s="284"/>
      <c r="CAW104" s="284"/>
      <c r="CAX104" s="284"/>
      <c r="CAY104" s="284"/>
      <c r="CAZ104" s="284"/>
      <c r="CBA104" s="284"/>
      <c r="CBB104" s="284"/>
      <c r="CBC104" s="284"/>
      <c r="CBD104" s="284"/>
      <c r="CBE104" s="284"/>
      <c r="CBF104" s="284"/>
      <c r="CBG104" s="284"/>
      <c r="CBH104" s="284"/>
      <c r="CBI104" s="284"/>
      <c r="CBJ104" s="284"/>
      <c r="CBK104" s="284"/>
      <c r="CBL104" s="284"/>
      <c r="CBM104" s="284"/>
      <c r="CBN104" s="284"/>
      <c r="CBO104" s="284"/>
      <c r="CBP104" s="284"/>
      <c r="CBQ104" s="284"/>
      <c r="CBR104" s="284"/>
      <c r="CBS104" s="284"/>
      <c r="CBT104" s="284"/>
      <c r="CBU104" s="284"/>
      <c r="CBV104" s="284"/>
      <c r="CBW104" s="284"/>
      <c r="CBX104" s="284"/>
      <c r="CBY104" s="284"/>
      <c r="CBZ104" s="284"/>
      <c r="CCA104" s="284"/>
      <c r="CCB104" s="284"/>
      <c r="CCC104" s="284"/>
      <c r="CCD104" s="284"/>
      <c r="CCE104" s="284"/>
      <c r="CCF104" s="284"/>
      <c r="CCG104" s="284"/>
      <c r="CCH104" s="284"/>
      <c r="CCI104" s="284"/>
      <c r="CCJ104" s="284"/>
      <c r="CCK104" s="284"/>
      <c r="CCL104" s="284"/>
      <c r="CCM104" s="284"/>
      <c r="CCN104" s="284"/>
      <c r="CCO104" s="284"/>
      <c r="CCP104" s="284"/>
      <c r="CCQ104" s="284"/>
      <c r="CCR104" s="284"/>
      <c r="CCS104" s="284"/>
      <c r="CCT104" s="284"/>
      <c r="CCU104" s="284"/>
      <c r="CCV104" s="284"/>
      <c r="CCW104" s="284"/>
      <c r="CCX104" s="284"/>
      <c r="CCY104" s="284"/>
      <c r="CCZ104" s="284"/>
      <c r="CDA104" s="284"/>
      <c r="CDB104" s="284"/>
      <c r="CDC104" s="284"/>
      <c r="CDD104" s="284"/>
      <c r="CDE104" s="284"/>
      <c r="CDF104" s="284"/>
      <c r="CDG104" s="284"/>
      <c r="CDH104" s="284"/>
      <c r="CDI104" s="284"/>
      <c r="CDJ104" s="284"/>
      <c r="CDK104" s="284"/>
      <c r="CDL104" s="284"/>
      <c r="CDM104" s="284"/>
      <c r="CDN104" s="284"/>
      <c r="CDO104" s="284"/>
      <c r="CDP104" s="284"/>
      <c r="CDQ104" s="284"/>
      <c r="CDR104" s="284"/>
      <c r="CDS104" s="284"/>
      <c r="CDT104" s="284"/>
      <c r="CDU104" s="284"/>
      <c r="CDV104" s="284"/>
      <c r="CDW104" s="284"/>
      <c r="CDX104" s="284"/>
      <c r="CDY104" s="284"/>
      <c r="CDZ104" s="284"/>
      <c r="CEA104" s="284"/>
      <c r="CEB104" s="284"/>
      <c r="CEC104" s="284"/>
      <c r="CED104" s="284"/>
      <c r="CEE104" s="284"/>
      <c r="CEF104" s="284"/>
      <c r="CEG104" s="284"/>
      <c r="CEH104" s="284"/>
      <c r="CEI104" s="284"/>
      <c r="CEJ104" s="284"/>
      <c r="CEK104" s="284"/>
      <c r="CEL104" s="284"/>
      <c r="CEM104" s="284"/>
      <c r="CEN104" s="284"/>
      <c r="CEO104" s="284"/>
      <c r="CEP104" s="284"/>
      <c r="CEQ104" s="284"/>
      <c r="CER104" s="284"/>
      <c r="CES104" s="284"/>
      <c r="CET104" s="284"/>
      <c r="CEU104" s="284"/>
      <c r="CEV104" s="284"/>
      <c r="CEW104" s="284"/>
      <c r="CEX104" s="284"/>
      <c r="CEY104" s="284"/>
      <c r="CEZ104" s="284"/>
      <c r="CFA104" s="284"/>
      <c r="CFB104" s="284"/>
      <c r="CFC104" s="284"/>
      <c r="CFD104" s="284"/>
      <c r="CFE104" s="284"/>
      <c r="CFF104" s="284"/>
      <c r="CFG104" s="284"/>
      <c r="CFH104" s="284"/>
      <c r="CFI104" s="284"/>
      <c r="CFJ104" s="284"/>
      <c r="CFK104" s="284"/>
      <c r="CFL104" s="284"/>
      <c r="CFM104" s="284"/>
      <c r="CFN104" s="284"/>
      <c r="CFO104" s="284"/>
      <c r="CFP104" s="284"/>
      <c r="CFQ104" s="284"/>
      <c r="CFR104" s="284"/>
      <c r="CFS104" s="284"/>
      <c r="CFT104" s="284"/>
      <c r="CFU104" s="284"/>
      <c r="CFV104" s="284"/>
      <c r="CFW104" s="284"/>
      <c r="CFX104" s="284"/>
      <c r="CFY104" s="284"/>
      <c r="CFZ104" s="284"/>
      <c r="CGA104" s="284"/>
      <c r="CGB104" s="284"/>
      <c r="CGC104" s="284"/>
      <c r="CGD104" s="284"/>
      <c r="CGE104" s="284"/>
      <c r="CGF104" s="284"/>
      <c r="CGG104" s="284"/>
      <c r="CGH104" s="284"/>
      <c r="CGI104" s="284"/>
      <c r="CGJ104" s="284"/>
      <c r="CGK104" s="284"/>
      <c r="CGL104" s="284"/>
      <c r="CGM104" s="284"/>
      <c r="CGN104" s="284"/>
      <c r="CGO104" s="284"/>
      <c r="CGP104" s="284"/>
      <c r="CGQ104" s="284"/>
      <c r="CGR104" s="284"/>
      <c r="CGS104" s="284"/>
      <c r="CGT104" s="284"/>
      <c r="CGU104" s="284"/>
      <c r="CGV104" s="284"/>
      <c r="CGW104" s="284"/>
      <c r="CGX104" s="284"/>
      <c r="CGY104" s="284"/>
      <c r="CGZ104" s="284"/>
      <c r="CHA104" s="284"/>
      <c r="CHB104" s="284"/>
      <c r="CHC104" s="284"/>
      <c r="CHD104" s="284"/>
      <c r="CHE104" s="284"/>
      <c r="CHF104" s="284"/>
      <c r="CHG104" s="284"/>
      <c r="CHH104" s="284"/>
      <c r="CHI104" s="284"/>
      <c r="CHJ104" s="284"/>
      <c r="CHK104" s="284"/>
      <c r="CHL104" s="284"/>
      <c r="CHM104" s="284"/>
      <c r="CHN104" s="284"/>
      <c r="CHO104" s="284"/>
      <c r="CHP104" s="284"/>
      <c r="CHQ104" s="284"/>
      <c r="CHR104" s="284"/>
      <c r="CHS104" s="284"/>
      <c r="CHT104" s="284"/>
      <c r="CHU104" s="284"/>
      <c r="CHV104" s="284"/>
      <c r="CHW104" s="284"/>
      <c r="CHX104" s="284"/>
      <c r="CHY104" s="284"/>
      <c r="CHZ104" s="284"/>
      <c r="CIA104" s="284"/>
      <c r="CIB104" s="284"/>
      <c r="CIC104" s="284"/>
      <c r="CID104" s="284"/>
      <c r="CIE104" s="284"/>
      <c r="CIF104" s="284"/>
      <c r="CIG104" s="284"/>
      <c r="CIH104" s="284"/>
      <c r="CII104" s="284"/>
      <c r="CIJ104" s="284"/>
      <c r="CIK104" s="284"/>
      <c r="CIL104" s="284"/>
      <c r="CIM104" s="284"/>
      <c r="CIN104" s="284"/>
      <c r="CIO104" s="284"/>
      <c r="CIP104" s="284"/>
      <c r="CIQ104" s="284"/>
      <c r="CIR104" s="284"/>
      <c r="CIS104" s="284"/>
      <c r="CIT104" s="284"/>
      <c r="CIU104" s="284"/>
      <c r="CIV104" s="284"/>
      <c r="CIW104" s="284"/>
      <c r="CIX104" s="284"/>
      <c r="CIY104" s="284"/>
      <c r="CIZ104" s="284"/>
      <c r="CJA104" s="284"/>
      <c r="CJB104" s="284"/>
      <c r="CJC104" s="284"/>
      <c r="CJD104" s="284"/>
      <c r="CJE104" s="284"/>
      <c r="CJF104" s="284"/>
      <c r="CJG104" s="284"/>
      <c r="CJH104" s="284"/>
      <c r="CJI104" s="284"/>
      <c r="CJJ104" s="284"/>
      <c r="CJK104" s="284"/>
      <c r="CJL104" s="284"/>
      <c r="CJM104" s="284"/>
      <c r="CJN104" s="284"/>
      <c r="CJO104" s="284"/>
      <c r="CJP104" s="284"/>
      <c r="CJQ104" s="284"/>
      <c r="CJR104" s="284"/>
      <c r="CJS104" s="284"/>
      <c r="CJT104" s="284"/>
      <c r="CJU104" s="284"/>
      <c r="CJV104" s="284"/>
      <c r="CJW104" s="284"/>
      <c r="CJX104" s="284"/>
      <c r="CJY104" s="284"/>
      <c r="CJZ104" s="284"/>
      <c r="CKA104" s="284"/>
      <c r="CKB104" s="284"/>
      <c r="CKC104" s="284"/>
      <c r="CKD104" s="284"/>
      <c r="CKE104" s="284"/>
      <c r="CKF104" s="284"/>
      <c r="CKG104" s="284"/>
      <c r="CKH104" s="284"/>
      <c r="CKI104" s="284"/>
      <c r="CKJ104" s="284"/>
      <c r="CKK104" s="284"/>
      <c r="CKL104" s="284"/>
      <c r="CKM104" s="284"/>
      <c r="CKN104" s="284"/>
      <c r="CKO104" s="284"/>
      <c r="CKP104" s="284"/>
      <c r="CKQ104" s="284"/>
      <c r="CKR104" s="284"/>
      <c r="CKS104" s="284"/>
      <c r="CKT104" s="284"/>
      <c r="CKU104" s="284"/>
      <c r="CKV104" s="284"/>
      <c r="CKW104" s="284"/>
      <c r="CKX104" s="284"/>
      <c r="CKY104" s="284"/>
      <c r="CKZ104" s="284"/>
      <c r="CLA104" s="284"/>
      <c r="CLB104" s="284"/>
      <c r="CLC104" s="284"/>
      <c r="CLD104" s="284"/>
      <c r="CLE104" s="284"/>
      <c r="CLF104" s="284"/>
      <c r="CLG104" s="284"/>
      <c r="CLH104" s="284"/>
      <c r="CLI104" s="284"/>
      <c r="CLJ104" s="284"/>
      <c r="CLK104" s="284"/>
      <c r="CLL104" s="284"/>
      <c r="CLM104" s="284"/>
      <c r="CLN104" s="284"/>
      <c r="CLO104" s="284"/>
      <c r="CLP104" s="284"/>
      <c r="CLQ104" s="284"/>
      <c r="CLR104" s="284"/>
      <c r="CLS104" s="284"/>
      <c r="CLT104" s="284"/>
      <c r="CLU104" s="284"/>
      <c r="CLV104" s="284"/>
      <c r="CLW104" s="284"/>
      <c r="CLX104" s="284"/>
      <c r="CLY104" s="284"/>
      <c r="CLZ104" s="284"/>
      <c r="CMA104" s="284"/>
      <c r="CMB104" s="284"/>
      <c r="CMC104" s="284"/>
      <c r="CMD104" s="284"/>
      <c r="CME104" s="284"/>
      <c r="CMF104" s="284"/>
      <c r="CMG104" s="284"/>
      <c r="CMH104" s="284"/>
      <c r="CMI104" s="284"/>
      <c r="CMJ104" s="284"/>
      <c r="CMK104" s="284"/>
      <c r="CML104" s="284"/>
      <c r="CMM104" s="284"/>
      <c r="CMN104" s="284"/>
      <c r="CMO104" s="284"/>
      <c r="CMP104" s="284"/>
      <c r="CMQ104" s="284"/>
      <c r="CMR104" s="284"/>
      <c r="CMS104" s="284"/>
      <c r="CMT104" s="284"/>
      <c r="CMU104" s="284"/>
      <c r="CMV104" s="284"/>
      <c r="CMW104" s="284"/>
      <c r="CMX104" s="284"/>
      <c r="CMY104" s="284"/>
      <c r="CMZ104" s="284"/>
      <c r="CNA104" s="284"/>
      <c r="CNB104" s="284"/>
      <c r="CNC104" s="284"/>
      <c r="CND104" s="284"/>
      <c r="CNE104" s="284"/>
      <c r="CNF104" s="284"/>
      <c r="CNG104" s="284"/>
      <c r="CNH104" s="284"/>
      <c r="CNI104" s="284"/>
      <c r="CNJ104" s="284"/>
      <c r="CNK104" s="284"/>
      <c r="CNL104" s="284"/>
      <c r="CNM104" s="284"/>
      <c r="CNN104" s="284"/>
      <c r="CNO104" s="284"/>
      <c r="CNP104" s="284"/>
      <c r="CNQ104" s="284"/>
      <c r="CNR104" s="284"/>
      <c r="CNS104" s="284"/>
      <c r="CNT104" s="284"/>
      <c r="CNU104" s="284"/>
      <c r="CNV104" s="284"/>
      <c r="CNW104" s="284"/>
      <c r="CNX104" s="284"/>
      <c r="CNY104" s="284"/>
      <c r="CNZ104" s="284"/>
      <c r="COA104" s="284"/>
      <c r="COB104" s="284"/>
      <c r="COC104" s="284"/>
      <c r="COD104" s="284"/>
      <c r="COE104" s="284"/>
      <c r="COF104" s="284"/>
      <c r="COG104" s="284"/>
      <c r="COH104" s="284"/>
      <c r="COI104" s="284"/>
      <c r="COJ104" s="284"/>
      <c r="COK104" s="284"/>
      <c r="COL104" s="284"/>
      <c r="COM104" s="284"/>
      <c r="CON104" s="284"/>
      <c r="COO104" s="284"/>
      <c r="COP104" s="284"/>
      <c r="COQ104" s="284"/>
      <c r="COR104" s="284"/>
      <c r="COS104" s="284"/>
      <c r="COT104" s="284"/>
      <c r="COU104" s="284"/>
      <c r="COV104" s="284"/>
      <c r="COW104" s="284"/>
      <c r="COX104" s="284"/>
      <c r="COY104" s="284"/>
      <c r="COZ104" s="284"/>
      <c r="CPA104" s="284"/>
      <c r="CPB104" s="284"/>
      <c r="CPC104" s="284"/>
      <c r="CPD104" s="284"/>
      <c r="CPE104" s="284"/>
      <c r="CPF104" s="284"/>
      <c r="CPG104" s="284"/>
      <c r="CPH104" s="284"/>
      <c r="CPI104" s="284"/>
      <c r="CPJ104" s="284"/>
      <c r="CPK104" s="284"/>
      <c r="CPL104" s="284"/>
      <c r="CPM104" s="284"/>
      <c r="CPN104" s="284"/>
      <c r="CPO104" s="284"/>
      <c r="CPP104" s="284"/>
      <c r="CPQ104" s="284"/>
      <c r="CPR104" s="284"/>
      <c r="CPS104" s="284"/>
      <c r="CPT104" s="284"/>
      <c r="CPU104" s="284"/>
      <c r="CPV104" s="284"/>
      <c r="CPW104" s="284"/>
      <c r="CPX104" s="284"/>
      <c r="CPY104" s="284"/>
      <c r="CPZ104" s="284"/>
      <c r="CQA104" s="284"/>
      <c r="CQB104" s="284"/>
      <c r="CQC104" s="284"/>
      <c r="CQD104" s="284"/>
      <c r="CQE104" s="284"/>
      <c r="CQF104" s="284"/>
      <c r="CQG104" s="284"/>
      <c r="CQH104" s="284"/>
      <c r="CQI104" s="284"/>
      <c r="CQJ104" s="284"/>
      <c r="CQK104" s="284"/>
      <c r="CQL104" s="284"/>
      <c r="CQM104" s="284"/>
      <c r="CQN104" s="284"/>
      <c r="CQO104" s="284"/>
      <c r="CQP104" s="284"/>
      <c r="CQQ104" s="284"/>
      <c r="CQR104" s="284"/>
      <c r="CQS104" s="284"/>
      <c r="CQT104" s="284"/>
      <c r="CQU104" s="284"/>
      <c r="CQV104" s="284"/>
      <c r="CQW104" s="284"/>
      <c r="CQX104" s="284"/>
      <c r="CQY104" s="284"/>
      <c r="CQZ104" s="284"/>
      <c r="CRA104" s="284"/>
      <c r="CRB104" s="284"/>
      <c r="CRC104" s="284"/>
      <c r="CRD104" s="284"/>
      <c r="CRE104" s="284"/>
      <c r="CRF104" s="284"/>
      <c r="CRG104" s="284"/>
      <c r="CRH104" s="284"/>
      <c r="CRI104" s="284"/>
      <c r="CRJ104" s="284"/>
      <c r="CRK104" s="284"/>
      <c r="CRL104" s="284"/>
      <c r="CRM104" s="284"/>
      <c r="CRN104" s="284"/>
      <c r="CRO104" s="284"/>
      <c r="CRP104" s="284"/>
      <c r="CRQ104" s="284"/>
      <c r="CRR104" s="284"/>
      <c r="CRS104" s="284"/>
      <c r="CRT104" s="284"/>
      <c r="CRU104" s="284"/>
      <c r="CRV104" s="284"/>
      <c r="CRW104" s="284"/>
      <c r="CRX104" s="284"/>
      <c r="CRY104" s="284"/>
      <c r="CRZ104" s="284"/>
      <c r="CSA104" s="284"/>
      <c r="CSB104" s="284"/>
      <c r="CSC104" s="284"/>
      <c r="CSD104" s="284"/>
      <c r="CSE104" s="284"/>
      <c r="CSF104" s="284"/>
      <c r="CSG104" s="284"/>
      <c r="CSH104" s="284"/>
      <c r="CSI104" s="284"/>
      <c r="CSJ104" s="284"/>
      <c r="CSK104" s="284"/>
      <c r="CSL104" s="284"/>
      <c r="CSM104" s="284"/>
      <c r="CSN104" s="284"/>
      <c r="CSO104" s="284"/>
      <c r="CSP104" s="284"/>
      <c r="CSQ104" s="284"/>
      <c r="CSR104" s="284"/>
      <c r="CSS104" s="284"/>
      <c r="CST104" s="284"/>
      <c r="CSU104" s="284"/>
      <c r="CSV104" s="284"/>
      <c r="CSW104" s="284"/>
      <c r="CSX104" s="284"/>
      <c r="CSY104" s="284"/>
      <c r="CSZ104" s="284"/>
      <c r="CTA104" s="284"/>
      <c r="CTB104" s="284"/>
      <c r="CTC104" s="284"/>
      <c r="CTD104" s="284"/>
      <c r="CTE104" s="284"/>
      <c r="CTF104" s="284"/>
      <c r="CTG104" s="284"/>
      <c r="CTH104" s="284"/>
      <c r="CTI104" s="284"/>
      <c r="CTJ104" s="284"/>
      <c r="CTK104" s="284"/>
      <c r="CTL104" s="284"/>
      <c r="CTM104" s="284"/>
      <c r="CTN104" s="284"/>
      <c r="CTO104" s="284"/>
      <c r="CTP104" s="284"/>
      <c r="CTQ104" s="284"/>
      <c r="CTR104" s="284"/>
      <c r="CTS104" s="284"/>
      <c r="CTT104" s="284"/>
      <c r="CTU104" s="284"/>
      <c r="CTV104" s="284"/>
      <c r="CTW104" s="284"/>
      <c r="CTX104" s="284"/>
      <c r="CTY104" s="284"/>
      <c r="CTZ104" s="284"/>
      <c r="CUA104" s="284"/>
      <c r="CUB104" s="284"/>
      <c r="CUC104" s="284"/>
      <c r="CUD104" s="284"/>
      <c r="CUE104" s="284"/>
      <c r="CUF104" s="284"/>
      <c r="CUG104" s="284"/>
      <c r="CUH104" s="284"/>
      <c r="CUI104" s="284"/>
      <c r="CUJ104" s="284"/>
      <c r="CUK104" s="284"/>
      <c r="CUL104" s="284"/>
      <c r="CUM104" s="284"/>
      <c r="CUN104" s="284"/>
      <c r="CUO104" s="284"/>
      <c r="CUP104" s="284"/>
      <c r="CUQ104" s="284"/>
      <c r="CUR104" s="284"/>
      <c r="CUS104" s="284"/>
      <c r="CUT104" s="284"/>
      <c r="CUU104" s="284"/>
      <c r="CUV104" s="284"/>
      <c r="CUW104" s="284"/>
      <c r="CUX104" s="284"/>
      <c r="CUY104" s="284"/>
      <c r="CUZ104" s="284"/>
      <c r="CVA104" s="284"/>
      <c r="CVB104" s="284"/>
      <c r="CVC104" s="284"/>
      <c r="CVD104" s="284"/>
      <c r="CVE104" s="284"/>
      <c r="CVF104" s="284"/>
      <c r="CVG104" s="284"/>
      <c r="CVH104" s="284"/>
      <c r="CVI104" s="284"/>
      <c r="CVJ104" s="284"/>
      <c r="CVK104" s="284"/>
      <c r="CVL104" s="284"/>
      <c r="CVM104" s="284"/>
      <c r="CVN104" s="284"/>
      <c r="CVO104" s="284"/>
      <c r="CVP104" s="284"/>
      <c r="CVQ104" s="284"/>
      <c r="CVR104" s="284"/>
      <c r="CVS104" s="284"/>
      <c r="CVT104" s="284"/>
      <c r="CVU104" s="284"/>
      <c r="CVV104" s="284"/>
      <c r="CVW104" s="284"/>
      <c r="CVX104" s="284"/>
      <c r="CVY104" s="284"/>
      <c r="CVZ104" s="284"/>
      <c r="CWA104" s="284"/>
      <c r="CWB104" s="284"/>
      <c r="CWC104" s="284"/>
      <c r="CWD104" s="284"/>
      <c r="CWE104" s="284"/>
      <c r="CWF104" s="284"/>
      <c r="CWG104" s="284"/>
      <c r="CWH104" s="284"/>
      <c r="CWI104" s="284"/>
      <c r="CWJ104" s="284"/>
      <c r="CWK104" s="284"/>
      <c r="CWL104" s="284"/>
      <c r="CWM104" s="284"/>
      <c r="CWN104" s="284"/>
      <c r="CWO104" s="284"/>
      <c r="CWP104" s="284"/>
      <c r="CWQ104" s="284"/>
      <c r="CWR104" s="284"/>
      <c r="CWS104" s="284"/>
      <c r="CWT104" s="284"/>
      <c r="CWU104" s="284"/>
      <c r="CWV104" s="284"/>
      <c r="CWW104" s="284"/>
      <c r="CWX104" s="284"/>
      <c r="CWY104" s="284"/>
      <c r="CWZ104" s="284"/>
      <c r="CXA104" s="284"/>
      <c r="CXB104" s="284"/>
      <c r="CXC104" s="284"/>
      <c r="CXD104" s="284"/>
      <c r="CXE104" s="284"/>
      <c r="CXF104" s="284"/>
      <c r="CXG104" s="284"/>
      <c r="CXH104" s="284"/>
      <c r="CXI104" s="284"/>
      <c r="CXJ104" s="284"/>
      <c r="CXK104" s="284"/>
      <c r="CXL104" s="284"/>
      <c r="CXM104" s="284"/>
      <c r="CXN104" s="284"/>
      <c r="CXO104" s="284"/>
      <c r="CXP104" s="284"/>
      <c r="CXQ104" s="284"/>
      <c r="CXR104" s="284"/>
      <c r="CXS104" s="284"/>
      <c r="CXT104" s="284"/>
      <c r="CXU104" s="284"/>
      <c r="CXV104" s="284"/>
      <c r="CXW104" s="284"/>
      <c r="CXX104" s="284"/>
      <c r="CXY104" s="284"/>
      <c r="CXZ104" s="284"/>
      <c r="CYA104" s="284"/>
      <c r="CYB104" s="284"/>
      <c r="CYC104" s="284"/>
      <c r="CYD104" s="284"/>
      <c r="CYE104" s="284"/>
      <c r="CYF104" s="284"/>
      <c r="CYG104" s="284"/>
      <c r="CYH104" s="284"/>
      <c r="CYI104" s="284"/>
      <c r="CYJ104" s="284"/>
      <c r="CYK104" s="284"/>
      <c r="CYL104" s="284"/>
      <c r="CYM104" s="284"/>
      <c r="CYN104" s="284"/>
      <c r="CYO104" s="284"/>
      <c r="CYP104" s="284"/>
      <c r="CYQ104" s="284"/>
      <c r="CYR104" s="284"/>
      <c r="CYS104" s="284"/>
      <c r="CYT104" s="284"/>
      <c r="CYU104" s="284"/>
      <c r="CYV104" s="284"/>
      <c r="CYW104" s="284"/>
      <c r="CYX104" s="284"/>
      <c r="CYY104" s="284"/>
      <c r="CYZ104" s="284"/>
      <c r="CZA104" s="284"/>
      <c r="CZB104" s="284"/>
      <c r="CZC104" s="284"/>
      <c r="CZD104" s="284"/>
      <c r="CZE104" s="284"/>
      <c r="CZF104" s="284"/>
      <c r="CZG104" s="284"/>
      <c r="CZH104" s="284"/>
      <c r="CZI104" s="284"/>
      <c r="CZJ104" s="284"/>
      <c r="CZK104" s="284"/>
      <c r="CZL104" s="284"/>
      <c r="CZM104" s="284"/>
      <c r="CZN104" s="284"/>
      <c r="CZO104" s="284"/>
      <c r="CZP104" s="284"/>
      <c r="CZQ104" s="284"/>
      <c r="CZR104" s="284"/>
      <c r="CZS104" s="284"/>
      <c r="CZT104" s="284"/>
      <c r="CZU104" s="284"/>
      <c r="CZV104" s="284"/>
      <c r="CZW104" s="284"/>
      <c r="CZX104" s="284"/>
      <c r="CZY104" s="284"/>
      <c r="CZZ104" s="284"/>
      <c r="DAA104" s="284"/>
      <c r="DAB104" s="284"/>
      <c r="DAC104" s="284"/>
      <c r="DAD104" s="284"/>
      <c r="DAE104" s="284"/>
      <c r="DAF104" s="284"/>
      <c r="DAG104" s="284"/>
      <c r="DAH104" s="284"/>
      <c r="DAI104" s="284"/>
      <c r="DAJ104" s="284"/>
      <c r="DAK104" s="284"/>
      <c r="DAL104" s="284"/>
      <c r="DAM104" s="284"/>
      <c r="DAN104" s="284"/>
      <c r="DAO104" s="284"/>
      <c r="DAP104" s="284"/>
      <c r="DAQ104" s="284"/>
      <c r="DAR104" s="284"/>
      <c r="DAS104" s="284"/>
      <c r="DAT104" s="284"/>
      <c r="DAU104" s="284"/>
      <c r="DAV104" s="284"/>
      <c r="DAW104" s="284"/>
      <c r="DAX104" s="284"/>
      <c r="DAY104" s="284"/>
      <c r="DAZ104" s="284"/>
      <c r="DBA104" s="284"/>
      <c r="DBB104" s="284"/>
      <c r="DBC104" s="284"/>
      <c r="DBD104" s="284"/>
      <c r="DBE104" s="284"/>
      <c r="DBF104" s="284"/>
      <c r="DBG104" s="284"/>
      <c r="DBH104" s="284"/>
      <c r="DBI104" s="284"/>
      <c r="DBJ104" s="284"/>
      <c r="DBK104" s="284"/>
      <c r="DBL104" s="284"/>
      <c r="DBM104" s="284"/>
      <c r="DBN104" s="284"/>
      <c r="DBO104" s="284"/>
      <c r="DBP104" s="284"/>
      <c r="DBQ104" s="284"/>
      <c r="DBR104" s="284"/>
      <c r="DBS104" s="284"/>
      <c r="DBT104" s="284"/>
      <c r="DBU104" s="284"/>
      <c r="DBV104" s="284"/>
      <c r="DBW104" s="284"/>
      <c r="DBX104" s="284"/>
      <c r="DBY104" s="284"/>
      <c r="DBZ104" s="284"/>
      <c r="DCA104" s="284"/>
      <c r="DCB104" s="284"/>
      <c r="DCC104" s="284"/>
      <c r="DCD104" s="284"/>
      <c r="DCE104" s="284"/>
      <c r="DCF104" s="284"/>
      <c r="DCG104" s="284"/>
      <c r="DCH104" s="284"/>
      <c r="DCI104" s="284"/>
      <c r="DCJ104" s="284"/>
      <c r="DCK104" s="284"/>
      <c r="DCL104" s="284"/>
      <c r="DCM104" s="284"/>
      <c r="DCN104" s="284"/>
      <c r="DCO104" s="284"/>
      <c r="DCP104" s="284"/>
      <c r="DCQ104" s="284"/>
      <c r="DCR104" s="284"/>
      <c r="DCS104" s="284"/>
      <c r="DCT104" s="284"/>
      <c r="DCU104" s="284"/>
      <c r="DCV104" s="284"/>
      <c r="DCW104" s="284"/>
      <c r="DCX104" s="284"/>
      <c r="DCY104" s="284"/>
      <c r="DCZ104" s="284"/>
      <c r="DDA104" s="284"/>
      <c r="DDB104" s="284"/>
      <c r="DDC104" s="284"/>
      <c r="DDD104" s="284"/>
      <c r="DDE104" s="284"/>
      <c r="DDF104" s="284"/>
      <c r="DDG104" s="284"/>
      <c r="DDH104" s="284"/>
      <c r="DDI104" s="284"/>
      <c r="DDJ104" s="284"/>
      <c r="DDK104" s="284"/>
      <c r="DDL104" s="284"/>
      <c r="DDM104" s="284"/>
      <c r="DDN104" s="284"/>
      <c r="DDO104" s="284"/>
      <c r="DDP104" s="284"/>
      <c r="DDQ104" s="284"/>
      <c r="DDR104" s="284"/>
      <c r="DDS104" s="284"/>
      <c r="DDT104" s="284"/>
      <c r="DDU104" s="284"/>
      <c r="DDV104" s="284"/>
      <c r="DDW104" s="284"/>
      <c r="DDX104" s="284"/>
      <c r="DDY104" s="284"/>
      <c r="DDZ104" s="284"/>
      <c r="DEA104" s="284"/>
      <c r="DEB104" s="284"/>
      <c r="DEC104" s="284"/>
      <c r="DED104" s="284"/>
      <c r="DEE104" s="284"/>
      <c r="DEF104" s="284"/>
      <c r="DEG104" s="284"/>
      <c r="DEH104" s="284"/>
      <c r="DEI104" s="284"/>
      <c r="DEJ104" s="284"/>
      <c r="DEK104" s="284"/>
      <c r="DEL104" s="284"/>
      <c r="DEM104" s="284"/>
      <c r="DEN104" s="284"/>
      <c r="DEO104" s="284"/>
      <c r="DEP104" s="284"/>
      <c r="DEQ104" s="284"/>
      <c r="DER104" s="284"/>
      <c r="DES104" s="284"/>
      <c r="DET104" s="284"/>
      <c r="DEU104" s="284"/>
      <c r="DEV104" s="284"/>
      <c r="DEW104" s="284"/>
      <c r="DEX104" s="284"/>
      <c r="DEY104" s="284"/>
      <c r="DEZ104" s="284"/>
      <c r="DFA104" s="284"/>
      <c r="DFB104" s="284"/>
      <c r="DFC104" s="284"/>
      <c r="DFD104" s="284"/>
      <c r="DFE104" s="284"/>
      <c r="DFF104" s="284"/>
      <c r="DFG104" s="284"/>
      <c r="DFH104" s="284"/>
      <c r="DFI104" s="284"/>
      <c r="DFJ104" s="284"/>
      <c r="DFK104" s="284"/>
      <c r="DFL104" s="284"/>
      <c r="DFM104" s="284"/>
      <c r="DFN104" s="284"/>
      <c r="DFO104" s="284"/>
      <c r="DFP104" s="284"/>
      <c r="DFQ104" s="284"/>
      <c r="DFR104" s="284"/>
      <c r="DFS104" s="284"/>
      <c r="DFT104" s="284"/>
      <c r="DFU104" s="284"/>
      <c r="DFV104" s="284"/>
      <c r="DFW104" s="284"/>
      <c r="DFX104" s="284"/>
      <c r="DFY104" s="284"/>
      <c r="DFZ104" s="284"/>
      <c r="DGA104" s="284"/>
      <c r="DGB104" s="284"/>
      <c r="DGC104" s="284"/>
      <c r="DGD104" s="284"/>
      <c r="DGE104" s="284"/>
      <c r="DGF104" s="284"/>
      <c r="DGG104" s="284"/>
      <c r="DGH104" s="284"/>
      <c r="DGI104" s="284"/>
      <c r="DGJ104" s="284"/>
      <c r="DGK104" s="284"/>
      <c r="DGL104" s="284"/>
      <c r="DGM104" s="284"/>
      <c r="DGN104" s="284"/>
      <c r="DGO104" s="284"/>
      <c r="DGP104" s="284"/>
      <c r="DGQ104" s="284"/>
      <c r="DGR104" s="284"/>
      <c r="DGS104" s="284"/>
      <c r="DGT104" s="284"/>
      <c r="DGU104" s="284"/>
      <c r="DGV104" s="284"/>
      <c r="DGW104" s="284"/>
      <c r="DGX104" s="284"/>
      <c r="DGY104" s="284"/>
      <c r="DGZ104" s="284"/>
      <c r="DHA104" s="284"/>
      <c r="DHB104" s="284"/>
      <c r="DHC104" s="284"/>
      <c r="DHD104" s="284"/>
      <c r="DHE104" s="284"/>
      <c r="DHF104" s="284"/>
      <c r="DHG104" s="284"/>
      <c r="DHH104" s="284"/>
      <c r="DHI104" s="284"/>
      <c r="DHJ104" s="284"/>
      <c r="DHK104" s="284"/>
      <c r="DHL104" s="284"/>
      <c r="DHM104" s="284"/>
      <c r="DHN104" s="284"/>
      <c r="DHO104" s="284"/>
      <c r="DHP104" s="284"/>
      <c r="DHQ104" s="284"/>
      <c r="DHR104" s="284"/>
      <c r="DHS104" s="284"/>
      <c r="DHT104" s="284"/>
      <c r="DHU104" s="284"/>
      <c r="DHV104" s="284"/>
      <c r="DHW104" s="284"/>
      <c r="DHX104" s="284"/>
      <c r="DHY104" s="284"/>
      <c r="DHZ104" s="284"/>
      <c r="DIA104" s="284"/>
      <c r="DIB104" s="284"/>
      <c r="DIC104" s="284"/>
      <c r="DID104" s="284"/>
      <c r="DIE104" s="284"/>
      <c r="DIF104" s="284"/>
      <c r="DIG104" s="284"/>
      <c r="DIH104" s="284"/>
      <c r="DII104" s="284"/>
      <c r="DIJ104" s="284"/>
      <c r="DIK104" s="284"/>
      <c r="DIL104" s="284"/>
      <c r="DIM104" s="284"/>
      <c r="DIN104" s="284"/>
      <c r="DIO104" s="284"/>
      <c r="DIP104" s="284"/>
      <c r="DIQ104" s="284"/>
      <c r="DIR104" s="284"/>
      <c r="DIS104" s="284"/>
      <c r="DIT104" s="284"/>
      <c r="DIU104" s="284"/>
      <c r="DIV104" s="284"/>
      <c r="DIW104" s="284"/>
      <c r="DIX104" s="284"/>
      <c r="DIY104" s="284"/>
      <c r="DIZ104" s="284"/>
      <c r="DJA104" s="284"/>
      <c r="DJB104" s="284"/>
      <c r="DJC104" s="284"/>
      <c r="DJD104" s="284"/>
      <c r="DJE104" s="284"/>
      <c r="DJF104" s="284"/>
      <c r="DJG104" s="284"/>
      <c r="DJH104" s="284"/>
      <c r="DJI104" s="284"/>
      <c r="DJJ104" s="284"/>
      <c r="DJK104" s="284"/>
      <c r="DJL104" s="284"/>
      <c r="DJM104" s="284"/>
      <c r="DJN104" s="284"/>
      <c r="DJO104" s="284"/>
      <c r="DJP104" s="284"/>
      <c r="DJQ104" s="284"/>
      <c r="DJR104" s="284"/>
      <c r="DJS104" s="284"/>
      <c r="DJT104" s="284"/>
      <c r="DJU104" s="284"/>
      <c r="DJV104" s="284"/>
      <c r="DJW104" s="284"/>
      <c r="DJX104" s="284"/>
      <c r="DJY104" s="284"/>
      <c r="DJZ104" s="284"/>
      <c r="DKA104" s="284"/>
      <c r="DKB104" s="284"/>
      <c r="DKC104" s="284"/>
      <c r="DKD104" s="284"/>
      <c r="DKE104" s="284"/>
      <c r="DKF104" s="284"/>
      <c r="DKG104" s="284"/>
      <c r="DKH104" s="284"/>
      <c r="DKI104" s="284"/>
      <c r="DKJ104" s="284"/>
      <c r="DKK104" s="284"/>
      <c r="DKL104" s="284"/>
      <c r="DKM104" s="284"/>
      <c r="DKN104" s="284"/>
      <c r="DKO104" s="284"/>
      <c r="DKP104" s="284"/>
      <c r="DKQ104" s="284"/>
      <c r="DKR104" s="284"/>
      <c r="DKS104" s="284"/>
      <c r="DKT104" s="284"/>
      <c r="DKU104" s="284"/>
      <c r="DKV104" s="284"/>
      <c r="DKW104" s="284"/>
      <c r="DKX104" s="284"/>
      <c r="DKY104" s="284"/>
      <c r="DKZ104" s="284"/>
      <c r="DLA104" s="284"/>
      <c r="DLB104" s="284"/>
      <c r="DLC104" s="284"/>
      <c r="DLD104" s="284"/>
      <c r="DLE104" s="284"/>
      <c r="DLF104" s="284"/>
      <c r="DLG104" s="284"/>
      <c r="DLH104" s="284"/>
      <c r="DLI104" s="284"/>
      <c r="DLJ104" s="284"/>
      <c r="DLK104" s="284"/>
      <c r="DLL104" s="284"/>
      <c r="DLM104" s="284"/>
      <c r="DLN104" s="284"/>
      <c r="DLO104" s="284"/>
      <c r="DLP104" s="284"/>
      <c r="DLQ104" s="284"/>
      <c r="DLR104" s="284"/>
      <c r="DLS104" s="284"/>
      <c r="DLT104" s="284"/>
      <c r="DLU104" s="284"/>
      <c r="DLV104" s="284"/>
      <c r="DLW104" s="284"/>
      <c r="DLX104" s="284"/>
      <c r="DLY104" s="284"/>
      <c r="DLZ104" s="284"/>
      <c r="DMA104" s="284"/>
      <c r="DMB104" s="284"/>
      <c r="DMC104" s="284"/>
      <c r="DMD104" s="284"/>
      <c r="DME104" s="284"/>
      <c r="DMF104" s="284"/>
      <c r="DMG104" s="284"/>
      <c r="DMH104" s="284"/>
      <c r="DMI104" s="284"/>
      <c r="DMJ104" s="284"/>
      <c r="DMK104" s="284"/>
      <c r="DML104" s="284"/>
      <c r="DMM104" s="284"/>
      <c r="DMN104" s="284"/>
      <c r="DMO104" s="284"/>
      <c r="DMP104" s="284"/>
      <c r="DMQ104" s="284"/>
      <c r="DMR104" s="284"/>
      <c r="DMS104" s="284"/>
      <c r="DMT104" s="284"/>
      <c r="DMU104" s="284"/>
      <c r="DMV104" s="284"/>
      <c r="DMW104" s="284"/>
      <c r="DMX104" s="284"/>
      <c r="DMY104" s="284"/>
      <c r="DMZ104" s="284"/>
      <c r="DNA104" s="284"/>
      <c r="DNB104" s="284"/>
      <c r="DNC104" s="284"/>
      <c r="DND104" s="284"/>
      <c r="DNE104" s="284"/>
      <c r="DNF104" s="284"/>
      <c r="DNG104" s="284"/>
      <c r="DNH104" s="284"/>
      <c r="DNI104" s="284"/>
      <c r="DNJ104" s="284"/>
      <c r="DNK104" s="284"/>
      <c r="DNL104" s="284"/>
      <c r="DNM104" s="284"/>
      <c r="DNN104" s="284"/>
      <c r="DNO104" s="284"/>
      <c r="DNP104" s="284"/>
      <c r="DNQ104" s="284"/>
      <c r="DNR104" s="284"/>
      <c r="DNS104" s="284"/>
      <c r="DNT104" s="284"/>
      <c r="DNU104" s="284"/>
      <c r="DNV104" s="284"/>
      <c r="DNW104" s="284"/>
      <c r="DNX104" s="284"/>
      <c r="DNY104" s="284"/>
      <c r="DNZ104" s="284"/>
      <c r="DOA104" s="284"/>
      <c r="DOB104" s="284"/>
      <c r="DOC104" s="284"/>
      <c r="DOD104" s="284"/>
      <c r="DOE104" s="284"/>
      <c r="DOF104" s="284"/>
      <c r="DOG104" s="284"/>
      <c r="DOH104" s="284"/>
      <c r="DOI104" s="284"/>
      <c r="DOJ104" s="284"/>
      <c r="DOK104" s="284"/>
      <c r="DOL104" s="284"/>
      <c r="DOM104" s="284"/>
      <c r="DON104" s="284"/>
      <c r="DOO104" s="284"/>
      <c r="DOP104" s="284"/>
      <c r="DOQ104" s="284"/>
      <c r="DOR104" s="284"/>
      <c r="DOS104" s="284"/>
      <c r="DOT104" s="284"/>
      <c r="DOU104" s="284"/>
      <c r="DOV104" s="284"/>
      <c r="DOW104" s="284"/>
      <c r="DOX104" s="284"/>
      <c r="DOY104" s="284"/>
      <c r="DOZ104" s="284"/>
      <c r="DPA104" s="284"/>
      <c r="DPB104" s="284"/>
      <c r="DPC104" s="284"/>
      <c r="DPD104" s="284"/>
      <c r="DPE104" s="284"/>
      <c r="DPF104" s="284"/>
      <c r="DPG104" s="284"/>
      <c r="DPH104" s="284"/>
      <c r="DPI104" s="284"/>
      <c r="DPJ104" s="284"/>
      <c r="DPK104" s="284"/>
      <c r="DPL104" s="284"/>
      <c r="DPM104" s="284"/>
      <c r="DPN104" s="284"/>
      <c r="DPO104" s="284"/>
      <c r="DPP104" s="284"/>
      <c r="DPQ104" s="284"/>
      <c r="DPR104" s="284"/>
      <c r="DPS104" s="284"/>
      <c r="DPT104" s="284"/>
      <c r="DPU104" s="284"/>
      <c r="DPV104" s="284"/>
      <c r="DPW104" s="284"/>
      <c r="DPX104" s="284"/>
      <c r="DPY104" s="284"/>
      <c r="DPZ104" s="284"/>
      <c r="DQA104" s="284"/>
      <c r="DQB104" s="284"/>
      <c r="DQC104" s="284"/>
      <c r="DQD104" s="284"/>
      <c r="DQE104" s="284"/>
      <c r="DQF104" s="284"/>
      <c r="DQG104" s="284"/>
      <c r="DQH104" s="284"/>
      <c r="DQI104" s="284"/>
      <c r="DQJ104" s="284"/>
      <c r="DQK104" s="284"/>
      <c r="DQL104" s="284"/>
      <c r="DQM104" s="284"/>
      <c r="DQN104" s="284"/>
      <c r="DQO104" s="284"/>
      <c r="DQP104" s="284"/>
      <c r="DQQ104" s="284"/>
      <c r="DQR104" s="284"/>
      <c r="DQS104" s="284"/>
      <c r="DQT104" s="284"/>
      <c r="DQU104" s="284"/>
      <c r="DQV104" s="284"/>
      <c r="DQW104" s="284"/>
      <c r="DQX104" s="284"/>
      <c r="DQY104" s="284"/>
      <c r="DQZ104" s="284"/>
      <c r="DRA104" s="284"/>
      <c r="DRB104" s="284"/>
      <c r="DRC104" s="284"/>
      <c r="DRD104" s="284"/>
      <c r="DRE104" s="284"/>
      <c r="DRF104" s="284"/>
      <c r="DRG104" s="284"/>
      <c r="DRH104" s="284"/>
      <c r="DRI104" s="284"/>
      <c r="DRJ104" s="284"/>
      <c r="DRK104" s="284"/>
      <c r="DRL104" s="284"/>
      <c r="DRM104" s="284"/>
      <c r="DRN104" s="284"/>
      <c r="DRO104" s="284"/>
      <c r="DRP104" s="284"/>
      <c r="DRQ104" s="284"/>
      <c r="DRR104" s="284"/>
      <c r="DRS104" s="284"/>
      <c r="DRT104" s="284"/>
      <c r="DRU104" s="284"/>
      <c r="DRV104" s="284"/>
      <c r="DRW104" s="284"/>
      <c r="DRX104" s="284"/>
      <c r="DRY104" s="284"/>
      <c r="DRZ104" s="284"/>
      <c r="DSA104" s="284"/>
      <c r="DSB104" s="284"/>
      <c r="DSC104" s="284"/>
      <c r="DSD104" s="284"/>
      <c r="DSE104" s="284"/>
      <c r="DSF104" s="284"/>
      <c r="DSG104" s="284"/>
      <c r="DSH104" s="284"/>
      <c r="DSI104" s="284"/>
      <c r="DSJ104" s="284"/>
      <c r="DSK104" s="284"/>
      <c r="DSL104" s="284"/>
      <c r="DSM104" s="284"/>
      <c r="DSN104" s="284"/>
      <c r="DSO104" s="284"/>
      <c r="DSP104" s="284"/>
      <c r="DSQ104" s="284"/>
      <c r="DSR104" s="284"/>
      <c r="DSS104" s="284"/>
      <c r="DST104" s="284"/>
      <c r="DSU104" s="284"/>
      <c r="DSV104" s="284"/>
      <c r="DSW104" s="284"/>
      <c r="DSX104" s="284"/>
      <c r="DSY104" s="284"/>
      <c r="DSZ104" s="284"/>
      <c r="DTA104" s="284"/>
      <c r="DTB104" s="284"/>
      <c r="DTC104" s="284"/>
      <c r="DTD104" s="284"/>
      <c r="DTE104" s="284"/>
      <c r="DTF104" s="284"/>
      <c r="DTG104" s="284"/>
      <c r="DTH104" s="284"/>
      <c r="DTI104" s="284"/>
      <c r="DTJ104" s="284"/>
      <c r="DTK104" s="284"/>
      <c r="DTL104" s="284"/>
      <c r="DTM104" s="284"/>
      <c r="DTN104" s="284"/>
      <c r="DTO104" s="284"/>
      <c r="DTP104" s="284"/>
      <c r="DTQ104" s="284"/>
      <c r="DTR104" s="284"/>
      <c r="DTS104" s="284"/>
      <c r="DTT104" s="284"/>
      <c r="DTU104" s="284"/>
      <c r="DTV104" s="284"/>
      <c r="DTW104" s="284"/>
      <c r="DTX104" s="284"/>
      <c r="DTY104" s="284"/>
      <c r="DTZ104" s="284"/>
      <c r="DUA104" s="284"/>
      <c r="DUB104" s="284"/>
      <c r="DUC104" s="284"/>
      <c r="DUD104" s="284"/>
      <c r="DUE104" s="284"/>
      <c r="DUF104" s="284"/>
      <c r="DUG104" s="284"/>
      <c r="DUH104" s="284"/>
      <c r="DUI104" s="284"/>
      <c r="DUJ104" s="284"/>
      <c r="DUK104" s="284"/>
      <c r="DUL104" s="284"/>
      <c r="DUM104" s="284"/>
      <c r="DUN104" s="284"/>
      <c r="DUO104" s="284"/>
      <c r="DUP104" s="284"/>
      <c r="DUQ104" s="284"/>
      <c r="DUR104" s="284"/>
      <c r="DUS104" s="284"/>
      <c r="DUT104" s="284"/>
      <c r="DUU104" s="284"/>
      <c r="DUV104" s="284"/>
      <c r="DUW104" s="284"/>
      <c r="DUX104" s="284"/>
      <c r="DUY104" s="284"/>
      <c r="DUZ104" s="284"/>
      <c r="DVA104" s="284"/>
      <c r="DVB104" s="284"/>
      <c r="DVC104" s="284"/>
      <c r="DVD104" s="284"/>
      <c r="DVE104" s="284"/>
      <c r="DVF104" s="284"/>
      <c r="DVG104" s="284"/>
      <c r="DVH104" s="284"/>
      <c r="DVI104" s="284"/>
      <c r="DVJ104" s="284"/>
      <c r="DVK104" s="284"/>
      <c r="DVL104" s="284"/>
      <c r="DVM104" s="284"/>
      <c r="DVN104" s="284"/>
      <c r="DVO104" s="284"/>
      <c r="DVP104" s="284"/>
      <c r="DVQ104" s="284"/>
      <c r="DVR104" s="284"/>
      <c r="DVS104" s="284"/>
      <c r="DVT104" s="284"/>
      <c r="DVU104" s="284"/>
      <c r="DVV104" s="284"/>
      <c r="DVW104" s="284"/>
      <c r="DVX104" s="284"/>
      <c r="DVY104" s="284"/>
      <c r="DVZ104" s="284"/>
      <c r="DWA104" s="284"/>
      <c r="DWB104" s="284"/>
      <c r="DWC104" s="284"/>
      <c r="DWD104" s="284"/>
      <c r="DWE104" s="284"/>
      <c r="DWF104" s="284"/>
      <c r="DWG104" s="284"/>
      <c r="DWH104" s="284"/>
      <c r="DWI104" s="284"/>
      <c r="DWJ104" s="284"/>
      <c r="DWK104" s="284"/>
      <c r="DWL104" s="284"/>
      <c r="DWM104" s="284"/>
      <c r="DWN104" s="284"/>
      <c r="DWO104" s="284"/>
      <c r="DWP104" s="284"/>
      <c r="DWQ104" s="284"/>
      <c r="DWR104" s="284"/>
      <c r="DWS104" s="284"/>
      <c r="DWT104" s="284"/>
      <c r="DWU104" s="284"/>
      <c r="DWV104" s="284"/>
      <c r="DWW104" s="284"/>
      <c r="DWX104" s="284"/>
      <c r="DWY104" s="284"/>
      <c r="DWZ104" s="284"/>
      <c r="DXA104" s="284"/>
      <c r="DXB104" s="284"/>
      <c r="DXC104" s="284"/>
      <c r="DXD104" s="284"/>
      <c r="DXE104" s="284"/>
      <c r="DXF104" s="284"/>
      <c r="DXG104" s="284"/>
      <c r="DXH104" s="284"/>
      <c r="DXI104" s="284"/>
      <c r="DXJ104" s="284"/>
      <c r="DXK104" s="284"/>
      <c r="DXL104" s="284"/>
      <c r="DXM104" s="284"/>
      <c r="DXN104" s="284"/>
      <c r="DXO104" s="284"/>
      <c r="DXP104" s="284"/>
      <c r="DXQ104" s="284"/>
      <c r="DXR104" s="284"/>
      <c r="DXS104" s="284"/>
      <c r="DXT104" s="284"/>
      <c r="DXU104" s="284"/>
      <c r="DXV104" s="284"/>
      <c r="DXW104" s="284"/>
      <c r="DXX104" s="284"/>
      <c r="DXY104" s="284"/>
      <c r="DXZ104" s="284"/>
      <c r="DYA104" s="284"/>
      <c r="DYB104" s="284"/>
      <c r="DYC104" s="284"/>
      <c r="DYD104" s="284"/>
      <c r="DYE104" s="284"/>
      <c r="DYF104" s="284"/>
      <c r="DYG104" s="284"/>
      <c r="DYH104" s="284"/>
      <c r="DYI104" s="284"/>
      <c r="DYJ104" s="284"/>
      <c r="DYK104" s="284"/>
      <c r="DYL104" s="284"/>
      <c r="DYM104" s="284"/>
      <c r="DYN104" s="284"/>
      <c r="DYO104" s="284"/>
      <c r="DYP104" s="284"/>
      <c r="DYQ104" s="284"/>
      <c r="DYR104" s="284"/>
      <c r="DYS104" s="284"/>
      <c r="DYT104" s="284"/>
      <c r="DYU104" s="284"/>
      <c r="DYV104" s="284"/>
      <c r="DYW104" s="284"/>
      <c r="DYX104" s="284"/>
      <c r="DYY104" s="284"/>
      <c r="DYZ104" s="284"/>
      <c r="DZA104" s="284"/>
      <c r="DZB104" s="284"/>
      <c r="DZC104" s="284"/>
      <c r="DZD104" s="284"/>
      <c r="DZE104" s="284"/>
      <c r="DZF104" s="284"/>
      <c r="DZG104" s="284"/>
      <c r="DZH104" s="284"/>
      <c r="DZI104" s="284"/>
      <c r="DZJ104" s="284"/>
      <c r="DZK104" s="284"/>
      <c r="DZL104" s="284"/>
      <c r="DZM104" s="284"/>
      <c r="DZN104" s="284"/>
      <c r="DZO104" s="284"/>
      <c r="DZP104" s="284"/>
      <c r="DZQ104" s="284"/>
      <c r="DZR104" s="284"/>
      <c r="DZS104" s="284"/>
      <c r="DZT104" s="284"/>
      <c r="DZU104" s="284"/>
      <c r="DZV104" s="284"/>
      <c r="DZW104" s="284"/>
      <c r="DZX104" s="284"/>
      <c r="DZY104" s="284"/>
      <c r="DZZ104" s="284"/>
      <c r="EAA104" s="284"/>
      <c r="EAB104" s="284"/>
      <c r="EAC104" s="284"/>
      <c r="EAD104" s="284"/>
      <c r="EAE104" s="284"/>
      <c r="EAF104" s="284"/>
      <c r="EAG104" s="284"/>
      <c r="EAH104" s="284"/>
      <c r="EAI104" s="284"/>
      <c r="EAJ104" s="284"/>
      <c r="EAK104" s="284"/>
      <c r="EAL104" s="284"/>
      <c r="EAM104" s="284"/>
      <c r="EAN104" s="284"/>
      <c r="EAO104" s="284"/>
      <c r="EAP104" s="284"/>
      <c r="EAQ104" s="284"/>
      <c r="EAR104" s="284"/>
      <c r="EAS104" s="284"/>
      <c r="EAT104" s="284"/>
      <c r="EAU104" s="284"/>
      <c r="EAV104" s="284"/>
      <c r="EAW104" s="284"/>
      <c r="EAX104" s="284"/>
      <c r="EAY104" s="284"/>
      <c r="EAZ104" s="284"/>
      <c r="EBA104" s="284"/>
      <c r="EBB104" s="284"/>
      <c r="EBC104" s="284"/>
      <c r="EBD104" s="284"/>
      <c r="EBE104" s="284"/>
      <c r="EBF104" s="284"/>
      <c r="EBG104" s="284"/>
      <c r="EBH104" s="284"/>
      <c r="EBI104" s="284"/>
      <c r="EBJ104" s="284"/>
      <c r="EBK104" s="284"/>
      <c r="EBL104" s="284"/>
      <c r="EBM104" s="284"/>
      <c r="EBN104" s="284"/>
      <c r="EBO104" s="284"/>
      <c r="EBP104" s="284"/>
      <c r="EBQ104" s="284"/>
      <c r="EBR104" s="284"/>
      <c r="EBS104" s="284"/>
      <c r="EBT104" s="284"/>
      <c r="EBU104" s="284"/>
      <c r="EBV104" s="284"/>
      <c r="EBW104" s="284"/>
      <c r="EBX104" s="284"/>
      <c r="EBY104" s="284"/>
      <c r="EBZ104" s="284"/>
      <c r="ECA104" s="284"/>
      <c r="ECB104" s="284"/>
      <c r="ECC104" s="284"/>
      <c r="ECD104" s="284"/>
      <c r="ECE104" s="284"/>
      <c r="ECF104" s="284"/>
      <c r="ECG104" s="284"/>
      <c r="ECH104" s="284"/>
      <c r="ECI104" s="284"/>
      <c r="ECJ104" s="284"/>
      <c r="ECK104" s="284"/>
      <c r="ECL104" s="284"/>
      <c r="ECM104" s="284"/>
      <c r="ECN104" s="284"/>
      <c r="ECO104" s="284"/>
      <c r="ECP104" s="284"/>
      <c r="ECQ104" s="284"/>
      <c r="ECR104" s="284"/>
      <c r="ECS104" s="284"/>
      <c r="ECT104" s="284"/>
      <c r="ECU104" s="284"/>
      <c r="ECV104" s="284"/>
      <c r="ECW104" s="284"/>
      <c r="ECX104" s="284"/>
      <c r="ECY104" s="284"/>
      <c r="ECZ104" s="284"/>
      <c r="EDA104" s="284"/>
      <c r="EDB104" s="284"/>
      <c r="EDC104" s="284"/>
      <c r="EDD104" s="284"/>
      <c r="EDE104" s="284"/>
      <c r="EDF104" s="284"/>
      <c r="EDG104" s="284"/>
      <c r="EDH104" s="284"/>
      <c r="EDI104" s="284"/>
      <c r="EDJ104" s="284"/>
      <c r="EDK104" s="284"/>
      <c r="EDL104" s="284"/>
      <c r="EDM104" s="284"/>
      <c r="EDN104" s="284"/>
      <c r="EDO104" s="284"/>
      <c r="EDP104" s="284"/>
      <c r="EDQ104" s="284"/>
      <c r="EDR104" s="284"/>
      <c r="EDS104" s="284"/>
      <c r="EDT104" s="284"/>
      <c r="EDU104" s="284"/>
      <c r="EDV104" s="284"/>
      <c r="EDW104" s="284"/>
      <c r="EDX104" s="284"/>
      <c r="EDY104" s="284"/>
      <c r="EDZ104" s="284"/>
      <c r="EEA104" s="284"/>
      <c r="EEB104" s="284"/>
      <c r="EEC104" s="284"/>
      <c r="EED104" s="284"/>
      <c r="EEE104" s="284"/>
      <c r="EEF104" s="284"/>
      <c r="EEG104" s="284"/>
      <c r="EEH104" s="284"/>
      <c r="EEI104" s="284"/>
      <c r="EEJ104" s="284"/>
      <c r="EEK104" s="284"/>
      <c r="EEL104" s="284"/>
      <c r="EEM104" s="284"/>
      <c r="EEN104" s="284"/>
      <c r="EEO104" s="284"/>
      <c r="EEP104" s="284"/>
      <c r="EEQ104" s="284"/>
      <c r="EER104" s="284"/>
      <c r="EES104" s="284"/>
      <c r="EET104" s="284"/>
      <c r="EEU104" s="284"/>
      <c r="EEV104" s="284"/>
      <c r="EEW104" s="284"/>
      <c r="EEX104" s="284"/>
      <c r="EEY104" s="284"/>
      <c r="EEZ104" s="284"/>
      <c r="EFA104" s="284"/>
      <c r="EFB104" s="284"/>
      <c r="EFC104" s="284"/>
      <c r="EFD104" s="284"/>
      <c r="EFE104" s="284"/>
      <c r="EFF104" s="284"/>
      <c r="EFG104" s="284"/>
      <c r="EFH104" s="284"/>
      <c r="EFI104" s="284"/>
      <c r="EFJ104" s="284"/>
      <c r="EFK104" s="284"/>
      <c r="EFL104" s="284"/>
      <c r="EFM104" s="284"/>
      <c r="EFN104" s="284"/>
      <c r="EFO104" s="284"/>
      <c r="EFP104" s="284"/>
      <c r="EFQ104" s="284"/>
      <c r="EFR104" s="284"/>
      <c r="EFS104" s="284"/>
      <c r="EFT104" s="284"/>
      <c r="EFU104" s="284"/>
      <c r="EFV104" s="284"/>
      <c r="EFW104" s="284"/>
      <c r="EFX104" s="284"/>
      <c r="EFY104" s="284"/>
      <c r="EFZ104" s="284"/>
      <c r="EGA104" s="284"/>
      <c r="EGB104" s="284"/>
      <c r="EGC104" s="284"/>
      <c r="EGD104" s="284"/>
      <c r="EGE104" s="284"/>
      <c r="EGF104" s="284"/>
      <c r="EGG104" s="284"/>
      <c r="EGH104" s="284"/>
      <c r="EGI104" s="284"/>
      <c r="EGJ104" s="284"/>
      <c r="EGK104" s="284"/>
      <c r="EGL104" s="284"/>
      <c r="EGM104" s="284"/>
      <c r="EGN104" s="284"/>
      <c r="EGO104" s="284"/>
      <c r="EGP104" s="284"/>
      <c r="EGQ104" s="284"/>
      <c r="EGR104" s="284"/>
      <c r="EGS104" s="284"/>
      <c r="EGT104" s="284"/>
      <c r="EGU104" s="284"/>
      <c r="EGV104" s="284"/>
      <c r="EGW104" s="284"/>
      <c r="EGX104" s="284"/>
      <c r="EGY104" s="284"/>
      <c r="EGZ104" s="284"/>
      <c r="EHA104" s="284"/>
      <c r="EHB104" s="284"/>
      <c r="EHC104" s="284"/>
      <c r="EHD104" s="284"/>
      <c r="EHE104" s="284"/>
      <c r="EHF104" s="284"/>
      <c r="EHG104" s="284"/>
      <c r="EHH104" s="284"/>
      <c r="EHI104" s="284"/>
      <c r="EHJ104" s="284"/>
      <c r="EHK104" s="284"/>
      <c r="EHL104" s="284"/>
      <c r="EHM104" s="284"/>
      <c r="EHN104" s="284"/>
      <c r="EHO104" s="284"/>
      <c r="EHP104" s="284"/>
      <c r="EHQ104" s="284"/>
      <c r="EHR104" s="284"/>
      <c r="EHS104" s="284"/>
      <c r="EHT104" s="284"/>
      <c r="EHU104" s="284"/>
      <c r="EHV104" s="284"/>
      <c r="EHW104" s="284"/>
      <c r="EHX104" s="284"/>
      <c r="EHY104" s="284"/>
      <c r="EHZ104" s="284"/>
      <c r="EIA104" s="284"/>
      <c r="EIB104" s="284"/>
      <c r="EIC104" s="284"/>
      <c r="EID104" s="284"/>
      <c r="EIE104" s="284"/>
      <c r="EIF104" s="284"/>
      <c r="EIG104" s="284"/>
      <c r="EIH104" s="284"/>
      <c r="EII104" s="284"/>
      <c r="EIJ104" s="284"/>
      <c r="EIK104" s="284"/>
      <c r="EIL104" s="284"/>
      <c r="EIM104" s="284"/>
      <c r="EIN104" s="284"/>
      <c r="EIO104" s="284"/>
      <c r="EIP104" s="284"/>
      <c r="EIQ104" s="284"/>
      <c r="EIR104" s="284"/>
      <c r="EIS104" s="284"/>
      <c r="EIT104" s="284"/>
      <c r="EIU104" s="284"/>
      <c r="EIV104" s="284"/>
      <c r="EIW104" s="284"/>
      <c r="EIX104" s="284"/>
      <c r="EIY104" s="284"/>
      <c r="EIZ104" s="284"/>
      <c r="EJA104" s="284"/>
      <c r="EJB104" s="284"/>
      <c r="EJC104" s="284"/>
      <c r="EJD104" s="284"/>
      <c r="EJE104" s="284"/>
      <c r="EJF104" s="284"/>
      <c r="EJG104" s="284"/>
      <c r="EJH104" s="284"/>
      <c r="EJI104" s="284"/>
      <c r="EJJ104" s="284"/>
      <c r="EJK104" s="284"/>
      <c r="EJL104" s="284"/>
      <c r="EJM104" s="284"/>
      <c r="EJN104" s="284"/>
      <c r="EJO104" s="284"/>
      <c r="EJP104" s="284"/>
      <c r="EJQ104" s="284"/>
      <c r="EJR104" s="284"/>
      <c r="EJS104" s="284"/>
      <c r="EJT104" s="284"/>
      <c r="EJU104" s="284"/>
      <c r="EJV104" s="284"/>
      <c r="EJW104" s="284"/>
      <c r="EJX104" s="284"/>
      <c r="EJY104" s="284"/>
      <c r="EJZ104" s="284"/>
      <c r="EKA104" s="284"/>
      <c r="EKB104" s="284"/>
      <c r="EKC104" s="284"/>
      <c r="EKD104" s="284"/>
      <c r="EKE104" s="284"/>
      <c r="EKF104" s="284"/>
      <c r="EKG104" s="284"/>
      <c r="EKH104" s="284"/>
      <c r="EKI104" s="284"/>
      <c r="EKJ104" s="284"/>
      <c r="EKK104" s="284"/>
      <c r="EKL104" s="284"/>
      <c r="EKM104" s="284"/>
      <c r="EKN104" s="284"/>
      <c r="EKO104" s="284"/>
      <c r="EKP104" s="284"/>
      <c r="EKQ104" s="284"/>
      <c r="EKR104" s="284"/>
      <c r="EKS104" s="284"/>
      <c r="EKT104" s="284"/>
      <c r="EKU104" s="284"/>
      <c r="EKV104" s="284"/>
      <c r="EKW104" s="284"/>
      <c r="EKX104" s="284"/>
      <c r="EKY104" s="284"/>
      <c r="EKZ104" s="284"/>
      <c r="ELA104" s="284"/>
      <c r="ELB104" s="284"/>
      <c r="ELC104" s="284"/>
      <c r="ELD104" s="284"/>
      <c r="ELE104" s="284"/>
      <c r="ELF104" s="284"/>
      <c r="ELG104" s="284"/>
      <c r="ELH104" s="284"/>
      <c r="ELI104" s="284"/>
      <c r="ELJ104" s="284"/>
      <c r="ELK104" s="284"/>
      <c r="ELL104" s="284"/>
      <c r="ELM104" s="284"/>
      <c r="ELN104" s="284"/>
      <c r="ELO104" s="284"/>
      <c r="ELP104" s="284"/>
      <c r="ELQ104" s="284"/>
      <c r="ELR104" s="284"/>
      <c r="ELS104" s="284"/>
      <c r="ELT104" s="284"/>
      <c r="ELU104" s="284"/>
      <c r="ELV104" s="284"/>
      <c r="ELW104" s="284"/>
      <c r="ELX104" s="284"/>
      <c r="ELY104" s="284"/>
      <c r="ELZ104" s="284"/>
      <c r="EMA104" s="284"/>
      <c r="EMB104" s="284"/>
      <c r="EMC104" s="284"/>
      <c r="EMD104" s="284"/>
      <c r="EME104" s="284"/>
      <c r="EMF104" s="284"/>
      <c r="EMG104" s="284"/>
      <c r="EMH104" s="284"/>
      <c r="EMI104" s="284"/>
      <c r="EMJ104" s="284"/>
      <c r="EMK104" s="284"/>
      <c r="EML104" s="284"/>
      <c r="EMM104" s="284"/>
      <c r="EMN104" s="284"/>
      <c r="EMO104" s="284"/>
      <c r="EMP104" s="284"/>
      <c r="EMQ104" s="284"/>
      <c r="EMR104" s="284"/>
      <c r="EMS104" s="284"/>
      <c r="EMT104" s="284"/>
      <c r="EMU104" s="284"/>
      <c r="EMV104" s="284"/>
      <c r="EMW104" s="284"/>
      <c r="EMX104" s="284"/>
      <c r="EMY104" s="284"/>
      <c r="EMZ104" s="284"/>
      <c r="ENA104" s="284"/>
      <c r="ENB104" s="284"/>
      <c r="ENC104" s="284"/>
      <c r="END104" s="284"/>
      <c r="ENE104" s="284"/>
      <c r="ENF104" s="284"/>
      <c r="ENG104" s="284"/>
      <c r="ENH104" s="284"/>
      <c r="ENI104" s="284"/>
      <c r="ENJ104" s="284"/>
      <c r="ENK104" s="284"/>
      <c r="ENL104" s="284"/>
      <c r="ENM104" s="284"/>
      <c r="ENN104" s="284"/>
      <c r="ENO104" s="284"/>
      <c r="ENP104" s="284"/>
      <c r="ENQ104" s="284"/>
      <c r="ENR104" s="284"/>
      <c r="ENS104" s="284"/>
      <c r="ENT104" s="284"/>
      <c r="ENU104" s="284"/>
      <c r="ENV104" s="284"/>
      <c r="ENW104" s="284"/>
      <c r="ENX104" s="284"/>
      <c r="ENY104" s="284"/>
      <c r="ENZ104" s="284"/>
      <c r="EOA104" s="284"/>
      <c r="EOB104" s="284"/>
      <c r="EOC104" s="284"/>
      <c r="EOD104" s="284"/>
      <c r="EOE104" s="284"/>
      <c r="EOF104" s="284"/>
      <c r="EOG104" s="284"/>
      <c r="EOH104" s="284"/>
      <c r="EOI104" s="284"/>
      <c r="EOJ104" s="284"/>
      <c r="EOK104" s="284"/>
      <c r="EOL104" s="284"/>
      <c r="EOM104" s="284"/>
      <c r="EON104" s="284"/>
      <c r="EOO104" s="284"/>
      <c r="EOP104" s="284"/>
      <c r="EOQ104" s="284"/>
      <c r="EOR104" s="284"/>
      <c r="EOS104" s="284"/>
      <c r="EOT104" s="284"/>
      <c r="EOU104" s="284"/>
      <c r="EOV104" s="284"/>
      <c r="EOW104" s="284"/>
      <c r="EOX104" s="284"/>
      <c r="EOY104" s="284"/>
      <c r="EOZ104" s="284"/>
      <c r="EPA104" s="284"/>
      <c r="EPB104" s="284"/>
      <c r="EPC104" s="284"/>
      <c r="EPD104" s="284"/>
      <c r="EPE104" s="284"/>
      <c r="EPF104" s="284"/>
      <c r="EPG104" s="284"/>
      <c r="EPH104" s="284"/>
      <c r="EPI104" s="284"/>
      <c r="EPJ104" s="284"/>
      <c r="EPK104" s="284"/>
      <c r="EPL104" s="284"/>
      <c r="EPM104" s="284"/>
      <c r="EPN104" s="284"/>
      <c r="EPO104" s="284"/>
      <c r="EPP104" s="284"/>
      <c r="EPQ104" s="284"/>
      <c r="EPR104" s="284"/>
      <c r="EPS104" s="284"/>
      <c r="EPT104" s="284"/>
      <c r="EPU104" s="284"/>
      <c r="EPV104" s="284"/>
      <c r="EPW104" s="284"/>
      <c r="EPX104" s="284"/>
      <c r="EPY104" s="284"/>
      <c r="EPZ104" s="284"/>
      <c r="EQA104" s="284"/>
      <c r="EQB104" s="284"/>
      <c r="EQC104" s="284"/>
      <c r="EQD104" s="284"/>
      <c r="EQE104" s="284"/>
      <c r="EQF104" s="284"/>
      <c r="EQG104" s="284"/>
      <c r="EQH104" s="284"/>
      <c r="EQI104" s="284"/>
      <c r="EQJ104" s="284"/>
      <c r="EQK104" s="284"/>
      <c r="EQL104" s="284"/>
      <c r="EQM104" s="284"/>
      <c r="EQN104" s="284"/>
      <c r="EQO104" s="284"/>
      <c r="EQP104" s="284"/>
      <c r="EQQ104" s="284"/>
      <c r="EQR104" s="284"/>
      <c r="EQS104" s="284"/>
      <c r="EQT104" s="284"/>
      <c r="EQU104" s="284"/>
      <c r="EQV104" s="284"/>
      <c r="EQW104" s="284"/>
      <c r="EQX104" s="284"/>
      <c r="EQY104" s="284"/>
      <c r="EQZ104" s="284"/>
      <c r="ERA104" s="284"/>
      <c r="ERB104" s="284"/>
      <c r="ERC104" s="284"/>
      <c r="ERD104" s="284"/>
      <c r="ERE104" s="284"/>
      <c r="ERF104" s="284"/>
      <c r="ERG104" s="284"/>
      <c r="ERH104" s="284"/>
      <c r="ERI104" s="284"/>
      <c r="ERJ104" s="284"/>
      <c r="ERK104" s="284"/>
      <c r="ERL104" s="284"/>
      <c r="ERM104" s="284"/>
      <c r="ERN104" s="284"/>
      <c r="ERO104" s="284"/>
      <c r="ERP104" s="284"/>
      <c r="ERQ104" s="284"/>
      <c r="ERR104" s="284"/>
      <c r="ERS104" s="284"/>
      <c r="ERT104" s="284"/>
      <c r="ERU104" s="284"/>
      <c r="ERV104" s="284"/>
      <c r="ERW104" s="284"/>
      <c r="ERX104" s="284"/>
      <c r="ERY104" s="284"/>
      <c r="ERZ104" s="284"/>
      <c r="ESA104" s="284"/>
      <c r="ESB104" s="284"/>
      <c r="ESC104" s="284"/>
      <c r="ESD104" s="284"/>
      <c r="ESE104" s="284"/>
      <c r="ESF104" s="284"/>
      <c r="ESG104" s="284"/>
      <c r="ESH104" s="284"/>
      <c r="ESI104" s="284"/>
      <c r="ESJ104" s="284"/>
      <c r="ESK104" s="284"/>
      <c r="ESL104" s="284"/>
      <c r="ESM104" s="284"/>
      <c r="ESN104" s="284"/>
      <c r="ESO104" s="284"/>
      <c r="ESP104" s="284"/>
      <c r="ESQ104" s="284"/>
      <c r="ESR104" s="284"/>
      <c r="ESS104" s="284"/>
      <c r="EST104" s="284"/>
      <c r="ESU104" s="284"/>
      <c r="ESV104" s="284"/>
      <c r="ESW104" s="284"/>
      <c r="ESX104" s="284"/>
      <c r="ESY104" s="284"/>
      <c r="ESZ104" s="284"/>
      <c r="ETA104" s="284"/>
      <c r="ETB104" s="284"/>
      <c r="ETC104" s="284"/>
      <c r="ETD104" s="284"/>
      <c r="ETE104" s="284"/>
      <c r="ETF104" s="284"/>
      <c r="ETG104" s="284"/>
      <c r="ETH104" s="284"/>
      <c r="ETI104" s="284"/>
      <c r="ETJ104" s="284"/>
      <c r="ETK104" s="284"/>
      <c r="ETL104" s="284"/>
      <c r="ETM104" s="284"/>
      <c r="ETN104" s="284"/>
      <c r="ETO104" s="284"/>
      <c r="ETP104" s="284"/>
      <c r="ETQ104" s="284"/>
      <c r="ETR104" s="284"/>
      <c r="ETS104" s="284"/>
      <c r="ETT104" s="284"/>
      <c r="ETU104" s="284"/>
      <c r="ETV104" s="284"/>
      <c r="ETW104" s="284"/>
      <c r="ETX104" s="284"/>
      <c r="ETY104" s="284"/>
      <c r="ETZ104" s="284"/>
      <c r="EUA104" s="284"/>
      <c r="EUB104" s="284"/>
      <c r="EUC104" s="284"/>
      <c r="EUD104" s="284"/>
      <c r="EUE104" s="284"/>
      <c r="EUF104" s="284"/>
      <c r="EUG104" s="284"/>
      <c r="EUH104" s="284"/>
      <c r="EUI104" s="284"/>
      <c r="EUJ104" s="284"/>
      <c r="EUK104" s="284"/>
      <c r="EUL104" s="284"/>
      <c r="EUM104" s="284"/>
      <c r="EUN104" s="284"/>
      <c r="EUO104" s="284"/>
      <c r="EUP104" s="284"/>
      <c r="EUQ104" s="284"/>
      <c r="EUR104" s="284"/>
      <c r="EUS104" s="284"/>
      <c r="EUT104" s="284"/>
      <c r="EUU104" s="284"/>
      <c r="EUV104" s="284"/>
      <c r="EUW104" s="284"/>
      <c r="EUX104" s="284"/>
      <c r="EUY104" s="284"/>
      <c r="EUZ104" s="284"/>
      <c r="EVA104" s="284"/>
      <c r="EVB104" s="284"/>
      <c r="EVC104" s="284"/>
      <c r="EVD104" s="284"/>
      <c r="EVE104" s="284"/>
      <c r="EVF104" s="284"/>
      <c r="EVG104" s="284"/>
      <c r="EVH104" s="284"/>
      <c r="EVI104" s="284"/>
      <c r="EVJ104" s="284"/>
      <c r="EVK104" s="284"/>
      <c r="EVL104" s="284"/>
      <c r="EVM104" s="284"/>
      <c r="EVN104" s="284"/>
      <c r="EVO104" s="284"/>
      <c r="EVP104" s="284"/>
      <c r="EVQ104" s="284"/>
      <c r="EVR104" s="284"/>
      <c r="EVS104" s="284"/>
      <c r="EVT104" s="284"/>
      <c r="EVU104" s="284"/>
      <c r="EVV104" s="284"/>
      <c r="EVW104" s="284"/>
      <c r="EVX104" s="284"/>
      <c r="EVY104" s="284"/>
      <c r="EVZ104" s="284"/>
      <c r="EWA104" s="284"/>
      <c r="EWB104" s="284"/>
      <c r="EWC104" s="284"/>
      <c r="EWD104" s="284"/>
      <c r="EWE104" s="284"/>
      <c r="EWF104" s="284"/>
      <c r="EWG104" s="284"/>
      <c r="EWH104" s="284"/>
      <c r="EWI104" s="284"/>
      <c r="EWJ104" s="284"/>
      <c r="EWK104" s="284"/>
      <c r="EWL104" s="284"/>
      <c r="EWM104" s="284"/>
      <c r="EWN104" s="284"/>
      <c r="EWO104" s="284"/>
      <c r="EWP104" s="284"/>
      <c r="EWQ104" s="284"/>
      <c r="EWR104" s="284"/>
      <c r="EWS104" s="284"/>
      <c r="EWT104" s="284"/>
      <c r="EWU104" s="284"/>
      <c r="EWV104" s="284"/>
      <c r="EWW104" s="284"/>
      <c r="EWX104" s="284"/>
      <c r="EWY104" s="284"/>
      <c r="EWZ104" s="284"/>
      <c r="EXA104" s="284"/>
      <c r="EXB104" s="284"/>
      <c r="EXC104" s="284"/>
      <c r="EXD104" s="284"/>
      <c r="EXE104" s="284"/>
      <c r="EXF104" s="284"/>
      <c r="EXG104" s="284"/>
      <c r="EXH104" s="284"/>
      <c r="EXI104" s="284"/>
      <c r="EXJ104" s="284"/>
      <c r="EXK104" s="284"/>
      <c r="EXL104" s="284"/>
      <c r="EXM104" s="284"/>
      <c r="EXN104" s="284"/>
      <c r="EXO104" s="284"/>
      <c r="EXP104" s="284"/>
      <c r="EXQ104" s="284"/>
      <c r="EXR104" s="284"/>
      <c r="EXS104" s="284"/>
      <c r="EXT104" s="284"/>
      <c r="EXU104" s="284"/>
      <c r="EXV104" s="284"/>
      <c r="EXW104" s="284"/>
      <c r="EXX104" s="284"/>
      <c r="EXY104" s="284"/>
      <c r="EXZ104" s="284"/>
      <c r="EYA104" s="284"/>
      <c r="EYB104" s="284"/>
      <c r="EYC104" s="284"/>
      <c r="EYD104" s="284"/>
      <c r="EYE104" s="284"/>
      <c r="EYF104" s="284"/>
      <c r="EYG104" s="284"/>
      <c r="EYH104" s="284"/>
      <c r="EYI104" s="284"/>
      <c r="EYJ104" s="284"/>
      <c r="EYK104" s="284"/>
      <c r="EYL104" s="284"/>
      <c r="EYM104" s="284"/>
      <c r="EYN104" s="284"/>
      <c r="EYO104" s="284"/>
      <c r="EYP104" s="284"/>
      <c r="EYQ104" s="284"/>
      <c r="EYR104" s="284"/>
      <c r="EYS104" s="284"/>
      <c r="EYT104" s="284"/>
      <c r="EYU104" s="284"/>
      <c r="EYV104" s="284"/>
      <c r="EYW104" s="284"/>
      <c r="EYX104" s="284"/>
      <c r="EYY104" s="284"/>
      <c r="EYZ104" s="284"/>
      <c r="EZA104" s="284"/>
      <c r="EZB104" s="284"/>
      <c r="EZC104" s="284"/>
      <c r="EZD104" s="284"/>
      <c r="EZE104" s="284"/>
      <c r="EZF104" s="284"/>
      <c r="EZG104" s="284"/>
      <c r="EZH104" s="284"/>
      <c r="EZI104" s="284"/>
      <c r="EZJ104" s="284"/>
      <c r="EZK104" s="284"/>
      <c r="EZL104" s="284"/>
      <c r="EZM104" s="284"/>
      <c r="EZN104" s="284"/>
      <c r="EZO104" s="284"/>
      <c r="EZP104" s="284"/>
      <c r="EZQ104" s="284"/>
      <c r="EZR104" s="284"/>
      <c r="EZS104" s="284"/>
      <c r="EZT104" s="284"/>
      <c r="EZU104" s="284"/>
      <c r="EZV104" s="284"/>
      <c r="EZW104" s="284"/>
      <c r="EZX104" s="284"/>
      <c r="EZY104" s="284"/>
      <c r="EZZ104" s="284"/>
      <c r="FAA104" s="284"/>
      <c r="FAB104" s="284"/>
      <c r="FAC104" s="284"/>
      <c r="FAD104" s="284"/>
      <c r="FAE104" s="284"/>
      <c r="FAF104" s="284"/>
      <c r="FAG104" s="284"/>
      <c r="FAH104" s="284"/>
      <c r="FAI104" s="284"/>
      <c r="FAJ104" s="284"/>
      <c r="FAK104" s="284"/>
      <c r="FAL104" s="284"/>
      <c r="FAM104" s="284"/>
      <c r="FAN104" s="284"/>
      <c r="FAO104" s="284"/>
      <c r="FAP104" s="284"/>
      <c r="FAQ104" s="284"/>
      <c r="FAR104" s="284"/>
      <c r="FAS104" s="284"/>
      <c r="FAT104" s="284"/>
      <c r="FAU104" s="284"/>
      <c r="FAV104" s="284"/>
      <c r="FAW104" s="284"/>
      <c r="FAX104" s="284"/>
      <c r="FAY104" s="284"/>
      <c r="FAZ104" s="284"/>
      <c r="FBA104" s="284"/>
      <c r="FBB104" s="284"/>
      <c r="FBC104" s="284"/>
      <c r="FBD104" s="284"/>
      <c r="FBE104" s="284"/>
      <c r="FBF104" s="284"/>
      <c r="FBG104" s="284"/>
      <c r="FBH104" s="284"/>
      <c r="FBI104" s="284"/>
      <c r="FBJ104" s="284"/>
      <c r="FBK104" s="284"/>
      <c r="FBL104" s="284"/>
      <c r="FBM104" s="284"/>
      <c r="FBN104" s="284"/>
      <c r="FBO104" s="284"/>
      <c r="FBP104" s="284"/>
      <c r="FBQ104" s="284"/>
      <c r="FBR104" s="284"/>
      <c r="FBS104" s="284"/>
      <c r="FBT104" s="284"/>
      <c r="FBU104" s="284"/>
      <c r="FBV104" s="284"/>
      <c r="FBW104" s="284"/>
      <c r="FBX104" s="284"/>
      <c r="FBY104" s="284"/>
      <c r="FBZ104" s="284"/>
      <c r="FCA104" s="284"/>
      <c r="FCB104" s="284"/>
      <c r="FCC104" s="284"/>
      <c r="FCD104" s="284"/>
      <c r="FCE104" s="284"/>
      <c r="FCF104" s="284"/>
      <c r="FCG104" s="284"/>
      <c r="FCH104" s="284"/>
      <c r="FCI104" s="284"/>
      <c r="FCJ104" s="284"/>
      <c r="FCK104" s="284"/>
      <c r="FCL104" s="284"/>
      <c r="FCM104" s="284"/>
      <c r="FCN104" s="284"/>
      <c r="FCO104" s="284"/>
      <c r="FCP104" s="284"/>
      <c r="FCQ104" s="284"/>
      <c r="FCR104" s="284"/>
      <c r="FCS104" s="284"/>
      <c r="FCT104" s="284"/>
      <c r="FCU104" s="284"/>
      <c r="FCV104" s="284"/>
      <c r="FCW104" s="284"/>
      <c r="FCX104" s="284"/>
      <c r="FCY104" s="284"/>
      <c r="FCZ104" s="284"/>
      <c r="FDA104" s="284"/>
      <c r="FDB104" s="284"/>
      <c r="FDC104" s="284"/>
      <c r="FDD104" s="284"/>
      <c r="FDE104" s="284"/>
      <c r="FDF104" s="284"/>
      <c r="FDG104" s="284"/>
      <c r="FDH104" s="284"/>
      <c r="FDI104" s="284"/>
      <c r="FDJ104" s="284"/>
      <c r="FDK104" s="284"/>
      <c r="FDL104" s="284"/>
      <c r="FDM104" s="284"/>
      <c r="FDN104" s="284"/>
      <c r="FDO104" s="284"/>
      <c r="FDP104" s="284"/>
      <c r="FDQ104" s="284"/>
      <c r="FDR104" s="284"/>
      <c r="FDS104" s="284"/>
      <c r="FDT104" s="284"/>
      <c r="FDU104" s="284"/>
      <c r="FDV104" s="284"/>
      <c r="FDW104" s="284"/>
      <c r="FDX104" s="284"/>
      <c r="FDY104" s="284"/>
      <c r="FDZ104" s="284"/>
      <c r="FEA104" s="284"/>
      <c r="FEB104" s="284"/>
      <c r="FEC104" s="284"/>
      <c r="FED104" s="284"/>
      <c r="FEE104" s="284"/>
      <c r="FEF104" s="284"/>
      <c r="FEG104" s="284"/>
      <c r="FEH104" s="284"/>
      <c r="FEI104" s="284"/>
      <c r="FEJ104" s="284"/>
      <c r="FEK104" s="284"/>
      <c r="FEL104" s="284"/>
      <c r="FEM104" s="284"/>
      <c r="FEN104" s="284"/>
      <c r="FEO104" s="284"/>
      <c r="FEP104" s="284"/>
      <c r="FEQ104" s="284"/>
      <c r="FER104" s="284"/>
      <c r="FES104" s="284"/>
      <c r="FET104" s="284"/>
      <c r="FEU104" s="284"/>
      <c r="FEV104" s="284"/>
      <c r="FEW104" s="284"/>
      <c r="FEX104" s="284"/>
      <c r="FEY104" s="284"/>
      <c r="FEZ104" s="284"/>
      <c r="FFA104" s="284"/>
      <c r="FFB104" s="284"/>
      <c r="FFC104" s="284"/>
      <c r="FFD104" s="284"/>
      <c r="FFE104" s="284"/>
      <c r="FFF104" s="284"/>
      <c r="FFG104" s="284"/>
      <c r="FFH104" s="284"/>
      <c r="FFI104" s="284"/>
      <c r="FFJ104" s="284"/>
      <c r="FFK104" s="284"/>
      <c r="FFL104" s="284"/>
      <c r="FFM104" s="284"/>
      <c r="FFN104" s="284"/>
      <c r="FFO104" s="284"/>
      <c r="FFP104" s="284"/>
      <c r="FFQ104" s="284"/>
      <c r="FFR104" s="284"/>
      <c r="FFS104" s="284"/>
      <c r="FFT104" s="284"/>
      <c r="FFU104" s="284"/>
      <c r="FFV104" s="284"/>
      <c r="FFW104" s="284"/>
      <c r="FFX104" s="284"/>
      <c r="FFY104" s="284"/>
      <c r="FFZ104" s="284"/>
      <c r="FGA104" s="284"/>
      <c r="FGB104" s="284"/>
      <c r="FGC104" s="284"/>
      <c r="FGD104" s="284"/>
      <c r="FGE104" s="284"/>
      <c r="FGF104" s="284"/>
      <c r="FGG104" s="284"/>
      <c r="FGH104" s="284"/>
      <c r="FGI104" s="284"/>
      <c r="FGJ104" s="284"/>
      <c r="FGK104" s="284"/>
      <c r="FGL104" s="284"/>
      <c r="FGM104" s="284"/>
      <c r="FGN104" s="284"/>
      <c r="FGO104" s="284"/>
      <c r="FGP104" s="284"/>
      <c r="FGQ104" s="284"/>
      <c r="FGR104" s="284"/>
      <c r="FGS104" s="284"/>
      <c r="FGT104" s="284"/>
      <c r="FGU104" s="284"/>
      <c r="FGV104" s="284"/>
      <c r="FGW104" s="284"/>
      <c r="FGX104" s="284"/>
      <c r="FGY104" s="284"/>
      <c r="FGZ104" s="284"/>
      <c r="FHA104" s="284"/>
      <c r="FHB104" s="284"/>
      <c r="FHC104" s="284"/>
      <c r="FHD104" s="284"/>
      <c r="FHE104" s="284"/>
      <c r="FHF104" s="284"/>
      <c r="FHG104" s="284"/>
      <c r="FHH104" s="284"/>
      <c r="FHI104" s="284"/>
      <c r="FHJ104" s="284"/>
      <c r="FHK104" s="284"/>
      <c r="FHL104" s="284"/>
      <c r="FHM104" s="284"/>
      <c r="FHN104" s="284"/>
      <c r="FHO104" s="284"/>
      <c r="FHP104" s="284"/>
      <c r="FHQ104" s="284"/>
      <c r="FHR104" s="284"/>
      <c r="FHS104" s="284"/>
      <c r="FHT104" s="284"/>
      <c r="FHU104" s="284"/>
      <c r="FHV104" s="284"/>
      <c r="FHW104" s="284"/>
      <c r="FHX104" s="284"/>
      <c r="FHY104" s="284"/>
      <c r="FHZ104" s="284"/>
      <c r="FIA104" s="284"/>
      <c r="FIB104" s="284"/>
      <c r="FIC104" s="284"/>
      <c r="FID104" s="284"/>
      <c r="FIE104" s="284"/>
      <c r="FIF104" s="284"/>
      <c r="FIG104" s="284"/>
      <c r="FIH104" s="284"/>
      <c r="FII104" s="284"/>
      <c r="FIJ104" s="284"/>
      <c r="FIK104" s="284"/>
      <c r="FIL104" s="284"/>
      <c r="FIM104" s="284"/>
      <c r="FIN104" s="284"/>
      <c r="FIO104" s="284"/>
      <c r="FIP104" s="284"/>
      <c r="FIQ104" s="284"/>
      <c r="FIR104" s="284"/>
      <c r="FIS104" s="284"/>
      <c r="FIT104" s="284"/>
      <c r="FIU104" s="284"/>
      <c r="FIV104" s="284"/>
      <c r="FIW104" s="284"/>
      <c r="FIX104" s="284"/>
      <c r="FIY104" s="284"/>
      <c r="FIZ104" s="284"/>
      <c r="FJA104" s="284"/>
      <c r="FJB104" s="284"/>
      <c r="FJC104" s="284"/>
      <c r="FJD104" s="284"/>
      <c r="FJE104" s="284"/>
      <c r="FJF104" s="284"/>
      <c r="FJG104" s="284"/>
      <c r="FJH104" s="284"/>
      <c r="FJI104" s="284"/>
      <c r="FJJ104" s="284"/>
      <c r="FJK104" s="284"/>
      <c r="FJL104" s="284"/>
      <c r="FJM104" s="284"/>
      <c r="FJN104" s="284"/>
      <c r="FJO104" s="284"/>
      <c r="FJP104" s="284"/>
      <c r="FJQ104" s="284"/>
      <c r="FJR104" s="284"/>
      <c r="FJS104" s="284"/>
      <c r="FJT104" s="284"/>
      <c r="FJU104" s="284"/>
      <c r="FJV104" s="284"/>
      <c r="FJW104" s="284"/>
      <c r="FJX104" s="284"/>
      <c r="FJY104" s="284"/>
      <c r="FJZ104" s="284"/>
      <c r="FKA104" s="284"/>
      <c r="FKB104" s="284"/>
      <c r="FKC104" s="284"/>
      <c r="FKD104" s="284"/>
      <c r="FKE104" s="284"/>
      <c r="FKF104" s="284"/>
      <c r="FKG104" s="284"/>
      <c r="FKH104" s="284"/>
      <c r="FKI104" s="284"/>
      <c r="FKJ104" s="284"/>
      <c r="FKK104" s="284"/>
      <c r="FKL104" s="284"/>
      <c r="FKM104" s="284"/>
      <c r="FKN104" s="284"/>
      <c r="FKO104" s="284"/>
      <c r="FKP104" s="284"/>
      <c r="FKQ104" s="284"/>
      <c r="FKR104" s="284"/>
      <c r="FKS104" s="284"/>
      <c r="FKT104" s="284"/>
      <c r="FKU104" s="284"/>
      <c r="FKV104" s="284"/>
      <c r="FKW104" s="284"/>
      <c r="FKX104" s="284"/>
      <c r="FKY104" s="284"/>
      <c r="FKZ104" s="284"/>
      <c r="FLA104" s="284"/>
      <c r="FLB104" s="284"/>
      <c r="FLC104" s="284"/>
      <c r="FLD104" s="284"/>
      <c r="FLE104" s="284"/>
      <c r="FLF104" s="284"/>
      <c r="FLG104" s="284"/>
      <c r="FLH104" s="284"/>
      <c r="FLI104" s="284"/>
      <c r="FLJ104" s="284"/>
      <c r="FLK104" s="284"/>
      <c r="FLL104" s="284"/>
      <c r="FLM104" s="284"/>
      <c r="FLN104" s="284"/>
      <c r="FLO104" s="284"/>
      <c r="FLP104" s="284"/>
      <c r="FLQ104" s="284"/>
      <c r="FLR104" s="284"/>
      <c r="FLS104" s="284"/>
      <c r="FLT104" s="284"/>
      <c r="FLU104" s="284"/>
      <c r="FLV104" s="284"/>
      <c r="FLW104" s="284"/>
      <c r="FLX104" s="284"/>
      <c r="FLY104" s="284"/>
      <c r="FLZ104" s="284"/>
      <c r="FMA104" s="284"/>
      <c r="FMB104" s="284"/>
      <c r="FMC104" s="284"/>
      <c r="FMD104" s="284"/>
      <c r="FME104" s="284"/>
      <c r="FMF104" s="284"/>
      <c r="FMG104" s="284"/>
      <c r="FMH104" s="284"/>
      <c r="FMI104" s="284"/>
      <c r="FMJ104" s="284"/>
      <c r="FMK104" s="284"/>
      <c r="FML104" s="284"/>
      <c r="FMM104" s="284"/>
      <c r="FMN104" s="284"/>
      <c r="FMO104" s="284"/>
      <c r="FMP104" s="284"/>
      <c r="FMQ104" s="284"/>
      <c r="FMR104" s="284"/>
      <c r="FMS104" s="284"/>
      <c r="FMT104" s="284"/>
      <c r="FMU104" s="284"/>
      <c r="FMV104" s="284"/>
      <c r="FMW104" s="284"/>
      <c r="FMX104" s="284"/>
      <c r="FMY104" s="284"/>
      <c r="FMZ104" s="284"/>
      <c r="FNA104" s="284"/>
      <c r="FNB104" s="284"/>
      <c r="FNC104" s="284"/>
      <c r="FND104" s="284"/>
      <c r="FNE104" s="284"/>
      <c r="FNF104" s="284"/>
      <c r="FNG104" s="284"/>
      <c r="FNH104" s="284"/>
      <c r="FNI104" s="284"/>
      <c r="FNJ104" s="284"/>
      <c r="FNK104" s="284"/>
      <c r="FNL104" s="284"/>
      <c r="FNM104" s="284"/>
      <c r="FNN104" s="284"/>
      <c r="FNO104" s="284"/>
      <c r="FNP104" s="284"/>
      <c r="FNQ104" s="284"/>
      <c r="FNR104" s="284"/>
      <c r="FNS104" s="284"/>
      <c r="FNT104" s="284"/>
      <c r="FNU104" s="284"/>
      <c r="FNV104" s="284"/>
      <c r="FNW104" s="284"/>
      <c r="FNX104" s="284"/>
      <c r="FNY104" s="284"/>
      <c r="FNZ104" s="284"/>
      <c r="FOA104" s="284"/>
      <c r="FOB104" s="284"/>
      <c r="FOC104" s="284"/>
      <c r="FOD104" s="284"/>
      <c r="FOE104" s="284"/>
      <c r="FOF104" s="284"/>
      <c r="FOG104" s="284"/>
      <c r="FOH104" s="284"/>
      <c r="FOI104" s="284"/>
      <c r="FOJ104" s="284"/>
      <c r="FOK104" s="284"/>
      <c r="FOL104" s="284"/>
      <c r="FOM104" s="284"/>
      <c r="FON104" s="284"/>
      <c r="FOO104" s="284"/>
      <c r="FOP104" s="284"/>
      <c r="FOQ104" s="284"/>
      <c r="FOR104" s="284"/>
      <c r="FOS104" s="284"/>
      <c r="FOT104" s="284"/>
      <c r="FOU104" s="284"/>
      <c r="FOV104" s="284"/>
      <c r="FOW104" s="284"/>
      <c r="FOX104" s="284"/>
      <c r="FOY104" s="284"/>
      <c r="FOZ104" s="284"/>
      <c r="FPA104" s="284"/>
      <c r="FPB104" s="284"/>
      <c r="FPC104" s="284"/>
      <c r="FPD104" s="284"/>
      <c r="FPE104" s="284"/>
      <c r="FPF104" s="284"/>
      <c r="FPG104" s="284"/>
      <c r="FPH104" s="284"/>
      <c r="FPI104" s="284"/>
      <c r="FPJ104" s="284"/>
      <c r="FPK104" s="284"/>
      <c r="FPL104" s="284"/>
      <c r="FPM104" s="284"/>
      <c r="FPN104" s="284"/>
      <c r="FPO104" s="284"/>
      <c r="FPP104" s="284"/>
      <c r="FPQ104" s="284"/>
      <c r="FPR104" s="284"/>
      <c r="FPS104" s="284"/>
      <c r="FPT104" s="284"/>
      <c r="FPU104" s="284"/>
      <c r="FPV104" s="284"/>
      <c r="FPW104" s="284"/>
      <c r="FPX104" s="284"/>
      <c r="FPY104" s="284"/>
      <c r="FPZ104" s="284"/>
      <c r="FQA104" s="284"/>
      <c r="FQB104" s="284"/>
      <c r="FQC104" s="284"/>
      <c r="FQD104" s="284"/>
      <c r="FQE104" s="284"/>
      <c r="FQF104" s="284"/>
      <c r="FQG104" s="284"/>
      <c r="FQH104" s="284"/>
      <c r="FQI104" s="284"/>
      <c r="FQJ104" s="284"/>
      <c r="FQK104" s="284"/>
      <c r="FQL104" s="284"/>
      <c r="FQM104" s="284"/>
      <c r="FQN104" s="284"/>
      <c r="FQO104" s="284"/>
      <c r="FQP104" s="284"/>
      <c r="FQQ104" s="284"/>
      <c r="FQR104" s="284"/>
      <c r="FQS104" s="284"/>
      <c r="FQT104" s="284"/>
      <c r="FQU104" s="284"/>
      <c r="FQV104" s="284"/>
      <c r="FQW104" s="284"/>
      <c r="FQX104" s="284"/>
      <c r="FQY104" s="284"/>
      <c r="FQZ104" s="284"/>
      <c r="FRA104" s="284"/>
      <c r="FRB104" s="284"/>
      <c r="FRC104" s="284"/>
      <c r="FRD104" s="284"/>
      <c r="FRE104" s="284"/>
      <c r="FRF104" s="284"/>
      <c r="FRG104" s="284"/>
      <c r="FRH104" s="284"/>
      <c r="FRI104" s="284"/>
      <c r="FRJ104" s="284"/>
      <c r="FRK104" s="284"/>
      <c r="FRL104" s="284"/>
      <c r="FRM104" s="284"/>
      <c r="FRN104" s="284"/>
      <c r="FRO104" s="284"/>
      <c r="FRP104" s="284"/>
      <c r="FRQ104" s="284"/>
      <c r="FRR104" s="284"/>
      <c r="FRS104" s="284"/>
      <c r="FRT104" s="284"/>
      <c r="FRU104" s="284"/>
      <c r="FRV104" s="284"/>
      <c r="FRW104" s="284"/>
      <c r="FRX104" s="284"/>
      <c r="FRY104" s="284"/>
      <c r="FRZ104" s="284"/>
      <c r="FSA104" s="284"/>
      <c r="FSB104" s="284"/>
      <c r="FSC104" s="284"/>
      <c r="FSD104" s="284"/>
      <c r="FSE104" s="284"/>
      <c r="FSF104" s="284"/>
      <c r="FSG104" s="284"/>
      <c r="FSH104" s="284"/>
      <c r="FSI104" s="284"/>
      <c r="FSJ104" s="284"/>
      <c r="FSK104" s="284"/>
      <c r="FSL104" s="284"/>
      <c r="FSM104" s="284"/>
      <c r="FSN104" s="284"/>
      <c r="FSO104" s="284"/>
      <c r="FSP104" s="284"/>
      <c r="FSQ104" s="284"/>
      <c r="FSR104" s="284"/>
      <c r="FSS104" s="284"/>
      <c r="FST104" s="284"/>
      <c r="FSU104" s="284"/>
      <c r="FSV104" s="284"/>
      <c r="FSW104" s="284"/>
      <c r="FSX104" s="284"/>
      <c r="FSY104" s="284"/>
      <c r="FSZ104" s="284"/>
      <c r="FTA104" s="284"/>
      <c r="FTB104" s="284"/>
      <c r="FTC104" s="284"/>
      <c r="FTD104" s="284"/>
      <c r="FTE104" s="284"/>
      <c r="FTF104" s="284"/>
      <c r="FTG104" s="284"/>
      <c r="FTH104" s="284"/>
      <c r="FTI104" s="284"/>
      <c r="FTJ104" s="284"/>
      <c r="FTK104" s="284"/>
      <c r="FTL104" s="284"/>
      <c r="FTM104" s="284"/>
      <c r="FTN104" s="284"/>
      <c r="FTO104" s="284"/>
      <c r="FTP104" s="284"/>
      <c r="FTQ104" s="284"/>
      <c r="FTR104" s="284"/>
      <c r="FTS104" s="284"/>
      <c r="FTT104" s="284"/>
      <c r="FTU104" s="284"/>
      <c r="FTV104" s="284"/>
      <c r="FTW104" s="284"/>
      <c r="FTX104" s="284"/>
      <c r="FTY104" s="284"/>
      <c r="FTZ104" s="284"/>
      <c r="FUA104" s="284"/>
      <c r="FUB104" s="284"/>
      <c r="FUC104" s="284"/>
      <c r="FUD104" s="284"/>
      <c r="FUE104" s="284"/>
      <c r="FUF104" s="284"/>
      <c r="FUG104" s="284"/>
      <c r="FUH104" s="284"/>
      <c r="FUI104" s="284"/>
      <c r="FUJ104" s="284"/>
      <c r="FUK104" s="284"/>
      <c r="FUL104" s="284"/>
      <c r="FUM104" s="284"/>
      <c r="FUN104" s="284"/>
      <c r="FUO104" s="284"/>
      <c r="FUP104" s="284"/>
      <c r="FUQ104" s="284"/>
      <c r="FUR104" s="284"/>
      <c r="FUS104" s="284"/>
      <c r="FUT104" s="284"/>
      <c r="FUU104" s="284"/>
      <c r="FUV104" s="284"/>
      <c r="FUW104" s="284"/>
      <c r="FUX104" s="284"/>
      <c r="FUY104" s="284"/>
      <c r="FUZ104" s="284"/>
      <c r="FVA104" s="284"/>
      <c r="FVB104" s="284"/>
      <c r="FVC104" s="284"/>
      <c r="FVD104" s="284"/>
      <c r="FVE104" s="284"/>
      <c r="FVF104" s="284"/>
      <c r="FVG104" s="284"/>
      <c r="FVH104" s="284"/>
      <c r="FVI104" s="284"/>
      <c r="FVJ104" s="284"/>
      <c r="FVK104" s="284"/>
      <c r="FVL104" s="284"/>
      <c r="FVM104" s="284"/>
      <c r="FVN104" s="284"/>
      <c r="FVO104" s="284"/>
      <c r="FVP104" s="284"/>
      <c r="FVQ104" s="284"/>
      <c r="FVR104" s="284"/>
      <c r="FVS104" s="284"/>
      <c r="FVT104" s="284"/>
      <c r="FVU104" s="284"/>
      <c r="FVV104" s="284"/>
      <c r="FVW104" s="284"/>
      <c r="FVX104" s="284"/>
      <c r="FVY104" s="284"/>
      <c r="FVZ104" s="284"/>
      <c r="FWA104" s="284"/>
      <c r="FWB104" s="284"/>
      <c r="FWC104" s="284"/>
      <c r="FWD104" s="284"/>
      <c r="FWE104" s="284"/>
      <c r="FWF104" s="284"/>
      <c r="FWG104" s="284"/>
      <c r="FWH104" s="284"/>
      <c r="FWI104" s="284"/>
      <c r="FWJ104" s="284"/>
      <c r="FWK104" s="284"/>
      <c r="FWL104" s="284"/>
      <c r="FWM104" s="284"/>
      <c r="FWN104" s="284"/>
      <c r="FWO104" s="284"/>
      <c r="FWP104" s="284"/>
      <c r="FWQ104" s="284"/>
      <c r="FWR104" s="284"/>
      <c r="FWS104" s="284"/>
      <c r="FWT104" s="284"/>
      <c r="FWU104" s="284"/>
      <c r="FWV104" s="284"/>
      <c r="FWW104" s="284"/>
      <c r="FWX104" s="284"/>
      <c r="FWY104" s="284"/>
      <c r="FWZ104" s="284"/>
      <c r="FXA104" s="284"/>
      <c r="FXB104" s="284"/>
      <c r="FXC104" s="284"/>
      <c r="FXD104" s="284"/>
      <c r="FXE104" s="284"/>
      <c r="FXF104" s="284"/>
      <c r="FXG104" s="284"/>
      <c r="FXH104" s="284"/>
      <c r="FXI104" s="284"/>
      <c r="FXJ104" s="284"/>
      <c r="FXK104" s="284"/>
      <c r="FXL104" s="284"/>
      <c r="FXM104" s="284"/>
      <c r="FXN104" s="284"/>
      <c r="FXO104" s="284"/>
      <c r="FXP104" s="284"/>
      <c r="FXQ104" s="284"/>
      <c r="FXR104" s="284"/>
      <c r="FXS104" s="284"/>
      <c r="FXT104" s="284"/>
      <c r="FXU104" s="284"/>
      <c r="FXV104" s="284"/>
      <c r="FXW104" s="284"/>
      <c r="FXX104" s="284"/>
      <c r="FXY104" s="284"/>
      <c r="FXZ104" s="284"/>
      <c r="FYA104" s="284"/>
      <c r="FYB104" s="284"/>
      <c r="FYC104" s="284"/>
      <c r="FYD104" s="284"/>
      <c r="FYE104" s="284"/>
      <c r="FYF104" s="284"/>
      <c r="FYG104" s="284"/>
      <c r="FYH104" s="284"/>
      <c r="FYI104" s="284"/>
      <c r="FYJ104" s="284"/>
      <c r="FYK104" s="284"/>
      <c r="FYL104" s="284"/>
      <c r="FYM104" s="284"/>
      <c r="FYN104" s="284"/>
      <c r="FYO104" s="284"/>
      <c r="FYP104" s="284"/>
      <c r="FYQ104" s="284"/>
      <c r="FYR104" s="284"/>
      <c r="FYS104" s="284"/>
      <c r="FYT104" s="284"/>
      <c r="FYU104" s="284"/>
      <c r="FYV104" s="284"/>
      <c r="FYW104" s="284"/>
      <c r="FYX104" s="284"/>
      <c r="FYY104" s="284"/>
      <c r="FYZ104" s="284"/>
      <c r="FZA104" s="284"/>
      <c r="FZB104" s="284"/>
      <c r="FZC104" s="284"/>
      <c r="FZD104" s="284"/>
      <c r="FZE104" s="284"/>
      <c r="FZF104" s="284"/>
      <c r="FZG104" s="284"/>
      <c r="FZH104" s="284"/>
      <c r="FZI104" s="284"/>
      <c r="FZJ104" s="284"/>
      <c r="FZK104" s="284"/>
      <c r="FZL104" s="284"/>
      <c r="FZM104" s="284"/>
      <c r="FZN104" s="284"/>
      <c r="FZO104" s="284"/>
      <c r="FZP104" s="284"/>
      <c r="FZQ104" s="284"/>
      <c r="FZR104" s="284"/>
      <c r="FZS104" s="284"/>
      <c r="FZT104" s="284"/>
      <c r="FZU104" s="284"/>
      <c r="FZV104" s="284"/>
      <c r="FZW104" s="284"/>
      <c r="FZX104" s="284"/>
      <c r="FZY104" s="284"/>
      <c r="FZZ104" s="284"/>
      <c r="GAA104" s="284"/>
      <c r="GAB104" s="284"/>
      <c r="GAC104" s="284"/>
      <c r="GAD104" s="284"/>
      <c r="GAE104" s="284"/>
      <c r="GAF104" s="284"/>
      <c r="GAG104" s="284"/>
      <c r="GAH104" s="284"/>
      <c r="GAI104" s="284"/>
      <c r="GAJ104" s="284"/>
      <c r="GAK104" s="284"/>
      <c r="GAL104" s="284"/>
      <c r="GAM104" s="284"/>
      <c r="GAN104" s="284"/>
      <c r="GAO104" s="284"/>
      <c r="GAP104" s="284"/>
      <c r="GAQ104" s="284"/>
      <c r="GAR104" s="284"/>
      <c r="GAS104" s="284"/>
      <c r="GAT104" s="284"/>
      <c r="GAU104" s="284"/>
      <c r="GAV104" s="284"/>
      <c r="GAW104" s="284"/>
      <c r="GAX104" s="284"/>
      <c r="GAY104" s="284"/>
      <c r="GAZ104" s="284"/>
      <c r="GBA104" s="284"/>
      <c r="GBB104" s="284"/>
      <c r="GBC104" s="284"/>
      <c r="GBD104" s="284"/>
      <c r="GBE104" s="284"/>
      <c r="GBF104" s="284"/>
      <c r="GBG104" s="284"/>
      <c r="GBH104" s="284"/>
      <c r="GBI104" s="284"/>
      <c r="GBJ104" s="284"/>
      <c r="GBK104" s="284"/>
      <c r="GBL104" s="284"/>
      <c r="GBM104" s="284"/>
      <c r="GBN104" s="284"/>
      <c r="GBO104" s="284"/>
      <c r="GBP104" s="284"/>
      <c r="GBQ104" s="284"/>
      <c r="GBR104" s="284"/>
      <c r="GBS104" s="284"/>
      <c r="GBT104" s="284"/>
      <c r="GBU104" s="284"/>
      <c r="GBV104" s="284"/>
      <c r="GBW104" s="284"/>
      <c r="GBX104" s="284"/>
      <c r="GBY104" s="284"/>
      <c r="GBZ104" s="284"/>
      <c r="GCA104" s="284"/>
      <c r="GCB104" s="284"/>
      <c r="GCC104" s="284"/>
      <c r="GCD104" s="284"/>
      <c r="GCE104" s="284"/>
      <c r="GCF104" s="284"/>
      <c r="GCG104" s="284"/>
      <c r="GCH104" s="284"/>
      <c r="GCI104" s="284"/>
      <c r="GCJ104" s="284"/>
      <c r="GCK104" s="284"/>
      <c r="GCL104" s="284"/>
      <c r="GCM104" s="284"/>
      <c r="GCN104" s="284"/>
      <c r="GCO104" s="284"/>
      <c r="GCP104" s="284"/>
      <c r="GCQ104" s="284"/>
      <c r="GCR104" s="284"/>
      <c r="GCS104" s="284"/>
      <c r="GCT104" s="284"/>
      <c r="GCU104" s="284"/>
      <c r="GCV104" s="284"/>
      <c r="GCW104" s="284"/>
      <c r="GCX104" s="284"/>
      <c r="GCY104" s="284"/>
      <c r="GCZ104" s="284"/>
      <c r="GDA104" s="284"/>
      <c r="GDB104" s="284"/>
      <c r="GDC104" s="284"/>
      <c r="GDD104" s="284"/>
      <c r="GDE104" s="284"/>
      <c r="GDF104" s="284"/>
      <c r="GDG104" s="284"/>
      <c r="GDH104" s="284"/>
      <c r="GDI104" s="284"/>
      <c r="GDJ104" s="284"/>
      <c r="GDK104" s="284"/>
      <c r="GDL104" s="284"/>
      <c r="GDM104" s="284"/>
      <c r="GDN104" s="284"/>
      <c r="GDO104" s="284"/>
      <c r="GDP104" s="284"/>
      <c r="GDQ104" s="284"/>
      <c r="GDR104" s="284"/>
      <c r="GDS104" s="284"/>
      <c r="GDT104" s="284"/>
      <c r="GDU104" s="284"/>
      <c r="GDV104" s="284"/>
      <c r="GDW104" s="284"/>
      <c r="GDX104" s="284"/>
      <c r="GDY104" s="284"/>
      <c r="GDZ104" s="284"/>
      <c r="GEA104" s="284"/>
      <c r="GEB104" s="284"/>
      <c r="GEC104" s="284"/>
      <c r="GED104" s="284"/>
      <c r="GEE104" s="284"/>
      <c r="GEF104" s="284"/>
      <c r="GEG104" s="284"/>
      <c r="GEH104" s="284"/>
      <c r="GEI104" s="284"/>
      <c r="GEJ104" s="284"/>
      <c r="GEK104" s="284"/>
      <c r="GEL104" s="284"/>
      <c r="GEM104" s="284"/>
      <c r="GEN104" s="284"/>
      <c r="GEO104" s="284"/>
      <c r="GEP104" s="284"/>
      <c r="GEQ104" s="284"/>
      <c r="GER104" s="284"/>
      <c r="GES104" s="284"/>
      <c r="GET104" s="284"/>
      <c r="GEU104" s="284"/>
      <c r="GEV104" s="284"/>
      <c r="GEW104" s="284"/>
      <c r="GEX104" s="284"/>
      <c r="GEY104" s="284"/>
      <c r="GEZ104" s="284"/>
      <c r="GFA104" s="284"/>
      <c r="GFB104" s="284"/>
      <c r="GFC104" s="284"/>
      <c r="GFD104" s="284"/>
      <c r="GFE104" s="284"/>
      <c r="GFF104" s="284"/>
      <c r="GFG104" s="284"/>
      <c r="GFH104" s="284"/>
      <c r="GFI104" s="284"/>
      <c r="GFJ104" s="284"/>
      <c r="GFK104" s="284"/>
      <c r="GFL104" s="284"/>
      <c r="GFM104" s="284"/>
      <c r="GFN104" s="284"/>
      <c r="GFO104" s="284"/>
      <c r="GFP104" s="284"/>
      <c r="GFQ104" s="284"/>
      <c r="GFR104" s="284"/>
      <c r="GFS104" s="284"/>
      <c r="GFT104" s="284"/>
      <c r="GFU104" s="284"/>
      <c r="GFV104" s="284"/>
      <c r="GFW104" s="284"/>
      <c r="GFX104" s="284"/>
      <c r="GFY104" s="284"/>
      <c r="GFZ104" s="284"/>
      <c r="GGA104" s="284"/>
      <c r="GGB104" s="284"/>
      <c r="GGC104" s="284"/>
      <c r="GGD104" s="284"/>
      <c r="GGE104" s="284"/>
      <c r="GGF104" s="284"/>
      <c r="GGG104" s="284"/>
      <c r="GGH104" s="284"/>
      <c r="GGI104" s="284"/>
      <c r="GGJ104" s="284"/>
      <c r="GGK104" s="284"/>
      <c r="GGL104" s="284"/>
      <c r="GGM104" s="284"/>
      <c r="GGN104" s="284"/>
      <c r="GGO104" s="284"/>
      <c r="GGP104" s="284"/>
      <c r="GGQ104" s="284"/>
      <c r="GGR104" s="284"/>
      <c r="GGS104" s="284"/>
      <c r="GGT104" s="284"/>
      <c r="GGU104" s="284"/>
      <c r="GGV104" s="284"/>
      <c r="GGW104" s="284"/>
      <c r="GGX104" s="284"/>
      <c r="GGY104" s="284"/>
      <c r="GGZ104" s="284"/>
      <c r="GHA104" s="284"/>
      <c r="GHB104" s="284"/>
      <c r="GHC104" s="284"/>
      <c r="GHD104" s="284"/>
      <c r="GHE104" s="284"/>
      <c r="GHF104" s="284"/>
      <c r="GHG104" s="284"/>
      <c r="GHH104" s="284"/>
      <c r="GHI104" s="284"/>
      <c r="GHJ104" s="284"/>
      <c r="GHK104" s="284"/>
      <c r="GHL104" s="284"/>
      <c r="GHM104" s="284"/>
      <c r="GHN104" s="284"/>
      <c r="GHO104" s="284"/>
      <c r="GHP104" s="284"/>
      <c r="GHQ104" s="284"/>
      <c r="GHR104" s="284"/>
      <c r="GHS104" s="284"/>
      <c r="GHT104" s="284"/>
      <c r="GHU104" s="284"/>
      <c r="GHV104" s="284"/>
      <c r="GHW104" s="284"/>
      <c r="GHX104" s="284"/>
      <c r="GHY104" s="284"/>
      <c r="GHZ104" s="284"/>
      <c r="GIA104" s="284"/>
      <c r="GIB104" s="284"/>
      <c r="GIC104" s="284"/>
      <c r="GID104" s="284"/>
      <c r="GIE104" s="284"/>
      <c r="GIF104" s="284"/>
      <c r="GIG104" s="284"/>
      <c r="GIH104" s="284"/>
      <c r="GII104" s="284"/>
      <c r="GIJ104" s="284"/>
      <c r="GIK104" s="284"/>
      <c r="GIL104" s="284"/>
      <c r="GIM104" s="284"/>
      <c r="GIN104" s="284"/>
      <c r="GIO104" s="284"/>
      <c r="GIP104" s="284"/>
      <c r="GIQ104" s="284"/>
      <c r="GIR104" s="284"/>
      <c r="GIS104" s="284"/>
      <c r="GIT104" s="284"/>
      <c r="GIU104" s="284"/>
      <c r="GIV104" s="284"/>
      <c r="GIW104" s="284"/>
      <c r="GIX104" s="284"/>
      <c r="GIY104" s="284"/>
      <c r="GIZ104" s="284"/>
      <c r="GJA104" s="284"/>
      <c r="GJB104" s="284"/>
      <c r="GJC104" s="284"/>
      <c r="GJD104" s="284"/>
      <c r="GJE104" s="284"/>
      <c r="GJF104" s="284"/>
      <c r="GJG104" s="284"/>
      <c r="GJH104" s="284"/>
      <c r="GJI104" s="284"/>
      <c r="GJJ104" s="284"/>
      <c r="GJK104" s="284"/>
      <c r="GJL104" s="284"/>
      <c r="GJM104" s="284"/>
      <c r="GJN104" s="284"/>
      <c r="GJO104" s="284"/>
      <c r="GJP104" s="284"/>
      <c r="GJQ104" s="284"/>
      <c r="GJR104" s="284"/>
      <c r="GJS104" s="284"/>
      <c r="GJT104" s="284"/>
      <c r="GJU104" s="284"/>
      <c r="GJV104" s="284"/>
      <c r="GJW104" s="284"/>
      <c r="GJX104" s="284"/>
      <c r="GJY104" s="284"/>
      <c r="GJZ104" s="284"/>
      <c r="GKA104" s="284"/>
      <c r="GKB104" s="284"/>
      <c r="GKC104" s="284"/>
      <c r="GKD104" s="284"/>
      <c r="GKE104" s="284"/>
      <c r="GKF104" s="284"/>
      <c r="GKG104" s="284"/>
      <c r="GKH104" s="284"/>
      <c r="GKI104" s="284"/>
      <c r="GKJ104" s="284"/>
      <c r="GKK104" s="284"/>
      <c r="GKL104" s="284"/>
      <c r="GKM104" s="284"/>
      <c r="GKN104" s="284"/>
      <c r="GKO104" s="284"/>
      <c r="GKP104" s="284"/>
      <c r="GKQ104" s="284"/>
      <c r="GKR104" s="284"/>
      <c r="GKS104" s="284"/>
      <c r="GKT104" s="284"/>
      <c r="GKU104" s="284"/>
      <c r="GKV104" s="284"/>
      <c r="GKW104" s="284"/>
      <c r="GKX104" s="284"/>
      <c r="GKY104" s="284"/>
      <c r="GKZ104" s="284"/>
      <c r="GLA104" s="284"/>
      <c r="GLB104" s="284"/>
      <c r="GLC104" s="284"/>
      <c r="GLD104" s="284"/>
      <c r="GLE104" s="284"/>
      <c r="GLF104" s="284"/>
      <c r="GLG104" s="284"/>
      <c r="GLH104" s="284"/>
      <c r="GLI104" s="284"/>
      <c r="GLJ104" s="284"/>
      <c r="GLK104" s="284"/>
      <c r="GLL104" s="284"/>
      <c r="GLM104" s="284"/>
      <c r="GLN104" s="284"/>
      <c r="GLO104" s="284"/>
      <c r="GLP104" s="284"/>
      <c r="GLQ104" s="284"/>
      <c r="GLR104" s="284"/>
      <c r="GLS104" s="284"/>
      <c r="GLT104" s="284"/>
      <c r="GLU104" s="284"/>
      <c r="GLV104" s="284"/>
      <c r="GLW104" s="284"/>
      <c r="GLX104" s="284"/>
      <c r="GLY104" s="284"/>
      <c r="GLZ104" s="284"/>
      <c r="GMA104" s="284"/>
      <c r="GMB104" s="284"/>
      <c r="GMC104" s="284"/>
      <c r="GMD104" s="284"/>
      <c r="GME104" s="284"/>
      <c r="GMF104" s="284"/>
      <c r="GMG104" s="284"/>
      <c r="GMH104" s="284"/>
      <c r="GMI104" s="284"/>
      <c r="GMJ104" s="284"/>
      <c r="GMK104" s="284"/>
      <c r="GML104" s="284"/>
      <c r="GMM104" s="284"/>
      <c r="GMN104" s="284"/>
      <c r="GMO104" s="284"/>
      <c r="GMP104" s="284"/>
      <c r="GMQ104" s="284"/>
      <c r="GMR104" s="284"/>
      <c r="GMS104" s="284"/>
      <c r="GMT104" s="284"/>
      <c r="GMU104" s="284"/>
      <c r="GMV104" s="284"/>
      <c r="GMW104" s="284"/>
      <c r="GMX104" s="284"/>
      <c r="GMY104" s="284"/>
      <c r="GMZ104" s="284"/>
      <c r="GNA104" s="284"/>
      <c r="GNB104" s="284"/>
      <c r="GNC104" s="284"/>
      <c r="GND104" s="284"/>
      <c r="GNE104" s="284"/>
      <c r="GNF104" s="284"/>
      <c r="GNG104" s="284"/>
      <c r="GNH104" s="284"/>
      <c r="GNI104" s="284"/>
      <c r="GNJ104" s="284"/>
      <c r="GNK104" s="284"/>
      <c r="GNL104" s="284"/>
      <c r="GNM104" s="284"/>
      <c r="GNN104" s="284"/>
      <c r="GNO104" s="284"/>
      <c r="GNP104" s="284"/>
      <c r="GNQ104" s="284"/>
      <c r="GNR104" s="284"/>
      <c r="GNS104" s="284"/>
      <c r="GNT104" s="284"/>
      <c r="GNU104" s="284"/>
      <c r="GNV104" s="284"/>
      <c r="GNW104" s="284"/>
      <c r="GNX104" s="284"/>
      <c r="GNY104" s="284"/>
      <c r="GNZ104" s="284"/>
      <c r="GOA104" s="284"/>
      <c r="GOB104" s="284"/>
      <c r="GOC104" s="284"/>
      <c r="GOD104" s="284"/>
      <c r="GOE104" s="284"/>
      <c r="GOF104" s="284"/>
      <c r="GOG104" s="284"/>
      <c r="GOH104" s="284"/>
      <c r="GOI104" s="284"/>
      <c r="GOJ104" s="284"/>
      <c r="GOK104" s="284"/>
      <c r="GOL104" s="284"/>
      <c r="GOM104" s="284"/>
      <c r="GON104" s="284"/>
      <c r="GOO104" s="284"/>
      <c r="GOP104" s="284"/>
      <c r="GOQ104" s="284"/>
      <c r="GOR104" s="284"/>
      <c r="GOS104" s="284"/>
      <c r="GOT104" s="284"/>
      <c r="GOU104" s="284"/>
      <c r="GOV104" s="284"/>
      <c r="GOW104" s="284"/>
      <c r="GOX104" s="284"/>
      <c r="GOY104" s="284"/>
      <c r="GOZ104" s="284"/>
      <c r="GPA104" s="284"/>
      <c r="GPB104" s="284"/>
      <c r="GPC104" s="284"/>
      <c r="GPD104" s="284"/>
      <c r="GPE104" s="284"/>
      <c r="GPF104" s="284"/>
      <c r="GPG104" s="284"/>
      <c r="GPH104" s="284"/>
      <c r="GPI104" s="284"/>
      <c r="GPJ104" s="284"/>
      <c r="GPK104" s="284"/>
      <c r="GPL104" s="284"/>
      <c r="GPM104" s="284"/>
      <c r="GPN104" s="284"/>
      <c r="GPO104" s="284"/>
      <c r="GPP104" s="284"/>
      <c r="GPQ104" s="284"/>
      <c r="GPR104" s="284"/>
      <c r="GPS104" s="284"/>
      <c r="GPT104" s="284"/>
      <c r="GPU104" s="284"/>
      <c r="GPV104" s="284"/>
      <c r="GPW104" s="284"/>
      <c r="GPX104" s="284"/>
      <c r="GPY104" s="284"/>
      <c r="GPZ104" s="284"/>
      <c r="GQA104" s="284"/>
      <c r="GQB104" s="284"/>
      <c r="GQC104" s="284"/>
      <c r="GQD104" s="284"/>
      <c r="GQE104" s="284"/>
      <c r="GQF104" s="284"/>
      <c r="GQG104" s="284"/>
      <c r="GQH104" s="284"/>
      <c r="GQI104" s="284"/>
      <c r="GQJ104" s="284"/>
      <c r="GQK104" s="284"/>
      <c r="GQL104" s="284"/>
      <c r="GQM104" s="284"/>
      <c r="GQN104" s="284"/>
      <c r="GQO104" s="284"/>
      <c r="GQP104" s="284"/>
      <c r="GQQ104" s="284"/>
      <c r="GQR104" s="284"/>
      <c r="GQS104" s="284"/>
      <c r="GQT104" s="284"/>
      <c r="GQU104" s="284"/>
      <c r="GQV104" s="284"/>
      <c r="GQW104" s="284"/>
      <c r="GQX104" s="284"/>
      <c r="GQY104" s="284"/>
      <c r="GQZ104" s="284"/>
      <c r="GRA104" s="284"/>
      <c r="GRB104" s="284"/>
      <c r="GRC104" s="284"/>
      <c r="GRD104" s="284"/>
      <c r="GRE104" s="284"/>
      <c r="GRF104" s="284"/>
      <c r="GRG104" s="284"/>
      <c r="GRH104" s="284"/>
      <c r="GRI104" s="284"/>
      <c r="GRJ104" s="284"/>
      <c r="GRK104" s="284"/>
      <c r="GRL104" s="284"/>
      <c r="GRM104" s="284"/>
      <c r="GRN104" s="284"/>
      <c r="GRO104" s="284"/>
      <c r="GRP104" s="284"/>
      <c r="GRQ104" s="284"/>
      <c r="GRR104" s="284"/>
      <c r="GRS104" s="284"/>
      <c r="GRT104" s="284"/>
      <c r="GRU104" s="284"/>
      <c r="GRV104" s="284"/>
      <c r="GRW104" s="284"/>
      <c r="GRX104" s="284"/>
      <c r="GRY104" s="284"/>
      <c r="GRZ104" s="284"/>
      <c r="GSA104" s="284"/>
      <c r="GSB104" s="284"/>
      <c r="GSC104" s="284"/>
      <c r="GSD104" s="284"/>
      <c r="GSE104" s="284"/>
      <c r="GSF104" s="284"/>
      <c r="GSG104" s="284"/>
      <c r="GSH104" s="284"/>
      <c r="GSI104" s="284"/>
      <c r="GSJ104" s="284"/>
      <c r="GSK104" s="284"/>
      <c r="GSL104" s="284"/>
      <c r="GSM104" s="284"/>
      <c r="GSN104" s="284"/>
      <c r="GSO104" s="284"/>
      <c r="GSP104" s="284"/>
      <c r="GSQ104" s="284"/>
      <c r="GSR104" s="284"/>
      <c r="GSS104" s="284"/>
      <c r="GST104" s="284"/>
      <c r="GSU104" s="284"/>
      <c r="GSV104" s="284"/>
      <c r="GSW104" s="284"/>
      <c r="GSX104" s="284"/>
      <c r="GSY104" s="284"/>
      <c r="GSZ104" s="284"/>
      <c r="GTA104" s="284"/>
      <c r="GTB104" s="284"/>
      <c r="GTC104" s="284"/>
      <c r="GTD104" s="284"/>
      <c r="GTE104" s="284"/>
      <c r="GTF104" s="284"/>
      <c r="GTG104" s="284"/>
      <c r="GTH104" s="284"/>
      <c r="GTI104" s="284"/>
      <c r="GTJ104" s="284"/>
      <c r="GTK104" s="284"/>
      <c r="GTL104" s="284"/>
      <c r="GTM104" s="284"/>
      <c r="GTN104" s="284"/>
      <c r="GTO104" s="284"/>
      <c r="GTP104" s="284"/>
      <c r="GTQ104" s="284"/>
      <c r="GTR104" s="284"/>
      <c r="GTS104" s="284"/>
      <c r="GTT104" s="284"/>
      <c r="GTU104" s="284"/>
      <c r="GTV104" s="284"/>
      <c r="GTW104" s="284"/>
      <c r="GTX104" s="284"/>
      <c r="GTY104" s="284"/>
      <c r="GTZ104" s="284"/>
      <c r="GUA104" s="284"/>
      <c r="GUB104" s="284"/>
      <c r="GUC104" s="284"/>
      <c r="GUD104" s="284"/>
      <c r="GUE104" s="284"/>
      <c r="GUF104" s="284"/>
      <c r="GUG104" s="284"/>
      <c r="GUH104" s="284"/>
      <c r="GUI104" s="284"/>
      <c r="GUJ104" s="284"/>
      <c r="GUK104" s="284"/>
      <c r="GUL104" s="284"/>
      <c r="GUM104" s="284"/>
      <c r="GUN104" s="284"/>
      <c r="GUO104" s="284"/>
      <c r="GUP104" s="284"/>
      <c r="GUQ104" s="284"/>
      <c r="GUR104" s="284"/>
      <c r="GUS104" s="284"/>
      <c r="GUT104" s="284"/>
      <c r="GUU104" s="284"/>
      <c r="GUV104" s="284"/>
      <c r="GUW104" s="284"/>
      <c r="GUX104" s="284"/>
      <c r="GUY104" s="284"/>
      <c r="GUZ104" s="284"/>
      <c r="GVA104" s="284"/>
      <c r="GVB104" s="284"/>
      <c r="GVC104" s="284"/>
      <c r="GVD104" s="284"/>
      <c r="GVE104" s="284"/>
      <c r="GVF104" s="284"/>
      <c r="GVG104" s="284"/>
      <c r="GVH104" s="284"/>
      <c r="GVI104" s="284"/>
      <c r="GVJ104" s="284"/>
      <c r="GVK104" s="284"/>
      <c r="GVL104" s="284"/>
      <c r="GVM104" s="284"/>
      <c r="GVN104" s="284"/>
      <c r="GVO104" s="284"/>
      <c r="GVP104" s="284"/>
      <c r="GVQ104" s="284"/>
      <c r="GVR104" s="284"/>
      <c r="GVS104" s="284"/>
      <c r="GVT104" s="284"/>
      <c r="GVU104" s="284"/>
      <c r="GVV104" s="284"/>
      <c r="GVW104" s="284"/>
      <c r="GVX104" s="284"/>
      <c r="GVY104" s="284"/>
      <c r="GVZ104" s="284"/>
      <c r="GWA104" s="284"/>
      <c r="GWB104" s="284"/>
      <c r="GWC104" s="284"/>
      <c r="GWD104" s="284"/>
      <c r="GWE104" s="284"/>
      <c r="GWF104" s="284"/>
      <c r="GWG104" s="284"/>
      <c r="GWH104" s="284"/>
      <c r="GWI104" s="284"/>
      <c r="GWJ104" s="284"/>
      <c r="GWK104" s="284"/>
      <c r="GWL104" s="284"/>
      <c r="GWM104" s="284"/>
      <c r="GWN104" s="284"/>
      <c r="GWO104" s="284"/>
      <c r="GWP104" s="284"/>
      <c r="GWQ104" s="284"/>
      <c r="GWR104" s="284"/>
      <c r="GWS104" s="284"/>
      <c r="GWT104" s="284"/>
      <c r="GWU104" s="284"/>
      <c r="GWV104" s="284"/>
      <c r="GWW104" s="284"/>
      <c r="GWX104" s="284"/>
      <c r="GWY104" s="284"/>
      <c r="GWZ104" s="284"/>
      <c r="GXA104" s="284"/>
      <c r="GXB104" s="284"/>
      <c r="GXC104" s="284"/>
      <c r="GXD104" s="284"/>
      <c r="GXE104" s="284"/>
      <c r="GXF104" s="284"/>
      <c r="GXG104" s="284"/>
      <c r="GXH104" s="284"/>
      <c r="GXI104" s="284"/>
      <c r="GXJ104" s="284"/>
      <c r="GXK104" s="284"/>
      <c r="GXL104" s="284"/>
      <c r="GXM104" s="284"/>
      <c r="GXN104" s="284"/>
      <c r="GXO104" s="284"/>
      <c r="GXP104" s="284"/>
      <c r="GXQ104" s="284"/>
      <c r="GXR104" s="284"/>
      <c r="GXS104" s="284"/>
      <c r="GXT104" s="284"/>
      <c r="GXU104" s="284"/>
      <c r="GXV104" s="284"/>
      <c r="GXW104" s="284"/>
      <c r="GXX104" s="284"/>
      <c r="GXY104" s="284"/>
      <c r="GXZ104" s="284"/>
      <c r="GYA104" s="284"/>
      <c r="GYB104" s="284"/>
      <c r="GYC104" s="284"/>
      <c r="GYD104" s="284"/>
      <c r="GYE104" s="284"/>
      <c r="GYF104" s="284"/>
      <c r="GYG104" s="284"/>
      <c r="GYH104" s="284"/>
      <c r="GYI104" s="284"/>
      <c r="GYJ104" s="284"/>
      <c r="GYK104" s="284"/>
      <c r="GYL104" s="284"/>
      <c r="GYM104" s="284"/>
      <c r="GYN104" s="284"/>
      <c r="GYO104" s="284"/>
      <c r="GYP104" s="284"/>
      <c r="GYQ104" s="284"/>
      <c r="GYR104" s="284"/>
      <c r="GYS104" s="284"/>
      <c r="GYT104" s="284"/>
      <c r="GYU104" s="284"/>
      <c r="GYV104" s="284"/>
      <c r="GYW104" s="284"/>
      <c r="GYX104" s="284"/>
      <c r="GYY104" s="284"/>
      <c r="GYZ104" s="284"/>
      <c r="GZA104" s="284"/>
      <c r="GZB104" s="284"/>
      <c r="GZC104" s="284"/>
      <c r="GZD104" s="284"/>
      <c r="GZE104" s="284"/>
      <c r="GZF104" s="284"/>
      <c r="GZG104" s="284"/>
      <c r="GZH104" s="284"/>
      <c r="GZI104" s="284"/>
      <c r="GZJ104" s="284"/>
      <c r="GZK104" s="284"/>
      <c r="GZL104" s="284"/>
      <c r="GZM104" s="284"/>
      <c r="GZN104" s="284"/>
      <c r="GZO104" s="284"/>
      <c r="GZP104" s="284"/>
      <c r="GZQ104" s="284"/>
      <c r="GZR104" s="284"/>
      <c r="GZS104" s="284"/>
      <c r="GZT104" s="284"/>
      <c r="GZU104" s="284"/>
      <c r="GZV104" s="284"/>
      <c r="GZW104" s="284"/>
      <c r="GZX104" s="284"/>
      <c r="GZY104" s="284"/>
      <c r="GZZ104" s="284"/>
      <c r="HAA104" s="284"/>
      <c r="HAB104" s="284"/>
      <c r="HAC104" s="284"/>
      <c r="HAD104" s="284"/>
      <c r="HAE104" s="284"/>
      <c r="HAF104" s="284"/>
      <c r="HAG104" s="284"/>
      <c r="HAH104" s="284"/>
      <c r="HAI104" s="284"/>
      <c r="HAJ104" s="284"/>
      <c r="HAK104" s="284"/>
      <c r="HAL104" s="284"/>
      <c r="HAM104" s="284"/>
      <c r="HAN104" s="284"/>
      <c r="HAO104" s="284"/>
      <c r="HAP104" s="284"/>
      <c r="HAQ104" s="284"/>
      <c r="HAR104" s="284"/>
      <c r="HAS104" s="284"/>
      <c r="HAT104" s="284"/>
      <c r="HAU104" s="284"/>
      <c r="HAV104" s="284"/>
      <c r="HAW104" s="284"/>
      <c r="HAX104" s="284"/>
      <c r="HAY104" s="284"/>
      <c r="HAZ104" s="284"/>
      <c r="HBA104" s="284"/>
      <c r="HBB104" s="284"/>
      <c r="HBC104" s="284"/>
      <c r="HBD104" s="284"/>
      <c r="HBE104" s="284"/>
      <c r="HBF104" s="284"/>
      <c r="HBG104" s="284"/>
      <c r="HBH104" s="284"/>
      <c r="HBI104" s="284"/>
      <c r="HBJ104" s="284"/>
      <c r="HBK104" s="284"/>
      <c r="HBL104" s="284"/>
      <c r="HBM104" s="284"/>
      <c r="HBN104" s="284"/>
      <c r="HBO104" s="284"/>
      <c r="HBP104" s="284"/>
      <c r="HBQ104" s="284"/>
      <c r="HBR104" s="284"/>
      <c r="HBS104" s="284"/>
      <c r="HBT104" s="284"/>
      <c r="HBU104" s="284"/>
      <c r="HBV104" s="284"/>
      <c r="HBW104" s="284"/>
      <c r="HBX104" s="284"/>
      <c r="HBY104" s="284"/>
      <c r="HBZ104" s="284"/>
      <c r="HCA104" s="284"/>
      <c r="HCB104" s="284"/>
      <c r="HCC104" s="284"/>
      <c r="HCD104" s="284"/>
      <c r="HCE104" s="284"/>
      <c r="HCF104" s="284"/>
      <c r="HCG104" s="284"/>
      <c r="HCH104" s="284"/>
      <c r="HCI104" s="284"/>
      <c r="HCJ104" s="284"/>
      <c r="HCK104" s="284"/>
      <c r="HCL104" s="284"/>
      <c r="HCM104" s="284"/>
      <c r="HCN104" s="284"/>
      <c r="HCO104" s="284"/>
      <c r="HCP104" s="284"/>
      <c r="HCQ104" s="284"/>
      <c r="HCR104" s="284"/>
      <c r="HCS104" s="284"/>
      <c r="HCT104" s="284"/>
      <c r="HCU104" s="284"/>
      <c r="HCV104" s="284"/>
      <c r="HCW104" s="284"/>
      <c r="HCX104" s="284"/>
      <c r="HCY104" s="284"/>
      <c r="HCZ104" s="284"/>
      <c r="HDA104" s="284"/>
      <c r="HDB104" s="284"/>
      <c r="HDC104" s="284"/>
      <c r="HDD104" s="284"/>
      <c r="HDE104" s="284"/>
      <c r="HDF104" s="284"/>
      <c r="HDG104" s="284"/>
      <c r="HDH104" s="284"/>
      <c r="HDI104" s="284"/>
      <c r="HDJ104" s="284"/>
      <c r="HDK104" s="284"/>
      <c r="HDL104" s="284"/>
      <c r="HDM104" s="284"/>
      <c r="HDN104" s="284"/>
      <c r="HDO104" s="284"/>
      <c r="HDP104" s="284"/>
      <c r="HDQ104" s="284"/>
      <c r="HDR104" s="284"/>
      <c r="HDS104" s="284"/>
      <c r="HDT104" s="284"/>
      <c r="HDU104" s="284"/>
      <c r="HDV104" s="284"/>
      <c r="HDW104" s="284"/>
      <c r="HDX104" s="284"/>
      <c r="HDY104" s="284"/>
      <c r="HDZ104" s="284"/>
      <c r="HEA104" s="284"/>
      <c r="HEB104" s="284"/>
      <c r="HEC104" s="284"/>
      <c r="HED104" s="284"/>
      <c r="HEE104" s="284"/>
      <c r="HEF104" s="284"/>
      <c r="HEG104" s="284"/>
      <c r="HEH104" s="284"/>
      <c r="HEI104" s="284"/>
      <c r="HEJ104" s="284"/>
      <c r="HEK104" s="284"/>
      <c r="HEL104" s="284"/>
      <c r="HEM104" s="284"/>
      <c r="HEN104" s="284"/>
      <c r="HEO104" s="284"/>
      <c r="HEP104" s="284"/>
      <c r="HEQ104" s="284"/>
      <c r="HER104" s="284"/>
      <c r="HES104" s="284"/>
      <c r="HET104" s="284"/>
      <c r="HEU104" s="284"/>
      <c r="HEV104" s="284"/>
      <c r="HEW104" s="284"/>
      <c r="HEX104" s="284"/>
      <c r="HEY104" s="284"/>
      <c r="HEZ104" s="284"/>
      <c r="HFA104" s="284"/>
      <c r="HFB104" s="284"/>
      <c r="HFC104" s="284"/>
      <c r="HFD104" s="284"/>
      <c r="HFE104" s="284"/>
      <c r="HFF104" s="284"/>
      <c r="HFG104" s="284"/>
      <c r="HFH104" s="284"/>
      <c r="HFI104" s="284"/>
      <c r="HFJ104" s="284"/>
      <c r="HFK104" s="284"/>
      <c r="HFL104" s="284"/>
      <c r="HFM104" s="284"/>
      <c r="HFN104" s="284"/>
      <c r="HFO104" s="284"/>
      <c r="HFP104" s="284"/>
      <c r="HFQ104" s="284"/>
      <c r="HFR104" s="284"/>
      <c r="HFS104" s="284"/>
      <c r="HFT104" s="284"/>
      <c r="HFU104" s="284"/>
      <c r="HFV104" s="284"/>
      <c r="HFW104" s="284"/>
      <c r="HFX104" s="284"/>
      <c r="HFY104" s="284"/>
      <c r="HFZ104" s="284"/>
      <c r="HGA104" s="284"/>
      <c r="HGB104" s="284"/>
      <c r="HGC104" s="284"/>
      <c r="HGD104" s="284"/>
      <c r="HGE104" s="284"/>
      <c r="HGF104" s="284"/>
      <c r="HGG104" s="284"/>
      <c r="HGH104" s="284"/>
      <c r="HGI104" s="284"/>
      <c r="HGJ104" s="284"/>
      <c r="HGK104" s="284"/>
      <c r="HGL104" s="284"/>
      <c r="HGM104" s="284"/>
      <c r="HGN104" s="284"/>
      <c r="HGO104" s="284"/>
      <c r="HGP104" s="284"/>
      <c r="HGQ104" s="284"/>
      <c r="HGR104" s="284"/>
      <c r="HGS104" s="284"/>
      <c r="HGT104" s="284"/>
      <c r="HGU104" s="284"/>
      <c r="HGV104" s="284"/>
      <c r="HGW104" s="284"/>
      <c r="HGX104" s="284"/>
      <c r="HGY104" s="284"/>
      <c r="HGZ104" s="284"/>
      <c r="HHA104" s="284"/>
      <c r="HHB104" s="284"/>
      <c r="HHC104" s="284"/>
      <c r="HHD104" s="284"/>
      <c r="HHE104" s="284"/>
      <c r="HHF104" s="284"/>
      <c r="HHG104" s="284"/>
      <c r="HHH104" s="284"/>
      <c r="HHI104" s="284"/>
      <c r="HHJ104" s="284"/>
      <c r="HHK104" s="284"/>
      <c r="HHL104" s="284"/>
      <c r="HHM104" s="284"/>
      <c r="HHN104" s="284"/>
      <c r="HHO104" s="284"/>
      <c r="HHP104" s="284"/>
      <c r="HHQ104" s="284"/>
      <c r="HHR104" s="284"/>
      <c r="HHS104" s="284"/>
      <c r="HHT104" s="284"/>
      <c r="HHU104" s="284"/>
      <c r="HHV104" s="284"/>
      <c r="HHW104" s="284"/>
      <c r="HHX104" s="284"/>
      <c r="HHY104" s="284"/>
      <c r="HHZ104" s="284"/>
      <c r="HIA104" s="284"/>
      <c r="HIB104" s="284"/>
      <c r="HIC104" s="284"/>
      <c r="HID104" s="284"/>
      <c r="HIE104" s="284"/>
      <c r="HIF104" s="284"/>
      <c r="HIG104" s="284"/>
      <c r="HIH104" s="284"/>
      <c r="HII104" s="284"/>
      <c r="HIJ104" s="284"/>
      <c r="HIK104" s="284"/>
      <c r="HIL104" s="284"/>
      <c r="HIM104" s="284"/>
      <c r="HIN104" s="284"/>
      <c r="HIO104" s="284"/>
      <c r="HIP104" s="284"/>
      <c r="HIQ104" s="284"/>
      <c r="HIR104" s="284"/>
      <c r="HIS104" s="284"/>
      <c r="HIT104" s="284"/>
      <c r="HIU104" s="284"/>
      <c r="HIV104" s="284"/>
      <c r="HIW104" s="284"/>
      <c r="HIX104" s="284"/>
      <c r="HIY104" s="284"/>
      <c r="HIZ104" s="284"/>
      <c r="HJA104" s="284"/>
      <c r="HJB104" s="284"/>
      <c r="HJC104" s="284"/>
      <c r="HJD104" s="284"/>
      <c r="HJE104" s="284"/>
      <c r="HJF104" s="284"/>
      <c r="HJG104" s="284"/>
      <c r="HJH104" s="284"/>
      <c r="HJI104" s="284"/>
      <c r="HJJ104" s="284"/>
      <c r="HJK104" s="284"/>
      <c r="HJL104" s="284"/>
      <c r="HJM104" s="284"/>
      <c r="HJN104" s="284"/>
      <c r="HJO104" s="284"/>
      <c r="HJP104" s="284"/>
      <c r="HJQ104" s="284"/>
      <c r="HJR104" s="284"/>
      <c r="HJS104" s="284"/>
      <c r="HJT104" s="284"/>
      <c r="HJU104" s="284"/>
      <c r="HJV104" s="284"/>
      <c r="HJW104" s="284"/>
      <c r="HJX104" s="284"/>
      <c r="HJY104" s="284"/>
      <c r="HJZ104" s="284"/>
      <c r="HKA104" s="284"/>
      <c r="HKB104" s="284"/>
      <c r="HKC104" s="284"/>
      <c r="HKD104" s="284"/>
      <c r="HKE104" s="284"/>
      <c r="HKF104" s="284"/>
      <c r="HKG104" s="284"/>
      <c r="HKH104" s="284"/>
      <c r="HKI104" s="284"/>
      <c r="HKJ104" s="284"/>
      <c r="HKK104" s="284"/>
      <c r="HKL104" s="284"/>
      <c r="HKM104" s="284"/>
      <c r="HKN104" s="284"/>
      <c r="HKO104" s="284"/>
      <c r="HKP104" s="284"/>
      <c r="HKQ104" s="284"/>
      <c r="HKR104" s="284"/>
      <c r="HKS104" s="284"/>
      <c r="HKT104" s="284"/>
      <c r="HKU104" s="284"/>
      <c r="HKV104" s="284"/>
      <c r="HKW104" s="284"/>
      <c r="HKX104" s="284"/>
      <c r="HKY104" s="284"/>
      <c r="HKZ104" s="284"/>
      <c r="HLA104" s="284"/>
      <c r="HLB104" s="284"/>
      <c r="HLC104" s="284"/>
      <c r="HLD104" s="284"/>
      <c r="HLE104" s="284"/>
      <c r="HLF104" s="284"/>
      <c r="HLG104" s="284"/>
      <c r="HLH104" s="284"/>
      <c r="HLI104" s="284"/>
      <c r="HLJ104" s="284"/>
      <c r="HLK104" s="284"/>
      <c r="HLL104" s="284"/>
      <c r="HLM104" s="284"/>
      <c r="HLN104" s="284"/>
      <c r="HLO104" s="284"/>
      <c r="HLP104" s="284"/>
      <c r="HLQ104" s="284"/>
      <c r="HLR104" s="284"/>
      <c r="HLS104" s="284"/>
      <c r="HLT104" s="284"/>
      <c r="HLU104" s="284"/>
      <c r="HLV104" s="284"/>
      <c r="HLW104" s="284"/>
      <c r="HLX104" s="284"/>
      <c r="HLY104" s="284"/>
      <c r="HLZ104" s="284"/>
      <c r="HMA104" s="284"/>
      <c r="HMB104" s="284"/>
      <c r="HMC104" s="284"/>
      <c r="HMD104" s="284"/>
      <c r="HME104" s="284"/>
      <c r="HMF104" s="284"/>
      <c r="HMG104" s="284"/>
      <c r="HMH104" s="284"/>
      <c r="HMI104" s="284"/>
      <c r="HMJ104" s="284"/>
      <c r="HMK104" s="284"/>
      <c r="HML104" s="284"/>
      <c r="HMM104" s="284"/>
      <c r="HMN104" s="284"/>
      <c r="HMO104" s="284"/>
      <c r="HMP104" s="284"/>
      <c r="HMQ104" s="284"/>
      <c r="HMR104" s="284"/>
      <c r="HMS104" s="284"/>
      <c r="HMT104" s="284"/>
      <c r="HMU104" s="284"/>
      <c r="HMV104" s="284"/>
      <c r="HMW104" s="284"/>
      <c r="HMX104" s="284"/>
      <c r="HMY104" s="284"/>
      <c r="HMZ104" s="284"/>
      <c r="HNA104" s="284"/>
      <c r="HNB104" s="284"/>
      <c r="HNC104" s="284"/>
      <c r="HND104" s="284"/>
      <c r="HNE104" s="284"/>
      <c r="HNF104" s="284"/>
      <c r="HNG104" s="284"/>
      <c r="HNH104" s="284"/>
      <c r="HNI104" s="284"/>
      <c r="HNJ104" s="284"/>
      <c r="HNK104" s="284"/>
      <c r="HNL104" s="284"/>
      <c r="HNM104" s="284"/>
      <c r="HNN104" s="284"/>
      <c r="HNO104" s="284"/>
      <c r="HNP104" s="284"/>
      <c r="HNQ104" s="284"/>
      <c r="HNR104" s="284"/>
      <c r="HNS104" s="284"/>
      <c r="HNT104" s="284"/>
      <c r="HNU104" s="284"/>
      <c r="HNV104" s="284"/>
      <c r="HNW104" s="284"/>
      <c r="HNX104" s="284"/>
      <c r="HNY104" s="284"/>
      <c r="HNZ104" s="284"/>
      <c r="HOA104" s="284"/>
      <c r="HOB104" s="284"/>
      <c r="HOC104" s="284"/>
      <c r="HOD104" s="284"/>
      <c r="HOE104" s="284"/>
      <c r="HOF104" s="284"/>
      <c r="HOG104" s="284"/>
      <c r="HOH104" s="284"/>
      <c r="HOI104" s="284"/>
      <c r="HOJ104" s="284"/>
      <c r="HOK104" s="284"/>
      <c r="HOL104" s="284"/>
      <c r="HOM104" s="284"/>
      <c r="HON104" s="284"/>
      <c r="HOO104" s="284"/>
      <c r="HOP104" s="284"/>
      <c r="HOQ104" s="284"/>
      <c r="HOR104" s="284"/>
      <c r="HOS104" s="284"/>
      <c r="HOT104" s="284"/>
      <c r="HOU104" s="284"/>
      <c r="HOV104" s="284"/>
      <c r="HOW104" s="284"/>
      <c r="HOX104" s="284"/>
      <c r="HOY104" s="284"/>
      <c r="HOZ104" s="284"/>
      <c r="HPA104" s="284"/>
      <c r="HPB104" s="284"/>
      <c r="HPC104" s="284"/>
      <c r="HPD104" s="284"/>
      <c r="HPE104" s="284"/>
      <c r="HPF104" s="284"/>
      <c r="HPG104" s="284"/>
      <c r="HPH104" s="284"/>
      <c r="HPI104" s="284"/>
      <c r="HPJ104" s="284"/>
      <c r="HPK104" s="284"/>
      <c r="HPL104" s="284"/>
      <c r="HPM104" s="284"/>
      <c r="HPN104" s="284"/>
      <c r="HPO104" s="284"/>
      <c r="HPP104" s="284"/>
      <c r="HPQ104" s="284"/>
      <c r="HPR104" s="284"/>
      <c r="HPS104" s="284"/>
      <c r="HPT104" s="284"/>
      <c r="HPU104" s="284"/>
      <c r="HPV104" s="284"/>
      <c r="HPW104" s="284"/>
      <c r="HPX104" s="284"/>
      <c r="HPY104" s="284"/>
      <c r="HPZ104" s="284"/>
      <c r="HQA104" s="284"/>
      <c r="HQB104" s="284"/>
      <c r="HQC104" s="284"/>
      <c r="HQD104" s="284"/>
      <c r="HQE104" s="284"/>
      <c r="HQF104" s="284"/>
      <c r="HQG104" s="284"/>
      <c r="HQH104" s="284"/>
      <c r="HQI104" s="284"/>
      <c r="HQJ104" s="284"/>
      <c r="HQK104" s="284"/>
      <c r="HQL104" s="284"/>
      <c r="HQM104" s="284"/>
      <c r="HQN104" s="284"/>
      <c r="HQO104" s="284"/>
      <c r="HQP104" s="284"/>
      <c r="HQQ104" s="284"/>
      <c r="HQR104" s="284"/>
      <c r="HQS104" s="284"/>
      <c r="HQT104" s="284"/>
      <c r="HQU104" s="284"/>
      <c r="HQV104" s="284"/>
      <c r="HQW104" s="284"/>
      <c r="HQX104" s="284"/>
      <c r="HQY104" s="284"/>
      <c r="HQZ104" s="284"/>
      <c r="HRA104" s="284"/>
      <c r="HRB104" s="284"/>
      <c r="HRC104" s="284"/>
      <c r="HRD104" s="284"/>
      <c r="HRE104" s="284"/>
      <c r="HRF104" s="284"/>
      <c r="HRG104" s="284"/>
      <c r="HRH104" s="284"/>
      <c r="HRI104" s="284"/>
      <c r="HRJ104" s="284"/>
      <c r="HRK104" s="284"/>
      <c r="HRL104" s="284"/>
      <c r="HRM104" s="284"/>
      <c r="HRN104" s="284"/>
      <c r="HRO104" s="284"/>
      <c r="HRP104" s="284"/>
      <c r="HRQ104" s="284"/>
      <c r="HRR104" s="284"/>
      <c r="HRS104" s="284"/>
      <c r="HRT104" s="284"/>
      <c r="HRU104" s="284"/>
      <c r="HRV104" s="284"/>
      <c r="HRW104" s="284"/>
      <c r="HRX104" s="284"/>
      <c r="HRY104" s="284"/>
      <c r="HRZ104" s="284"/>
      <c r="HSA104" s="284"/>
      <c r="HSB104" s="284"/>
      <c r="HSC104" s="284"/>
      <c r="HSD104" s="284"/>
      <c r="HSE104" s="284"/>
      <c r="HSF104" s="284"/>
      <c r="HSG104" s="284"/>
      <c r="HSH104" s="284"/>
      <c r="HSI104" s="284"/>
      <c r="HSJ104" s="284"/>
      <c r="HSK104" s="284"/>
      <c r="HSL104" s="284"/>
      <c r="HSM104" s="284"/>
      <c r="HSN104" s="284"/>
      <c r="HSO104" s="284"/>
      <c r="HSP104" s="284"/>
      <c r="HSQ104" s="284"/>
      <c r="HSR104" s="284"/>
      <c r="HSS104" s="284"/>
      <c r="HST104" s="284"/>
      <c r="HSU104" s="284"/>
      <c r="HSV104" s="284"/>
      <c r="HSW104" s="284"/>
      <c r="HSX104" s="284"/>
      <c r="HSY104" s="284"/>
      <c r="HSZ104" s="284"/>
      <c r="HTA104" s="284"/>
      <c r="HTB104" s="284"/>
      <c r="HTC104" s="284"/>
      <c r="HTD104" s="284"/>
      <c r="HTE104" s="284"/>
      <c r="HTF104" s="284"/>
      <c r="HTG104" s="284"/>
      <c r="HTH104" s="284"/>
      <c r="HTI104" s="284"/>
      <c r="HTJ104" s="284"/>
      <c r="HTK104" s="284"/>
      <c r="HTL104" s="284"/>
      <c r="HTM104" s="284"/>
      <c r="HTN104" s="284"/>
      <c r="HTO104" s="284"/>
      <c r="HTP104" s="284"/>
      <c r="HTQ104" s="284"/>
      <c r="HTR104" s="284"/>
      <c r="HTS104" s="284"/>
      <c r="HTT104" s="284"/>
      <c r="HTU104" s="284"/>
      <c r="HTV104" s="284"/>
      <c r="HTW104" s="284"/>
      <c r="HTX104" s="284"/>
      <c r="HTY104" s="284"/>
      <c r="HTZ104" s="284"/>
      <c r="HUA104" s="284"/>
      <c r="HUB104" s="284"/>
      <c r="HUC104" s="284"/>
      <c r="HUD104" s="284"/>
      <c r="HUE104" s="284"/>
      <c r="HUF104" s="284"/>
      <c r="HUG104" s="284"/>
      <c r="HUH104" s="284"/>
      <c r="HUI104" s="284"/>
      <c r="HUJ104" s="284"/>
      <c r="HUK104" s="284"/>
      <c r="HUL104" s="284"/>
      <c r="HUM104" s="284"/>
      <c r="HUN104" s="284"/>
      <c r="HUO104" s="284"/>
      <c r="HUP104" s="284"/>
      <c r="HUQ104" s="284"/>
      <c r="HUR104" s="284"/>
      <c r="HUS104" s="284"/>
      <c r="HUT104" s="284"/>
      <c r="HUU104" s="284"/>
      <c r="HUV104" s="284"/>
      <c r="HUW104" s="284"/>
      <c r="HUX104" s="284"/>
      <c r="HUY104" s="284"/>
      <c r="HUZ104" s="284"/>
      <c r="HVA104" s="284"/>
      <c r="HVB104" s="284"/>
      <c r="HVC104" s="284"/>
      <c r="HVD104" s="284"/>
      <c r="HVE104" s="284"/>
      <c r="HVF104" s="284"/>
      <c r="HVG104" s="284"/>
      <c r="HVH104" s="284"/>
      <c r="HVI104" s="284"/>
      <c r="HVJ104" s="284"/>
      <c r="HVK104" s="284"/>
      <c r="HVL104" s="284"/>
      <c r="HVM104" s="284"/>
      <c r="HVN104" s="284"/>
      <c r="HVO104" s="284"/>
      <c r="HVP104" s="284"/>
      <c r="HVQ104" s="284"/>
      <c r="HVR104" s="284"/>
      <c r="HVS104" s="284"/>
      <c r="HVT104" s="284"/>
      <c r="HVU104" s="284"/>
      <c r="HVV104" s="284"/>
      <c r="HVW104" s="284"/>
      <c r="HVX104" s="284"/>
      <c r="HVY104" s="284"/>
      <c r="HVZ104" s="284"/>
      <c r="HWA104" s="284"/>
      <c r="HWB104" s="284"/>
      <c r="HWC104" s="284"/>
      <c r="HWD104" s="284"/>
      <c r="HWE104" s="284"/>
      <c r="HWF104" s="284"/>
      <c r="HWG104" s="284"/>
      <c r="HWH104" s="284"/>
      <c r="HWI104" s="284"/>
      <c r="HWJ104" s="284"/>
      <c r="HWK104" s="284"/>
      <c r="HWL104" s="284"/>
      <c r="HWM104" s="284"/>
      <c r="HWN104" s="284"/>
      <c r="HWO104" s="284"/>
      <c r="HWP104" s="284"/>
      <c r="HWQ104" s="284"/>
      <c r="HWR104" s="284"/>
      <c r="HWS104" s="284"/>
      <c r="HWT104" s="284"/>
      <c r="HWU104" s="284"/>
      <c r="HWV104" s="284"/>
      <c r="HWW104" s="284"/>
      <c r="HWX104" s="284"/>
      <c r="HWY104" s="284"/>
      <c r="HWZ104" s="284"/>
      <c r="HXA104" s="284"/>
      <c r="HXB104" s="284"/>
      <c r="HXC104" s="284"/>
      <c r="HXD104" s="284"/>
      <c r="HXE104" s="284"/>
      <c r="HXF104" s="284"/>
      <c r="HXG104" s="284"/>
      <c r="HXH104" s="284"/>
      <c r="HXI104" s="284"/>
      <c r="HXJ104" s="284"/>
      <c r="HXK104" s="284"/>
      <c r="HXL104" s="284"/>
      <c r="HXM104" s="284"/>
      <c r="HXN104" s="284"/>
      <c r="HXO104" s="284"/>
      <c r="HXP104" s="284"/>
      <c r="HXQ104" s="284"/>
      <c r="HXR104" s="284"/>
      <c r="HXS104" s="284"/>
      <c r="HXT104" s="284"/>
      <c r="HXU104" s="284"/>
      <c r="HXV104" s="284"/>
      <c r="HXW104" s="284"/>
      <c r="HXX104" s="284"/>
      <c r="HXY104" s="284"/>
      <c r="HXZ104" s="284"/>
      <c r="HYA104" s="284"/>
      <c r="HYB104" s="284"/>
      <c r="HYC104" s="284"/>
      <c r="HYD104" s="284"/>
      <c r="HYE104" s="284"/>
      <c r="HYF104" s="284"/>
      <c r="HYG104" s="284"/>
      <c r="HYH104" s="284"/>
      <c r="HYI104" s="284"/>
      <c r="HYJ104" s="284"/>
      <c r="HYK104" s="284"/>
      <c r="HYL104" s="284"/>
      <c r="HYM104" s="284"/>
      <c r="HYN104" s="284"/>
      <c r="HYO104" s="284"/>
      <c r="HYP104" s="284"/>
      <c r="HYQ104" s="284"/>
      <c r="HYR104" s="284"/>
      <c r="HYS104" s="284"/>
      <c r="HYT104" s="284"/>
      <c r="HYU104" s="284"/>
      <c r="HYV104" s="284"/>
      <c r="HYW104" s="284"/>
      <c r="HYX104" s="284"/>
      <c r="HYY104" s="284"/>
      <c r="HYZ104" s="284"/>
      <c r="HZA104" s="284"/>
      <c r="HZB104" s="284"/>
      <c r="HZC104" s="284"/>
      <c r="HZD104" s="284"/>
      <c r="HZE104" s="284"/>
      <c r="HZF104" s="284"/>
      <c r="HZG104" s="284"/>
      <c r="HZH104" s="284"/>
      <c r="HZI104" s="284"/>
      <c r="HZJ104" s="284"/>
      <c r="HZK104" s="284"/>
      <c r="HZL104" s="284"/>
      <c r="HZM104" s="284"/>
      <c r="HZN104" s="284"/>
      <c r="HZO104" s="284"/>
      <c r="HZP104" s="284"/>
      <c r="HZQ104" s="284"/>
      <c r="HZR104" s="284"/>
      <c r="HZS104" s="284"/>
      <c r="HZT104" s="284"/>
      <c r="HZU104" s="284"/>
      <c r="HZV104" s="284"/>
      <c r="HZW104" s="284"/>
      <c r="HZX104" s="284"/>
      <c r="HZY104" s="284"/>
      <c r="HZZ104" s="284"/>
      <c r="IAA104" s="284"/>
      <c r="IAB104" s="284"/>
      <c r="IAC104" s="284"/>
      <c r="IAD104" s="284"/>
      <c r="IAE104" s="284"/>
      <c r="IAF104" s="284"/>
      <c r="IAG104" s="284"/>
      <c r="IAH104" s="284"/>
      <c r="IAI104" s="284"/>
      <c r="IAJ104" s="284"/>
      <c r="IAK104" s="284"/>
      <c r="IAL104" s="284"/>
      <c r="IAM104" s="284"/>
      <c r="IAN104" s="284"/>
      <c r="IAO104" s="284"/>
      <c r="IAP104" s="284"/>
      <c r="IAQ104" s="284"/>
      <c r="IAR104" s="284"/>
      <c r="IAS104" s="284"/>
      <c r="IAT104" s="284"/>
      <c r="IAU104" s="284"/>
      <c r="IAV104" s="284"/>
      <c r="IAW104" s="284"/>
      <c r="IAX104" s="284"/>
      <c r="IAY104" s="284"/>
      <c r="IAZ104" s="284"/>
      <c r="IBA104" s="284"/>
      <c r="IBB104" s="284"/>
      <c r="IBC104" s="284"/>
      <c r="IBD104" s="284"/>
      <c r="IBE104" s="284"/>
      <c r="IBF104" s="284"/>
      <c r="IBG104" s="284"/>
      <c r="IBH104" s="284"/>
      <c r="IBI104" s="284"/>
      <c r="IBJ104" s="284"/>
      <c r="IBK104" s="284"/>
      <c r="IBL104" s="284"/>
      <c r="IBM104" s="284"/>
      <c r="IBN104" s="284"/>
      <c r="IBO104" s="284"/>
      <c r="IBP104" s="284"/>
      <c r="IBQ104" s="284"/>
      <c r="IBR104" s="284"/>
      <c r="IBS104" s="284"/>
      <c r="IBT104" s="284"/>
      <c r="IBU104" s="284"/>
      <c r="IBV104" s="284"/>
      <c r="IBW104" s="284"/>
      <c r="IBX104" s="284"/>
      <c r="IBY104" s="284"/>
      <c r="IBZ104" s="284"/>
      <c r="ICA104" s="284"/>
      <c r="ICB104" s="284"/>
      <c r="ICC104" s="284"/>
      <c r="ICD104" s="284"/>
      <c r="ICE104" s="284"/>
      <c r="ICF104" s="284"/>
      <c r="ICG104" s="284"/>
      <c r="ICH104" s="284"/>
      <c r="ICI104" s="284"/>
      <c r="ICJ104" s="284"/>
      <c r="ICK104" s="284"/>
      <c r="ICL104" s="284"/>
      <c r="ICM104" s="284"/>
      <c r="ICN104" s="284"/>
      <c r="ICO104" s="284"/>
      <c r="ICP104" s="284"/>
      <c r="ICQ104" s="284"/>
      <c r="ICR104" s="284"/>
      <c r="ICS104" s="284"/>
      <c r="ICT104" s="284"/>
      <c r="ICU104" s="284"/>
      <c r="ICV104" s="284"/>
      <c r="ICW104" s="284"/>
      <c r="ICX104" s="284"/>
      <c r="ICY104" s="284"/>
      <c r="ICZ104" s="284"/>
      <c r="IDA104" s="284"/>
      <c r="IDB104" s="284"/>
      <c r="IDC104" s="284"/>
      <c r="IDD104" s="284"/>
      <c r="IDE104" s="284"/>
      <c r="IDF104" s="284"/>
      <c r="IDG104" s="284"/>
      <c r="IDH104" s="284"/>
      <c r="IDI104" s="284"/>
      <c r="IDJ104" s="284"/>
      <c r="IDK104" s="284"/>
      <c r="IDL104" s="284"/>
      <c r="IDM104" s="284"/>
      <c r="IDN104" s="284"/>
      <c r="IDO104" s="284"/>
      <c r="IDP104" s="284"/>
      <c r="IDQ104" s="284"/>
      <c r="IDR104" s="284"/>
      <c r="IDS104" s="284"/>
      <c r="IDT104" s="284"/>
      <c r="IDU104" s="284"/>
      <c r="IDV104" s="284"/>
      <c r="IDW104" s="284"/>
      <c r="IDX104" s="284"/>
      <c r="IDY104" s="284"/>
      <c r="IDZ104" s="284"/>
      <c r="IEA104" s="284"/>
      <c r="IEB104" s="284"/>
      <c r="IEC104" s="284"/>
      <c r="IED104" s="284"/>
      <c r="IEE104" s="284"/>
      <c r="IEF104" s="284"/>
      <c r="IEG104" s="284"/>
      <c r="IEH104" s="284"/>
      <c r="IEI104" s="284"/>
      <c r="IEJ104" s="284"/>
      <c r="IEK104" s="284"/>
      <c r="IEL104" s="284"/>
      <c r="IEM104" s="284"/>
      <c r="IEN104" s="284"/>
      <c r="IEO104" s="284"/>
      <c r="IEP104" s="284"/>
      <c r="IEQ104" s="284"/>
      <c r="IER104" s="284"/>
      <c r="IES104" s="284"/>
      <c r="IET104" s="284"/>
      <c r="IEU104" s="284"/>
      <c r="IEV104" s="284"/>
      <c r="IEW104" s="284"/>
      <c r="IEX104" s="284"/>
      <c r="IEY104" s="284"/>
      <c r="IEZ104" s="284"/>
      <c r="IFA104" s="284"/>
      <c r="IFB104" s="284"/>
      <c r="IFC104" s="284"/>
      <c r="IFD104" s="284"/>
      <c r="IFE104" s="284"/>
      <c r="IFF104" s="284"/>
      <c r="IFG104" s="284"/>
      <c r="IFH104" s="284"/>
      <c r="IFI104" s="284"/>
      <c r="IFJ104" s="284"/>
      <c r="IFK104" s="284"/>
      <c r="IFL104" s="284"/>
      <c r="IFM104" s="284"/>
      <c r="IFN104" s="284"/>
      <c r="IFO104" s="284"/>
      <c r="IFP104" s="284"/>
      <c r="IFQ104" s="284"/>
      <c r="IFR104" s="284"/>
      <c r="IFS104" s="284"/>
      <c r="IFT104" s="284"/>
      <c r="IFU104" s="284"/>
      <c r="IFV104" s="284"/>
      <c r="IFW104" s="284"/>
      <c r="IFX104" s="284"/>
      <c r="IFY104" s="284"/>
      <c r="IFZ104" s="284"/>
      <c r="IGA104" s="284"/>
      <c r="IGB104" s="284"/>
      <c r="IGC104" s="284"/>
      <c r="IGD104" s="284"/>
      <c r="IGE104" s="284"/>
      <c r="IGF104" s="284"/>
      <c r="IGG104" s="284"/>
      <c r="IGH104" s="284"/>
      <c r="IGI104" s="284"/>
      <c r="IGJ104" s="284"/>
      <c r="IGK104" s="284"/>
      <c r="IGL104" s="284"/>
      <c r="IGM104" s="284"/>
      <c r="IGN104" s="284"/>
      <c r="IGO104" s="284"/>
      <c r="IGP104" s="284"/>
      <c r="IGQ104" s="284"/>
      <c r="IGR104" s="284"/>
      <c r="IGS104" s="284"/>
      <c r="IGT104" s="284"/>
      <c r="IGU104" s="284"/>
      <c r="IGV104" s="284"/>
      <c r="IGW104" s="284"/>
      <c r="IGX104" s="284"/>
      <c r="IGY104" s="284"/>
      <c r="IGZ104" s="284"/>
      <c r="IHA104" s="284"/>
      <c r="IHB104" s="284"/>
      <c r="IHC104" s="284"/>
      <c r="IHD104" s="284"/>
      <c r="IHE104" s="284"/>
      <c r="IHF104" s="284"/>
      <c r="IHG104" s="284"/>
      <c r="IHH104" s="284"/>
      <c r="IHI104" s="284"/>
      <c r="IHJ104" s="284"/>
      <c r="IHK104" s="284"/>
      <c r="IHL104" s="284"/>
      <c r="IHM104" s="284"/>
      <c r="IHN104" s="284"/>
      <c r="IHO104" s="284"/>
      <c r="IHP104" s="284"/>
      <c r="IHQ104" s="284"/>
      <c r="IHR104" s="284"/>
      <c r="IHS104" s="284"/>
      <c r="IHT104" s="284"/>
      <c r="IHU104" s="284"/>
      <c r="IHV104" s="284"/>
      <c r="IHW104" s="284"/>
      <c r="IHX104" s="284"/>
      <c r="IHY104" s="284"/>
      <c r="IHZ104" s="284"/>
      <c r="IIA104" s="284"/>
      <c r="IIB104" s="284"/>
      <c r="IIC104" s="284"/>
      <c r="IID104" s="284"/>
      <c r="IIE104" s="284"/>
      <c r="IIF104" s="284"/>
      <c r="IIG104" s="284"/>
      <c r="IIH104" s="284"/>
      <c r="III104" s="284"/>
      <c r="IIJ104" s="284"/>
      <c r="IIK104" s="284"/>
      <c r="IIL104" s="284"/>
      <c r="IIM104" s="284"/>
      <c r="IIN104" s="284"/>
      <c r="IIO104" s="284"/>
      <c r="IIP104" s="284"/>
      <c r="IIQ104" s="284"/>
      <c r="IIR104" s="284"/>
      <c r="IIS104" s="284"/>
      <c r="IIT104" s="284"/>
      <c r="IIU104" s="284"/>
      <c r="IIV104" s="284"/>
      <c r="IIW104" s="284"/>
      <c r="IIX104" s="284"/>
      <c r="IIY104" s="284"/>
      <c r="IIZ104" s="284"/>
      <c r="IJA104" s="284"/>
      <c r="IJB104" s="284"/>
      <c r="IJC104" s="284"/>
      <c r="IJD104" s="284"/>
      <c r="IJE104" s="284"/>
      <c r="IJF104" s="284"/>
      <c r="IJG104" s="284"/>
      <c r="IJH104" s="284"/>
      <c r="IJI104" s="284"/>
      <c r="IJJ104" s="284"/>
      <c r="IJK104" s="284"/>
      <c r="IJL104" s="284"/>
      <c r="IJM104" s="284"/>
      <c r="IJN104" s="284"/>
      <c r="IJO104" s="284"/>
      <c r="IJP104" s="284"/>
      <c r="IJQ104" s="284"/>
      <c r="IJR104" s="284"/>
      <c r="IJS104" s="284"/>
      <c r="IJT104" s="284"/>
      <c r="IJU104" s="284"/>
      <c r="IJV104" s="284"/>
      <c r="IJW104" s="284"/>
      <c r="IJX104" s="284"/>
      <c r="IJY104" s="284"/>
      <c r="IJZ104" s="284"/>
      <c r="IKA104" s="284"/>
      <c r="IKB104" s="284"/>
      <c r="IKC104" s="284"/>
      <c r="IKD104" s="284"/>
      <c r="IKE104" s="284"/>
      <c r="IKF104" s="284"/>
      <c r="IKG104" s="284"/>
      <c r="IKH104" s="284"/>
      <c r="IKI104" s="284"/>
      <c r="IKJ104" s="284"/>
      <c r="IKK104" s="284"/>
      <c r="IKL104" s="284"/>
      <c r="IKM104" s="284"/>
      <c r="IKN104" s="284"/>
      <c r="IKO104" s="284"/>
      <c r="IKP104" s="284"/>
      <c r="IKQ104" s="284"/>
      <c r="IKR104" s="284"/>
      <c r="IKS104" s="284"/>
      <c r="IKT104" s="284"/>
      <c r="IKU104" s="284"/>
      <c r="IKV104" s="284"/>
      <c r="IKW104" s="284"/>
      <c r="IKX104" s="284"/>
      <c r="IKY104" s="284"/>
      <c r="IKZ104" s="284"/>
      <c r="ILA104" s="284"/>
      <c r="ILB104" s="284"/>
      <c r="ILC104" s="284"/>
      <c r="ILD104" s="284"/>
      <c r="ILE104" s="284"/>
      <c r="ILF104" s="284"/>
      <c r="ILG104" s="284"/>
      <c r="ILH104" s="284"/>
      <c r="ILI104" s="284"/>
      <c r="ILJ104" s="284"/>
      <c r="ILK104" s="284"/>
      <c r="ILL104" s="284"/>
      <c r="ILM104" s="284"/>
      <c r="ILN104" s="284"/>
      <c r="ILO104" s="284"/>
      <c r="ILP104" s="284"/>
      <c r="ILQ104" s="284"/>
      <c r="ILR104" s="284"/>
      <c r="ILS104" s="284"/>
      <c r="ILT104" s="284"/>
      <c r="ILU104" s="284"/>
      <c r="ILV104" s="284"/>
      <c r="ILW104" s="284"/>
      <c r="ILX104" s="284"/>
      <c r="ILY104" s="284"/>
      <c r="ILZ104" s="284"/>
      <c r="IMA104" s="284"/>
      <c r="IMB104" s="284"/>
      <c r="IMC104" s="284"/>
      <c r="IMD104" s="284"/>
      <c r="IME104" s="284"/>
      <c r="IMF104" s="284"/>
      <c r="IMG104" s="284"/>
      <c r="IMH104" s="284"/>
      <c r="IMI104" s="284"/>
      <c r="IMJ104" s="284"/>
      <c r="IMK104" s="284"/>
      <c r="IML104" s="284"/>
      <c r="IMM104" s="284"/>
      <c r="IMN104" s="284"/>
      <c r="IMO104" s="284"/>
      <c r="IMP104" s="284"/>
      <c r="IMQ104" s="284"/>
      <c r="IMR104" s="284"/>
      <c r="IMS104" s="284"/>
      <c r="IMT104" s="284"/>
      <c r="IMU104" s="284"/>
      <c r="IMV104" s="284"/>
      <c r="IMW104" s="284"/>
      <c r="IMX104" s="284"/>
      <c r="IMY104" s="284"/>
      <c r="IMZ104" s="284"/>
      <c r="INA104" s="284"/>
      <c r="INB104" s="284"/>
      <c r="INC104" s="284"/>
      <c r="IND104" s="284"/>
      <c r="INE104" s="284"/>
      <c r="INF104" s="284"/>
      <c r="ING104" s="284"/>
      <c r="INH104" s="284"/>
      <c r="INI104" s="284"/>
      <c r="INJ104" s="284"/>
      <c r="INK104" s="284"/>
      <c r="INL104" s="284"/>
      <c r="INM104" s="284"/>
      <c r="INN104" s="284"/>
      <c r="INO104" s="284"/>
      <c r="INP104" s="284"/>
      <c r="INQ104" s="284"/>
      <c r="INR104" s="284"/>
      <c r="INS104" s="284"/>
      <c r="INT104" s="284"/>
      <c r="INU104" s="284"/>
      <c r="INV104" s="284"/>
      <c r="INW104" s="284"/>
      <c r="INX104" s="284"/>
      <c r="INY104" s="284"/>
      <c r="INZ104" s="284"/>
      <c r="IOA104" s="284"/>
      <c r="IOB104" s="284"/>
      <c r="IOC104" s="284"/>
      <c r="IOD104" s="284"/>
      <c r="IOE104" s="284"/>
      <c r="IOF104" s="284"/>
      <c r="IOG104" s="284"/>
      <c r="IOH104" s="284"/>
      <c r="IOI104" s="284"/>
      <c r="IOJ104" s="284"/>
      <c r="IOK104" s="284"/>
      <c r="IOL104" s="284"/>
      <c r="IOM104" s="284"/>
      <c r="ION104" s="284"/>
      <c r="IOO104" s="284"/>
      <c r="IOP104" s="284"/>
      <c r="IOQ104" s="284"/>
      <c r="IOR104" s="284"/>
      <c r="IOS104" s="284"/>
      <c r="IOT104" s="284"/>
      <c r="IOU104" s="284"/>
      <c r="IOV104" s="284"/>
      <c r="IOW104" s="284"/>
      <c r="IOX104" s="284"/>
      <c r="IOY104" s="284"/>
      <c r="IOZ104" s="284"/>
      <c r="IPA104" s="284"/>
      <c r="IPB104" s="284"/>
      <c r="IPC104" s="284"/>
      <c r="IPD104" s="284"/>
      <c r="IPE104" s="284"/>
      <c r="IPF104" s="284"/>
      <c r="IPG104" s="284"/>
      <c r="IPH104" s="284"/>
      <c r="IPI104" s="284"/>
      <c r="IPJ104" s="284"/>
      <c r="IPK104" s="284"/>
      <c r="IPL104" s="284"/>
      <c r="IPM104" s="284"/>
      <c r="IPN104" s="284"/>
      <c r="IPO104" s="284"/>
      <c r="IPP104" s="284"/>
      <c r="IPQ104" s="284"/>
      <c r="IPR104" s="284"/>
      <c r="IPS104" s="284"/>
      <c r="IPT104" s="284"/>
      <c r="IPU104" s="284"/>
      <c r="IPV104" s="284"/>
      <c r="IPW104" s="284"/>
      <c r="IPX104" s="284"/>
      <c r="IPY104" s="284"/>
      <c r="IPZ104" s="284"/>
      <c r="IQA104" s="284"/>
      <c r="IQB104" s="284"/>
      <c r="IQC104" s="284"/>
      <c r="IQD104" s="284"/>
      <c r="IQE104" s="284"/>
      <c r="IQF104" s="284"/>
      <c r="IQG104" s="284"/>
      <c r="IQH104" s="284"/>
      <c r="IQI104" s="284"/>
      <c r="IQJ104" s="284"/>
      <c r="IQK104" s="284"/>
      <c r="IQL104" s="284"/>
      <c r="IQM104" s="284"/>
      <c r="IQN104" s="284"/>
      <c r="IQO104" s="284"/>
      <c r="IQP104" s="284"/>
      <c r="IQQ104" s="284"/>
      <c r="IQR104" s="284"/>
      <c r="IQS104" s="284"/>
      <c r="IQT104" s="284"/>
      <c r="IQU104" s="284"/>
      <c r="IQV104" s="284"/>
      <c r="IQW104" s="284"/>
      <c r="IQX104" s="284"/>
      <c r="IQY104" s="284"/>
      <c r="IQZ104" s="284"/>
      <c r="IRA104" s="284"/>
      <c r="IRB104" s="284"/>
      <c r="IRC104" s="284"/>
      <c r="IRD104" s="284"/>
      <c r="IRE104" s="284"/>
      <c r="IRF104" s="284"/>
      <c r="IRG104" s="284"/>
      <c r="IRH104" s="284"/>
      <c r="IRI104" s="284"/>
      <c r="IRJ104" s="284"/>
      <c r="IRK104" s="284"/>
      <c r="IRL104" s="284"/>
      <c r="IRM104" s="284"/>
      <c r="IRN104" s="284"/>
      <c r="IRO104" s="284"/>
      <c r="IRP104" s="284"/>
      <c r="IRQ104" s="284"/>
      <c r="IRR104" s="284"/>
      <c r="IRS104" s="284"/>
      <c r="IRT104" s="284"/>
      <c r="IRU104" s="284"/>
      <c r="IRV104" s="284"/>
      <c r="IRW104" s="284"/>
      <c r="IRX104" s="284"/>
      <c r="IRY104" s="284"/>
      <c r="IRZ104" s="284"/>
      <c r="ISA104" s="284"/>
      <c r="ISB104" s="284"/>
      <c r="ISC104" s="284"/>
      <c r="ISD104" s="284"/>
      <c r="ISE104" s="284"/>
      <c r="ISF104" s="284"/>
      <c r="ISG104" s="284"/>
      <c r="ISH104" s="284"/>
      <c r="ISI104" s="284"/>
      <c r="ISJ104" s="284"/>
      <c r="ISK104" s="284"/>
      <c r="ISL104" s="284"/>
      <c r="ISM104" s="284"/>
      <c r="ISN104" s="284"/>
      <c r="ISO104" s="284"/>
      <c r="ISP104" s="284"/>
      <c r="ISQ104" s="284"/>
      <c r="ISR104" s="284"/>
      <c r="ISS104" s="284"/>
      <c r="IST104" s="284"/>
      <c r="ISU104" s="284"/>
      <c r="ISV104" s="284"/>
      <c r="ISW104" s="284"/>
      <c r="ISX104" s="284"/>
      <c r="ISY104" s="284"/>
      <c r="ISZ104" s="284"/>
      <c r="ITA104" s="284"/>
      <c r="ITB104" s="284"/>
      <c r="ITC104" s="284"/>
      <c r="ITD104" s="284"/>
      <c r="ITE104" s="284"/>
      <c r="ITF104" s="284"/>
      <c r="ITG104" s="284"/>
      <c r="ITH104" s="284"/>
      <c r="ITI104" s="284"/>
      <c r="ITJ104" s="284"/>
      <c r="ITK104" s="284"/>
      <c r="ITL104" s="284"/>
      <c r="ITM104" s="284"/>
      <c r="ITN104" s="284"/>
      <c r="ITO104" s="284"/>
      <c r="ITP104" s="284"/>
      <c r="ITQ104" s="284"/>
      <c r="ITR104" s="284"/>
      <c r="ITS104" s="284"/>
      <c r="ITT104" s="284"/>
      <c r="ITU104" s="284"/>
      <c r="ITV104" s="284"/>
      <c r="ITW104" s="284"/>
      <c r="ITX104" s="284"/>
      <c r="ITY104" s="284"/>
      <c r="ITZ104" s="284"/>
      <c r="IUA104" s="284"/>
      <c r="IUB104" s="284"/>
      <c r="IUC104" s="284"/>
      <c r="IUD104" s="284"/>
      <c r="IUE104" s="284"/>
      <c r="IUF104" s="284"/>
      <c r="IUG104" s="284"/>
      <c r="IUH104" s="284"/>
      <c r="IUI104" s="284"/>
      <c r="IUJ104" s="284"/>
      <c r="IUK104" s="284"/>
      <c r="IUL104" s="284"/>
      <c r="IUM104" s="284"/>
      <c r="IUN104" s="284"/>
      <c r="IUO104" s="284"/>
      <c r="IUP104" s="284"/>
      <c r="IUQ104" s="284"/>
      <c r="IUR104" s="284"/>
      <c r="IUS104" s="284"/>
      <c r="IUT104" s="284"/>
      <c r="IUU104" s="284"/>
      <c r="IUV104" s="284"/>
      <c r="IUW104" s="284"/>
      <c r="IUX104" s="284"/>
      <c r="IUY104" s="284"/>
      <c r="IUZ104" s="284"/>
      <c r="IVA104" s="284"/>
      <c r="IVB104" s="284"/>
      <c r="IVC104" s="284"/>
      <c r="IVD104" s="284"/>
      <c r="IVE104" s="284"/>
      <c r="IVF104" s="284"/>
      <c r="IVG104" s="284"/>
      <c r="IVH104" s="284"/>
      <c r="IVI104" s="284"/>
      <c r="IVJ104" s="284"/>
      <c r="IVK104" s="284"/>
      <c r="IVL104" s="284"/>
      <c r="IVM104" s="284"/>
      <c r="IVN104" s="284"/>
      <c r="IVO104" s="284"/>
      <c r="IVP104" s="284"/>
      <c r="IVQ104" s="284"/>
      <c r="IVR104" s="284"/>
      <c r="IVS104" s="284"/>
      <c r="IVT104" s="284"/>
      <c r="IVU104" s="284"/>
      <c r="IVV104" s="284"/>
      <c r="IVW104" s="284"/>
      <c r="IVX104" s="284"/>
      <c r="IVY104" s="284"/>
      <c r="IVZ104" s="284"/>
      <c r="IWA104" s="284"/>
      <c r="IWB104" s="284"/>
      <c r="IWC104" s="284"/>
      <c r="IWD104" s="284"/>
      <c r="IWE104" s="284"/>
      <c r="IWF104" s="284"/>
      <c r="IWG104" s="284"/>
      <c r="IWH104" s="284"/>
      <c r="IWI104" s="284"/>
      <c r="IWJ104" s="284"/>
      <c r="IWK104" s="284"/>
      <c r="IWL104" s="284"/>
      <c r="IWM104" s="284"/>
      <c r="IWN104" s="284"/>
      <c r="IWO104" s="284"/>
      <c r="IWP104" s="284"/>
      <c r="IWQ104" s="284"/>
      <c r="IWR104" s="284"/>
      <c r="IWS104" s="284"/>
      <c r="IWT104" s="284"/>
      <c r="IWU104" s="284"/>
      <c r="IWV104" s="284"/>
      <c r="IWW104" s="284"/>
      <c r="IWX104" s="284"/>
      <c r="IWY104" s="284"/>
      <c r="IWZ104" s="284"/>
      <c r="IXA104" s="284"/>
      <c r="IXB104" s="284"/>
      <c r="IXC104" s="284"/>
      <c r="IXD104" s="284"/>
      <c r="IXE104" s="284"/>
      <c r="IXF104" s="284"/>
      <c r="IXG104" s="284"/>
      <c r="IXH104" s="284"/>
      <c r="IXI104" s="284"/>
      <c r="IXJ104" s="284"/>
      <c r="IXK104" s="284"/>
      <c r="IXL104" s="284"/>
      <c r="IXM104" s="284"/>
      <c r="IXN104" s="284"/>
      <c r="IXO104" s="284"/>
      <c r="IXP104" s="284"/>
      <c r="IXQ104" s="284"/>
      <c r="IXR104" s="284"/>
      <c r="IXS104" s="284"/>
      <c r="IXT104" s="284"/>
      <c r="IXU104" s="284"/>
      <c r="IXV104" s="284"/>
      <c r="IXW104" s="284"/>
      <c r="IXX104" s="284"/>
      <c r="IXY104" s="284"/>
      <c r="IXZ104" s="284"/>
      <c r="IYA104" s="284"/>
      <c r="IYB104" s="284"/>
      <c r="IYC104" s="284"/>
      <c r="IYD104" s="284"/>
      <c r="IYE104" s="284"/>
      <c r="IYF104" s="284"/>
      <c r="IYG104" s="284"/>
      <c r="IYH104" s="284"/>
      <c r="IYI104" s="284"/>
      <c r="IYJ104" s="284"/>
      <c r="IYK104" s="284"/>
      <c r="IYL104" s="284"/>
      <c r="IYM104" s="284"/>
      <c r="IYN104" s="284"/>
      <c r="IYO104" s="284"/>
      <c r="IYP104" s="284"/>
      <c r="IYQ104" s="284"/>
      <c r="IYR104" s="284"/>
      <c r="IYS104" s="284"/>
      <c r="IYT104" s="284"/>
      <c r="IYU104" s="284"/>
      <c r="IYV104" s="284"/>
      <c r="IYW104" s="284"/>
      <c r="IYX104" s="284"/>
      <c r="IYY104" s="284"/>
      <c r="IYZ104" s="284"/>
      <c r="IZA104" s="284"/>
      <c r="IZB104" s="284"/>
      <c r="IZC104" s="284"/>
      <c r="IZD104" s="284"/>
      <c r="IZE104" s="284"/>
      <c r="IZF104" s="284"/>
      <c r="IZG104" s="284"/>
      <c r="IZH104" s="284"/>
      <c r="IZI104" s="284"/>
      <c r="IZJ104" s="284"/>
      <c r="IZK104" s="284"/>
      <c r="IZL104" s="284"/>
      <c r="IZM104" s="284"/>
      <c r="IZN104" s="284"/>
      <c r="IZO104" s="284"/>
      <c r="IZP104" s="284"/>
      <c r="IZQ104" s="284"/>
      <c r="IZR104" s="284"/>
      <c r="IZS104" s="284"/>
      <c r="IZT104" s="284"/>
      <c r="IZU104" s="284"/>
      <c r="IZV104" s="284"/>
      <c r="IZW104" s="284"/>
      <c r="IZX104" s="284"/>
      <c r="IZY104" s="284"/>
      <c r="IZZ104" s="284"/>
      <c r="JAA104" s="284"/>
      <c r="JAB104" s="284"/>
      <c r="JAC104" s="284"/>
      <c r="JAD104" s="284"/>
      <c r="JAE104" s="284"/>
      <c r="JAF104" s="284"/>
      <c r="JAG104" s="284"/>
      <c r="JAH104" s="284"/>
      <c r="JAI104" s="284"/>
      <c r="JAJ104" s="284"/>
      <c r="JAK104" s="284"/>
      <c r="JAL104" s="284"/>
      <c r="JAM104" s="284"/>
      <c r="JAN104" s="284"/>
      <c r="JAO104" s="284"/>
      <c r="JAP104" s="284"/>
      <c r="JAQ104" s="284"/>
      <c r="JAR104" s="284"/>
      <c r="JAS104" s="284"/>
      <c r="JAT104" s="284"/>
      <c r="JAU104" s="284"/>
      <c r="JAV104" s="284"/>
      <c r="JAW104" s="284"/>
      <c r="JAX104" s="284"/>
      <c r="JAY104" s="284"/>
      <c r="JAZ104" s="284"/>
      <c r="JBA104" s="284"/>
      <c r="JBB104" s="284"/>
      <c r="JBC104" s="284"/>
      <c r="JBD104" s="284"/>
      <c r="JBE104" s="284"/>
      <c r="JBF104" s="284"/>
      <c r="JBG104" s="284"/>
      <c r="JBH104" s="284"/>
      <c r="JBI104" s="284"/>
      <c r="JBJ104" s="284"/>
      <c r="JBK104" s="284"/>
      <c r="JBL104" s="284"/>
      <c r="JBM104" s="284"/>
      <c r="JBN104" s="284"/>
      <c r="JBO104" s="284"/>
      <c r="JBP104" s="284"/>
      <c r="JBQ104" s="284"/>
      <c r="JBR104" s="284"/>
      <c r="JBS104" s="284"/>
      <c r="JBT104" s="284"/>
      <c r="JBU104" s="284"/>
      <c r="JBV104" s="284"/>
      <c r="JBW104" s="284"/>
      <c r="JBX104" s="284"/>
      <c r="JBY104" s="284"/>
      <c r="JBZ104" s="284"/>
      <c r="JCA104" s="284"/>
      <c r="JCB104" s="284"/>
      <c r="JCC104" s="284"/>
      <c r="JCD104" s="284"/>
      <c r="JCE104" s="284"/>
      <c r="JCF104" s="284"/>
      <c r="JCG104" s="284"/>
      <c r="JCH104" s="284"/>
      <c r="JCI104" s="284"/>
      <c r="JCJ104" s="284"/>
      <c r="JCK104" s="284"/>
      <c r="JCL104" s="284"/>
      <c r="JCM104" s="284"/>
      <c r="JCN104" s="284"/>
      <c r="JCO104" s="284"/>
      <c r="JCP104" s="284"/>
      <c r="JCQ104" s="284"/>
      <c r="JCR104" s="284"/>
      <c r="JCS104" s="284"/>
      <c r="JCT104" s="284"/>
      <c r="JCU104" s="284"/>
      <c r="JCV104" s="284"/>
      <c r="JCW104" s="284"/>
      <c r="JCX104" s="284"/>
      <c r="JCY104" s="284"/>
      <c r="JCZ104" s="284"/>
      <c r="JDA104" s="284"/>
      <c r="JDB104" s="284"/>
      <c r="JDC104" s="284"/>
      <c r="JDD104" s="284"/>
      <c r="JDE104" s="284"/>
      <c r="JDF104" s="284"/>
      <c r="JDG104" s="284"/>
      <c r="JDH104" s="284"/>
      <c r="JDI104" s="284"/>
      <c r="JDJ104" s="284"/>
      <c r="JDK104" s="284"/>
      <c r="JDL104" s="284"/>
      <c r="JDM104" s="284"/>
      <c r="JDN104" s="284"/>
      <c r="JDO104" s="284"/>
      <c r="JDP104" s="284"/>
      <c r="JDQ104" s="284"/>
      <c r="JDR104" s="284"/>
      <c r="JDS104" s="284"/>
      <c r="JDT104" s="284"/>
      <c r="JDU104" s="284"/>
      <c r="JDV104" s="284"/>
      <c r="JDW104" s="284"/>
      <c r="JDX104" s="284"/>
      <c r="JDY104" s="284"/>
      <c r="JDZ104" s="284"/>
      <c r="JEA104" s="284"/>
      <c r="JEB104" s="284"/>
      <c r="JEC104" s="284"/>
      <c r="JED104" s="284"/>
      <c r="JEE104" s="284"/>
      <c r="JEF104" s="284"/>
      <c r="JEG104" s="284"/>
      <c r="JEH104" s="284"/>
      <c r="JEI104" s="284"/>
      <c r="JEJ104" s="284"/>
      <c r="JEK104" s="284"/>
      <c r="JEL104" s="284"/>
      <c r="JEM104" s="284"/>
      <c r="JEN104" s="284"/>
      <c r="JEO104" s="284"/>
      <c r="JEP104" s="284"/>
      <c r="JEQ104" s="284"/>
      <c r="JER104" s="284"/>
      <c r="JES104" s="284"/>
      <c r="JET104" s="284"/>
      <c r="JEU104" s="284"/>
      <c r="JEV104" s="284"/>
      <c r="JEW104" s="284"/>
      <c r="JEX104" s="284"/>
      <c r="JEY104" s="284"/>
      <c r="JEZ104" s="284"/>
      <c r="JFA104" s="284"/>
      <c r="JFB104" s="284"/>
      <c r="JFC104" s="284"/>
      <c r="JFD104" s="284"/>
      <c r="JFE104" s="284"/>
      <c r="JFF104" s="284"/>
      <c r="JFG104" s="284"/>
      <c r="JFH104" s="284"/>
      <c r="JFI104" s="284"/>
      <c r="JFJ104" s="284"/>
      <c r="JFK104" s="284"/>
      <c r="JFL104" s="284"/>
      <c r="JFM104" s="284"/>
      <c r="JFN104" s="284"/>
      <c r="JFO104" s="284"/>
      <c r="JFP104" s="284"/>
      <c r="JFQ104" s="284"/>
      <c r="JFR104" s="284"/>
      <c r="JFS104" s="284"/>
      <c r="JFT104" s="284"/>
      <c r="JFU104" s="284"/>
      <c r="JFV104" s="284"/>
      <c r="JFW104" s="284"/>
      <c r="JFX104" s="284"/>
      <c r="JFY104" s="284"/>
      <c r="JFZ104" s="284"/>
      <c r="JGA104" s="284"/>
      <c r="JGB104" s="284"/>
      <c r="JGC104" s="284"/>
      <c r="JGD104" s="284"/>
      <c r="JGE104" s="284"/>
      <c r="JGF104" s="284"/>
      <c r="JGG104" s="284"/>
      <c r="JGH104" s="284"/>
      <c r="JGI104" s="284"/>
      <c r="JGJ104" s="284"/>
      <c r="JGK104" s="284"/>
      <c r="JGL104" s="284"/>
      <c r="JGM104" s="284"/>
      <c r="JGN104" s="284"/>
      <c r="JGO104" s="284"/>
      <c r="JGP104" s="284"/>
      <c r="JGQ104" s="284"/>
      <c r="JGR104" s="284"/>
      <c r="JGS104" s="284"/>
      <c r="JGT104" s="284"/>
      <c r="JGU104" s="284"/>
      <c r="JGV104" s="284"/>
      <c r="JGW104" s="284"/>
      <c r="JGX104" s="284"/>
      <c r="JGY104" s="284"/>
      <c r="JGZ104" s="284"/>
      <c r="JHA104" s="284"/>
      <c r="JHB104" s="284"/>
      <c r="JHC104" s="284"/>
      <c r="JHD104" s="284"/>
      <c r="JHE104" s="284"/>
      <c r="JHF104" s="284"/>
      <c r="JHG104" s="284"/>
      <c r="JHH104" s="284"/>
      <c r="JHI104" s="284"/>
      <c r="JHJ104" s="284"/>
      <c r="JHK104" s="284"/>
      <c r="JHL104" s="284"/>
      <c r="JHM104" s="284"/>
      <c r="JHN104" s="284"/>
      <c r="JHO104" s="284"/>
      <c r="JHP104" s="284"/>
      <c r="JHQ104" s="284"/>
      <c r="JHR104" s="284"/>
      <c r="JHS104" s="284"/>
      <c r="JHT104" s="284"/>
      <c r="JHU104" s="284"/>
      <c r="JHV104" s="284"/>
      <c r="JHW104" s="284"/>
      <c r="JHX104" s="284"/>
      <c r="JHY104" s="284"/>
      <c r="JHZ104" s="284"/>
      <c r="JIA104" s="284"/>
      <c r="JIB104" s="284"/>
      <c r="JIC104" s="284"/>
      <c r="JID104" s="284"/>
      <c r="JIE104" s="284"/>
      <c r="JIF104" s="284"/>
      <c r="JIG104" s="284"/>
      <c r="JIH104" s="284"/>
      <c r="JII104" s="284"/>
      <c r="JIJ104" s="284"/>
      <c r="JIK104" s="284"/>
      <c r="JIL104" s="284"/>
      <c r="JIM104" s="284"/>
      <c r="JIN104" s="284"/>
      <c r="JIO104" s="284"/>
      <c r="JIP104" s="284"/>
      <c r="JIQ104" s="284"/>
      <c r="JIR104" s="284"/>
      <c r="JIS104" s="284"/>
      <c r="JIT104" s="284"/>
      <c r="JIU104" s="284"/>
      <c r="JIV104" s="284"/>
      <c r="JIW104" s="284"/>
      <c r="JIX104" s="284"/>
      <c r="JIY104" s="284"/>
      <c r="JIZ104" s="284"/>
      <c r="JJA104" s="284"/>
      <c r="JJB104" s="284"/>
      <c r="JJC104" s="284"/>
      <c r="JJD104" s="284"/>
      <c r="JJE104" s="284"/>
      <c r="JJF104" s="284"/>
      <c r="JJG104" s="284"/>
      <c r="JJH104" s="284"/>
      <c r="JJI104" s="284"/>
      <c r="JJJ104" s="284"/>
      <c r="JJK104" s="284"/>
      <c r="JJL104" s="284"/>
      <c r="JJM104" s="284"/>
      <c r="JJN104" s="284"/>
      <c r="JJO104" s="284"/>
      <c r="JJP104" s="284"/>
      <c r="JJQ104" s="284"/>
      <c r="JJR104" s="284"/>
      <c r="JJS104" s="284"/>
      <c r="JJT104" s="284"/>
      <c r="JJU104" s="284"/>
      <c r="JJV104" s="284"/>
      <c r="JJW104" s="284"/>
      <c r="JJX104" s="284"/>
      <c r="JJY104" s="284"/>
      <c r="JJZ104" s="284"/>
      <c r="JKA104" s="284"/>
      <c r="JKB104" s="284"/>
      <c r="JKC104" s="284"/>
      <c r="JKD104" s="284"/>
      <c r="JKE104" s="284"/>
      <c r="JKF104" s="284"/>
      <c r="JKG104" s="284"/>
      <c r="JKH104" s="284"/>
      <c r="JKI104" s="284"/>
      <c r="JKJ104" s="284"/>
      <c r="JKK104" s="284"/>
      <c r="JKL104" s="284"/>
      <c r="JKM104" s="284"/>
      <c r="JKN104" s="284"/>
      <c r="JKO104" s="284"/>
      <c r="JKP104" s="284"/>
      <c r="JKQ104" s="284"/>
      <c r="JKR104" s="284"/>
      <c r="JKS104" s="284"/>
      <c r="JKT104" s="284"/>
      <c r="JKU104" s="284"/>
      <c r="JKV104" s="284"/>
      <c r="JKW104" s="284"/>
      <c r="JKX104" s="284"/>
      <c r="JKY104" s="284"/>
      <c r="JKZ104" s="284"/>
      <c r="JLA104" s="284"/>
      <c r="JLB104" s="284"/>
      <c r="JLC104" s="284"/>
      <c r="JLD104" s="284"/>
      <c r="JLE104" s="284"/>
      <c r="JLF104" s="284"/>
      <c r="JLG104" s="284"/>
      <c r="JLH104" s="284"/>
      <c r="JLI104" s="284"/>
      <c r="JLJ104" s="284"/>
      <c r="JLK104" s="284"/>
      <c r="JLL104" s="284"/>
      <c r="JLM104" s="284"/>
      <c r="JLN104" s="284"/>
      <c r="JLO104" s="284"/>
      <c r="JLP104" s="284"/>
      <c r="JLQ104" s="284"/>
      <c r="JLR104" s="284"/>
      <c r="JLS104" s="284"/>
      <c r="JLT104" s="284"/>
      <c r="JLU104" s="284"/>
      <c r="JLV104" s="284"/>
      <c r="JLW104" s="284"/>
      <c r="JLX104" s="284"/>
      <c r="JLY104" s="284"/>
      <c r="JLZ104" s="284"/>
      <c r="JMA104" s="284"/>
      <c r="JMB104" s="284"/>
      <c r="JMC104" s="284"/>
      <c r="JMD104" s="284"/>
      <c r="JME104" s="284"/>
      <c r="JMF104" s="284"/>
      <c r="JMG104" s="284"/>
      <c r="JMH104" s="284"/>
      <c r="JMI104" s="284"/>
      <c r="JMJ104" s="284"/>
      <c r="JMK104" s="284"/>
      <c r="JML104" s="284"/>
      <c r="JMM104" s="284"/>
      <c r="JMN104" s="284"/>
      <c r="JMO104" s="284"/>
      <c r="JMP104" s="284"/>
      <c r="JMQ104" s="284"/>
      <c r="JMR104" s="284"/>
      <c r="JMS104" s="284"/>
      <c r="JMT104" s="284"/>
      <c r="JMU104" s="284"/>
      <c r="JMV104" s="284"/>
      <c r="JMW104" s="284"/>
      <c r="JMX104" s="284"/>
      <c r="JMY104" s="284"/>
      <c r="JMZ104" s="284"/>
      <c r="JNA104" s="284"/>
      <c r="JNB104" s="284"/>
      <c r="JNC104" s="284"/>
      <c r="JND104" s="284"/>
      <c r="JNE104" s="284"/>
      <c r="JNF104" s="284"/>
      <c r="JNG104" s="284"/>
      <c r="JNH104" s="284"/>
      <c r="JNI104" s="284"/>
      <c r="JNJ104" s="284"/>
      <c r="JNK104" s="284"/>
      <c r="JNL104" s="284"/>
      <c r="JNM104" s="284"/>
      <c r="JNN104" s="284"/>
      <c r="JNO104" s="284"/>
      <c r="JNP104" s="284"/>
      <c r="JNQ104" s="284"/>
      <c r="JNR104" s="284"/>
      <c r="JNS104" s="284"/>
      <c r="JNT104" s="284"/>
      <c r="JNU104" s="284"/>
      <c r="JNV104" s="284"/>
      <c r="JNW104" s="284"/>
      <c r="JNX104" s="284"/>
      <c r="JNY104" s="284"/>
      <c r="JNZ104" s="284"/>
      <c r="JOA104" s="284"/>
      <c r="JOB104" s="284"/>
      <c r="JOC104" s="284"/>
      <c r="JOD104" s="284"/>
      <c r="JOE104" s="284"/>
      <c r="JOF104" s="284"/>
      <c r="JOG104" s="284"/>
      <c r="JOH104" s="284"/>
      <c r="JOI104" s="284"/>
      <c r="JOJ104" s="284"/>
      <c r="JOK104" s="284"/>
      <c r="JOL104" s="284"/>
      <c r="JOM104" s="284"/>
      <c r="JON104" s="284"/>
      <c r="JOO104" s="284"/>
      <c r="JOP104" s="284"/>
      <c r="JOQ104" s="284"/>
      <c r="JOR104" s="284"/>
      <c r="JOS104" s="284"/>
      <c r="JOT104" s="284"/>
      <c r="JOU104" s="284"/>
      <c r="JOV104" s="284"/>
      <c r="JOW104" s="284"/>
      <c r="JOX104" s="284"/>
      <c r="JOY104" s="284"/>
      <c r="JOZ104" s="284"/>
      <c r="JPA104" s="284"/>
      <c r="JPB104" s="284"/>
      <c r="JPC104" s="284"/>
      <c r="JPD104" s="284"/>
      <c r="JPE104" s="284"/>
      <c r="JPF104" s="284"/>
      <c r="JPG104" s="284"/>
      <c r="JPH104" s="284"/>
      <c r="JPI104" s="284"/>
      <c r="JPJ104" s="284"/>
      <c r="JPK104" s="284"/>
      <c r="JPL104" s="284"/>
      <c r="JPM104" s="284"/>
      <c r="JPN104" s="284"/>
      <c r="JPO104" s="284"/>
      <c r="JPP104" s="284"/>
      <c r="JPQ104" s="284"/>
      <c r="JPR104" s="284"/>
      <c r="JPS104" s="284"/>
      <c r="JPT104" s="284"/>
      <c r="JPU104" s="284"/>
      <c r="JPV104" s="284"/>
      <c r="JPW104" s="284"/>
      <c r="JPX104" s="284"/>
      <c r="JPY104" s="284"/>
      <c r="JPZ104" s="284"/>
      <c r="JQA104" s="284"/>
      <c r="JQB104" s="284"/>
      <c r="JQC104" s="284"/>
      <c r="JQD104" s="284"/>
      <c r="JQE104" s="284"/>
      <c r="JQF104" s="284"/>
      <c r="JQG104" s="284"/>
      <c r="JQH104" s="284"/>
      <c r="JQI104" s="284"/>
      <c r="JQJ104" s="284"/>
      <c r="JQK104" s="284"/>
      <c r="JQL104" s="284"/>
      <c r="JQM104" s="284"/>
      <c r="JQN104" s="284"/>
      <c r="JQO104" s="284"/>
      <c r="JQP104" s="284"/>
      <c r="JQQ104" s="284"/>
      <c r="JQR104" s="284"/>
      <c r="JQS104" s="284"/>
      <c r="JQT104" s="284"/>
      <c r="JQU104" s="284"/>
      <c r="JQV104" s="284"/>
      <c r="JQW104" s="284"/>
      <c r="JQX104" s="284"/>
      <c r="JQY104" s="284"/>
      <c r="JQZ104" s="284"/>
      <c r="JRA104" s="284"/>
      <c r="JRB104" s="284"/>
      <c r="JRC104" s="284"/>
      <c r="JRD104" s="284"/>
      <c r="JRE104" s="284"/>
      <c r="JRF104" s="284"/>
      <c r="JRG104" s="284"/>
      <c r="JRH104" s="284"/>
      <c r="JRI104" s="284"/>
      <c r="JRJ104" s="284"/>
      <c r="JRK104" s="284"/>
      <c r="JRL104" s="284"/>
      <c r="JRM104" s="284"/>
      <c r="JRN104" s="284"/>
      <c r="JRO104" s="284"/>
      <c r="JRP104" s="284"/>
      <c r="JRQ104" s="284"/>
      <c r="JRR104" s="284"/>
      <c r="JRS104" s="284"/>
      <c r="JRT104" s="284"/>
      <c r="JRU104" s="284"/>
      <c r="JRV104" s="284"/>
      <c r="JRW104" s="284"/>
      <c r="JRX104" s="284"/>
      <c r="JRY104" s="284"/>
      <c r="JRZ104" s="284"/>
      <c r="JSA104" s="284"/>
      <c r="JSB104" s="284"/>
      <c r="JSC104" s="284"/>
      <c r="JSD104" s="284"/>
      <c r="JSE104" s="284"/>
      <c r="JSF104" s="284"/>
      <c r="JSG104" s="284"/>
      <c r="JSH104" s="284"/>
      <c r="JSI104" s="284"/>
      <c r="JSJ104" s="284"/>
      <c r="JSK104" s="284"/>
      <c r="JSL104" s="284"/>
      <c r="JSM104" s="284"/>
      <c r="JSN104" s="284"/>
      <c r="JSO104" s="284"/>
      <c r="JSP104" s="284"/>
      <c r="JSQ104" s="284"/>
      <c r="JSR104" s="284"/>
      <c r="JSS104" s="284"/>
      <c r="JST104" s="284"/>
      <c r="JSU104" s="284"/>
      <c r="JSV104" s="284"/>
      <c r="JSW104" s="284"/>
      <c r="JSX104" s="284"/>
      <c r="JSY104" s="284"/>
      <c r="JSZ104" s="284"/>
      <c r="JTA104" s="284"/>
      <c r="JTB104" s="284"/>
      <c r="JTC104" s="284"/>
      <c r="JTD104" s="284"/>
      <c r="JTE104" s="284"/>
      <c r="JTF104" s="284"/>
      <c r="JTG104" s="284"/>
      <c r="JTH104" s="284"/>
      <c r="JTI104" s="284"/>
      <c r="JTJ104" s="284"/>
      <c r="JTK104" s="284"/>
      <c r="JTL104" s="284"/>
      <c r="JTM104" s="284"/>
      <c r="JTN104" s="284"/>
      <c r="JTO104" s="284"/>
      <c r="JTP104" s="284"/>
      <c r="JTQ104" s="284"/>
      <c r="JTR104" s="284"/>
      <c r="JTS104" s="284"/>
      <c r="JTT104" s="284"/>
      <c r="JTU104" s="284"/>
      <c r="JTV104" s="284"/>
      <c r="JTW104" s="284"/>
      <c r="JTX104" s="284"/>
      <c r="JTY104" s="284"/>
      <c r="JTZ104" s="284"/>
      <c r="JUA104" s="284"/>
      <c r="JUB104" s="284"/>
      <c r="JUC104" s="284"/>
      <c r="JUD104" s="284"/>
      <c r="JUE104" s="284"/>
      <c r="JUF104" s="284"/>
      <c r="JUG104" s="284"/>
      <c r="JUH104" s="284"/>
      <c r="JUI104" s="284"/>
      <c r="JUJ104" s="284"/>
      <c r="JUK104" s="284"/>
      <c r="JUL104" s="284"/>
      <c r="JUM104" s="284"/>
      <c r="JUN104" s="284"/>
      <c r="JUO104" s="284"/>
      <c r="JUP104" s="284"/>
      <c r="JUQ104" s="284"/>
      <c r="JUR104" s="284"/>
      <c r="JUS104" s="284"/>
      <c r="JUT104" s="284"/>
      <c r="JUU104" s="284"/>
      <c r="JUV104" s="284"/>
      <c r="JUW104" s="284"/>
      <c r="JUX104" s="284"/>
      <c r="JUY104" s="284"/>
      <c r="JUZ104" s="284"/>
      <c r="JVA104" s="284"/>
      <c r="JVB104" s="284"/>
      <c r="JVC104" s="284"/>
      <c r="JVD104" s="284"/>
      <c r="JVE104" s="284"/>
      <c r="JVF104" s="284"/>
      <c r="JVG104" s="284"/>
      <c r="JVH104" s="284"/>
      <c r="JVI104" s="284"/>
      <c r="JVJ104" s="284"/>
      <c r="JVK104" s="284"/>
      <c r="JVL104" s="284"/>
      <c r="JVM104" s="284"/>
      <c r="JVN104" s="284"/>
      <c r="JVO104" s="284"/>
      <c r="JVP104" s="284"/>
      <c r="JVQ104" s="284"/>
      <c r="JVR104" s="284"/>
      <c r="JVS104" s="284"/>
      <c r="JVT104" s="284"/>
      <c r="JVU104" s="284"/>
      <c r="JVV104" s="284"/>
      <c r="JVW104" s="284"/>
      <c r="JVX104" s="284"/>
      <c r="JVY104" s="284"/>
      <c r="JVZ104" s="284"/>
      <c r="JWA104" s="284"/>
      <c r="JWB104" s="284"/>
      <c r="JWC104" s="284"/>
      <c r="JWD104" s="284"/>
      <c r="JWE104" s="284"/>
      <c r="JWF104" s="284"/>
      <c r="JWG104" s="284"/>
      <c r="JWH104" s="284"/>
      <c r="JWI104" s="284"/>
      <c r="JWJ104" s="284"/>
      <c r="JWK104" s="284"/>
      <c r="JWL104" s="284"/>
      <c r="JWM104" s="284"/>
      <c r="JWN104" s="284"/>
      <c r="JWO104" s="284"/>
      <c r="JWP104" s="284"/>
      <c r="JWQ104" s="284"/>
      <c r="JWR104" s="284"/>
      <c r="JWS104" s="284"/>
      <c r="JWT104" s="284"/>
      <c r="JWU104" s="284"/>
      <c r="JWV104" s="284"/>
      <c r="JWW104" s="284"/>
      <c r="JWX104" s="284"/>
      <c r="JWY104" s="284"/>
      <c r="JWZ104" s="284"/>
      <c r="JXA104" s="284"/>
      <c r="JXB104" s="284"/>
      <c r="JXC104" s="284"/>
      <c r="JXD104" s="284"/>
      <c r="JXE104" s="284"/>
      <c r="JXF104" s="284"/>
      <c r="JXG104" s="284"/>
      <c r="JXH104" s="284"/>
      <c r="JXI104" s="284"/>
      <c r="JXJ104" s="284"/>
      <c r="JXK104" s="284"/>
      <c r="JXL104" s="284"/>
      <c r="JXM104" s="284"/>
      <c r="JXN104" s="284"/>
      <c r="JXO104" s="284"/>
      <c r="JXP104" s="284"/>
      <c r="JXQ104" s="284"/>
      <c r="JXR104" s="284"/>
      <c r="JXS104" s="284"/>
      <c r="JXT104" s="284"/>
      <c r="JXU104" s="284"/>
      <c r="JXV104" s="284"/>
      <c r="JXW104" s="284"/>
      <c r="JXX104" s="284"/>
      <c r="JXY104" s="284"/>
      <c r="JXZ104" s="284"/>
      <c r="JYA104" s="284"/>
      <c r="JYB104" s="284"/>
      <c r="JYC104" s="284"/>
      <c r="JYD104" s="284"/>
      <c r="JYE104" s="284"/>
      <c r="JYF104" s="284"/>
      <c r="JYG104" s="284"/>
      <c r="JYH104" s="284"/>
      <c r="JYI104" s="284"/>
      <c r="JYJ104" s="284"/>
      <c r="JYK104" s="284"/>
      <c r="JYL104" s="284"/>
      <c r="JYM104" s="284"/>
      <c r="JYN104" s="284"/>
      <c r="JYO104" s="284"/>
      <c r="JYP104" s="284"/>
      <c r="JYQ104" s="284"/>
      <c r="JYR104" s="284"/>
      <c r="JYS104" s="284"/>
      <c r="JYT104" s="284"/>
      <c r="JYU104" s="284"/>
      <c r="JYV104" s="284"/>
      <c r="JYW104" s="284"/>
      <c r="JYX104" s="284"/>
      <c r="JYY104" s="284"/>
      <c r="JYZ104" s="284"/>
      <c r="JZA104" s="284"/>
      <c r="JZB104" s="284"/>
      <c r="JZC104" s="284"/>
      <c r="JZD104" s="284"/>
      <c r="JZE104" s="284"/>
      <c r="JZF104" s="284"/>
      <c r="JZG104" s="284"/>
      <c r="JZH104" s="284"/>
      <c r="JZI104" s="284"/>
      <c r="JZJ104" s="284"/>
      <c r="JZK104" s="284"/>
      <c r="JZL104" s="284"/>
      <c r="JZM104" s="284"/>
      <c r="JZN104" s="284"/>
      <c r="JZO104" s="284"/>
      <c r="JZP104" s="284"/>
      <c r="JZQ104" s="284"/>
      <c r="JZR104" s="284"/>
      <c r="JZS104" s="284"/>
      <c r="JZT104" s="284"/>
      <c r="JZU104" s="284"/>
      <c r="JZV104" s="284"/>
      <c r="JZW104" s="284"/>
      <c r="JZX104" s="284"/>
      <c r="JZY104" s="284"/>
      <c r="JZZ104" s="284"/>
      <c r="KAA104" s="284"/>
      <c r="KAB104" s="284"/>
      <c r="KAC104" s="284"/>
      <c r="KAD104" s="284"/>
      <c r="KAE104" s="284"/>
      <c r="KAF104" s="284"/>
      <c r="KAG104" s="284"/>
      <c r="KAH104" s="284"/>
      <c r="KAI104" s="284"/>
      <c r="KAJ104" s="284"/>
      <c r="KAK104" s="284"/>
      <c r="KAL104" s="284"/>
      <c r="KAM104" s="284"/>
      <c r="KAN104" s="284"/>
      <c r="KAO104" s="284"/>
      <c r="KAP104" s="284"/>
      <c r="KAQ104" s="284"/>
      <c r="KAR104" s="284"/>
      <c r="KAS104" s="284"/>
      <c r="KAT104" s="284"/>
      <c r="KAU104" s="284"/>
      <c r="KAV104" s="284"/>
      <c r="KAW104" s="284"/>
      <c r="KAX104" s="284"/>
      <c r="KAY104" s="284"/>
      <c r="KAZ104" s="284"/>
      <c r="KBA104" s="284"/>
      <c r="KBB104" s="284"/>
      <c r="KBC104" s="284"/>
      <c r="KBD104" s="284"/>
      <c r="KBE104" s="284"/>
      <c r="KBF104" s="284"/>
      <c r="KBG104" s="284"/>
      <c r="KBH104" s="284"/>
      <c r="KBI104" s="284"/>
      <c r="KBJ104" s="284"/>
      <c r="KBK104" s="284"/>
      <c r="KBL104" s="284"/>
      <c r="KBM104" s="284"/>
      <c r="KBN104" s="284"/>
      <c r="KBO104" s="284"/>
      <c r="KBP104" s="284"/>
      <c r="KBQ104" s="284"/>
      <c r="KBR104" s="284"/>
      <c r="KBS104" s="284"/>
      <c r="KBT104" s="284"/>
      <c r="KBU104" s="284"/>
      <c r="KBV104" s="284"/>
      <c r="KBW104" s="284"/>
      <c r="KBX104" s="284"/>
      <c r="KBY104" s="284"/>
      <c r="KBZ104" s="284"/>
      <c r="KCA104" s="284"/>
      <c r="KCB104" s="284"/>
      <c r="KCC104" s="284"/>
      <c r="KCD104" s="284"/>
      <c r="KCE104" s="284"/>
      <c r="KCF104" s="284"/>
      <c r="KCG104" s="284"/>
      <c r="KCH104" s="284"/>
      <c r="KCI104" s="284"/>
      <c r="KCJ104" s="284"/>
      <c r="KCK104" s="284"/>
      <c r="KCL104" s="284"/>
      <c r="KCM104" s="284"/>
      <c r="KCN104" s="284"/>
      <c r="KCO104" s="284"/>
      <c r="KCP104" s="284"/>
      <c r="KCQ104" s="284"/>
      <c r="KCR104" s="284"/>
      <c r="KCS104" s="284"/>
      <c r="KCT104" s="284"/>
      <c r="KCU104" s="284"/>
      <c r="KCV104" s="284"/>
      <c r="KCW104" s="284"/>
      <c r="KCX104" s="284"/>
      <c r="KCY104" s="284"/>
      <c r="KCZ104" s="284"/>
      <c r="KDA104" s="284"/>
      <c r="KDB104" s="284"/>
      <c r="KDC104" s="284"/>
      <c r="KDD104" s="284"/>
      <c r="KDE104" s="284"/>
      <c r="KDF104" s="284"/>
      <c r="KDG104" s="284"/>
      <c r="KDH104" s="284"/>
      <c r="KDI104" s="284"/>
      <c r="KDJ104" s="284"/>
      <c r="KDK104" s="284"/>
      <c r="KDL104" s="284"/>
      <c r="KDM104" s="284"/>
      <c r="KDN104" s="284"/>
      <c r="KDO104" s="284"/>
      <c r="KDP104" s="284"/>
      <c r="KDQ104" s="284"/>
      <c r="KDR104" s="284"/>
      <c r="KDS104" s="284"/>
      <c r="KDT104" s="284"/>
      <c r="KDU104" s="284"/>
      <c r="KDV104" s="284"/>
      <c r="KDW104" s="284"/>
      <c r="KDX104" s="284"/>
      <c r="KDY104" s="284"/>
      <c r="KDZ104" s="284"/>
      <c r="KEA104" s="284"/>
      <c r="KEB104" s="284"/>
      <c r="KEC104" s="284"/>
      <c r="KED104" s="284"/>
      <c r="KEE104" s="284"/>
      <c r="KEF104" s="284"/>
      <c r="KEG104" s="284"/>
      <c r="KEH104" s="284"/>
      <c r="KEI104" s="284"/>
      <c r="KEJ104" s="284"/>
      <c r="KEK104" s="284"/>
      <c r="KEL104" s="284"/>
      <c r="KEM104" s="284"/>
      <c r="KEN104" s="284"/>
      <c r="KEO104" s="284"/>
      <c r="KEP104" s="284"/>
      <c r="KEQ104" s="284"/>
      <c r="KER104" s="284"/>
      <c r="KES104" s="284"/>
      <c r="KET104" s="284"/>
      <c r="KEU104" s="284"/>
      <c r="KEV104" s="284"/>
      <c r="KEW104" s="284"/>
      <c r="KEX104" s="284"/>
      <c r="KEY104" s="284"/>
      <c r="KEZ104" s="284"/>
      <c r="KFA104" s="284"/>
      <c r="KFB104" s="284"/>
      <c r="KFC104" s="284"/>
      <c r="KFD104" s="284"/>
      <c r="KFE104" s="284"/>
      <c r="KFF104" s="284"/>
      <c r="KFG104" s="284"/>
      <c r="KFH104" s="284"/>
      <c r="KFI104" s="284"/>
      <c r="KFJ104" s="284"/>
      <c r="KFK104" s="284"/>
      <c r="KFL104" s="284"/>
      <c r="KFM104" s="284"/>
      <c r="KFN104" s="284"/>
      <c r="KFO104" s="284"/>
      <c r="KFP104" s="284"/>
      <c r="KFQ104" s="284"/>
      <c r="KFR104" s="284"/>
      <c r="KFS104" s="284"/>
      <c r="KFT104" s="284"/>
      <c r="KFU104" s="284"/>
      <c r="KFV104" s="284"/>
      <c r="KFW104" s="284"/>
      <c r="KFX104" s="284"/>
      <c r="KFY104" s="284"/>
      <c r="KFZ104" s="284"/>
      <c r="KGA104" s="284"/>
      <c r="KGB104" s="284"/>
      <c r="KGC104" s="284"/>
      <c r="KGD104" s="284"/>
      <c r="KGE104" s="284"/>
      <c r="KGF104" s="284"/>
      <c r="KGG104" s="284"/>
      <c r="KGH104" s="284"/>
      <c r="KGI104" s="284"/>
      <c r="KGJ104" s="284"/>
      <c r="KGK104" s="284"/>
      <c r="KGL104" s="284"/>
      <c r="KGM104" s="284"/>
      <c r="KGN104" s="284"/>
      <c r="KGO104" s="284"/>
      <c r="KGP104" s="284"/>
      <c r="KGQ104" s="284"/>
      <c r="KGR104" s="284"/>
      <c r="KGS104" s="284"/>
      <c r="KGT104" s="284"/>
      <c r="KGU104" s="284"/>
      <c r="KGV104" s="284"/>
      <c r="KGW104" s="284"/>
      <c r="KGX104" s="284"/>
      <c r="KGY104" s="284"/>
      <c r="KGZ104" s="284"/>
      <c r="KHA104" s="284"/>
      <c r="KHB104" s="284"/>
      <c r="KHC104" s="284"/>
      <c r="KHD104" s="284"/>
      <c r="KHE104" s="284"/>
      <c r="KHF104" s="284"/>
      <c r="KHG104" s="284"/>
      <c r="KHH104" s="284"/>
      <c r="KHI104" s="284"/>
      <c r="KHJ104" s="284"/>
      <c r="KHK104" s="284"/>
      <c r="KHL104" s="284"/>
      <c r="KHM104" s="284"/>
      <c r="KHN104" s="284"/>
      <c r="KHO104" s="284"/>
      <c r="KHP104" s="284"/>
      <c r="KHQ104" s="284"/>
      <c r="KHR104" s="284"/>
      <c r="KHS104" s="284"/>
      <c r="KHT104" s="284"/>
      <c r="KHU104" s="284"/>
      <c r="KHV104" s="284"/>
      <c r="KHW104" s="284"/>
      <c r="KHX104" s="284"/>
      <c r="KHY104" s="284"/>
      <c r="KHZ104" s="284"/>
      <c r="KIA104" s="284"/>
      <c r="KIB104" s="284"/>
      <c r="KIC104" s="284"/>
      <c r="KID104" s="284"/>
      <c r="KIE104" s="284"/>
      <c r="KIF104" s="284"/>
      <c r="KIG104" s="284"/>
      <c r="KIH104" s="284"/>
      <c r="KII104" s="284"/>
      <c r="KIJ104" s="284"/>
      <c r="KIK104" s="284"/>
      <c r="KIL104" s="284"/>
      <c r="KIM104" s="284"/>
      <c r="KIN104" s="284"/>
      <c r="KIO104" s="284"/>
      <c r="KIP104" s="284"/>
      <c r="KIQ104" s="284"/>
      <c r="KIR104" s="284"/>
      <c r="KIS104" s="284"/>
      <c r="KIT104" s="284"/>
      <c r="KIU104" s="284"/>
      <c r="KIV104" s="284"/>
      <c r="KIW104" s="284"/>
      <c r="KIX104" s="284"/>
      <c r="KIY104" s="284"/>
      <c r="KIZ104" s="284"/>
      <c r="KJA104" s="284"/>
      <c r="KJB104" s="284"/>
      <c r="KJC104" s="284"/>
      <c r="KJD104" s="284"/>
      <c r="KJE104" s="284"/>
      <c r="KJF104" s="284"/>
      <c r="KJG104" s="284"/>
      <c r="KJH104" s="284"/>
      <c r="KJI104" s="284"/>
      <c r="KJJ104" s="284"/>
      <c r="KJK104" s="284"/>
      <c r="KJL104" s="284"/>
      <c r="KJM104" s="284"/>
      <c r="KJN104" s="284"/>
      <c r="KJO104" s="284"/>
      <c r="KJP104" s="284"/>
      <c r="KJQ104" s="284"/>
      <c r="KJR104" s="284"/>
      <c r="KJS104" s="284"/>
      <c r="KJT104" s="284"/>
      <c r="KJU104" s="284"/>
      <c r="KJV104" s="284"/>
      <c r="KJW104" s="284"/>
      <c r="KJX104" s="284"/>
      <c r="KJY104" s="284"/>
      <c r="KJZ104" s="284"/>
      <c r="KKA104" s="284"/>
      <c r="KKB104" s="284"/>
      <c r="KKC104" s="284"/>
      <c r="KKD104" s="284"/>
      <c r="KKE104" s="284"/>
      <c r="KKF104" s="284"/>
      <c r="KKG104" s="284"/>
      <c r="KKH104" s="284"/>
      <c r="KKI104" s="284"/>
      <c r="KKJ104" s="284"/>
      <c r="KKK104" s="284"/>
      <c r="KKL104" s="284"/>
      <c r="KKM104" s="284"/>
      <c r="KKN104" s="284"/>
      <c r="KKO104" s="284"/>
      <c r="KKP104" s="284"/>
      <c r="KKQ104" s="284"/>
      <c r="KKR104" s="284"/>
      <c r="KKS104" s="284"/>
      <c r="KKT104" s="284"/>
      <c r="KKU104" s="284"/>
      <c r="KKV104" s="284"/>
      <c r="KKW104" s="284"/>
      <c r="KKX104" s="284"/>
      <c r="KKY104" s="284"/>
      <c r="KKZ104" s="284"/>
      <c r="KLA104" s="284"/>
      <c r="KLB104" s="284"/>
      <c r="KLC104" s="284"/>
      <c r="KLD104" s="284"/>
      <c r="KLE104" s="284"/>
      <c r="KLF104" s="284"/>
      <c r="KLG104" s="284"/>
      <c r="KLH104" s="284"/>
      <c r="KLI104" s="284"/>
      <c r="KLJ104" s="284"/>
      <c r="KLK104" s="284"/>
      <c r="KLL104" s="284"/>
      <c r="KLM104" s="284"/>
      <c r="KLN104" s="284"/>
      <c r="KLO104" s="284"/>
      <c r="KLP104" s="284"/>
      <c r="KLQ104" s="284"/>
      <c r="KLR104" s="284"/>
      <c r="KLS104" s="284"/>
      <c r="KLT104" s="284"/>
      <c r="KLU104" s="284"/>
      <c r="KLV104" s="284"/>
      <c r="KLW104" s="284"/>
      <c r="KLX104" s="284"/>
      <c r="KLY104" s="284"/>
      <c r="KLZ104" s="284"/>
      <c r="KMA104" s="284"/>
      <c r="KMB104" s="284"/>
      <c r="KMC104" s="284"/>
      <c r="KMD104" s="284"/>
      <c r="KME104" s="284"/>
      <c r="KMF104" s="284"/>
      <c r="KMG104" s="284"/>
      <c r="KMH104" s="284"/>
      <c r="KMI104" s="284"/>
      <c r="KMJ104" s="284"/>
      <c r="KMK104" s="284"/>
      <c r="KML104" s="284"/>
      <c r="KMM104" s="284"/>
      <c r="KMN104" s="284"/>
      <c r="KMO104" s="284"/>
      <c r="KMP104" s="284"/>
      <c r="KMQ104" s="284"/>
      <c r="KMR104" s="284"/>
      <c r="KMS104" s="284"/>
      <c r="KMT104" s="284"/>
      <c r="KMU104" s="284"/>
      <c r="KMV104" s="284"/>
      <c r="KMW104" s="284"/>
      <c r="KMX104" s="284"/>
      <c r="KMY104" s="284"/>
      <c r="KMZ104" s="284"/>
      <c r="KNA104" s="284"/>
      <c r="KNB104" s="284"/>
      <c r="KNC104" s="284"/>
      <c r="KND104" s="284"/>
      <c r="KNE104" s="284"/>
      <c r="KNF104" s="284"/>
      <c r="KNG104" s="284"/>
      <c r="KNH104" s="284"/>
      <c r="KNI104" s="284"/>
      <c r="KNJ104" s="284"/>
      <c r="KNK104" s="284"/>
      <c r="KNL104" s="284"/>
      <c r="KNM104" s="284"/>
      <c r="KNN104" s="284"/>
      <c r="KNO104" s="284"/>
      <c r="KNP104" s="284"/>
      <c r="KNQ104" s="284"/>
      <c r="KNR104" s="284"/>
      <c r="KNS104" s="284"/>
      <c r="KNT104" s="284"/>
      <c r="KNU104" s="284"/>
      <c r="KNV104" s="284"/>
      <c r="KNW104" s="284"/>
      <c r="KNX104" s="284"/>
      <c r="KNY104" s="284"/>
      <c r="KNZ104" s="284"/>
      <c r="KOA104" s="284"/>
      <c r="KOB104" s="284"/>
      <c r="KOC104" s="284"/>
      <c r="KOD104" s="284"/>
      <c r="KOE104" s="284"/>
      <c r="KOF104" s="284"/>
      <c r="KOG104" s="284"/>
      <c r="KOH104" s="284"/>
      <c r="KOI104" s="284"/>
      <c r="KOJ104" s="284"/>
      <c r="KOK104" s="284"/>
      <c r="KOL104" s="284"/>
      <c r="KOM104" s="284"/>
      <c r="KON104" s="284"/>
      <c r="KOO104" s="284"/>
      <c r="KOP104" s="284"/>
      <c r="KOQ104" s="284"/>
      <c r="KOR104" s="284"/>
      <c r="KOS104" s="284"/>
      <c r="KOT104" s="284"/>
      <c r="KOU104" s="284"/>
      <c r="KOV104" s="284"/>
      <c r="KOW104" s="284"/>
      <c r="KOX104" s="284"/>
      <c r="KOY104" s="284"/>
      <c r="KOZ104" s="284"/>
      <c r="KPA104" s="284"/>
      <c r="KPB104" s="284"/>
      <c r="KPC104" s="284"/>
      <c r="KPD104" s="284"/>
      <c r="KPE104" s="284"/>
      <c r="KPF104" s="284"/>
      <c r="KPG104" s="284"/>
      <c r="KPH104" s="284"/>
      <c r="KPI104" s="284"/>
      <c r="KPJ104" s="284"/>
      <c r="KPK104" s="284"/>
      <c r="KPL104" s="284"/>
      <c r="KPM104" s="284"/>
      <c r="KPN104" s="284"/>
      <c r="KPO104" s="284"/>
      <c r="KPP104" s="284"/>
      <c r="KPQ104" s="284"/>
      <c r="KPR104" s="284"/>
      <c r="KPS104" s="284"/>
      <c r="KPT104" s="284"/>
      <c r="KPU104" s="284"/>
      <c r="KPV104" s="284"/>
      <c r="KPW104" s="284"/>
      <c r="KPX104" s="284"/>
      <c r="KPY104" s="284"/>
      <c r="KPZ104" s="284"/>
      <c r="KQA104" s="284"/>
      <c r="KQB104" s="284"/>
      <c r="KQC104" s="284"/>
      <c r="KQD104" s="284"/>
      <c r="KQE104" s="284"/>
      <c r="KQF104" s="284"/>
      <c r="KQG104" s="284"/>
      <c r="KQH104" s="284"/>
      <c r="KQI104" s="284"/>
      <c r="KQJ104" s="284"/>
      <c r="KQK104" s="284"/>
      <c r="KQL104" s="284"/>
      <c r="KQM104" s="284"/>
      <c r="KQN104" s="284"/>
      <c r="KQO104" s="284"/>
      <c r="KQP104" s="284"/>
      <c r="KQQ104" s="284"/>
      <c r="KQR104" s="284"/>
      <c r="KQS104" s="284"/>
      <c r="KQT104" s="284"/>
      <c r="KQU104" s="284"/>
      <c r="KQV104" s="284"/>
      <c r="KQW104" s="284"/>
      <c r="KQX104" s="284"/>
      <c r="KQY104" s="284"/>
      <c r="KQZ104" s="284"/>
      <c r="KRA104" s="284"/>
      <c r="KRB104" s="284"/>
      <c r="KRC104" s="284"/>
      <c r="KRD104" s="284"/>
      <c r="KRE104" s="284"/>
      <c r="KRF104" s="284"/>
      <c r="KRG104" s="284"/>
      <c r="KRH104" s="284"/>
      <c r="KRI104" s="284"/>
      <c r="KRJ104" s="284"/>
      <c r="KRK104" s="284"/>
      <c r="KRL104" s="284"/>
      <c r="KRM104" s="284"/>
      <c r="KRN104" s="284"/>
      <c r="KRO104" s="284"/>
      <c r="KRP104" s="284"/>
      <c r="KRQ104" s="284"/>
      <c r="KRR104" s="284"/>
      <c r="KRS104" s="284"/>
      <c r="KRT104" s="284"/>
      <c r="KRU104" s="284"/>
      <c r="KRV104" s="284"/>
      <c r="KRW104" s="284"/>
      <c r="KRX104" s="284"/>
      <c r="KRY104" s="284"/>
      <c r="KRZ104" s="284"/>
      <c r="KSA104" s="284"/>
      <c r="KSB104" s="284"/>
      <c r="KSC104" s="284"/>
      <c r="KSD104" s="284"/>
      <c r="KSE104" s="284"/>
      <c r="KSF104" s="284"/>
      <c r="KSG104" s="284"/>
      <c r="KSH104" s="284"/>
      <c r="KSI104" s="284"/>
      <c r="KSJ104" s="284"/>
      <c r="KSK104" s="284"/>
      <c r="KSL104" s="284"/>
      <c r="KSM104" s="284"/>
      <c r="KSN104" s="284"/>
      <c r="KSO104" s="284"/>
      <c r="KSP104" s="284"/>
      <c r="KSQ104" s="284"/>
      <c r="KSR104" s="284"/>
      <c r="KSS104" s="284"/>
      <c r="KST104" s="284"/>
      <c r="KSU104" s="284"/>
      <c r="KSV104" s="284"/>
      <c r="KSW104" s="284"/>
      <c r="KSX104" s="284"/>
      <c r="KSY104" s="284"/>
      <c r="KSZ104" s="284"/>
      <c r="KTA104" s="284"/>
      <c r="KTB104" s="284"/>
      <c r="KTC104" s="284"/>
      <c r="KTD104" s="284"/>
      <c r="KTE104" s="284"/>
      <c r="KTF104" s="284"/>
      <c r="KTG104" s="284"/>
      <c r="KTH104" s="284"/>
      <c r="KTI104" s="284"/>
      <c r="KTJ104" s="284"/>
      <c r="KTK104" s="284"/>
      <c r="KTL104" s="284"/>
      <c r="KTM104" s="284"/>
      <c r="KTN104" s="284"/>
      <c r="KTO104" s="284"/>
      <c r="KTP104" s="284"/>
      <c r="KTQ104" s="284"/>
      <c r="KTR104" s="284"/>
      <c r="KTS104" s="284"/>
      <c r="KTT104" s="284"/>
      <c r="KTU104" s="284"/>
      <c r="KTV104" s="284"/>
      <c r="KTW104" s="284"/>
      <c r="KTX104" s="284"/>
      <c r="KTY104" s="284"/>
      <c r="KTZ104" s="284"/>
      <c r="KUA104" s="284"/>
      <c r="KUB104" s="284"/>
      <c r="KUC104" s="284"/>
      <c r="KUD104" s="284"/>
      <c r="KUE104" s="284"/>
      <c r="KUF104" s="284"/>
      <c r="KUG104" s="284"/>
      <c r="KUH104" s="284"/>
      <c r="KUI104" s="284"/>
      <c r="KUJ104" s="284"/>
      <c r="KUK104" s="284"/>
      <c r="KUL104" s="284"/>
      <c r="KUM104" s="284"/>
      <c r="KUN104" s="284"/>
      <c r="KUO104" s="284"/>
      <c r="KUP104" s="284"/>
      <c r="KUQ104" s="284"/>
      <c r="KUR104" s="284"/>
      <c r="KUS104" s="284"/>
      <c r="KUT104" s="284"/>
      <c r="KUU104" s="284"/>
      <c r="KUV104" s="284"/>
      <c r="KUW104" s="284"/>
      <c r="KUX104" s="284"/>
      <c r="KUY104" s="284"/>
      <c r="KUZ104" s="284"/>
      <c r="KVA104" s="284"/>
      <c r="KVB104" s="284"/>
      <c r="KVC104" s="284"/>
      <c r="KVD104" s="284"/>
      <c r="KVE104" s="284"/>
      <c r="KVF104" s="284"/>
      <c r="KVG104" s="284"/>
      <c r="KVH104" s="284"/>
      <c r="KVI104" s="284"/>
      <c r="KVJ104" s="284"/>
      <c r="KVK104" s="284"/>
      <c r="KVL104" s="284"/>
      <c r="KVM104" s="284"/>
      <c r="KVN104" s="284"/>
      <c r="KVO104" s="284"/>
      <c r="KVP104" s="284"/>
      <c r="KVQ104" s="284"/>
      <c r="KVR104" s="284"/>
      <c r="KVS104" s="284"/>
      <c r="KVT104" s="284"/>
      <c r="KVU104" s="284"/>
      <c r="KVV104" s="284"/>
      <c r="KVW104" s="284"/>
      <c r="KVX104" s="284"/>
      <c r="KVY104" s="284"/>
      <c r="KVZ104" s="284"/>
      <c r="KWA104" s="284"/>
      <c r="KWB104" s="284"/>
      <c r="KWC104" s="284"/>
      <c r="KWD104" s="284"/>
      <c r="KWE104" s="284"/>
      <c r="KWF104" s="284"/>
      <c r="KWG104" s="284"/>
      <c r="KWH104" s="284"/>
      <c r="KWI104" s="284"/>
      <c r="KWJ104" s="284"/>
      <c r="KWK104" s="284"/>
      <c r="KWL104" s="284"/>
      <c r="KWM104" s="284"/>
      <c r="KWN104" s="284"/>
      <c r="KWO104" s="284"/>
      <c r="KWP104" s="284"/>
      <c r="KWQ104" s="284"/>
      <c r="KWR104" s="284"/>
      <c r="KWS104" s="284"/>
      <c r="KWT104" s="284"/>
      <c r="KWU104" s="284"/>
      <c r="KWV104" s="284"/>
      <c r="KWW104" s="284"/>
      <c r="KWX104" s="284"/>
      <c r="KWY104" s="284"/>
      <c r="KWZ104" s="284"/>
      <c r="KXA104" s="284"/>
      <c r="KXB104" s="284"/>
      <c r="KXC104" s="284"/>
      <c r="KXD104" s="284"/>
      <c r="KXE104" s="284"/>
      <c r="KXF104" s="284"/>
      <c r="KXG104" s="284"/>
      <c r="KXH104" s="284"/>
      <c r="KXI104" s="284"/>
      <c r="KXJ104" s="284"/>
      <c r="KXK104" s="284"/>
      <c r="KXL104" s="284"/>
      <c r="KXM104" s="284"/>
      <c r="KXN104" s="284"/>
      <c r="KXO104" s="284"/>
      <c r="KXP104" s="284"/>
      <c r="KXQ104" s="284"/>
      <c r="KXR104" s="284"/>
      <c r="KXS104" s="284"/>
      <c r="KXT104" s="284"/>
      <c r="KXU104" s="284"/>
      <c r="KXV104" s="284"/>
      <c r="KXW104" s="284"/>
      <c r="KXX104" s="284"/>
      <c r="KXY104" s="284"/>
      <c r="KXZ104" s="284"/>
      <c r="KYA104" s="284"/>
      <c r="KYB104" s="284"/>
      <c r="KYC104" s="284"/>
      <c r="KYD104" s="284"/>
      <c r="KYE104" s="284"/>
      <c r="KYF104" s="284"/>
      <c r="KYG104" s="284"/>
      <c r="KYH104" s="284"/>
      <c r="KYI104" s="284"/>
      <c r="KYJ104" s="284"/>
      <c r="KYK104" s="284"/>
      <c r="KYL104" s="284"/>
      <c r="KYM104" s="284"/>
      <c r="KYN104" s="284"/>
      <c r="KYO104" s="284"/>
      <c r="KYP104" s="284"/>
      <c r="KYQ104" s="284"/>
      <c r="KYR104" s="284"/>
      <c r="KYS104" s="284"/>
      <c r="KYT104" s="284"/>
      <c r="KYU104" s="284"/>
      <c r="KYV104" s="284"/>
      <c r="KYW104" s="284"/>
      <c r="KYX104" s="284"/>
      <c r="KYY104" s="284"/>
      <c r="KYZ104" s="284"/>
      <c r="KZA104" s="284"/>
      <c r="KZB104" s="284"/>
      <c r="KZC104" s="284"/>
      <c r="KZD104" s="284"/>
      <c r="KZE104" s="284"/>
      <c r="KZF104" s="284"/>
      <c r="KZG104" s="284"/>
      <c r="KZH104" s="284"/>
      <c r="KZI104" s="284"/>
      <c r="KZJ104" s="284"/>
      <c r="KZK104" s="284"/>
      <c r="KZL104" s="284"/>
      <c r="KZM104" s="284"/>
      <c r="KZN104" s="284"/>
      <c r="KZO104" s="284"/>
      <c r="KZP104" s="284"/>
      <c r="KZQ104" s="284"/>
      <c r="KZR104" s="284"/>
      <c r="KZS104" s="284"/>
      <c r="KZT104" s="284"/>
      <c r="KZU104" s="284"/>
      <c r="KZV104" s="284"/>
      <c r="KZW104" s="284"/>
      <c r="KZX104" s="284"/>
      <c r="KZY104" s="284"/>
      <c r="KZZ104" s="284"/>
      <c r="LAA104" s="284"/>
      <c r="LAB104" s="284"/>
      <c r="LAC104" s="284"/>
      <c r="LAD104" s="284"/>
      <c r="LAE104" s="284"/>
      <c r="LAF104" s="284"/>
      <c r="LAG104" s="284"/>
      <c r="LAH104" s="284"/>
      <c r="LAI104" s="284"/>
      <c r="LAJ104" s="284"/>
      <c r="LAK104" s="284"/>
      <c r="LAL104" s="284"/>
      <c r="LAM104" s="284"/>
      <c r="LAN104" s="284"/>
      <c r="LAO104" s="284"/>
      <c r="LAP104" s="284"/>
      <c r="LAQ104" s="284"/>
      <c r="LAR104" s="284"/>
      <c r="LAS104" s="284"/>
      <c r="LAT104" s="284"/>
      <c r="LAU104" s="284"/>
      <c r="LAV104" s="284"/>
      <c r="LAW104" s="284"/>
      <c r="LAX104" s="284"/>
      <c r="LAY104" s="284"/>
      <c r="LAZ104" s="284"/>
      <c r="LBA104" s="284"/>
      <c r="LBB104" s="284"/>
      <c r="LBC104" s="284"/>
      <c r="LBD104" s="284"/>
      <c r="LBE104" s="284"/>
      <c r="LBF104" s="284"/>
      <c r="LBG104" s="284"/>
      <c r="LBH104" s="284"/>
      <c r="LBI104" s="284"/>
      <c r="LBJ104" s="284"/>
      <c r="LBK104" s="284"/>
      <c r="LBL104" s="284"/>
      <c r="LBM104" s="284"/>
      <c r="LBN104" s="284"/>
      <c r="LBO104" s="284"/>
      <c r="LBP104" s="284"/>
      <c r="LBQ104" s="284"/>
      <c r="LBR104" s="284"/>
      <c r="LBS104" s="284"/>
      <c r="LBT104" s="284"/>
      <c r="LBU104" s="284"/>
      <c r="LBV104" s="284"/>
      <c r="LBW104" s="284"/>
      <c r="LBX104" s="284"/>
      <c r="LBY104" s="284"/>
      <c r="LBZ104" s="284"/>
      <c r="LCA104" s="284"/>
      <c r="LCB104" s="284"/>
      <c r="LCC104" s="284"/>
      <c r="LCD104" s="284"/>
      <c r="LCE104" s="284"/>
      <c r="LCF104" s="284"/>
      <c r="LCG104" s="284"/>
      <c r="LCH104" s="284"/>
      <c r="LCI104" s="284"/>
      <c r="LCJ104" s="284"/>
      <c r="LCK104" s="284"/>
      <c r="LCL104" s="284"/>
      <c r="LCM104" s="284"/>
      <c r="LCN104" s="284"/>
      <c r="LCO104" s="284"/>
      <c r="LCP104" s="284"/>
      <c r="LCQ104" s="284"/>
      <c r="LCR104" s="284"/>
      <c r="LCS104" s="284"/>
      <c r="LCT104" s="284"/>
      <c r="LCU104" s="284"/>
      <c r="LCV104" s="284"/>
      <c r="LCW104" s="284"/>
      <c r="LCX104" s="284"/>
      <c r="LCY104" s="284"/>
      <c r="LCZ104" s="284"/>
      <c r="LDA104" s="284"/>
      <c r="LDB104" s="284"/>
      <c r="LDC104" s="284"/>
      <c r="LDD104" s="284"/>
      <c r="LDE104" s="284"/>
      <c r="LDF104" s="284"/>
      <c r="LDG104" s="284"/>
      <c r="LDH104" s="284"/>
      <c r="LDI104" s="284"/>
      <c r="LDJ104" s="284"/>
      <c r="LDK104" s="284"/>
      <c r="LDL104" s="284"/>
      <c r="LDM104" s="284"/>
      <c r="LDN104" s="284"/>
      <c r="LDO104" s="284"/>
      <c r="LDP104" s="284"/>
      <c r="LDQ104" s="284"/>
      <c r="LDR104" s="284"/>
      <c r="LDS104" s="284"/>
      <c r="LDT104" s="284"/>
      <c r="LDU104" s="284"/>
      <c r="LDV104" s="284"/>
      <c r="LDW104" s="284"/>
      <c r="LDX104" s="284"/>
      <c r="LDY104" s="284"/>
      <c r="LDZ104" s="284"/>
      <c r="LEA104" s="284"/>
      <c r="LEB104" s="284"/>
      <c r="LEC104" s="284"/>
      <c r="LED104" s="284"/>
      <c r="LEE104" s="284"/>
      <c r="LEF104" s="284"/>
      <c r="LEG104" s="284"/>
      <c r="LEH104" s="284"/>
      <c r="LEI104" s="284"/>
      <c r="LEJ104" s="284"/>
      <c r="LEK104" s="284"/>
      <c r="LEL104" s="284"/>
      <c r="LEM104" s="284"/>
      <c r="LEN104" s="284"/>
      <c r="LEO104" s="284"/>
      <c r="LEP104" s="284"/>
      <c r="LEQ104" s="284"/>
      <c r="LER104" s="284"/>
      <c r="LES104" s="284"/>
      <c r="LET104" s="284"/>
      <c r="LEU104" s="284"/>
      <c r="LEV104" s="284"/>
      <c r="LEW104" s="284"/>
      <c r="LEX104" s="284"/>
      <c r="LEY104" s="284"/>
      <c r="LEZ104" s="284"/>
      <c r="LFA104" s="284"/>
      <c r="LFB104" s="284"/>
      <c r="LFC104" s="284"/>
      <c r="LFD104" s="284"/>
      <c r="LFE104" s="284"/>
      <c r="LFF104" s="284"/>
      <c r="LFG104" s="284"/>
      <c r="LFH104" s="284"/>
      <c r="LFI104" s="284"/>
      <c r="LFJ104" s="284"/>
      <c r="LFK104" s="284"/>
      <c r="LFL104" s="284"/>
      <c r="LFM104" s="284"/>
      <c r="LFN104" s="284"/>
      <c r="LFO104" s="284"/>
      <c r="LFP104" s="284"/>
      <c r="LFQ104" s="284"/>
      <c r="LFR104" s="284"/>
      <c r="LFS104" s="284"/>
      <c r="LFT104" s="284"/>
      <c r="LFU104" s="284"/>
      <c r="LFV104" s="284"/>
      <c r="LFW104" s="284"/>
      <c r="LFX104" s="284"/>
      <c r="LFY104" s="284"/>
      <c r="LFZ104" s="284"/>
      <c r="LGA104" s="284"/>
      <c r="LGB104" s="284"/>
      <c r="LGC104" s="284"/>
      <c r="LGD104" s="284"/>
      <c r="LGE104" s="284"/>
      <c r="LGF104" s="284"/>
      <c r="LGG104" s="284"/>
      <c r="LGH104" s="284"/>
      <c r="LGI104" s="284"/>
      <c r="LGJ104" s="284"/>
      <c r="LGK104" s="284"/>
      <c r="LGL104" s="284"/>
      <c r="LGM104" s="284"/>
      <c r="LGN104" s="284"/>
      <c r="LGO104" s="284"/>
      <c r="LGP104" s="284"/>
      <c r="LGQ104" s="284"/>
      <c r="LGR104" s="284"/>
      <c r="LGS104" s="284"/>
      <c r="LGT104" s="284"/>
      <c r="LGU104" s="284"/>
      <c r="LGV104" s="284"/>
      <c r="LGW104" s="284"/>
      <c r="LGX104" s="284"/>
      <c r="LGY104" s="284"/>
      <c r="LGZ104" s="284"/>
      <c r="LHA104" s="284"/>
      <c r="LHB104" s="284"/>
      <c r="LHC104" s="284"/>
      <c r="LHD104" s="284"/>
      <c r="LHE104" s="284"/>
      <c r="LHF104" s="284"/>
      <c r="LHG104" s="284"/>
      <c r="LHH104" s="284"/>
      <c r="LHI104" s="284"/>
      <c r="LHJ104" s="284"/>
      <c r="LHK104" s="284"/>
      <c r="LHL104" s="284"/>
      <c r="LHM104" s="284"/>
      <c r="LHN104" s="284"/>
      <c r="LHO104" s="284"/>
      <c r="LHP104" s="284"/>
      <c r="LHQ104" s="284"/>
      <c r="LHR104" s="284"/>
      <c r="LHS104" s="284"/>
      <c r="LHT104" s="284"/>
      <c r="LHU104" s="284"/>
      <c r="LHV104" s="284"/>
      <c r="LHW104" s="284"/>
      <c r="LHX104" s="284"/>
      <c r="LHY104" s="284"/>
      <c r="LHZ104" s="284"/>
      <c r="LIA104" s="284"/>
      <c r="LIB104" s="284"/>
      <c r="LIC104" s="284"/>
      <c r="LID104" s="284"/>
      <c r="LIE104" s="284"/>
      <c r="LIF104" s="284"/>
      <c r="LIG104" s="284"/>
      <c r="LIH104" s="284"/>
      <c r="LII104" s="284"/>
      <c r="LIJ104" s="284"/>
      <c r="LIK104" s="284"/>
      <c r="LIL104" s="284"/>
      <c r="LIM104" s="284"/>
      <c r="LIN104" s="284"/>
      <c r="LIO104" s="284"/>
      <c r="LIP104" s="284"/>
      <c r="LIQ104" s="284"/>
      <c r="LIR104" s="284"/>
      <c r="LIS104" s="284"/>
      <c r="LIT104" s="284"/>
      <c r="LIU104" s="284"/>
      <c r="LIV104" s="284"/>
      <c r="LIW104" s="284"/>
      <c r="LIX104" s="284"/>
      <c r="LIY104" s="284"/>
      <c r="LIZ104" s="284"/>
      <c r="LJA104" s="284"/>
      <c r="LJB104" s="284"/>
      <c r="LJC104" s="284"/>
      <c r="LJD104" s="284"/>
      <c r="LJE104" s="284"/>
      <c r="LJF104" s="284"/>
      <c r="LJG104" s="284"/>
      <c r="LJH104" s="284"/>
      <c r="LJI104" s="284"/>
      <c r="LJJ104" s="284"/>
      <c r="LJK104" s="284"/>
      <c r="LJL104" s="284"/>
      <c r="LJM104" s="284"/>
      <c r="LJN104" s="284"/>
      <c r="LJO104" s="284"/>
      <c r="LJP104" s="284"/>
      <c r="LJQ104" s="284"/>
      <c r="LJR104" s="284"/>
      <c r="LJS104" s="284"/>
      <c r="LJT104" s="284"/>
      <c r="LJU104" s="284"/>
      <c r="LJV104" s="284"/>
      <c r="LJW104" s="284"/>
      <c r="LJX104" s="284"/>
      <c r="LJY104" s="284"/>
      <c r="LJZ104" s="284"/>
      <c r="LKA104" s="284"/>
      <c r="LKB104" s="284"/>
      <c r="LKC104" s="284"/>
      <c r="LKD104" s="284"/>
      <c r="LKE104" s="284"/>
      <c r="LKF104" s="284"/>
      <c r="LKG104" s="284"/>
      <c r="LKH104" s="284"/>
      <c r="LKI104" s="284"/>
      <c r="LKJ104" s="284"/>
      <c r="LKK104" s="284"/>
      <c r="LKL104" s="284"/>
      <c r="LKM104" s="284"/>
      <c r="LKN104" s="284"/>
      <c r="LKO104" s="284"/>
      <c r="LKP104" s="284"/>
      <c r="LKQ104" s="284"/>
      <c r="LKR104" s="284"/>
      <c r="LKS104" s="284"/>
      <c r="LKT104" s="284"/>
      <c r="LKU104" s="284"/>
      <c r="LKV104" s="284"/>
      <c r="LKW104" s="284"/>
      <c r="LKX104" s="284"/>
      <c r="LKY104" s="284"/>
      <c r="LKZ104" s="284"/>
      <c r="LLA104" s="284"/>
      <c r="LLB104" s="284"/>
      <c r="LLC104" s="284"/>
      <c r="LLD104" s="284"/>
      <c r="LLE104" s="284"/>
      <c r="LLF104" s="284"/>
      <c r="LLG104" s="284"/>
      <c r="LLH104" s="284"/>
      <c r="LLI104" s="284"/>
      <c r="LLJ104" s="284"/>
      <c r="LLK104" s="284"/>
      <c r="LLL104" s="284"/>
      <c r="LLM104" s="284"/>
      <c r="LLN104" s="284"/>
      <c r="LLO104" s="284"/>
      <c r="LLP104" s="284"/>
      <c r="LLQ104" s="284"/>
      <c r="LLR104" s="284"/>
      <c r="LLS104" s="284"/>
      <c r="LLT104" s="284"/>
      <c r="LLU104" s="284"/>
      <c r="LLV104" s="284"/>
      <c r="LLW104" s="284"/>
      <c r="LLX104" s="284"/>
      <c r="LLY104" s="284"/>
      <c r="LLZ104" s="284"/>
      <c r="LMA104" s="284"/>
      <c r="LMB104" s="284"/>
      <c r="LMC104" s="284"/>
      <c r="LMD104" s="284"/>
      <c r="LME104" s="284"/>
      <c r="LMF104" s="284"/>
      <c r="LMG104" s="284"/>
      <c r="LMH104" s="284"/>
      <c r="LMI104" s="284"/>
      <c r="LMJ104" s="284"/>
      <c r="LMK104" s="284"/>
      <c r="LML104" s="284"/>
      <c r="LMM104" s="284"/>
      <c r="LMN104" s="284"/>
      <c r="LMO104" s="284"/>
      <c r="LMP104" s="284"/>
      <c r="LMQ104" s="284"/>
      <c r="LMR104" s="284"/>
      <c r="LMS104" s="284"/>
      <c r="LMT104" s="284"/>
      <c r="LMU104" s="284"/>
      <c r="LMV104" s="284"/>
      <c r="LMW104" s="284"/>
      <c r="LMX104" s="284"/>
      <c r="LMY104" s="284"/>
      <c r="LMZ104" s="284"/>
      <c r="LNA104" s="284"/>
      <c r="LNB104" s="284"/>
      <c r="LNC104" s="284"/>
      <c r="LND104" s="284"/>
      <c r="LNE104" s="284"/>
      <c r="LNF104" s="284"/>
      <c r="LNG104" s="284"/>
      <c r="LNH104" s="284"/>
      <c r="LNI104" s="284"/>
      <c r="LNJ104" s="284"/>
      <c r="LNK104" s="284"/>
      <c r="LNL104" s="284"/>
      <c r="LNM104" s="284"/>
      <c r="LNN104" s="284"/>
      <c r="LNO104" s="284"/>
      <c r="LNP104" s="284"/>
      <c r="LNQ104" s="284"/>
      <c r="LNR104" s="284"/>
      <c r="LNS104" s="284"/>
      <c r="LNT104" s="284"/>
      <c r="LNU104" s="284"/>
      <c r="LNV104" s="284"/>
      <c r="LNW104" s="284"/>
      <c r="LNX104" s="284"/>
      <c r="LNY104" s="284"/>
      <c r="LNZ104" s="284"/>
      <c r="LOA104" s="284"/>
      <c r="LOB104" s="284"/>
      <c r="LOC104" s="284"/>
      <c r="LOD104" s="284"/>
      <c r="LOE104" s="284"/>
      <c r="LOF104" s="284"/>
      <c r="LOG104" s="284"/>
      <c r="LOH104" s="284"/>
      <c r="LOI104" s="284"/>
      <c r="LOJ104" s="284"/>
      <c r="LOK104" s="284"/>
      <c r="LOL104" s="284"/>
      <c r="LOM104" s="284"/>
      <c r="LON104" s="284"/>
      <c r="LOO104" s="284"/>
      <c r="LOP104" s="284"/>
      <c r="LOQ104" s="284"/>
      <c r="LOR104" s="284"/>
      <c r="LOS104" s="284"/>
      <c r="LOT104" s="284"/>
      <c r="LOU104" s="284"/>
      <c r="LOV104" s="284"/>
      <c r="LOW104" s="284"/>
      <c r="LOX104" s="284"/>
      <c r="LOY104" s="284"/>
      <c r="LOZ104" s="284"/>
      <c r="LPA104" s="284"/>
      <c r="LPB104" s="284"/>
      <c r="LPC104" s="284"/>
      <c r="LPD104" s="284"/>
      <c r="LPE104" s="284"/>
      <c r="LPF104" s="284"/>
      <c r="LPG104" s="284"/>
      <c r="LPH104" s="284"/>
      <c r="LPI104" s="284"/>
      <c r="LPJ104" s="284"/>
      <c r="LPK104" s="284"/>
      <c r="LPL104" s="284"/>
      <c r="LPM104" s="284"/>
      <c r="LPN104" s="284"/>
      <c r="LPO104" s="284"/>
      <c r="LPP104" s="284"/>
      <c r="LPQ104" s="284"/>
      <c r="LPR104" s="284"/>
      <c r="LPS104" s="284"/>
      <c r="LPT104" s="284"/>
      <c r="LPU104" s="284"/>
      <c r="LPV104" s="284"/>
      <c r="LPW104" s="284"/>
      <c r="LPX104" s="284"/>
      <c r="LPY104" s="284"/>
      <c r="LPZ104" s="284"/>
      <c r="LQA104" s="284"/>
      <c r="LQB104" s="284"/>
      <c r="LQC104" s="284"/>
      <c r="LQD104" s="284"/>
      <c r="LQE104" s="284"/>
      <c r="LQF104" s="284"/>
      <c r="LQG104" s="284"/>
      <c r="LQH104" s="284"/>
      <c r="LQI104" s="284"/>
      <c r="LQJ104" s="284"/>
      <c r="LQK104" s="284"/>
      <c r="LQL104" s="284"/>
      <c r="LQM104" s="284"/>
      <c r="LQN104" s="284"/>
      <c r="LQO104" s="284"/>
      <c r="LQP104" s="284"/>
      <c r="LQQ104" s="284"/>
      <c r="LQR104" s="284"/>
      <c r="LQS104" s="284"/>
      <c r="LQT104" s="284"/>
      <c r="LQU104" s="284"/>
      <c r="LQV104" s="284"/>
      <c r="LQW104" s="284"/>
      <c r="LQX104" s="284"/>
      <c r="LQY104" s="284"/>
      <c r="LQZ104" s="284"/>
      <c r="LRA104" s="284"/>
      <c r="LRB104" s="284"/>
      <c r="LRC104" s="284"/>
      <c r="LRD104" s="284"/>
      <c r="LRE104" s="284"/>
      <c r="LRF104" s="284"/>
      <c r="LRG104" s="284"/>
      <c r="LRH104" s="284"/>
      <c r="LRI104" s="284"/>
      <c r="LRJ104" s="284"/>
      <c r="LRK104" s="284"/>
      <c r="LRL104" s="284"/>
      <c r="LRM104" s="284"/>
      <c r="LRN104" s="284"/>
      <c r="LRO104" s="284"/>
      <c r="LRP104" s="284"/>
      <c r="LRQ104" s="284"/>
      <c r="LRR104" s="284"/>
      <c r="LRS104" s="284"/>
      <c r="LRT104" s="284"/>
      <c r="LRU104" s="284"/>
      <c r="LRV104" s="284"/>
      <c r="LRW104" s="284"/>
      <c r="LRX104" s="284"/>
      <c r="LRY104" s="284"/>
      <c r="LRZ104" s="284"/>
      <c r="LSA104" s="284"/>
      <c r="LSB104" s="284"/>
      <c r="LSC104" s="284"/>
      <c r="LSD104" s="284"/>
      <c r="LSE104" s="284"/>
      <c r="LSF104" s="284"/>
      <c r="LSG104" s="284"/>
      <c r="LSH104" s="284"/>
      <c r="LSI104" s="284"/>
      <c r="LSJ104" s="284"/>
      <c r="LSK104" s="284"/>
      <c r="LSL104" s="284"/>
      <c r="LSM104" s="284"/>
      <c r="LSN104" s="284"/>
      <c r="LSO104" s="284"/>
      <c r="LSP104" s="284"/>
      <c r="LSQ104" s="284"/>
      <c r="LSR104" s="284"/>
      <c r="LSS104" s="284"/>
      <c r="LST104" s="284"/>
      <c r="LSU104" s="284"/>
      <c r="LSV104" s="284"/>
      <c r="LSW104" s="284"/>
      <c r="LSX104" s="284"/>
      <c r="LSY104" s="284"/>
      <c r="LSZ104" s="284"/>
      <c r="LTA104" s="284"/>
      <c r="LTB104" s="284"/>
      <c r="LTC104" s="284"/>
      <c r="LTD104" s="284"/>
      <c r="LTE104" s="284"/>
      <c r="LTF104" s="284"/>
      <c r="LTG104" s="284"/>
      <c r="LTH104" s="284"/>
      <c r="LTI104" s="284"/>
      <c r="LTJ104" s="284"/>
      <c r="LTK104" s="284"/>
      <c r="LTL104" s="284"/>
      <c r="LTM104" s="284"/>
      <c r="LTN104" s="284"/>
      <c r="LTO104" s="284"/>
      <c r="LTP104" s="284"/>
      <c r="LTQ104" s="284"/>
      <c r="LTR104" s="284"/>
      <c r="LTS104" s="284"/>
      <c r="LTT104" s="284"/>
      <c r="LTU104" s="284"/>
      <c r="LTV104" s="284"/>
      <c r="LTW104" s="284"/>
      <c r="LTX104" s="284"/>
      <c r="LTY104" s="284"/>
      <c r="LTZ104" s="284"/>
      <c r="LUA104" s="284"/>
      <c r="LUB104" s="284"/>
      <c r="LUC104" s="284"/>
      <c r="LUD104" s="284"/>
      <c r="LUE104" s="284"/>
      <c r="LUF104" s="284"/>
      <c r="LUG104" s="284"/>
      <c r="LUH104" s="284"/>
      <c r="LUI104" s="284"/>
      <c r="LUJ104" s="284"/>
      <c r="LUK104" s="284"/>
      <c r="LUL104" s="284"/>
      <c r="LUM104" s="284"/>
      <c r="LUN104" s="284"/>
      <c r="LUO104" s="284"/>
      <c r="LUP104" s="284"/>
      <c r="LUQ104" s="284"/>
      <c r="LUR104" s="284"/>
      <c r="LUS104" s="284"/>
      <c r="LUT104" s="284"/>
      <c r="LUU104" s="284"/>
      <c r="LUV104" s="284"/>
      <c r="LUW104" s="284"/>
      <c r="LUX104" s="284"/>
      <c r="LUY104" s="284"/>
      <c r="LUZ104" s="284"/>
      <c r="LVA104" s="284"/>
      <c r="LVB104" s="284"/>
      <c r="LVC104" s="284"/>
      <c r="LVD104" s="284"/>
      <c r="LVE104" s="284"/>
      <c r="LVF104" s="284"/>
      <c r="LVG104" s="284"/>
      <c r="LVH104" s="284"/>
      <c r="LVI104" s="284"/>
      <c r="LVJ104" s="284"/>
      <c r="LVK104" s="284"/>
      <c r="LVL104" s="284"/>
      <c r="LVM104" s="284"/>
      <c r="LVN104" s="284"/>
      <c r="LVO104" s="284"/>
      <c r="LVP104" s="284"/>
      <c r="LVQ104" s="284"/>
      <c r="LVR104" s="284"/>
      <c r="LVS104" s="284"/>
      <c r="LVT104" s="284"/>
      <c r="LVU104" s="284"/>
      <c r="LVV104" s="284"/>
      <c r="LVW104" s="284"/>
      <c r="LVX104" s="284"/>
      <c r="LVY104" s="284"/>
      <c r="LVZ104" s="284"/>
      <c r="LWA104" s="284"/>
      <c r="LWB104" s="284"/>
      <c r="LWC104" s="284"/>
      <c r="LWD104" s="284"/>
      <c r="LWE104" s="284"/>
      <c r="LWF104" s="284"/>
      <c r="LWG104" s="284"/>
      <c r="LWH104" s="284"/>
      <c r="LWI104" s="284"/>
      <c r="LWJ104" s="284"/>
      <c r="LWK104" s="284"/>
      <c r="LWL104" s="284"/>
      <c r="LWM104" s="284"/>
      <c r="LWN104" s="284"/>
      <c r="LWO104" s="284"/>
      <c r="LWP104" s="284"/>
      <c r="LWQ104" s="284"/>
      <c r="LWR104" s="284"/>
      <c r="LWS104" s="284"/>
      <c r="LWT104" s="284"/>
      <c r="LWU104" s="284"/>
      <c r="LWV104" s="284"/>
      <c r="LWW104" s="284"/>
      <c r="LWX104" s="284"/>
      <c r="LWY104" s="284"/>
      <c r="LWZ104" s="284"/>
      <c r="LXA104" s="284"/>
      <c r="LXB104" s="284"/>
      <c r="LXC104" s="284"/>
      <c r="LXD104" s="284"/>
      <c r="LXE104" s="284"/>
      <c r="LXF104" s="284"/>
      <c r="LXG104" s="284"/>
      <c r="LXH104" s="284"/>
      <c r="LXI104" s="284"/>
      <c r="LXJ104" s="284"/>
      <c r="LXK104" s="284"/>
      <c r="LXL104" s="284"/>
      <c r="LXM104" s="284"/>
      <c r="LXN104" s="284"/>
      <c r="LXO104" s="284"/>
      <c r="LXP104" s="284"/>
      <c r="LXQ104" s="284"/>
      <c r="LXR104" s="284"/>
      <c r="LXS104" s="284"/>
      <c r="LXT104" s="284"/>
      <c r="LXU104" s="284"/>
      <c r="LXV104" s="284"/>
      <c r="LXW104" s="284"/>
      <c r="LXX104" s="284"/>
      <c r="LXY104" s="284"/>
      <c r="LXZ104" s="284"/>
      <c r="LYA104" s="284"/>
      <c r="LYB104" s="284"/>
      <c r="LYC104" s="284"/>
      <c r="LYD104" s="284"/>
      <c r="LYE104" s="284"/>
      <c r="LYF104" s="284"/>
      <c r="LYG104" s="284"/>
      <c r="LYH104" s="284"/>
      <c r="LYI104" s="284"/>
      <c r="LYJ104" s="284"/>
      <c r="LYK104" s="284"/>
      <c r="LYL104" s="284"/>
      <c r="LYM104" s="284"/>
      <c r="LYN104" s="284"/>
      <c r="LYO104" s="284"/>
      <c r="LYP104" s="284"/>
      <c r="LYQ104" s="284"/>
      <c r="LYR104" s="284"/>
      <c r="LYS104" s="284"/>
      <c r="LYT104" s="284"/>
      <c r="LYU104" s="284"/>
      <c r="LYV104" s="284"/>
      <c r="LYW104" s="284"/>
      <c r="LYX104" s="284"/>
      <c r="LYY104" s="284"/>
      <c r="LYZ104" s="284"/>
      <c r="LZA104" s="284"/>
      <c r="LZB104" s="284"/>
      <c r="LZC104" s="284"/>
      <c r="LZD104" s="284"/>
      <c r="LZE104" s="284"/>
      <c r="LZF104" s="284"/>
      <c r="LZG104" s="284"/>
      <c r="LZH104" s="284"/>
      <c r="LZI104" s="284"/>
      <c r="LZJ104" s="284"/>
      <c r="LZK104" s="284"/>
      <c r="LZL104" s="284"/>
      <c r="LZM104" s="284"/>
      <c r="LZN104" s="284"/>
      <c r="LZO104" s="284"/>
      <c r="LZP104" s="284"/>
      <c r="LZQ104" s="284"/>
      <c r="LZR104" s="284"/>
      <c r="LZS104" s="284"/>
      <c r="LZT104" s="284"/>
      <c r="LZU104" s="284"/>
      <c r="LZV104" s="284"/>
      <c r="LZW104" s="284"/>
      <c r="LZX104" s="284"/>
      <c r="LZY104" s="284"/>
      <c r="LZZ104" s="284"/>
      <c r="MAA104" s="284"/>
      <c r="MAB104" s="284"/>
      <c r="MAC104" s="284"/>
      <c r="MAD104" s="284"/>
      <c r="MAE104" s="284"/>
      <c r="MAF104" s="284"/>
      <c r="MAG104" s="284"/>
      <c r="MAH104" s="284"/>
      <c r="MAI104" s="284"/>
      <c r="MAJ104" s="284"/>
      <c r="MAK104" s="284"/>
      <c r="MAL104" s="284"/>
      <c r="MAM104" s="284"/>
      <c r="MAN104" s="284"/>
      <c r="MAO104" s="284"/>
      <c r="MAP104" s="284"/>
      <c r="MAQ104" s="284"/>
      <c r="MAR104" s="284"/>
      <c r="MAS104" s="284"/>
      <c r="MAT104" s="284"/>
      <c r="MAU104" s="284"/>
      <c r="MAV104" s="284"/>
      <c r="MAW104" s="284"/>
      <c r="MAX104" s="284"/>
      <c r="MAY104" s="284"/>
      <c r="MAZ104" s="284"/>
      <c r="MBA104" s="284"/>
      <c r="MBB104" s="284"/>
      <c r="MBC104" s="284"/>
      <c r="MBD104" s="284"/>
      <c r="MBE104" s="284"/>
      <c r="MBF104" s="284"/>
      <c r="MBG104" s="284"/>
      <c r="MBH104" s="284"/>
      <c r="MBI104" s="284"/>
      <c r="MBJ104" s="284"/>
      <c r="MBK104" s="284"/>
      <c r="MBL104" s="284"/>
      <c r="MBM104" s="284"/>
      <c r="MBN104" s="284"/>
      <c r="MBO104" s="284"/>
      <c r="MBP104" s="284"/>
      <c r="MBQ104" s="284"/>
      <c r="MBR104" s="284"/>
      <c r="MBS104" s="284"/>
      <c r="MBT104" s="284"/>
      <c r="MBU104" s="284"/>
      <c r="MBV104" s="284"/>
      <c r="MBW104" s="284"/>
      <c r="MBX104" s="284"/>
      <c r="MBY104" s="284"/>
      <c r="MBZ104" s="284"/>
      <c r="MCA104" s="284"/>
      <c r="MCB104" s="284"/>
      <c r="MCC104" s="284"/>
      <c r="MCD104" s="284"/>
      <c r="MCE104" s="284"/>
      <c r="MCF104" s="284"/>
      <c r="MCG104" s="284"/>
      <c r="MCH104" s="284"/>
      <c r="MCI104" s="284"/>
      <c r="MCJ104" s="284"/>
      <c r="MCK104" s="284"/>
      <c r="MCL104" s="284"/>
      <c r="MCM104" s="284"/>
      <c r="MCN104" s="284"/>
      <c r="MCO104" s="284"/>
      <c r="MCP104" s="284"/>
      <c r="MCQ104" s="284"/>
      <c r="MCR104" s="284"/>
      <c r="MCS104" s="284"/>
      <c r="MCT104" s="284"/>
      <c r="MCU104" s="284"/>
      <c r="MCV104" s="284"/>
      <c r="MCW104" s="284"/>
      <c r="MCX104" s="284"/>
      <c r="MCY104" s="284"/>
      <c r="MCZ104" s="284"/>
      <c r="MDA104" s="284"/>
      <c r="MDB104" s="284"/>
      <c r="MDC104" s="284"/>
      <c r="MDD104" s="284"/>
      <c r="MDE104" s="284"/>
      <c r="MDF104" s="284"/>
      <c r="MDG104" s="284"/>
      <c r="MDH104" s="284"/>
      <c r="MDI104" s="284"/>
      <c r="MDJ104" s="284"/>
      <c r="MDK104" s="284"/>
      <c r="MDL104" s="284"/>
      <c r="MDM104" s="284"/>
      <c r="MDN104" s="284"/>
      <c r="MDO104" s="284"/>
      <c r="MDP104" s="284"/>
      <c r="MDQ104" s="284"/>
      <c r="MDR104" s="284"/>
      <c r="MDS104" s="284"/>
      <c r="MDT104" s="284"/>
      <c r="MDU104" s="284"/>
      <c r="MDV104" s="284"/>
      <c r="MDW104" s="284"/>
      <c r="MDX104" s="284"/>
      <c r="MDY104" s="284"/>
      <c r="MDZ104" s="284"/>
      <c r="MEA104" s="284"/>
      <c r="MEB104" s="284"/>
      <c r="MEC104" s="284"/>
      <c r="MED104" s="284"/>
      <c r="MEE104" s="284"/>
      <c r="MEF104" s="284"/>
      <c r="MEG104" s="284"/>
      <c r="MEH104" s="284"/>
      <c r="MEI104" s="284"/>
      <c r="MEJ104" s="284"/>
      <c r="MEK104" s="284"/>
      <c r="MEL104" s="284"/>
      <c r="MEM104" s="284"/>
      <c r="MEN104" s="284"/>
      <c r="MEO104" s="284"/>
      <c r="MEP104" s="284"/>
      <c r="MEQ104" s="284"/>
      <c r="MER104" s="284"/>
      <c r="MES104" s="284"/>
      <c r="MET104" s="284"/>
      <c r="MEU104" s="284"/>
      <c r="MEV104" s="284"/>
      <c r="MEW104" s="284"/>
      <c r="MEX104" s="284"/>
      <c r="MEY104" s="284"/>
      <c r="MEZ104" s="284"/>
      <c r="MFA104" s="284"/>
      <c r="MFB104" s="284"/>
      <c r="MFC104" s="284"/>
      <c r="MFD104" s="284"/>
      <c r="MFE104" s="284"/>
      <c r="MFF104" s="284"/>
      <c r="MFG104" s="284"/>
      <c r="MFH104" s="284"/>
      <c r="MFI104" s="284"/>
      <c r="MFJ104" s="284"/>
      <c r="MFK104" s="284"/>
      <c r="MFL104" s="284"/>
      <c r="MFM104" s="284"/>
      <c r="MFN104" s="284"/>
      <c r="MFO104" s="284"/>
      <c r="MFP104" s="284"/>
      <c r="MFQ104" s="284"/>
      <c r="MFR104" s="284"/>
      <c r="MFS104" s="284"/>
      <c r="MFT104" s="284"/>
      <c r="MFU104" s="284"/>
      <c r="MFV104" s="284"/>
      <c r="MFW104" s="284"/>
      <c r="MFX104" s="284"/>
      <c r="MFY104" s="284"/>
      <c r="MFZ104" s="284"/>
      <c r="MGA104" s="284"/>
      <c r="MGB104" s="284"/>
      <c r="MGC104" s="284"/>
      <c r="MGD104" s="284"/>
      <c r="MGE104" s="284"/>
      <c r="MGF104" s="284"/>
      <c r="MGG104" s="284"/>
      <c r="MGH104" s="284"/>
      <c r="MGI104" s="284"/>
      <c r="MGJ104" s="284"/>
      <c r="MGK104" s="284"/>
      <c r="MGL104" s="284"/>
      <c r="MGM104" s="284"/>
      <c r="MGN104" s="284"/>
      <c r="MGO104" s="284"/>
      <c r="MGP104" s="284"/>
      <c r="MGQ104" s="284"/>
      <c r="MGR104" s="284"/>
      <c r="MGS104" s="284"/>
      <c r="MGT104" s="284"/>
      <c r="MGU104" s="284"/>
      <c r="MGV104" s="284"/>
      <c r="MGW104" s="284"/>
      <c r="MGX104" s="284"/>
      <c r="MGY104" s="284"/>
      <c r="MGZ104" s="284"/>
      <c r="MHA104" s="284"/>
      <c r="MHB104" s="284"/>
      <c r="MHC104" s="284"/>
      <c r="MHD104" s="284"/>
      <c r="MHE104" s="284"/>
      <c r="MHF104" s="284"/>
      <c r="MHG104" s="284"/>
      <c r="MHH104" s="284"/>
      <c r="MHI104" s="284"/>
      <c r="MHJ104" s="284"/>
      <c r="MHK104" s="284"/>
      <c r="MHL104" s="284"/>
      <c r="MHM104" s="284"/>
      <c r="MHN104" s="284"/>
      <c r="MHO104" s="284"/>
      <c r="MHP104" s="284"/>
      <c r="MHQ104" s="284"/>
      <c r="MHR104" s="284"/>
      <c r="MHS104" s="284"/>
      <c r="MHT104" s="284"/>
      <c r="MHU104" s="284"/>
      <c r="MHV104" s="284"/>
      <c r="MHW104" s="284"/>
      <c r="MHX104" s="284"/>
      <c r="MHY104" s="284"/>
      <c r="MHZ104" s="284"/>
      <c r="MIA104" s="284"/>
      <c r="MIB104" s="284"/>
      <c r="MIC104" s="284"/>
      <c r="MID104" s="284"/>
      <c r="MIE104" s="284"/>
      <c r="MIF104" s="284"/>
      <c r="MIG104" s="284"/>
      <c r="MIH104" s="284"/>
      <c r="MII104" s="284"/>
      <c r="MIJ104" s="284"/>
      <c r="MIK104" s="284"/>
      <c r="MIL104" s="284"/>
      <c r="MIM104" s="284"/>
      <c r="MIN104" s="284"/>
      <c r="MIO104" s="284"/>
      <c r="MIP104" s="284"/>
      <c r="MIQ104" s="284"/>
      <c r="MIR104" s="284"/>
      <c r="MIS104" s="284"/>
      <c r="MIT104" s="284"/>
      <c r="MIU104" s="284"/>
      <c r="MIV104" s="284"/>
      <c r="MIW104" s="284"/>
      <c r="MIX104" s="284"/>
      <c r="MIY104" s="284"/>
      <c r="MIZ104" s="284"/>
      <c r="MJA104" s="284"/>
      <c r="MJB104" s="284"/>
      <c r="MJC104" s="284"/>
      <c r="MJD104" s="284"/>
      <c r="MJE104" s="284"/>
      <c r="MJF104" s="284"/>
      <c r="MJG104" s="284"/>
      <c r="MJH104" s="284"/>
      <c r="MJI104" s="284"/>
      <c r="MJJ104" s="284"/>
      <c r="MJK104" s="284"/>
      <c r="MJL104" s="284"/>
      <c r="MJM104" s="284"/>
      <c r="MJN104" s="284"/>
      <c r="MJO104" s="284"/>
      <c r="MJP104" s="284"/>
      <c r="MJQ104" s="284"/>
      <c r="MJR104" s="284"/>
      <c r="MJS104" s="284"/>
      <c r="MJT104" s="284"/>
      <c r="MJU104" s="284"/>
      <c r="MJV104" s="284"/>
      <c r="MJW104" s="284"/>
      <c r="MJX104" s="284"/>
      <c r="MJY104" s="284"/>
      <c r="MJZ104" s="284"/>
      <c r="MKA104" s="284"/>
      <c r="MKB104" s="284"/>
      <c r="MKC104" s="284"/>
      <c r="MKD104" s="284"/>
      <c r="MKE104" s="284"/>
      <c r="MKF104" s="284"/>
      <c r="MKG104" s="284"/>
      <c r="MKH104" s="284"/>
      <c r="MKI104" s="284"/>
      <c r="MKJ104" s="284"/>
      <c r="MKK104" s="284"/>
      <c r="MKL104" s="284"/>
      <c r="MKM104" s="284"/>
      <c r="MKN104" s="284"/>
      <c r="MKO104" s="284"/>
      <c r="MKP104" s="284"/>
      <c r="MKQ104" s="284"/>
      <c r="MKR104" s="284"/>
      <c r="MKS104" s="284"/>
      <c r="MKT104" s="284"/>
      <c r="MKU104" s="284"/>
      <c r="MKV104" s="284"/>
      <c r="MKW104" s="284"/>
      <c r="MKX104" s="284"/>
      <c r="MKY104" s="284"/>
      <c r="MKZ104" s="284"/>
      <c r="MLA104" s="284"/>
      <c r="MLB104" s="284"/>
      <c r="MLC104" s="284"/>
      <c r="MLD104" s="284"/>
      <c r="MLE104" s="284"/>
      <c r="MLF104" s="284"/>
      <c r="MLG104" s="284"/>
      <c r="MLH104" s="284"/>
      <c r="MLI104" s="284"/>
      <c r="MLJ104" s="284"/>
      <c r="MLK104" s="284"/>
      <c r="MLL104" s="284"/>
      <c r="MLM104" s="284"/>
      <c r="MLN104" s="284"/>
      <c r="MLO104" s="284"/>
      <c r="MLP104" s="284"/>
      <c r="MLQ104" s="284"/>
      <c r="MLR104" s="284"/>
      <c r="MLS104" s="284"/>
      <c r="MLT104" s="284"/>
      <c r="MLU104" s="284"/>
      <c r="MLV104" s="284"/>
      <c r="MLW104" s="284"/>
      <c r="MLX104" s="284"/>
      <c r="MLY104" s="284"/>
      <c r="MLZ104" s="284"/>
      <c r="MMA104" s="284"/>
      <c r="MMB104" s="284"/>
      <c r="MMC104" s="284"/>
      <c r="MMD104" s="284"/>
      <c r="MME104" s="284"/>
      <c r="MMF104" s="284"/>
      <c r="MMG104" s="284"/>
      <c r="MMH104" s="284"/>
      <c r="MMI104" s="284"/>
      <c r="MMJ104" s="284"/>
      <c r="MMK104" s="284"/>
      <c r="MML104" s="284"/>
      <c r="MMM104" s="284"/>
      <c r="MMN104" s="284"/>
      <c r="MMO104" s="284"/>
      <c r="MMP104" s="284"/>
      <c r="MMQ104" s="284"/>
      <c r="MMR104" s="284"/>
      <c r="MMS104" s="284"/>
      <c r="MMT104" s="284"/>
      <c r="MMU104" s="284"/>
      <c r="MMV104" s="284"/>
      <c r="MMW104" s="284"/>
      <c r="MMX104" s="284"/>
      <c r="MMY104" s="284"/>
      <c r="MMZ104" s="284"/>
      <c r="MNA104" s="284"/>
      <c r="MNB104" s="284"/>
      <c r="MNC104" s="284"/>
      <c r="MND104" s="284"/>
      <c r="MNE104" s="284"/>
      <c r="MNF104" s="284"/>
      <c r="MNG104" s="284"/>
      <c r="MNH104" s="284"/>
      <c r="MNI104" s="284"/>
      <c r="MNJ104" s="284"/>
      <c r="MNK104" s="284"/>
      <c r="MNL104" s="284"/>
      <c r="MNM104" s="284"/>
      <c r="MNN104" s="284"/>
      <c r="MNO104" s="284"/>
      <c r="MNP104" s="284"/>
      <c r="MNQ104" s="284"/>
      <c r="MNR104" s="284"/>
      <c r="MNS104" s="284"/>
      <c r="MNT104" s="284"/>
      <c r="MNU104" s="284"/>
      <c r="MNV104" s="284"/>
      <c r="MNW104" s="284"/>
      <c r="MNX104" s="284"/>
      <c r="MNY104" s="284"/>
      <c r="MNZ104" s="284"/>
      <c r="MOA104" s="284"/>
      <c r="MOB104" s="284"/>
      <c r="MOC104" s="284"/>
      <c r="MOD104" s="284"/>
      <c r="MOE104" s="284"/>
      <c r="MOF104" s="284"/>
      <c r="MOG104" s="284"/>
      <c r="MOH104" s="284"/>
      <c r="MOI104" s="284"/>
      <c r="MOJ104" s="284"/>
      <c r="MOK104" s="284"/>
      <c r="MOL104" s="284"/>
      <c r="MOM104" s="284"/>
      <c r="MON104" s="284"/>
      <c r="MOO104" s="284"/>
      <c r="MOP104" s="284"/>
      <c r="MOQ104" s="284"/>
      <c r="MOR104" s="284"/>
      <c r="MOS104" s="284"/>
      <c r="MOT104" s="284"/>
      <c r="MOU104" s="284"/>
      <c r="MOV104" s="284"/>
      <c r="MOW104" s="284"/>
      <c r="MOX104" s="284"/>
      <c r="MOY104" s="284"/>
      <c r="MOZ104" s="284"/>
      <c r="MPA104" s="284"/>
      <c r="MPB104" s="284"/>
      <c r="MPC104" s="284"/>
      <c r="MPD104" s="284"/>
      <c r="MPE104" s="284"/>
      <c r="MPF104" s="284"/>
      <c r="MPG104" s="284"/>
      <c r="MPH104" s="284"/>
      <c r="MPI104" s="284"/>
      <c r="MPJ104" s="284"/>
      <c r="MPK104" s="284"/>
      <c r="MPL104" s="284"/>
      <c r="MPM104" s="284"/>
      <c r="MPN104" s="284"/>
      <c r="MPO104" s="284"/>
      <c r="MPP104" s="284"/>
      <c r="MPQ104" s="284"/>
      <c r="MPR104" s="284"/>
      <c r="MPS104" s="284"/>
      <c r="MPT104" s="284"/>
      <c r="MPU104" s="284"/>
      <c r="MPV104" s="284"/>
      <c r="MPW104" s="284"/>
      <c r="MPX104" s="284"/>
      <c r="MPY104" s="284"/>
      <c r="MPZ104" s="284"/>
      <c r="MQA104" s="284"/>
      <c r="MQB104" s="284"/>
      <c r="MQC104" s="284"/>
      <c r="MQD104" s="284"/>
      <c r="MQE104" s="284"/>
      <c r="MQF104" s="284"/>
      <c r="MQG104" s="284"/>
      <c r="MQH104" s="284"/>
      <c r="MQI104" s="284"/>
      <c r="MQJ104" s="284"/>
      <c r="MQK104" s="284"/>
      <c r="MQL104" s="284"/>
      <c r="MQM104" s="284"/>
      <c r="MQN104" s="284"/>
      <c r="MQO104" s="284"/>
      <c r="MQP104" s="284"/>
      <c r="MQQ104" s="284"/>
      <c r="MQR104" s="284"/>
      <c r="MQS104" s="284"/>
      <c r="MQT104" s="284"/>
      <c r="MQU104" s="284"/>
      <c r="MQV104" s="284"/>
      <c r="MQW104" s="284"/>
      <c r="MQX104" s="284"/>
      <c r="MQY104" s="284"/>
      <c r="MQZ104" s="284"/>
      <c r="MRA104" s="284"/>
      <c r="MRB104" s="284"/>
      <c r="MRC104" s="284"/>
      <c r="MRD104" s="284"/>
      <c r="MRE104" s="284"/>
      <c r="MRF104" s="284"/>
      <c r="MRG104" s="284"/>
      <c r="MRH104" s="284"/>
      <c r="MRI104" s="284"/>
      <c r="MRJ104" s="284"/>
      <c r="MRK104" s="284"/>
      <c r="MRL104" s="284"/>
      <c r="MRM104" s="284"/>
      <c r="MRN104" s="284"/>
      <c r="MRO104" s="284"/>
      <c r="MRP104" s="284"/>
      <c r="MRQ104" s="284"/>
      <c r="MRR104" s="284"/>
      <c r="MRS104" s="284"/>
      <c r="MRT104" s="284"/>
      <c r="MRU104" s="284"/>
      <c r="MRV104" s="284"/>
      <c r="MRW104" s="284"/>
      <c r="MRX104" s="284"/>
      <c r="MRY104" s="284"/>
      <c r="MRZ104" s="284"/>
      <c r="MSA104" s="284"/>
      <c r="MSB104" s="284"/>
      <c r="MSC104" s="284"/>
      <c r="MSD104" s="284"/>
      <c r="MSE104" s="284"/>
      <c r="MSF104" s="284"/>
      <c r="MSG104" s="284"/>
      <c r="MSH104" s="284"/>
      <c r="MSI104" s="284"/>
      <c r="MSJ104" s="284"/>
      <c r="MSK104" s="284"/>
      <c r="MSL104" s="284"/>
      <c r="MSM104" s="284"/>
      <c r="MSN104" s="284"/>
      <c r="MSO104" s="284"/>
      <c r="MSP104" s="284"/>
      <c r="MSQ104" s="284"/>
      <c r="MSR104" s="284"/>
      <c r="MSS104" s="284"/>
      <c r="MST104" s="284"/>
      <c r="MSU104" s="284"/>
      <c r="MSV104" s="284"/>
      <c r="MSW104" s="284"/>
      <c r="MSX104" s="284"/>
      <c r="MSY104" s="284"/>
      <c r="MSZ104" s="284"/>
      <c r="MTA104" s="284"/>
      <c r="MTB104" s="284"/>
      <c r="MTC104" s="284"/>
      <c r="MTD104" s="284"/>
      <c r="MTE104" s="284"/>
      <c r="MTF104" s="284"/>
      <c r="MTG104" s="284"/>
      <c r="MTH104" s="284"/>
      <c r="MTI104" s="284"/>
      <c r="MTJ104" s="284"/>
      <c r="MTK104" s="284"/>
      <c r="MTL104" s="284"/>
      <c r="MTM104" s="284"/>
      <c r="MTN104" s="284"/>
      <c r="MTO104" s="284"/>
      <c r="MTP104" s="284"/>
      <c r="MTQ104" s="284"/>
      <c r="MTR104" s="284"/>
      <c r="MTS104" s="284"/>
      <c r="MTT104" s="284"/>
      <c r="MTU104" s="284"/>
      <c r="MTV104" s="284"/>
      <c r="MTW104" s="284"/>
      <c r="MTX104" s="284"/>
      <c r="MTY104" s="284"/>
      <c r="MTZ104" s="284"/>
      <c r="MUA104" s="284"/>
      <c r="MUB104" s="284"/>
      <c r="MUC104" s="284"/>
      <c r="MUD104" s="284"/>
      <c r="MUE104" s="284"/>
      <c r="MUF104" s="284"/>
      <c r="MUG104" s="284"/>
      <c r="MUH104" s="284"/>
      <c r="MUI104" s="284"/>
      <c r="MUJ104" s="284"/>
      <c r="MUK104" s="284"/>
      <c r="MUL104" s="284"/>
      <c r="MUM104" s="284"/>
      <c r="MUN104" s="284"/>
      <c r="MUO104" s="284"/>
      <c r="MUP104" s="284"/>
      <c r="MUQ104" s="284"/>
      <c r="MUR104" s="284"/>
      <c r="MUS104" s="284"/>
      <c r="MUT104" s="284"/>
      <c r="MUU104" s="284"/>
      <c r="MUV104" s="284"/>
      <c r="MUW104" s="284"/>
      <c r="MUX104" s="284"/>
      <c r="MUY104" s="284"/>
      <c r="MUZ104" s="284"/>
      <c r="MVA104" s="284"/>
      <c r="MVB104" s="284"/>
      <c r="MVC104" s="284"/>
      <c r="MVD104" s="284"/>
      <c r="MVE104" s="284"/>
      <c r="MVF104" s="284"/>
      <c r="MVG104" s="284"/>
      <c r="MVH104" s="284"/>
      <c r="MVI104" s="284"/>
      <c r="MVJ104" s="284"/>
      <c r="MVK104" s="284"/>
      <c r="MVL104" s="284"/>
      <c r="MVM104" s="284"/>
      <c r="MVN104" s="284"/>
      <c r="MVO104" s="284"/>
      <c r="MVP104" s="284"/>
      <c r="MVQ104" s="284"/>
      <c r="MVR104" s="284"/>
      <c r="MVS104" s="284"/>
      <c r="MVT104" s="284"/>
      <c r="MVU104" s="284"/>
      <c r="MVV104" s="284"/>
      <c r="MVW104" s="284"/>
      <c r="MVX104" s="284"/>
      <c r="MVY104" s="284"/>
      <c r="MVZ104" s="284"/>
      <c r="MWA104" s="284"/>
      <c r="MWB104" s="284"/>
      <c r="MWC104" s="284"/>
      <c r="MWD104" s="284"/>
      <c r="MWE104" s="284"/>
      <c r="MWF104" s="284"/>
      <c r="MWG104" s="284"/>
      <c r="MWH104" s="284"/>
      <c r="MWI104" s="284"/>
      <c r="MWJ104" s="284"/>
      <c r="MWK104" s="284"/>
      <c r="MWL104" s="284"/>
      <c r="MWM104" s="284"/>
      <c r="MWN104" s="284"/>
      <c r="MWO104" s="284"/>
      <c r="MWP104" s="284"/>
      <c r="MWQ104" s="284"/>
      <c r="MWR104" s="284"/>
      <c r="MWS104" s="284"/>
      <c r="MWT104" s="284"/>
      <c r="MWU104" s="284"/>
      <c r="MWV104" s="284"/>
      <c r="MWW104" s="284"/>
      <c r="MWX104" s="284"/>
      <c r="MWY104" s="284"/>
      <c r="MWZ104" s="284"/>
      <c r="MXA104" s="284"/>
      <c r="MXB104" s="284"/>
      <c r="MXC104" s="284"/>
      <c r="MXD104" s="284"/>
      <c r="MXE104" s="284"/>
      <c r="MXF104" s="284"/>
      <c r="MXG104" s="284"/>
      <c r="MXH104" s="284"/>
      <c r="MXI104" s="284"/>
      <c r="MXJ104" s="284"/>
      <c r="MXK104" s="284"/>
      <c r="MXL104" s="284"/>
      <c r="MXM104" s="284"/>
      <c r="MXN104" s="284"/>
      <c r="MXO104" s="284"/>
      <c r="MXP104" s="284"/>
      <c r="MXQ104" s="284"/>
      <c r="MXR104" s="284"/>
      <c r="MXS104" s="284"/>
      <c r="MXT104" s="284"/>
      <c r="MXU104" s="284"/>
      <c r="MXV104" s="284"/>
      <c r="MXW104" s="284"/>
      <c r="MXX104" s="284"/>
      <c r="MXY104" s="284"/>
      <c r="MXZ104" s="284"/>
      <c r="MYA104" s="284"/>
      <c r="MYB104" s="284"/>
      <c r="MYC104" s="284"/>
      <c r="MYD104" s="284"/>
      <c r="MYE104" s="284"/>
      <c r="MYF104" s="284"/>
      <c r="MYG104" s="284"/>
      <c r="MYH104" s="284"/>
      <c r="MYI104" s="284"/>
      <c r="MYJ104" s="284"/>
      <c r="MYK104" s="284"/>
      <c r="MYL104" s="284"/>
      <c r="MYM104" s="284"/>
      <c r="MYN104" s="284"/>
      <c r="MYO104" s="284"/>
      <c r="MYP104" s="284"/>
      <c r="MYQ104" s="284"/>
      <c r="MYR104" s="284"/>
      <c r="MYS104" s="284"/>
      <c r="MYT104" s="284"/>
      <c r="MYU104" s="284"/>
      <c r="MYV104" s="284"/>
      <c r="MYW104" s="284"/>
      <c r="MYX104" s="284"/>
      <c r="MYY104" s="284"/>
      <c r="MYZ104" s="284"/>
      <c r="MZA104" s="284"/>
      <c r="MZB104" s="284"/>
      <c r="MZC104" s="284"/>
      <c r="MZD104" s="284"/>
      <c r="MZE104" s="284"/>
      <c r="MZF104" s="284"/>
      <c r="MZG104" s="284"/>
      <c r="MZH104" s="284"/>
      <c r="MZI104" s="284"/>
      <c r="MZJ104" s="284"/>
      <c r="MZK104" s="284"/>
      <c r="MZL104" s="284"/>
      <c r="MZM104" s="284"/>
      <c r="MZN104" s="284"/>
      <c r="MZO104" s="284"/>
      <c r="MZP104" s="284"/>
      <c r="MZQ104" s="284"/>
      <c r="MZR104" s="284"/>
      <c r="MZS104" s="284"/>
      <c r="MZT104" s="284"/>
      <c r="MZU104" s="284"/>
      <c r="MZV104" s="284"/>
      <c r="MZW104" s="284"/>
      <c r="MZX104" s="284"/>
      <c r="MZY104" s="284"/>
      <c r="MZZ104" s="284"/>
      <c r="NAA104" s="284"/>
      <c r="NAB104" s="284"/>
      <c r="NAC104" s="284"/>
      <c r="NAD104" s="284"/>
      <c r="NAE104" s="284"/>
      <c r="NAF104" s="284"/>
      <c r="NAG104" s="284"/>
      <c r="NAH104" s="284"/>
      <c r="NAI104" s="284"/>
      <c r="NAJ104" s="284"/>
      <c r="NAK104" s="284"/>
      <c r="NAL104" s="284"/>
      <c r="NAM104" s="284"/>
      <c r="NAN104" s="284"/>
      <c r="NAO104" s="284"/>
      <c r="NAP104" s="284"/>
      <c r="NAQ104" s="284"/>
      <c r="NAR104" s="284"/>
      <c r="NAS104" s="284"/>
      <c r="NAT104" s="284"/>
      <c r="NAU104" s="284"/>
      <c r="NAV104" s="284"/>
      <c r="NAW104" s="284"/>
      <c r="NAX104" s="284"/>
      <c r="NAY104" s="284"/>
      <c r="NAZ104" s="284"/>
      <c r="NBA104" s="284"/>
      <c r="NBB104" s="284"/>
      <c r="NBC104" s="284"/>
      <c r="NBD104" s="284"/>
      <c r="NBE104" s="284"/>
      <c r="NBF104" s="284"/>
      <c r="NBG104" s="284"/>
      <c r="NBH104" s="284"/>
      <c r="NBI104" s="284"/>
      <c r="NBJ104" s="284"/>
      <c r="NBK104" s="284"/>
      <c r="NBL104" s="284"/>
      <c r="NBM104" s="284"/>
      <c r="NBN104" s="284"/>
      <c r="NBO104" s="284"/>
      <c r="NBP104" s="284"/>
      <c r="NBQ104" s="284"/>
      <c r="NBR104" s="284"/>
      <c r="NBS104" s="284"/>
      <c r="NBT104" s="284"/>
      <c r="NBU104" s="284"/>
      <c r="NBV104" s="284"/>
      <c r="NBW104" s="284"/>
      <c r="NBX104" s="284"/>
      <c r="NBY104" s="284"/>
      <c r="NBZ104" s="284"/>
      <c r="NCA104" s="284"/>
      <c r="NCB104" s="284"/>
      <c r="NCC104" s="284"/>
      <c r="NCD104" s="284"/>
      <c r="NCE104" s="284"/>
      <c r="NCF104" s="284"/>
      <c r="NCG104" s="284"/>
      <c r="NCH104" s="284"/>
      <c r="NCI104" s="284"/>
      <c r="NCJ104" s="284"/>
      <c r="NCK104" s="284"/>
      <c r="NCL104" s="284"/>
      <c r="NCM104" s="284"/>
      <c r="NCN104" s="284"/>
      <c r="NCO104" s="284"/>
      <c r="NCP104" s="284"/>
      <c r="NCQ104" s="284"/>
      <c r="NCR104" s="284"/>
      <c r="NCS104" s="284"/>
      <c r="NCT104" s="284"/>
      <c r="NCU104" s="284"/>
      <c r="NCV104" s="284"/>
      <c r="NCW104" s="284"/>
      <c r="NCX104" s="284"/>
      <c r="NCY104" s="284"/>
      <c r="NCZ104" s="284"/>
      <c r="NDA104" s="284"/>
      <c r="NDB104" s="284"/>
      <c r="NDC104" s="284"/>
      <c r="NDD104" s="284"/>
      <c r="NDE104" s="284"/>
      <c r="NDF104" s="284"/>
      <c r="NDG104" s="284"/>
      <c r="NDH104" s="284"/>
      <c r="NDI104" s="284"/>
      <c r="NDJ104" s="284"/>
      <c r="NDK104" s="284"/>
      <c r="NDL104" s="284"/>
      <c r="NDM104" s="284"/>
      <c r="NDN104" s="284"/>
      <c r="NDO104" s="284"/>
      <c r="NDP104" s="284"/>
      <c r="NDQ104" s="284"/>
      <c r="NDR104" s="284"/>
      <c r="NDS104" s="284"/>
      <c r="NDT104" s="284"/>
      <c r="NDU104" s="284"/>
      <c r="NDV104" s="284"/>
      <c r="NDW104" s="284"/>
      <c r="NDX104" s="284"/>
      <c r="NDY104" s="284"/>
      <c r="NDZ104" s="284"/>
      <c r="NEA104" s="284"/>
      <c r="NEB104" s="284"/>
      <c r="NEC104" s="284"/>
      <c r="NED104" s="284"/>
      <c r="NEE104" s="284"/>
      <c r="NEF104" s="284"/>
      <c r="NEG104" s="284"/>
      <c r="NEH104" s="284"/>
      <c r="NEI104" s="284"/>
      <c r="NEJ104" s="284"/>
      <c r="NEK104" s="284"/>
      <c r="NEL104" s="284"/>
      <c r="NEM104" s="284"/>
      <c r="NEN104" s="284"/>
      <c r="NEO104" s="284"/>
      <c r="NEP104" s="284"/>
      <c r="NEQ104" s="284"/>
      <c r="NER104" s="284"/>
      <c r="NES104" s="284"/>
      <c r="NET104" s="284"/>
      <c r="NEU104" s="284"/>
      <c r="NEV104" s="284"/>
      <c r="NEW104" s="284"/>
      <c r="NEX104" s="284"/>
      <c r="NEY104" s="284"/>
      <c r="NEZ104" s="284"/>
      <c r="NFA104" s="284"/>
      <c r="NFB104" s="284"/>
      <c r="NFC104" s="284"/>
      <c r="NFD104" s="284"/>
      <c r="NFE104" s="284"/>
      <c r="NFF104" s="284"/>
      <c r="NFG104" s="284"/>
      <c r="NFH104" s="284"/>
      <c r="NFI104" s="284"/>
      <c r="NFJ104" s="284"/>
      <c r="NFK104" s="284"/>
      <c r="NFL104" s="284"/>
      <c r="NFM104" s="284"/>
      <c r="NFN104" s="284"/>
      <c r="NFO104" s="284"/>
      <c r="NFP104" s="284"/>
      <c r="NFQ104" s="284"/>
      <c r="NFR104" s="284"/>
      <c r="NFS104" s="284"/>
      <c r="NFT104" s="284"/>
      <c r="NFU104" s="284"/>
      <c r="NFV104" s="284"/>
      <c r="NFW104" s="284"/>
      <c r="NFX104" s="284"/>
      <c r="NFY104" s="284"/>
      <c r="NFZ104" s="284"/>
      <c r="NGA104" s="284"/>
      <c r="NGB104" s="284"/>
      <c r="NGC104" s="284"/>
      <c r="NGD104" s="284"/>
      <c r="NGE104" s="284"/>
      <c r="NGF104" s="284"/>
      <c r="NGG104" s="284"/>
      <c r="NGH104" s="284"/>
      <c r="NGI104" s="284"/>
      <c r="NGJ104" s="284"/>
      <c r="NGK104" s="284"/>
      <c r="NGL104" s="284"/>
      <c r="NGM104" s="284"/>
      <c r="NGN104" s="284"/>
      <c r="NGO104" s="284"/>
      <c r="NGP104" s="284"/>
      <c r="NGQ104" s="284"/>
      <c r="NGR104" s="284"/>
      <c r="NGS104" s="284"/>
      <c r="NGT104" s="284"/>
      <c r="NGU104" s="284"/>
      <c r="NGV104" s="284"/>
      <c r="NGW104" s="284"/>
      <c r="NGX104" s="284"/>
      <c r="NGY104" s="284"/>
      <c r="NGZ104" s="284"/>
      <c r="NHA104" s="284"/>
      <c r="NHB104" s="284"/>
      <c r="NHC104" s="284"/>
      <c r="NHD104" s="284"/>
      <c r="NHE104" s="284"/>
      <c r="NHF104" s="284"/>
      <c r="NHG104" s="284"/>
      <c r="NHH104" s="284"/>
      <c r="NHI104" s="284"/>
      <c r="NHJ104" s="284"/>
      <c r="NHK104" s="284"/>
      <c r="NHL104" s="284"/>
      <c r="NHM104" s="284"/>
      <c r="NHN104" s="284"/>
      <c r="NHO104" s="284"/>
      <c r="NHP104" s="284"/>
      <c r="NHQ104" s="284"/>
      <c r="NHR104" s="284"/>
      <c r="NHS104" s="284"/>
      <c r="NHT104" s="284"/>
      <c r="NHU104" s="284"/>
      <c r="NHV104" s="284"/>
      <c r="NHW104" s="284"/>
      <c r="NHX104" s="284"/>
      <c r="NHY104" s="284"/>
      <c r="NHZ104" s="284"/>
      <c r="NIA104" s="284"/>
      <c r="NIB104" s="284"/>
      <c r="NIC104" s="284"/>
      <c r="NID104" s="284"/>
      <c r="NIE104" s="284"/>
      <c r="NIF104" s="284"/>
      <c r="NIG104" s="284"/>
      <c r="NIH104" s="284"/>
      <c r="NII104" s="284"/>
      <c r="NIJ104" s="284"/>
      <c r="NIK104" s="284"/>
      <c r="NIL104" s="284"/>
      <c r="NIM104" s="284"/>
      <c r="NIN104" s="284"/>
      <c r="NIO104" s="284"/>
      <c r="NIP104" s="284"/>
      <c r="NIQ104" s="284"/>
      <c r="NIR104" s="284"/>
      <c r="NIS104" s="284"/>
      <c r="NIT104" s="284"/>
      <c r="NIU104" s="284"/>
      <c r="NIV104" s="284"/>
      <c r="NIW104" s="284"/>
      <c r="NIX104" s="284"/>
      <c r="NIY104" s="284"/>
      <c r="NIZ104" s="284"/>
      <c r="NJA104" s="284"/>
      <c r="NJB104" s="284"/>
      <c r="NJC104" s="284"/>
      <c r="NJD104" s="284"/>
      <c r="NJE104" s="284"/>
      <c r="NJF104" s="284"/>
      <c r="NJG104" s="284"/>
      <c r="NJH104" s="284"/>
      <c r="NJI104" s="284"/>
      <c r="NJJ104" s="284"/>
      <c r="NJK104" s="284"/>
      <c r="NJL104" s="284"/>
      <c r="NJM104" s="284"/>
      <c r="NJN104" s="284"/>
      <c r="NJO104" s="284"/>
      <c r="NJP104" s="284"/>
      <c r="NJQ104" s="284"/>
      <c r="NJR104" s="284"/>
      <c r="NJS104" s="284"/>
      <c r="NJT104" s="284"/>
      <c r="NJU104" s="284"/>
      <c r="NJV104" s="284"/>
      <c r="NJW104" s="284"/>
      <c r="NJX104" s="284"/>
      <c r="NJY104" s="284"/>
      <c r="NJZ104" s="284"/>
      <c r="NKA104" s="284"/>
      <c r="NKB104" s="284"/>
      <c r="NKC104" s="284"/>
      <c r="NKD104" s="284"/>
      <c r="NKE104" s="284"/>
      <c r="NKF104" s="284"/>
      <c r="NKG104" s="284"/>
      <c r="NKH104" s="284"/>
      <c r="NKI104" s="284"/>
      <c r="NKJ104" s="284"/>
      <c r="NKK104" s="284"/>
      <c r="NKL104" s="284"/>
      <c r="NKM104" s="284"/>
      <c r="NKN104" s="284"/>
      <c r="NKO104" s="284"/>
      <c r="NKP104" s="284"/>
      <c r="NKQ104" s="284"/>
      <c r="NKR104" s="284"/>
      <c r="NKS104" s="284"/>
      <c r="NKT104" s="284"/>
      <c r="NKU104" s="284"/>
      <c r="NKV104" s="284"/>
      <c r="NKW104" s="284"/>
      <c r="NKX104" s="284"/>
      <c r="NKY104" s="284"/>
      <c r="NKZ104" s="284"/>
      <c r="NLA104" s="284"/>
      <c r="NLB104" s="284"/>
      <c r="NLC104" s="284"/>
      <c r="NLD104" s="284"/>
      <c r="NLE104" s="284"/>
      <c r="NLF104" s="284"/>
      <c r="NLG104" s="284"/>
      <c r="NLH104" s="284"/>
      <c r="NLI104" s="284"/>
      <c r="NLJ104" s="284"/>
      <c r="NLK104" s="284"/>
      <c r="NLL104" s="284"/>
      <c r="NLM104" s="284"/>
      <c r="NLN104" s="284"/>
      <c r="NLO104" s="284"/>
      <c r="NLP104" s="284"/>
      <c r="NLQ104" s="284"/>
      <c r="NLR104" s="284"/>
      <c r="NLS104" s="284"/>
      <c r="NLT104" s="284"/>
      <c r="NLU104" s="284"/>
      <c r="NLV104" s="284"/>
      <c r="NLW104" s="284"/>
      <c r="NLX104" s="284"/>
      <c r="NLY104" s="284"/>
      <c r="NLZ104" s="284"/>
      <c r="NMA104" s="284"/>
      <c r="NMB104" s="284"/>
      <c r="NMC104" s="284"/>
      <c r="NMD104" s="284"/>
      <c r="NME104" s="284"/>
      <c r="NMF104" s="284"/>
      <c r="NMG104" s="284"/>
      <c r="NMH104" s="284"/>
      <c r="NMI104" s="284"/>
      <c r="NMJ104" s="284"/>
      <c r="NMK104" s="284"/>
      <c r="NML104" s="284"/>
      <c r="NMM104" s="284"/>
      <c r="NMN104" s="284"/>
      <c r="NMO104" s="284"/>
      <c r="NMP104" s="284"/>
      <c r="NMQ104" s="284"/>
      <c r="NMR104" s="284"/>
      <c r="NMS104" s="284"/>
      <c r="NMT104" s="284"/>
      <c r="NMU104" s="284"/>
      <c r="NMV104" s="284"/>
      <c r="NMW104" s="284"/>
      <c r="NMX104" s="284"/>
      <c r="NMY104" s="284"/>
      <c r="NMZ104" s="284"/>
      <c r="NNA104" s="284"/>
      <c r="NNB104" s="284"/>
      <c r="NNC104" s="284"/>
      <c r="NND104" s="284"/>
      <c r="NNE104" s="284"/>
      <c r="NNF104" s="284"/>
      <c r="NNG104" s="284"/>
      <c r="NNH104" s="284"/>
      <c r="NNI104" s="284"/>
      <c r="NNJ104" s="284"/>
      <c r="NNK104" s="284"/>
      <c r="NNL104" s="284"/>
      <c r="NNM104" s="284"/>
      <c r="NNN104" s="284"/>
      <c r="NNO104" s="284"/>
      <c r="NNP104" s="284"/>
      <c r="NNQ104" s="284"/>
      <c r="NNR104" s="284"/>
      <c r="NNS104" s="284"/>
      <c r="NNT104" s="284"/>
      <c r="NNU104" s="284"/>
      <c r="NNV104" s="284"/>
      <c r="NNW104" s="284"/>
      <c r="NNX104" s="284"/>
      <c r="NNY104" s="284"/>
      <c r="NNZ104" s="284"/>
      <c r="NOA104" s="284"/>
      <c r="NOB104" s="284"/>
      <c r="NOC104" s="284"/>
      <c r="NOD104" s="284"/>
      <c r="NOE104" s="284"/>
      <c r="NOF104" s="284"/>
      <c r="NOG104" s="284"/>
      <c r="NOH104" s="284"/>
      <c r="NOI104" s="284"/>
      <c r="NOJ104" s="284"/>
      <c r="NOK104" s="284"/>
      <c r="NOL104" s="284"/>
      <c r="NOM104" s="284"/>
      <c r="NON104" s="284"/>
      <c r="NOO104" s="284"/>
      <c r="NOP104" s="284"/>
      <c r="NOQ104" s="284"/>
      <c r="NOR104" s="284"/>
      <c r="NOS104" s="284"/>
      <c r="NOT104" s="284"/>
      <c r="NOU104" s="284"/>
      <c r="NOV104" s="284"/>
      <c r="NOW104" s="284"/>
      <c r="NOX104" s="284"/>
      <c r="NOY104" s="284"/>
      <c r="NOZ104" s="284"/>
      <c r="NPA104" s="284"/>
      <c r="NPB104" s="284"/>
      <c r="NPC104" s="284"/>
      <c r="NPD104" s="284"/>
      <c r="NPE104" s="284"/>
      <c r="NPF104" s="284"/>
      <c r="NPG104" s="284"/>
      <c r="NPH104" s="284"/>
      <c r="NPI104" s="284"/>
      <c r="NPJ104" s="284"/>
      <c r="NPK104" s="284"/>
      <c r="NPL104" s="284"/>
      <c r="NPM104" s="284"/>
      <c r="NPN104" s="284"/>
      <c r="NPO104" s="284"/>
      <c r="NPP104" s="284"/>
      <c r="NPQ104" s="284"/>
      <c r="NPR104" s="284"/>
      <c r="NPS104" s="284"/>
      <c r="NPT104" s="284"/>
      <c r="NPU104" s="284"/>
      <c r="NPV104" s="284"/>
      <c r="NPW104" s="284"/>
      <c r="NPX104" s="284"/>
      <c r="NPY104" s="284"/>
      <c r="NPZ104" s="284"/>
      <c r="NQA104" s="284"/>
      <c r="NQB104" s="284"/>
      <c r="NQC104" s="284"/>
      <c r="NQD104" s="284"/>
      <c r="NQE104" s="284"/>
      <c r="NQF104" s="284"/>
      <c r="NQG104" s="284"/>
      <c r="NQH104" s="284"/>
      <c r="NQI104" s="284"/>
      <c r="NQJ104" s="284"/>
      <c r="NQK104" s="284"/>
      <c r="NQL104" s="284"/>
      <c r="NQM104" s="284"/>
      <c r="NQN104" s="284"/>
      <c r="NQO104" s="284"/>
      <c r="NQP104" s="284"/>
      <c r="NQQ104" s="284"/>
      <c r="NQR104" s="284"/>
      <c r="NQS104" s="284"/>
      <c r="NQT104" s="284"/>
      <c r="NQU104" s="284"/>
      <c r="NQV104" s="284"/>
      <c r="NQW104" s="284"/>
      <c r="NQX104" s="284"/>
      <c r="NQY104" s="284"/>
      <c r="NQZ104" s="284"/>
      <c r="NRA104" s="284"/>
      <c r="NRB104" s="284"/>
      <c r="NRC104" s="284"/>
      <c r="NRD104" s="284"/>
      <c r="NRE104" s="284"/>
      <c r="NRF104" s="284"/>
      <c r="NRG104" s="284"/>
      <c r="NRH104" s="284"/>
      <c r="NRI104" s="284"/>
      <c r="NRJ104" s="284"/>
      <c r="NRK104" s="284"/>
      <c r="NRL104" s="284"/>
      <c r="NRM104" s="284"/>
      <c r="NRN104" s="284"/>
      <c r="NRO104" s="284"/>
      <c r="NRP104" s="284"/>
      <c r="NRQ104" s="284"/>
      <c r="NRR104" s="284"/>
      <c r="NRS104" s="284"/>
      <c r="NRT104" s="284"/>
      <c r="NRU104" s="284"/>
      <c r="NRV104" s="284"/>
      <c r="NRW104" s="284"/>
      <c r="NRX104" s="284"/>
      <c r="NRY104" s="284"/>
      <c r="NRZ104" s="284"/>
      <c r="NSA104" s="284"/>
      <c r="NSB104" s="284"/>
      <c r="NSC104" s="284"/>
      <c r="NSD104" s="284"/>
      <c r="NSE104" s="284"/>
      <c r="NSF104" s="284"/>
      <c r="NSG104" s="284"/>
      <c r="NSH104" s="284"/>
      <c r="NSI104" s="284"/>
      <c r="NSJ104" s="284"/>
      <c r="NSK104" s="284"/>
      <c r="NSL104" s="284"/>
      <c r="NSM104" s="284"/>
      <c r="NSN104" s="284"/>
      <c r="NSO104" s="284"/>
      <c r="NSP104" s="284"/>
      <c r="NSQ104" s="284"/>
      <c r="NSR104" s="284"/>
      <c r="NSS104" s="284"/>
      <c r="NST104" s="284"/>
      <c r="NSU104" s="284"/>
      <c r="NSV104" s="284"/>
      <c r="NSW104" s="284"/>
      <c r="NSX104" s="284"/>
      <c r="NSY104" s="284"/>
      <c r="NSZ104" s="284"/>
      <c r="NTA104" s="284"/>
      <c r="NTB104" s="284"/>
      <c r="NTC104" s="284"/>
      <c r="NTD104" s="284"/>
      <c r="NTE104" s="284"/>
      <c r="NTF104" s="284"/>
      <c r="NTG104" s="284"/>
      <c r="NTH104" s="284"/>
      <c r="NTI104" s="284"/>
      <c r="NTJ104" s="284"/>
      <c r="NTK104" s="284"/>
      <c r="NTL104" s="284"/>
      <c r="NTM104" s="284"/>
      <c r="NTN104" s="284"/>
      <c r="NTO104" s="284"/>
      <c r="NTP104" s="284"/>
      <c r="NTQ104" s="284"/>
      <c r="NTR104" s="284"/>
      <c r="NTS104" s="284"/>
      <c r="NTT104" s="284"/>
      <c r="NTU104" s="284"/>
      <c r="NTV104" s="284"/>
      <c r="NTW104" s="284"/>
      <c r="NTX104" s="284"/>
      <c r="NTY104" s="284"/>
      <c r="NTZ104" s="284"/>
      <c r="NUA104" s="284"/>
      <c r="NUB104" s="284"/>
      <c r="NUC104" s="284"/>
      <c r="NUD104" s="284"/>
      <c r="NUE104" s="284"/>
      <c r="NUF104" s="284"/>
      <c r="NUG104" s="284"/>
      <c r="NUH104" s="284"/>
      <c r="NUI104" s="284"/>
      <c r="NUJ104" s="284"/>
      <c r="NUK104" s="284"/>
      <c r="NUL104" s="284"/>
      <c r="NUM104" s="284"/>
      <c r="NUN104" s="284"/>
      <c r="NUO104" s="284"/>
      <c r="NUP104" s="284"/>
      <c r="NUQ104" s="284"/>
      <c r="NUR104" s="284"/>
      <c r="NUS104" s="284"/>
      <c r="NUT104" s="284"/>
      <c r="NUU104" s="284"/>
      <c r="NUV104" s="284"/>
      <c r="NUW104" s="284"/>
      <c r="NUX104" s="284"/>
      <c r="NUY104" s="284"/>
      <c r="NUZ104" s="284"/>
      <c r="NVA104" s="284"/>
      <c r="NVB104" s="284"/>
      <c r="NVC104" s="284"/>
      <c r="NVD104" s="284"/>
      <c r="NVE104" s="284"/>
      <c r="NVF104" s="284"/>
      <c r="NVG104" s="284"/>
      <c r="NVH104" s="284"/>
      <c r="NVI104" s="284"/>
      <c r="NVJ104" s="284"/>
      <c r="NVK104" s="284"/>
      <c r="NVL104" s="284"/>
      <c r="NVM104" s="284"/>
      <c r="NVN104" s="284"/>
      <c r="NVO104" s="284"/>
      <c r="NVP104" s="284"/>
      <c r="NVQ104" s="284"/>
      <c r="NVR104" s="284"/>
      <c r="NVS104" s="284"/>
      <c r="NVT104" s="284"/>
      <c r="NVU104" s="284"/>
      <c r="NVV104" s="284"/>
      <c r="NVW104" s="284"/>
      <c r="NVX104" s="284"/>
      <c r="NVY104" s="284"/>
      <c r="NVZ104" s="284"/>
      <c r="NWA104" s="284"/>
      <c r="NWB104" s="284"/>
      <c r="NWC104" s="284"/>
      <c r="NWD104" s="284"/>
      <c r="NWE104" s="284"/>
      <c r="NWF104" s="284"/>
      <c r="NWG104" s="284"/>
      <c r="NWH104" s="284"/>
      <c r="NWI104" s="284"/>
      <c r="NWJ104" s="284"/>
      <c r="NWK104" s="284"/>
      <c r="NWL104" s="284"/>
      <c r="NWM104" s="284"/>
      <c r="NWN104" s="284"/>
      <c r="NWO104" s="284"/>
      <c r="NWP104" s="284"/>
      <c r="NWQ104" s="284"/>
      <c r="NWR104" s="284"/>
      <c r="NWS104" s="284"/>
      <c r="NWT104" s="284"/>
      <c r="NWU104" s="284"/>
      <c r="NWV104" s="284"/>
      <c r="NWW104" s="284"/>
      <c r="NWX104" s="284"/>
      <c r="NWY104" s="284"/>
      <c r="NWZ104" s="284"/>
      <c r="NXA104" s="284"/>
      <c r="NXB104" s="284"/>
      <c r="NXC104" s="284"/>
      <c r="NXD104" s="284"/>
      <c r="NXE104" s="284"/>
      <c r="NXF104" s="284"/>
      <c r="NXG104" s="284"/>
      <c r="NXH104" s="284"/>
      <c r="NXI104" s="284"/>
      <c r="NXJ104" s="284"/>
      <c r="NXK104" s="284"/>
      <c r="NXL104" s="284"/>
      <c r="NXM104" s="284"/>
      <c r="NXN104" s="284"/>
      <c r="NXO104" s="284"/>
      <c r="NXP104" s="284"/>
      <c r="NXQ104" s="284"/>
      <c r="NXR104" s="284"/>
      <c r="NXS104" s="284"/>
      <c r="NXT104" s="284"/>
      <c r="NXU104" s="284"/>
      <c r="NXV104" s="284"/>
      <c r="NXW104" s="284"/>
      <c r="NXX104" s="284"/>
      <c r="NXY104" s="284"/>
      <c r="NXZ104" s="284"/>
      <c r="NYA104" s="284"/>
      <c r="NYB104" s="284"/>
      <c r="NYC104" s="284"/>
      <c r="NYD104" s="284"/>
      <c r="NYE104" s="284"/>
      <c r="NYF104" s="284"/>
      <c r="NYG104" s="284"/>
      <c r="NYH104" s="284"/>
      <c r="NYI104" s="284"/>
      <c r="NYJ104" s="284"/>
      <c r="NYK104" s="284"/>
      <c r="NYL104" s="284"/>
      <c r="NYM104" s="284"/>
      <c r="NYN104" s="284"/>
      <c r="NYO104" s="284"/>
      <c r="NYP104" s="284"/>
      <c r="NYQ104" s="284"/>
      <c r="NYR104" s="284"/>
      <c r="NYS104" s="284"/>
      <c r="NYT104" s="284"/>
      <c r="NYU104" s="284"/>
      <c r="NYV104" s="284"/>
      <c r="NYW104" s="284"/>
      <c r="NYX104" s="284"/>
      <c r="NYY104" s="284"/>
      <c r="NYZ104" s="284"/>
      <c r="NZA104" s="284"/>
      <c r="NZB104" s="284"/>
      <c r="NZC104" s="284"/>
      <c r="NZD104" s="284"/>
      <c r="NZE104" s="284"/>
      <c r="NZF104" s="284"/>
      <c r="NZG104" s="284"/>
      <c r="NZH104" s="284"/>
      <c r="NZI104" s="284"/>
      <c r="NZJ104" s="284"/>
      <c r="NZK104" s="284"/>
      <c r="NZL104" s="284"/>
      <c r="NZM104" s="284"/>
      <c r="NZN104" s="284"/>
      <c r="NZO104" s="284"/>
      <c r="NZP104" s="284"/>
      <c r="NZQ104" s="284"/>
      <c r="NZR104" s="284"/>
      <c r="NZS104" s="284"/>
      <c r="NZT104" s="284"/>
      <c r="NZU104" s="284"/>
      <c r="NZV104" s="284"/>
      <c r="NZW104" s="284"/>
      <c r="NZX104" s="284"/>
      <c r="NZY104" s="284"/>
      <c r="NZZ104" s="284"/>
      <c r="OAA104" s="284"/>
      <c r="OAB104" s="284"/>
      <c r="OAC104" s="284"/>
      <c r="OAD104" s="284"/>
      <c r="OAE104" s="284"/>
      <c r="OAF104" s="284"/>
      <c r="OAG104" s="284"/>
      <c r="OAH104" s="284"/>
      <c r="OAI104" s="284"/>
      <c r="OAJ104" s="284"/>
      <c r="OAK104" s="284"/>
      <c r="OAL104" s="284"/>
      <c r="OAM104" s="284"/>
      <c r="OAN104" s="284"/>
      <c r="OAO104" s="284"/>
      <c r="OAP104" s="284"/>
      <c r="OAQ104" s="284"/>
      <c r="OAR104" s="284"/>
      <c r="OAS104" s="284"/>
      <c r="OAT104" s="284"/>
      <c r="OAU104" s="284"/>
      <c r="OAV104" s="284"/>
      <c r="OAW104" s="284"/>
      <c r="OAX104" s="284"/>
      <c r="OAY104" s="284"/>
      <c r="OAZ104" s="284"/>
      <c r="OBA104" s="284"/>
      <c r="OBB104" s="284"/>
      <c r="OBC104" s="284"/>
      <c r="OBD104" s="284"/>
      <c r="OBE104" s="284"/>
      <c r="OBF104" s="284"/>
      <c r="OBG104" s="284"/>
      <c r="OBH104" s="284"/>
      <c r="OBI104" s="284"/>
      <c r="OBJ104" s="284"/>
      <c r="OBK104" s="284"/>
      <c r="OBL104" s="284"/>
      <c r="OBM104" s="284"/>
      <c r="OBN104" s="284"/>
      <c r="OBO104" s="284"/>
      <c r="OBP104" s="284"/>
      <c r="OBQ104" s="284"/>
      <c r="OBR104" s="284"/>
      <c r="OBS104" s="284"/>
      <c r="OBT104" s="284"/>
      <c r="OBU104" s="284"/>
      <c r="OBV104" s="284"/>
      <c r="OBW104" s="284"/>
      <c r="OBX104" s="284"/>
      <c r="OBY104" s="284"/>
      <c r="OBZ104" s="284"/>
      <c r="OCA104" s="284"/>
      <c r="OCB104" s="284"/>
      <c r="OCC104" s="284"/>
      <c r="OCD104" s="284"/>
      <c r="OCE104" s="284"/>
      <c r="OCF104" s="284"/>
      <c r="OCG104" s="284"/>
      <c r="OCH104" s="284"/>
      <c r="OCI104" s="284"/>
      <c r="OCJ104" s="284"/>
      <c r="OCK104" s="284"/>
      <c r="OCL104" s="284"/>
      <c r="OCM104" s="284"/>
      <c r="OCN104" s="284"/>
      <c r="OCO104" s="284"/>
      <c r="OCP104" s="284"/>
      <c r="OCQ104" s="284"/>
      <c r="OCR104" s="284"/>
      <c r="OCS104" s="284"/>
      <c r="OCT104" s="284"/>
      <c r="OCU104" s="284"/>
      <c r="OCV104" s="284"/>
      <c r="OCW104" s="284"/>
      <c r="OCX104" s="284"/>
      <c r="OCY104" s="284"/>
      <c r="OCZ104" s="284"/>
      <c r="ODA104" s="284"/>
      <c r="ODB104" s="284"/>
      <c r="ODC104" s="284"/>
      <c r="ODD104" s="284"/>
      <c r="ODE104" s="284"/>
      <c r="ODF104" s="284"/>
      <c r="ODG104" s="284"/>
      <c r="ODH104" s="284"/>
      <c r="ODI104" s="284"/>
      <c r="ODJ104" s="284"/>
      <c r="ODK104" s="284"/>
      <c r="ODL104" s="284"/>
      <c r="ODM104" s="284"/>
      <c r="ODN104" s="284"/>
      <c r="ODO104" s="284"/>
      <c r="ODP104" s="284"/>
      <c r="ODQ104" s="284"/>
      <c r="ODR104" s="284"/>
      <c r="ODS104" s="284"/>
      <c r="ODT104" s="284"/>
      <c r="ODU104" s="284"/>
      <c r="ODV104" s="284"/>
      <c r="ODW104" s="284"/>
      <c r="ODX104" s="284"/>
      <c r="ODY104" s="284"/>
      <c r="ODZ104" s="284"/>
      <c r="OEA104" s="284"/>
      <c r="OEB104" s="284"/>
      <c r="OEC104" s="284"/>
      <c r="OED104" s="284"/>
      <c r="OEE104" s="284"/>
      <c r="OEF104" s="284"/>
      <c r="OEG104" s="284"/>
      <c r="OEH104" s="284"/>
      <c r="OEI104" s="284"/>
      <c r="OEJ104" s="284"/>
      <c r="OEK104" s="284"/>
      <c r="OEL104" s="284"/>
      <c r="OEM104" s="284"/>
      <c r="OEN104" s="284"/>
      <c r="OEO104" s="284"/>
      <c r="OEP104" s="284"/>
      <c r="OEQ104" s="284"/>
      <c r="OER104" s="284"/>
      <c r="OES104" s="284"/>
      <c r="OET104" s="284"/>
      <c r="OEU104" s="284"/>
      <c r="OEV104" s="284"/>
      <c r="OEW104" s="284"/>
      <c r="OEX104" s="284"/>
      <c r="OEY104" s="284"/>
      <c r="OEZ104" s="284"/>
      <c r="OFA104" s="284"/>
      <c r="OFB104" s="284"/>
      <c r="OFC104" s="284"/>
      <c r="OFD104" s="284"/>
      <c r="OFE104" s="284"/>
      <c r="OFF104" s="284"/>
      <c r="OFG104" s="284"/>
      <c r="OFH104" s="284"/>
      <c r="OFI104" s="284"/>
      <c r="OFJ104" s="284"/>
      <c r="OFK104" s="284"/>
      <c r="OFL104" s="284"/>
      <c r="OFM104" s="284"/>
      <c r="OFN104" s="284"/>
      <c r="OFO104" s="284"/>
      <c r="OFP104" s="284"/>
      <c r="OFQ104" s="284"/>
      <c r="OFR104" s="284"/>
      <c r="OFS104" s="284"/>
      <c r="OFT104" s="284"/>
      <c r="OFU104" s="284"/>
      <c r="OFV104" s="284"/>
      <c r="OFW104" s="284"/>
      <c r="OFX104" s="284"/>
      <c r="OFY104" s="284"/>
      <c r="OFZ104" s="284"/>
      <c r="OGA104" s="284"/>
      <c r="OGB104" s="284"/>
      <c r="OGC104" s="284"/>
      <c r="OGD104" s="284"/>
      <c r="OGE104" s="284"/>
      <c r="OGF104" s="284"/>
      <c r="OGG104" s="284"/>
      <c r="OGH104" s="284"/>
      <c r="OGI104" s="284"/>
      <c r="OGJ104" s="284"/>
      <c r="OGK104" s="284"/>
      <c r="OGL104" s="284"/>
      <c r="OGM104" s="284"/>
      <c r="OGN104" s="284"/>
      <c r="OGO104" s="284"/>
      <c r="OGP104" s="284"/>
      <c r="OGQ104" s="284"/>
      <c r="OGR104" s="284"/>
      <c r="OGS104" s="284"/>
      <c r="OGT104" s="284"/>
      <c r="OGU104" s="284"/>
      <c r="OGV104" s="284"/>
      <c r="OGW104" s="284"/>
      <c r="OGX104" s="284"/>
      <c r="OGY104" s="284"/>
      <c r="OGZ104" s="284"/>
      <c r="OHA104" s="284"/>
      <c r="OHB104" s="284"/>
      <c r="OHC104" s="284"/>
      <c r="OHD104" s="284"/>
      <c r="OHE104" s="284"/>
      <c r="OHF104" s="284"/>
      <c r="OHG104" s="284"/>
      <c r="OHH104" s="284"/>
      <c r="OHI104" s="284"/>
      <c r="OHJ104" s="284"/>
      <c r="OHK104" s="284"/>
      <c r="OHL104" s="284"/>
      <c r="OHM104" s="284"/>
      <c r="OHN104" s="284"/>
      <c r="OHO104" s="284"/>
      <c r="OHP104" s="284"/>
      <c r="OHQ104" s="284"/>
      <c r="OHR104" s="284"/>
      <c r="OHS104" s="284"/>
      <c r="OHT104" s="284"/>
      <c r="OHU104" s="284"/>
      <c r="OHV104" s="284"/>
      <c r="OHW104" s="284"/>
      <c r="OHX104" s="284"/>
      <c r="OHY104" s="284"/>
      <c r="OHZ104" s="284"/>
      <c r="OIA104" s="284"/>
      <c r="OIB104" s="284"/>
      <c r="OIC104" s="284"/>
      <c r="OID104" s="284"/>
      <c r="OIE104" s="284"/>
      <c r="OIF104" s="284"/>
      <c r="OIG104" s="284"/>
      <c r="OIH104" s="284"/>
      <c r="OII104" s="284"/>
      <c r="OIJ104" s="284"/>
      <c r="OIK104" s="284"/>
      <c r="OIL104" s="284"/>
      <c r="OIM104" s="284"/>
      <c r="OIN104" s="284"/>
      <c r="OIO104" s="284"/>
      <c r="OIP104" s="284"/>
      <c r="OIQ104" s="284"/>
      <c r="OIR104" s="284"/>
      <c r="OIS104" s="284"/>
      <c r="OIT104" s="284"/>
      <c r="OIU104" s="284"/>
      <c r="OIV104" s="284"/>
      <c r="OIW104" s="284"/>
      <c r="OIX104" s="284"/>
      <c r="OIY104" s="284"/>
      <c r="OIZ104" s="284"/>
      <c r="OJA104" s="284"/>
      <c r="OJB104" s="284"/>
      <c r="OJC104" s="284"/>
      <c r="OJD104" s="284"/>
      <c r="OJE104" s="284"/>
      <c r="OJF104" s="284"/>
      <c r="OJG104" s="284"/>
      <c r="OJH104" s="284"/>
      <c r="OJI104" s="284"/>
      <c r="OJJ104" s="284"/>
      <c r="OJK104" s="284"/>
      <c r="OJL104" s="284"/>
      <c r="OJM104" s="284"/>
      <c r="OJN104" s="284"/>
      <c r="OJO104" s="284"/>
      <c r="OJP104" s="284"/>
      <c r="OJQ104" s="284"/>
      <c r="OJR104" s="284"/>
      <c r="OJS104" s="284"/>
      <c r="OJT104" s="284"/>
      <c r="OJU104" s="284"/>
      <c r="OJV104" s="284"/>
      <c r="OJW104" s="284"/>
      <c r="OJX104" s="284"/>
      <c r="OJY104" s="284"/>
      <c r="OJZ104" s="284"/>
      <c r="OKA104" s="284"/>
      <c r="OKB104" s="284"/>
      <c r="OKC104" s="284"/>
      <c r="OKD104" s="284"/>
      <c r="OKE104" s="284"/>
      <c r="OKF104" s="284"/>
      <c r="OKG104" s="284"/>
      <c r="OKH104" s="284"/>
      <c r="OKI104" s="284"/>
      <c r="OKJ104" s="284"/>
      <c r="OKK104" s="284"/>
      <c r="OKL104" s="284"/>
      <c r="OKM104" s="284"/>
      <c r="OKN104" s="284"/>
      <c r="OKO104" s="284"/>
      <c r="OKP104" s="284"/>
      <c r="OKQ104" s="284"/>
      <c r="OKR104" s="284"/>
      <c r="OKS104" s="284"/>
      <c r="OKT104" s="284"/>
      <c r="OKU104" s="284"/>
      <c r="OKV104" s="284"/>
      <c r="OKW104" s="284"/>
      <c r="OKX104" s="284"/>
      <c r="OKY104" s="284"/>
      <c r="OKZ104" s="284"/>
      <c r="OLA104" s="284"/>
      <c r="OLB104" s="284"/>
      <c r="OLC104" s="284"/>
      <c r="OLD104" s="284"/>
      <c r="OLE104" s="284"/>
      <c r="OLF104" s="284"/>
      <c r="OLG104" s="284"/>
      <c r="OLH104" s="284"/>
      <c r="OLI104" s="284"/>
      <c r="OLJ104" s="284"/>
      <c r="OLK104" s="284"/>
      <c r="OLL104" s="284"/>
      <c r="OLM104" s="284"/>
      <c r="OLN104" s="284"/>
      <c r="OLO104" s="284"/>
      <c r="OLP104" s="284"/>
      <c r="OLQ104" s="284"/>
      <c r="OLR104" s="284"/>
      <c r="OLS104" s="284"/>
      <c r="OLT104" s="284"/>
      <c r="OLU104" s="284"/>
      <c r="OLV104" s="284"/>
      <c r="OLW104" s="284"/>
      <c r="OLX104" s="284"/>
      <c r="OLY104" s="284"/>
      <c r="OLZ104" s="284"/>
      <c r="OMA104" s="284"/>
      <c r="OMB104" s="284"/>
      <c r="OMC104" s="284"/>
      <c r="OMD104" s="284"/>
      <c r="OME104" s="284"/>
      <c r="OMF104" s="284"/>
      <c r="OMG104" s="284"/>
      <c r="OMH104" s="284"/>
      <c r="OMI104" s="284"/>
      <c r="OMJ104" s="284"/>
      <c r="OMK104" s="284"/>
      <c r="OML104" s="284"/>
      <c r="OMM104" s="284"/>
      <c r="OMN104" s="284"/>
      <c r="OMO104" s="284"/>
      <c r="OMP104" s="284"/>
      <c r="OMQ104" s="284"/>
      <c r="OMR104" s="284"/>
      <c r="OMS104" s="284"/>
      <c r="OMT104" s="284"/>
      <c r="OMU104" s="284"/>
      <c r="OMV104" s="284"/>
      <c r="OMW104" s="284"/>
      <c r="OMX104" s="284"/>
      <c r="OMY104" s="284"/>
      <c r="OMZ104" s="284"/>
      <c r="ONA104" s="284"/>
      <c r="ONB104" s="284"/>
      <c r="ONC104" s="284"/>
      <c r="OND104" s="284"/>
      <c r="ONE104" s="284"/>
      <c r="ONF104" s="284"/>
      <c r="ONG104" s="284"/>
      <c r="ONH104" s="284"/>
      <c r="ONI104" s="284"/>
      <c r="ONJ104" s="284"/>
      <c r="ONK104" s="284"/>
      <c r="ONL104" s="284"/>
      <c r="ONM104" s="284"/>
      <c r="ONN104" s="284"/>
      <c r="ONO104" s="284"/>
      <c r="ONP104" s="284"/>
      <c r="ONQ104" s="284"/>
      <c r="ONR104" s="284"/>
      <c r="ONS104" s="284"/>
      <c r="ONT104" s="284"/>
      <c r="ONU104" s="284"/>
      <c r="ONV104" s="284"/>
      <c r="ONW104" s="284"/>
      <c r="ONX104" s="284"/>
      <c r="ONY104" s="284"/>
      <c r="ONZ104" s="284"/>
      <c r="OOA104" s="284"/>
      <c r="OOB104" s="284"/>
      <c r="OOC104" s="284"/>
      <c r="OOD104" s="284"/>
      <c r="OOE104" s="284"/>
      <c r="OOF104" s="284"/>
      <c r="OOG104" s="284"/>
      <c r="OOH104" s="284"/>
      <c r="OOI104" s="284"/>
      <c r="OOJ104" s="284"/>
      <c r="OOK104" s="284"/>
      <c r="OOL104" s="284"/>
      <c r="OOM104" s="284"/>
      <c r="OON104" s="284"/>
      <c r="OOO104" s="284"/>
      <c r="OOP104" s="284"/>
      <c r="OOQ104" s="284"/>
      <c r="OOR104" s="284"/>
      <c r="OOS104" s="284"/>
      <c r="OOT104" s="284"/>
      <c r="OOU104" s="284"/>
      <c r="OOV104" s="284"/>
      <c r="OOW104" s="284"/>
      <c r="OOX104" s="284"/>
      <c r="OOY104" s="284"/>
      <c r="OOZ104" s="284"/>
      <c r="OPA104" s="284"/>
      <c r="OPB104" s="284"/>
      <c r="OPC104" s="284"/>
      <c r="OPD104" s="284"/>
      <c r="OPE104" s="284"/>
      <c r="OPF104" s="284"/>
      <c r="OPG104" s="284"/>
      <c r="OPH104" s="284"/>
      <c r="OPI104" s="284"/>
      <c r="OPJ104" s="284"/>
      <c r="OPK104" s="284"/>
      <c r="OPL104" s="284"/>
      <c r="OPM104" s="284"/>
      <c r="OPN104" s="284"/>
      <c r="OPO104" s="284"/>
      <c r="OPP104" s="284"/>
      <c r="OPQ104" s="284"/>
      <c r="OPR104" s="284"/>
      <c r="OPS104" s="284"/>
      <c r="OPT104" s="284"/>
      <c r="OPU104" s="284"/>
      <c r="OPV104" s="284"/>
      <c r="OPW104" s="284"/>
      <c r="OPX104" s="284"/>
      <c r="OPY104" s="284"/>
      <c r="OPZ104" s="284"/>
      <c r="OQA104" s="284"/>
      <c r="OQB104" s="284"/>
      <c r="OQC104" s="284"/>
      <c r="OQD104" s="284"/>
      <c r="OQE104" s="284"/>
      <c r="OQF104" s="284"/>
      <c r="OQG104" s="284"/>
      <c r="OQH104" s="284"/>
      <c r="OQI104" s="284"/>
      <c r="OQJ104" s="284"/>
      <c r="OQK104" s="284"/>
      <c r="OQL104" s="284"/>
      <c r="OQM104" s="284"/>
      <c r="OQN104" s="284"/>
      <c r="OQO104" s="284"/>
      <c r="OQP104" s="284"/>
      <c r="OQQ104" s="284"/>
      <c r="OQR104" s="284"/>
      <c r="OQS104" s="284"/>
      <c r="OQT104" s="284"/>
      <c r="OQU104" s="284"/>
      <c r="OQV104" s="284"/>
      <c r="OQW104" s="284"/>
      <c r="OQX104" s="284"/>
      <c r="OQY104" s="284"/>
      <c r="OQZ104" s="284"/>
      <c r="ORA104" s="284"/>
      <c r="ORB104" s="284"/>
      <c r="ORC104" s="284"/>
      <c r="ORD104" s="284"/>
      <c r="ORE104" s="284"/>
      <c r="ORF104" s="284"/>
      <c r="ORG104" s="284"/>
      <c r="ORH104" s="284"/>
      <c r="ORI104" s="284"/>
      <c r="ORJ104" s="284"/>
      <c r="ORK104" s="284"/>
      <c r="ORL104" s="284"/>
      <c r="ORM104" s="284"/>
      <c r="ORN104" s="284"/>
      <c r="ORO104" s="284"/>
      <c r="ORP104" s="284"/>
      <c r="ORQ104" s="284"/>
      <c r="ORR104" s="284"/>
      <c r="ORS104" s="284"/>
      <c r="ORT104" s="284"/>
      <c r="ORU104" s="284"/>
      <c r="ORV104" s="284"/>
      <c r="ORW104" s="284"/>
      <c r="ORX104" s="284"/>
      <c r="ORY104" s="284"/>
      <c r="ORZ104" s="284"/>
      <c r="OSA104" s="284"/>
      <c r="OSB104" s="284"/>
      <c r="OSC104" s="284"/>
      <c r="OSD104" s="284"/>
      <c r="OSE104" s="284"/>
      <c r="OSF104" s="284"/>
      <c r="OSG104" s="284"/>
      <c r="OSH104" s="284"/>
      <c r="OSI104" s="284"/>
      <c r="OSJ104" s="284"/>
      <c r="OSK104" s="284"/>
      <c r="OSL104" s="284"/>
      <c r="OSM104" s="284"/>
      <c r="OSN104" s="284"/>
      <c r="OSO104" s="284"/>
      <c r="OSP104" s="284"/>
      <c r="OSQ104" s="284"/>
      <c r="OSR104" s="284"/>
      <c r="OSS104" s="284"/>
      <c r="OST104" s="284"/>
      <c r="OSU104" s="284"/>
      <c r="OSV104" s="284"/>
      <c r="OSW104" s="284"/>
      <c r="OSX104" s="284"/>
      <c r="OSY104" s="284"/>
      <c r="OSZ104" s="284"/>
      <c r="OTA104" s="284"/>
      <c r="OTB104" s="284"/>
      <c r="OTC104" s="284"/>
      <c r="OTD104" s="284"/>
      <c r="OTE104" s="284"/>
      <c r="OTF104" s="284"/>
      <c r="OTG104" s="284"/>
      <c r="OTH104" s="284"/>
      <c r="OTI104" s="284"/>
      <c r="OTJ104" s="284"/>
      <c r="OTK104" s="284"/>
      <c r="OTL104" s="284"/>
      <c r="OTM104" s="284"/>
      <c r="OTN104" s="284"/>
      <c r="OTO104" s="284"/>
      <c r="OTP104" s="284"/>
      <c r="OTQ104" s="284"/>
      <c r="OTR104" s="284"/>
      <c r="OTS104" s="284"/>
      <c r="OTT104" s="284"/>
      <c r="OTU104" s="284"/>
      <c r="OTV104" s="284"/>
      <c r="OTW104" s="284"/>
      <c r="OTX104" s="284"/>
      <c r="OTY104" s="284"/>
      <c r="OTZ104" s="284"/>
      <c r="OUA104" s="284"/>
      <c r="OUB104" s="284"/>
      <c r="OUC104" s="284"/>
      <c r="OUD104" s="284"/>
      <c r="OUE104" s="284"/>
      <c r="OUF104" s="284"/>
      <c r="OUG104" s="284"/>
      <c r="OUH104" s="284"/>
      <c r="OUI104" s="284"/>
      <c r="OUJ104" s="284"/>
      <c r="OUK104" s="284"/>
      <c r="OUL104" s="284"/>
      <c r="OUM104" s="284"/>
      <c r="OUN104" s="284"/>
      <c r="OUO104" s="284"/>
      <c r="OUP104" s="284"/>
      <c r="OUQ104" s="284"/>
      <c r="OUR104" s="284"/>
      <c r="OUS104" s="284"/>
      <c r="OUT104" s="284"/>
      <c r="OUU104" s="284"/>
      <c r="OUV104" s="284"/>
      <c r="OUW104" s="284"/>
      <c r="OUX104" s="284"/>
      <c r="OUY104" s="284"/>
      <c r="OUZ104" s="284"/>
      <c r="OVA104" s="284"/>
      <c r="OVB104" s="284"/>
      <c r="OVC104" s="284"/>
      <c r="OVD104" s="284"/>
      <c r="OVE104" s="284"/>
      <c r="OVF104" s="284"/>
      <c r="OVG104" s="284"/>
      <c r="OVH104" s="284"/>
      <c r="OVI104" s="284"/>
      <c r="OVJ104" s="284"/>
      <c r="OVK104" s="284"/>
      <c r="OVL104" s="284"/>
      <c r="OVM104" s="284"/>
      <c r="OVN104" s="284"/>
      <c r="OVO104" s="284"/>
      <c r="OVP104" s="284"/>
      <c r="OVQ104" s="284"/>
      <c r="OVR104" s="284"/>
      <c r="OVS104" s="284"/>
      <c r="OVT104" s="284"/>
      <c r="OVU104" s="284"/>
      <c r="OVV104" s="284"/>
      <c r="OVW104" s="284"/>
      <c r="OVX104" s="284"/>
      <c r="OVY104" s="284"/>
      <c r="OVZ104" s="284"/>
      <c r="OWA104" s="284"/>
      <c r="OWB104" s="284"/>
      <c r="OWC104" s="284"/>
      <c r="OWD104" s="284"/>
      <c r="OWE104" s="284"/>
      <c r="OWF104" s="284"/>
      <c r="OWG104" s="284"/>
      <c r="OWH104" s="284"/>
      <c r="OWI104" s="284"/>
      <c r="OWJ104" s="284"/>
      <c r="OWK104" s="284"/>
      <c r="OWL104" s="284"/>
      <c r="OWM104" s="284"/>
      <c r="OWN104" s="284"/>
      <c r="OWO104" s="284"/>
      <c r="OWP104" s="284"/>
      <c r="OWQ104" s="284"/>
      <c r="OWR104" s="284"/>
      <c r="OWS104" s="284"/>
      <c r="OWT104" s="284"/>
      <c r="OWU104" s="284"/>
      <c r="OWV104" s="284"/>
      <c r="OWW104" s="284"/>
      <c r="OWX104" s="284"/>
      <c r="OWY104" s="284"/>
      <c r="OWZ104" s="284"/>
      <c r="OXA104" s="284"/>
      <c r="OXB104" s="284"/>
      <c r="OXC104" s="284"/>
      <c r="OXD104" s="284"/>
      <c r="OXE104" s="284"/>
      <c r="OXF104" s="284"/>
      <c r="OXG104" s="284"/>
      <c r="OXH104" s="284"/>
      <c r="OXI104" s="284"/>
      <c r="OXJ104" s="284"/>
      <c r="OXK104" s="284"/>
      <c r="OXL104" s="284"/>
      <c r="OXM104" s="284"/>
      <c r="OXN104" s="284"/>
      <c r="OXO104" s="284"/>
      <c r="OXP104" s="284"/>
      <c r="OXQ104" s="284"/>
      <c r="OXR104" s="284"/>
      <c r="OXS104" s="284"/>
      <c r="OXT104" s="284"/>
      <c r="OXU104" s="284"/>
      <c r="OXV104" s="284"/>
      <c r="OXW104" s="284"/>
      <c r="OXX104" s="284"/>
      <c r="OXY104" s="284"/>
      <c r="OXZ104" s="284"/>
      <c r="OYA104" s="284"/>
      <c r="OYB104" s="284"/>
      <c r="OYC104" s="284"/>
      <c r="OYD104" s="284"/>
      <c r="OYE104" s="284"/>
      <c r="OYF104" s="284"/>
      <c r="OYG104" s="284"/>
      <c r="OYH104" s="284"/>
      <c r="OYI104" s="284"/>
      <c r="OYJ104" s="284"/>
      <c r="OYK104" s="284"/>
      <c r="OYL104" s="284"/>
      <c r="OYM104" s="284"/>
      <c r="OYN104" s="284"/>
      <c r="OYO104" s="284"/>
      <c r="OYP104" s="284"/>
      <c r="OYQ104" s="284"/>
      <c r="OYR104" s="284"/>
      <c r="OYS104" s="284"/>
      <c r="OYT104" s="284"/>
      <c r="OYU104" s="284"/>
      <c r="OYV104" s="284"/>
      <c r="OYW104" s="284"/>
      <c r="OYX104" s="284"/>
      <c r="OYY104" s="284"/>
      <c r="OYZ104" s="284"/>
      <c r="OZA104" s="284"/>
      <c r="OZB104" s="284"/>
      <c r="OZC104" s="284"/>
      <c r="OZD104" s="284"/>
      <c r="OZE104" s="284"/>
      <c r="OZF104" s="284"/>
      <c r="OZG104" s="284"/>
      <c r="OZH104" s="284"/>
      <c r="OZI104" s="284"/>
      <c r="OZJ104" s="284"/>
      <c r="OZK104" s="284"/>
      <c r="OZL104" s="284"/>
      <c r="OZM104" s="284"/>
      <c r="OZN104" s="284"/>
      <c r="OZO104" s="284"/>
      <c r="OZP104" s="284"/>
      <c r="OZQ104" s="284"/>
      <c r="OZR104" s="284"/>
      <c r="OZS104" s="284"/>
      <c r="OZT104" s="284"/>
      <c r="OZU104" s="284"/>
      <c r="OZV104" s="284"/>
      <c r="OZW104" s="284"/>
      <c r="OZX104" s="284"/>
      <c r="OZY104" s="284"/>
      <c r="OZZ104" s="284"/>
      <c r="PAA104" s="284"/>
      <c r="PAB104" s="284"/>
      <c r="PAC104" s="284"/>
      <c r="PAD104" s="284"/>
      <c r="PAE104" s="284"/>
      <c r="PAF104" s="284"/>
      <c r="PAG104" s="284"/>
      <c r="PAH104" s="284"/>
      <c r="PAI104" s="284"/>
      <c r="PAJ104" s="284"/>
      <c r="PAK104" s="284"/>
      <c r="PAL104" s="284"/>
      <c r="PAM104" s="284"/>
      <c r="PAN104" s="284"/>
      <c r="PAO104" s="284"/>
      <c r="PAP104" s="284"/>
      <c r="PAQ104" s="284"/>
      <c r="PAR104" s="284"/>
      <c r="PAS104" s="284"/>
      <c r="PAT104" s="284"/>
      <c r="PAU104" s="284"/>
      <c r="PAV104" s="284"/>
      <c r="PAW104" s="284"/>
      <c r="PAX104" s="284"/>
      <c r="PAY104" s="284"/>
      <c r="PAZ104" s="284"/>
      <c r="PBA104" s="284"/>
      <c r="PBB104" s="284"/>
      <c r="PBC104" s="284"/>
      <c r="PBD104" s="284"/>
      <c r="PBE104" s="284"/>
      <c r="PBF104" s="284"/>
      <c r="PBG104" s="284"/>
      <c r="PBH104" s="284"/>
      <c r="PBI104" s="284"/>
      <c r="PBJ104" s="284"/>
      <c r="PBK104" s="284"/>
      <c r="PBL104" s="284"/>
      <c r="PBM104" s="284"/>
      <c r="PBN104" s="284"/>
      <c r="PBO104" s="284"/>
      <c r="PBP104" s="284"/>
      <c r="PBQ104" s="284"/>
      <c r="PBR104" s="284"/>
      <c r="PBS104" s="284"/>
      <c r="PBT104" s="284"/>
      <c r="PBU104" s="284"/>
      <c r="PBV104" s="284"/>
      <c r="PBW104" s="284"/>
      <c r="PBX104" s="284"/>
      <c r="PBY104" s="284"/>
      <c r="PBZ104" s="284"/>
      <c r="PCA104" s="284"/>
      <c r="PCB104" s="284"/>
      <c r="PCC104" s="284"/>
      <c r="PCD104" s="284"/>
      <c r="PCE104" s="284"/>
      <c r="PCF104" s="284"/>
      <c r="PCG104" s="284"/>
      <c r="PCH104" s="284"/>
      <c r="PCI104" s="284"/>
      <c r="PCJ104" s="284"/>
      <c r="PCK104" s="284"/>
      <c r="PCL104" s="284"/>
      <c r="PCM104" s="284"/>
      <c r="PCN104" s="284"/>
      <c r="PCO104" s="284"/>
      <c r="PCP104" s="284"/>
      <c r="PCQ104" s="284"/>
      <c r="PCR104" s="284"/>
      <c r="PCS104" s="284"/>
      <c r="PCT104" s="284"/>
      <c r="PCU104" s="284"/>
      <c r="PCV104" s="284"/>
      <c r="PCW104" s="284"/>
      <c r="PCX104" s="284"/>
      <c r="PCY104" s="284"/>
      <c r="PCZ104" s="284"/>
      <c r="PDA104" s="284"/>
      <c r="PDB104" s="284"/>
      <c r="PDC104" s="284"/>
      <c r="PDD104" s="284"/>
      <c r="PDE104" s="284"/>
      <c r="PDF104" s="284"/>
      <c r="PDG104" s="284"/>
      <c r="PDH104" s="284"/>
      <c r="PDI104" s="284"/>
      <c r="PDJ104" s="284"/>
      <c r="PDK104" s="284"/>
      <c r="PDL104" s="284"/>
      <c r="PDM104" s="284"/>
      <c r="PDN104" s="284"/>
      <c r="PDO104" s="284"/>
      <c r="PDP104" s="284"/>
      <c r="PDQ104" s="284"/>
      <c r="PDR104" s="284"/>
      <c r="PDS104" s="284"/>
      <c r="PDT104" s="284"/>
      <c r="PDU104" s="284"/>
      <c r="PDV104" s="284"/>
      <c r="PDW104" s="284"/>
      <c r="PDX104" s="284"/>
      <c r="PDY104" s="284"/>
      <c r="PDZ104" s="284"/>
      <c r="PEA104" s="284"/>
      <c r="PEB104" s="284"/>
      <c r="PEC104" s="284"/>
      <c r="PED104" s="284"/>
      <c r="PEE104" s="284"/>
      <c r="PEF104" s="284"/>
      <c r="PEG104" s="284"/>
      <c r="PEH104" s="284"/>
      <c r="PEI104" s="284"/>
      <c r="PEJ104" s="284"/>
      <c r="PEK104" s="284"/>
      <c r="PEL104" s="284"/>
      <c r="PEM104" s="284"/>
      <c r="PEN104" s="284"/>
      <c r="PEO104" s="284"/>
      <c r="PEP104" s="284"/>
      <c r="PEQ104" s="284"/>
      <c r="PER104" s="284"/>
      <c r="PES104" s="284"/>
      <c r="PET104" s="284"/>
      <c r="PEU104" s="284"/>
      <c r="PEV104" s="284"/>
      <c r="PEW104" s="284"/>
      <c r="PEX104" s="284"/>
      <c r="PEY104" s="284"/>
      <c r="PEZ104" s="284"/>
      <c r="PFA104" s="284"/>
      <c r="PFB104" s="284"/>
      <c r="PFC104" s="284"/>
      <c r="PFD104" s="284"/>
      <c r="PFE104" s="284"/>
      <c r="PFF104" s="284"/>
      <c r="PFG104" s="284"/>
      <c r="PFH104" s="284"/>
      <c r="PFI104" s="284"/>
      <c r="PFJ104" s="284"/>
      <c r="PFK104" s="284"/>
      <c r="PFL104" s="284"/>
      <c r="PFM104" s="284"/>
      <c r="PFN104" s="284"/>
      <c r="PFO104" s="284"/>
      <c r="PFP104" s="284"/>
      <c r="PFQ104" s="284"/>
      <c r="PFR104" s="284"/>
      <c r="PFS104" s="284"/>
      <c r="PFT104" s="284"/>
      <c r="PFU104" s="284"/>
      <c r="PFV104" s="284"/>
      <c r="PFW104" s="284"/>
      <c r="PFX104" s="284"/>
      <c r="PFY104" s="284"/>
      <c r="PFZ104" s="284"/>
      <c r="PGA104" s="284"/>
      <c r="PGB104" s="284"/>
      <c r="PGC104" s="284"/>
      <c r="PGD104" s="284"/>
      <c r="PGE104" s="284"/>
      <c r="PGF104" s="284"/>
      <c r="PGG104" s="284"/>
      <c r="PGH104" s="284"/>
      <c r="PGI104" s="284"/>
      <c r="PGJ104" s="284"/>
      <c r="PGK104" s="284"/>
      <c r="PGL104" s="284"/>
      <c r="PGM104" s="284"/>
      <c r="PGN104" s="284"/>
      <c r="PGO104" s="284"/>
      <c r="PGP104" s="284"/>
      <c r="PGQ104" s="284"/>
      <c r="PGR104" s="284"/>
      <c r="PGS104" s="284"/>
      <c r="PGT104" s="284"/>
      <c r="PGU104" s="284"/>
      <c r="PGV104" s="284"/>
      <c r="PGW104" s="284"/>
      <c r="PGX104" s="284"/>
      <c r="PGY104" s="284"/>
      <c r="PGZ104" s="284"/>
      <c r="PHA104" s="284"/>
      <c r="PHB104" s="284"/>
      <c r="PHC104" s="284"/>
      <c r="PHD104" s="284"/>
      <c r="PHE104" s="284"/>
      <c r="PHF104" s="284"/>
      <c r="PHG104" s="284"/>
      <c r="PHH104" s="284"/>
      <c r="PHI104" s="284"/>
      <c r="PHJ104" s="284"/>
      <c r="PHK104" s="284"/>
      <c r="PHL104" s="284"/>
      <c r="PHM104" s="284"/>
      <c r="PHN104" s="284"/>
      <c r="PHO104" s="284"/>
      <c r="PHP104" s="284"/>
      <c r="PHQ104" s="284"/>
      <c r="PHR104" s="284"/>
      <c r="PHS104" s="284"/>
      <c r="PHT104" s="284"/>
      <c r="PHU104" s="284"/>
      <c r="PHV104" s="284"/>
      <c r="PHW104" s="284"/>
      <c r="PHX104" s="284"/>
      <c r="PHY104" s="284"/>
      <c r="PHZ104" s="284"/>
      <c r="PIA104" s="284"/>
      <c r="PIB104" s="284"/>
      <c r="PIC104" s="284"/>
      <c r="PID104" s="284"/>
      <c r="PIE104" s="284"/>
      <c r="PIF104" s="284"/>
      <c r="PIG104" s="284"/>
      <c r="PIH104" s="284"/>
      <c r="PII104" s="284"/>
      <c r="PIJ104" s="284"/>
      <c r="PIK104" s="284"/>
      <c r="PIL104" s="284"/>
      <c r="PIM104" s="284"/>
      <c r="PIN104" s="284"/>
      <c r="PIO104" s="284"/>
      <c r="PIP104" s="284"/>
      <c r="PIQ104" s="284"/>
      <c r="PIR104" s="284"/>
      <c r="PIS104" s="284"/>
      <c r="PIT104" s="284"/>
      <c r="PIU104" s="284"/>
      <c r="PIV104" s="284"/>
      <c r="PIW104" s="284"/>
      <c r="PIX104" s="284"/>
      <c r="PIY104" s="284"/>
      <c r="PIZ104" s="284"/>
      <c r="PJA104" s="284"/>
      <c r="PJB104" s="284"/>
      <c r="PJC104" s="284"/>
      <c r="PJD104" s="284"/>
      <c r="PJE104" s="284"/>
      <c r="PJF104" s="284"/>
      <c r="PJG104" s="284"/>
      <c r="PJH104" s="284"/>
      <c r="PJI104" s="284"/>
      <c r="PJJ104" s="284"/>
      <c r="PJK104" s="284"/>
      <c r="PJL104" s="284"/>
      <c r="PJM104" s="284"/>
      <c r="PJN104" s="284"/>
      <c r="PJO104" s="284"/>
      <c r="PJP104" s="284"/>
      <c r="PJQ104" s="284"/>
      <c r="PJR104" s="284"/>
      <c r="PJS104" s="284"/>
      <c r="PJT104" s="284"/>
      <c r="PJU104" s="284"/>
      <c r="PJV104" s="284"/>
      <c r="PJW104" s="284"/>
      <c r="PJX104" s="284"/>
      <c r="PJY104" s="284"/>
      <c r="PJZ104" s="284"/>
      <c r="PKA104" s="284"/>
      <c r="PKB104" s="284"/>
      <c r="PKC104" s="284"/>
      <c r="PKD104" s="284"/>
      <c r="PKE104" s="284"/>
      <c r="PKF104" s="284"/>
      <c r="PKG104" s="284"/>
      <c r="PKH104" s="284"/>
      <c r="PKI104" s="284"/>
      <c r="PKJ104" s="284"/>
      <c r="PKK104" s="284"/>
      <c r="PKL104" s="284"/>
      <c r="PKM104" s="284"/>
      <c r="PKN104" s="284"/>
      <c r="PKO104" s="284"/>
      <c r="PKP104" s="284"/>
      <c r="PKQ104" s="284"/>
      <c r="PKR104" s="284"/>
      <c r="PKS104" s="284"/>
      <c r="PKT104" s="284"/>
      <c r="PKU104" s="284"/>
      <c r="PKV104" s="284"/>
      <c r="PKW104" s="284"/>
      <c r="PKX104" s="284"/>
      <c r="PKY104" s="284"/>
      <c r="PKZ104" s="284"/>
      <c r="PLA104" s="284"/>
      <c r="PLB104" s="284"/>
      <c r="PLC104" s="284"/>
      <c r="PLD104" s="284"/>
      <c r="PLE104" s="284"/>
      <c r="PLF104" s="284"/>
      <c r="PLG104" s="284"/>
      <c r="PLH104" s="284"/>
      <c r="PLI104" s="284"/>
      <c r="PLJ104" s="284"/>
      <c r="PLK104" s="284"/>
      <c r="PLL104" s="284"/>
      <c r="PLM104" s="284"/>
      <c r="PLN104" s="284"/>
      <c r="PLO104" s="284"/>
      <c r="PLP104" s="284"/>
      <c r="PLQ104" s="284"/>
      <c r="PLR104" s="284"/>
      <c r="PLS104" s="284"/>
      <c r="PLT104" s="284"/>
      <c r="PLU104" s="284"/>
      <c r="PLV104" s="284"/>
      <c r="PLW104" s="284"/>
      <c r="PLX104" s="284"/>
      <c r="PLY104" s="284"/>
      <c r="PLZ104" s="284"/>
      <c r="PMA104" s="284"/>
      <c r="PMB104" s="284"/>
      <c r="PMC104" s="284"/>
      <c r="PMD104" s="284"/>
      <c r="PME104" s="284"/>
      <c r="PMF104" s="284"/>
      <c r="PMG104" s="284"/>
      <c r="PMH104" s="284"/>
      <c r="PMI104" s="284"/>
      <c r="PMJ104" s="284"/>
      <c r="PMK104" s="284"/>
      <c r="PML104" s="284"/>
      <c r="PMM104" s="284"/>
      <c r="PMN104" s="284"/>
      <c r="PMO104" s="284"/>
      <c r="PMP104" s="284"/>
      <c r="PMQ104" s="284"/>
      <c r="PMR104" s="284"/>
      <c r="PMS104" s="284"/>
      <c r="PMT104" s="284"/>
      <c r="PMU104" s="284"/>
      <c r="PMV104" s="284"/>
      <c r="PMW104" s="284"/>
      <c r="PMX104" s="284"/>
      <c r="PMY104" s="284"/>
      <c r="PMZ104" s="284"/>
      <c r="PNA104" s="284"/>
      <c r="PNB104" s="284"/>
      <c r="PNC104" s="284"/>
      <c r="PND104" s="284"/>
      <c r="PNE104" s="284"/>
      <c r="PNF104" s="284"/>
      <c r="PNG104" s="284"/>
      <c r="PNH104" s="284"/>
      <c r="PNI104" s="284"/>
      <c r="PNJ104" s="284"/>
      <c r="PNK104" s="284"/>
      <c r="PNL104" s="284"/>
      <c r="PNM104" s="284"/>
      <c r="PNN104" s="284"/>
      <c r="PNO104" s="284"/>
      <c r="PNP104" s="284"/>
      <c r="PNQ104" s="284"/>
      <c r="PNR104" s="284"/>
      <c r="PNS104" s="284"/>
      <c r="PNT104" s="284"/>
      <c r="PNU104" s="284"/>
      <c r="PNV104" s="284"/>
      <c r="PNW104" s="284"/>
      <c r="PNX104" s="284"/>
      <c r="PNY104" s="284"/>
      <c r="PNZ104" s="284"/>
      <c r="POA104" s="284"/>
      <c r="POB104" s="284"/>
      <c r="POC104" s="284"/>
      <c r="POD104" s="284"/>
      <c r="POE104" s="284"/>
      <c r="POF104" s="284"/>
      <c r="POG104" s="284"/>
      <c r="POH104" s="284"/>
      <c r="POI104" s="284"/>
      <c r="POJ104" s="284"/>
      <c r="POK104" s="284"/>
      <c r="POL104" s="284"/>
      <c r="POM104" s="284"/>
      <c r="PON104" s="284"/>
      <c r="POO104" s="284"/>
      <c r="POP104" s="284"/>
      <c r="POQ104" s="284"/>
      <c r="POR104" s="284"/>
      <c r="POS104" s="284"/>
      <c r="POT104" s="284"/>
      <c r="POU104" s="284"/>
      <c r="POV104" s="284"/>
      <c r="POW104" s="284"/>
      <c r="POX104" s="284"/>
      <c r="POY104" s="284"/>
      <c r="POZ104" s="284"/>
      <c r="PPA104" s="284"/>
      <c r="PPB104" s="284"/>
      <c r="PPC104" s="284"/>
      <c r="PPD104" s="284"/>
      <c r="PPE104" s="284"/>
      <c r="PPF104" s="284"/>
      <c r="PPG104" s="284"/>
      <c r="PPH104" s="284"/>
      <c r="PPI104" s="284"/>
      <c r="PPJ104" s="284"/>
      <c r="PPK104" s="284"/>
      <c r="PPL104" s="284"/>
      <c r="PPM104" s="284"/>
      <c r="PPN104" s="284"/>
      <c r="PPO104" s="284"/>
      <c r="PPP104" s="284"/>
      <c r="PPQ104" s="284"/>
      <c r="PPR104" s="284"/>
      <c r="PPS104" s="284"/>
      <c r="PPT104" s="284"/>
      <c r="PPU104" s="284"/>
      <c r="PPV104" s="284"/>
      <c r="PPW104" s="284"/>
      <c r="PPX104" s="284"/>
      <c r="PPY104" s="284"/>
      <c r="PPZ104" s="284"/>
      <c r="PQA104" s="284"/>
      <c r="PQB104" s="284"/>
      <c r="PQC104" s="284"/>
      <c r="PQD104" s="284"/>
      <c r="PQE104" s="284"/>
      <c r="PQF104" s="284"/>
      <c r="PQG104" s="284"/>
      <c r="PQH104" s="284"/>
      <c r="PQI104" s="284"/>
      <c r="PQJ104" s="284"/>
      <c r="PQK104" s="284"/>
      <c r="PQL104" s="284"/>
      <c r="PQM104" s="284"/>
      <c r="PQN104" s="284"/>
      <c r="PQO104" s="284"/>
      <c r="PQP104" s="284"/>
      <c r="PQQ104" s="284"/>
      <c r="PQR104" s="284"/>
      <c r="PQS104" s="284"/>
      <c r="PQT104" s="284"/>
      <c r="PQU104" s="284"/>
      <c r="PQV104" s="284"/>
      <c r="PQW104" s="284"/>
      <c r="PQX104" s="284"/>
      <c r="PQY104" s="284"/>
      <c r="PQZ104" s="284"/>
      <c r="PRA104" s="284"/>
      <c r="PRB104" s="284"/>
      <c r="PRC104" s="284"/>
      <c r="PRD104" s="284"/>
      <c r="PRE104" s="284"/>
      <c r="PRF104" s="284"/>
      <c r="PRG104" s="284"/>
      <c r="PRH104" s="284"/>
      <c r="PRI104" s="284"/>
      <c r="PRJ104" s="284"/>
      <c r="PRK104" s="284"/>
      <c r="PRL104" s="284"/>
      <c r="PRM104" s="284"/>
      <c r="PRN104" s="284"/>
      <c r="PRO104" s="284"/>
      <c r="PRP104" s="284"/>
      <c r="PRQ104" s="284"/>
      <c r="PRR104" s="284"/>
      <c r="PRS104" s="284"/>
      <c r="PRT104" s="284"/>
      <c r="PRU104" s="284"/>
      <c r="PRV104" s="284"/>
      <c r="PRW104" s="284"/>
      <c r="PRX104" s="284"/>
      <c r="PRY104" s="284"/>
      <c r="PRZ104" s="284"/>
      <c r="PSA104" s="284"/>
      <c r="PSB104" s="284"/>
      <c r="PSC104" s="284"/>
      <c r="PSD104" s="284"/>
      <c r="PSE104" s="284"/>
      <c r="PSF104" s="284"/>
      <c r="PSG104" s="284"/>
      <c r="PSH104" s="284"/>
      <c r="PSI104" s="284"/>
      <c r="PSJ104" s="284"/>
      <c r="PSK104" s="284"/>
      <c r="PSL104" s="284"/>
      <c r="PSM104" s="284"/>
      <c r="PSN104" s="284"/>
      <c r="PSO104" s="284"/>
      <c r="PSP104" s="284"/>
      <c r="PSQ104" s="284"/>
      <c r="PSR104" s="284"/>
      <c r="PSS104" s="284"/>
      <c r="PST104" s="284"/>
      <c r="PSU104" s="284"/>
      <c r="PSV104" s="284"/>
      <c r="PSW104" s="284"/>
      <c r="PSX104" s="284"/>
      <c r="PSY104" s="284"/>
      <c r="PSZ104" s="284"/>
      <c r="PTA104" s="284"/>
      <c r="PTB104" s="284"/>
      <c r="PTC104" s="284"/>
      <c r="PTD104" s="284"/>
      <c r="PTE104" s="284"/>
      <c r="PTF104" s="284"/>
      <c r="PTG104" s="284"/>
      <c r="PTH104" s="284"/>
      <c r="PTI104" s="284"/>
      <c r="PTJ104" s="284"/>
      <c r="PTK104" s="284"/>
      <c r="PTL104" s="284"/>
      <c r="PTM104" s="284"/>
      <c r="PTN104" s="284"/>
      <c r="PTO104" s="284"/>
      <c r="PTP104" s="284"/>
      <c r="PTQ104" s="284"/>
      <c r="PTR104" s="284"/>
      <c r="PTS104" s="284"/>
      <c r="PTT104" s="284"/>
      <c r="PTU104" s="284"/>
      <c r="PTV104" s="284"/>
      <c r="PTW104" s="284"/>
      <c r="PTX104" s="284"/>
      <c r="PTY104" s="284"/>
      <c r="PTZ104" s="284"/>
      <c r="PUA104" s="284"/>
      <c r="PUB104" s="284"/>
      <c r="PUC104" s="284"/>
      <c r="PUD104" s="284"/>
      <c r="PUE104" s="284"/>
      <c r="PUF104" s="284"/>
      <c r="PUG104" s="284"/>
      <c r="PUH104" s="284"/>
      <c r="PUI104" s="284"/>
      <c r="PUJ104" s="284"/>
      <c r="PUK104" s="284"/>
      <c r="PUL104" s="284"/>
      <c r="PUM104" s="284"/>
      <c r="PUN104" s="284"/>
      <c r="PUO104" s="284"/>
      <c r="PUP104" s="284"/>
      <c r="PUQ104" s="284"/>
      <c r="PUR104" s="284"/>
      <c r="PUS104" s="284"/>
      <c r="PUT104" s="284"/>
      <c r="PUU104" s="284"/>
      <c r="PUV104" s="284"/>
      <c r="PUW104" s="284"/>
      <c r="PUX104" s="284"/>
      <c r="PUY104" s="284"/>
      <c r="PUZ104" s="284"/>
      <c r="PVA104" s="284"/>
      <c r="PVB104" s="284"/>
      <c r="PVC104" s="284"/>
      <c r="PVD104" s="284"/>
      <c r="PVE104" s="284"/>
      <c r="PVF104" s="284"/>
      <c r="PVG104" s="284"/>
      <c r="PVH104" s="284"/>
      <c r="PVI104" s="284"/>
      <c r="PVJ104" s="284"/>
      <c r="PVK104" s="284"/>
      <c r="PVL104" s="284"/>
      <c r="PVM104" s="284"/>
      <c r="PVN104" s="284"/>
      <c r="PVO104" s="284"/>
      <c r="PVP104" s="284"/>
      <c r="PVQ104" s="284"/>
      <c r="PVR104" s="284"/>
      <c r="PVS104" s="284"/>
      <c r="PVT104" s="284"/>
      <c r="PVU104" s="284"/>
      <c r="PVV104" s="284"/>
      <c r="PVW104" s="284"/>
      <c r="PVX104" s="284"/>
      <c r="PVY104" s="284"/>
      <c r="PVZ104" s="284"/>
      <c r="PWA104" s="284"/>
      <c r="PWB104" s="284"/>
      <c r="PWC104" s="284"/>
      <c r="PWD104" s="284"/>
      <c r="PWE104" s="284"/>
      <c r="PWF104" s="284"/>
      <c r="PWG104" s="284"/>
      <c r="PWH104" s="284"/>
      <c r="PWI104" s="284"/>
      <c r="PWJ104" s="284"/>
      <c r="PWK104" s="284"/>
      <c r="PWL104" s="284"/>
      <c r="PWM104" s="284"/>
      <c r="PWN104" s="284"/>
      <c r="PWO104" s="284"/>
      <c r="PWP104" s="284"/>
      <c r="PWQ104" s="284"/>
      <c r="PWR104" s="284"/>
      <c r="PWS104" s="284"/>
      <c r="PWT104" s="284"/>
      <c r="PWU104" s="284"/>
      <c r="PWV104" s="284"/>
      <c r="PWW104" s="284"/>
      <c r="PWX104" s="284"/>
      <c r="PWY104" s="284"/>
      <c r="PWZ104" s="284"/>
      <c r="PXA104" s="284"/>
      <c r="PXB104" s="284"/>
      <c r="PXC104" s="284"/>
      <c r="PXD104" s="284"/>
      <c r="PXE104" s="284"/>
      <c r="PXF104" s="284"/>
      <c r="PXG104" s="284"/>
      <c r="PXH104" s="284"/>
      <c r="PXI104" s="284"/>
      <c r="PXJ104" s="284"/>
      <c r="PXK104" s="284"/>
      <c r="PXL104" s="284"/>
      <c r="PXM104" s="284"/>
      <c r="PXN104" s="284"/>
      <c r="PXO104" s="284"/>
      <c r="PXP104" s="284"/>
      <c r="PXQ104" s="284"/>
      <c r="PXR104" s="284"/>
      <c r="PXS104" s="284"/>
      <c r="PXT104" s="284"/>
      <c r="PXU104" s="284"/>
      <c r="PXV104" s="284"/>
      <c r="PXW104" s="284"/>
      <c r="PXX104" s="284"/>
      <c r="PXY104" s="284"/>
      <c r="PXZ104" s="284"/>
      <c r="PYA104" s="284"/>
      <c r="PYB104" s="284"/>
      <c r="PYC104" s="284"/>
      <c r="PYD104" s="284"/>
      <c r="PYE104" s="284"/>
      <c r="PYF104" s="284"/>
      <c r="PYG104" s="284"/>
      <c r="PYH104" s="284"/>
      <c r="PYI104" s="284"/>
      <c r="PYJ104" s="284"/>
      <c r="PYK104" s="284"/>
      <c r="PYL104" s="284"/>
      <c r="PYM104" s="284"/>
      <c r="PYN104" s="284"/>
      <c r="PYO104" s="284"/>
      <c r="PYP104" s="284"/>
      <c r="PYQ104" s="284"/>
      <c r="PYR104" s="284"/>
      <c r="PYS104" s="284"/>
      <c r="PYT104" s="284"/>
      <c r="PYU104" s="284"/>
      <c r="PYV104" s="284"/>
      <c r="PYW104" s="284"/>
      <c r="PYX104" s="284"/>
      <c r="PYY104" s="284"/>
      <c r="PYZ104" s="284"/>
      <c r="PZA104" s="284"/>
      <c r="PZB104" s="284"/>
      <c r="PZC104" s="284"/>
      <c r="PZD104" s="284"/>
      <c r="PZE104" s="284"/>
      <c r="PZF104" s="284"/>
      <c r="PZG104" s="284"/>
      <c r="PZH104" s="284"/>
      <c r="PZI104" s="284"/>
      <c r="PZJ104" s="284"/>
      <c r="PZK104" s="284"/>
      <c r="PZL104" s="284"/>
      <c r="PZM104" s="284"/>
      <c r="PZN104" s="284"/>
      <c r="PZO104" s="284"/>
      <c r="PZP104" s="284"/>
      <c r="PZQ104" s="284"/>
      <c r="PZR104" s="284"/>
      <c r="PZS104" s="284"/>
      <c r="PZT104" s="284"/>
      <c r="PZU104" s="284"/>
      <c r="PZV104" s="284"/>
      <c r="PZW104" s="284"/>
      <c r="PZX104" s="284"/>
      <c r="PZY104" s="284"/>
      <c r="PZZ104" s="284"/>
      <c r="QAA104" s="284"/>
      <c r="QAB104" s="284"/>
      <c r="QAC104" s="284"/>
      <c r="QAD104" s="284"/>
      <c r="QAE104" s="284"/>
      <c r="QAF104" s="284"/>
      <c r="QAG104" s="284"/>
      <c r="QAH104" s="284"/>
      <c r="QAI104" s="284"/>
      <c r="QAJ104" s="284"/>
      <c r="QAK104" s="284"/>
      <c r="QAL104" s="284"/>
      <c r="QAM104" s="284"/>
      <c r="QAN104" s="284"/>
      <c r="QAO104" s="284"/>
      <c r="QAP104" s="284"/>
      <c r="QAQ104" s="284"/>
      <c r="QAR104" s="284"/>
      <c r="QAS104" s="284"/>
      <c r="QAT104" s="284"/>
      <c r="QAU104" s="284"/>
      <c r="QAV104" s="284"/>
      <c r="QAW104" s="284"/>
      <c r="QAX104" s="284"/>
      <c r="QAY104" s="284"/>
      <c r="QAZ104" s="284"/>
      <c r="QBA104" s="284"/>
      <c r="QBB104" s="284"/>
      <c r="QBC104" s="284"/>
      <c r="QBD104" s="284"/>
      <c r="QBE104" s="284"/>
      <c r="QBF104" s="284"/>
      <c r="QBG104" s="284"/>
      <c r="QBH104" s="284"/>
      <c r="QBI104" s="284"/>
      <c r="QBJ104" s="284"/>
      <c r="QBK104" s="284"/>
      <c r="QBL104" s="284"/>
      <c r="QBM104" s="284"/>
      <c r="QBN104" s="284"/>
      <c r="QBO104" s="284"/>
      <c r="QBP104" s="284"/>
      <c r="QBQ104" s="284"/>
      <c r="QBR104" s="284"/>
      <c r="QBS104" s="284"/>
      <c r="QBT104" s="284"/>
      <c r="QBU104" s="284"/>
      <c r="QBV104" s="284"/>
      <c r="QBW104" s="284"/>
      <c r="QBX104" s="284"/>
      <c r="QBY104" s="284"/>
      <c r="QBZ104" s="284"/>
      <c r="QCA104" s="284"/>
      <c r="QCB104" s="284"/>
      <c r="QCC104" s="284"/>
      <c r="QCD104" s="284"/>
      <c r="QCE104" s="284"/>
      <c r="QCF104" s="284"/>
      <c r="QCG104" s="284"/>
      <c r="QCH104" s="284"/>
      <c r="QCI104" s="284"/>
      <c r="QCJ104" s="284"/>
      <c r="QCK104" s="284"/>
      <c r="QCL104" s="284"/>
      <c r="QCM104" s="284"/>
      <c r="QCN104" s="284"/>
      <c r="QCO104" s="284"/>
      <c r="QCP104" s="284"/>
      <c r="QCQ104" s="284"/>
      <c r="QCR104" s="284"/>
      <c r="QCS104" s="284"/>
      <c r="QCT104" s="284"/>
      <c r="QCU104" s="284"/>
      <c r="QCV104" s="284"/>
      <c r="QCW104" s="284"/>
      <c r="QCX104" s="284"/>
      <c r="QCY104" s="284"/>
      <c r="QCZ104" s="284"/>
      <c r="QDA104" s="284"/>
      <c r="QDB104" s="284"/>
      <c r="QDC104" s="284"/>
      <c r="QDD104" s="284"/>
      <c r="QDE104" s="284"/>
      <c r="QDF104" s="284"/>
      <c r="QDG104" s="284"/>
      <c r="QDH104" s="284"/>
      <c r="QDI104" s="284"/>
      <c r="QDJ104" s="284"/>
      <c r="QDK104" s="284"/>
      <c r="QDL104" s="284"/>
      <c r="QDM104" s="284"/>
      <c r="QDN104" s="284"/>
      <c r="QDO104" s="284"/>
      <c r="QDP104" s="284"/>
      <c r="QDQ104" s="284"/>
      <c r="QDR104" s="284"/>
      <c r="QDS104" s="284"/>
      <c r="QDT104" s="284"/>
      <c r="QDU104" s="284"/>
      <c r="QDV104" s="284"/>
      <c r="QDW104" s="284"/>
      <c r="QDX104" s="284"/>
      <c r="QDY104" s="284"/>
      <c r="QDZ104" s="284"/>
      <c r="QEA104" s="284"/>
      <c r="QEB104" s="284"/>
      <c r="QEC104" s="284"/>
      <c r="QED104" s="284"/>
      <c r="QEE104" s="284"/>
      <c r="QEF104" s="284"/>
      <c r="QEG104" s="284"/>
      <c r="QEH104" s="284"/>
      <c r="QEI104" s="284"/>
      <c r="QEJ104" s="284"/>
      <c r="QEK104" s="284"/>
      <c r="QEL104" s="284"/>
      <c r="QEM104" s="284"/>
      <c r="QEN104" s="284"/>
      <c r="QEO104" s="284"/>
      <c r="QEP104" s="284"/>
      <c r="QEQ104" s="284"/>
      <c r="QER104" s="284"/>
      <c r="QES104" s="284"/>
      <c r="QET104" s="284"/>
      <c r="QEU104" s="284"/>
      <c r="QEV104" s="284"/>
      <c r="QEW104" s="284"/>
      <c r="QEX104" s="284"/>
      <c r="QEY104" s="284"/>
      <c r="QEZ104" s="284"/>
      <c r="QFA104" s="284"/>
      <c r="QFB104" s="284"/>
      <c r="QFC104" s="284"/>
      <c r="QFD104" s="284"/>
      <c r="QFE104" s="284"/>
      <c r="QFF104" s="284"/>
      <c r="QFG104" s="284"/>
      <c r="QFH104" s="284"/>
      <c r="QFI104" s="284"/>
      <c r="QFJ104" s="284"/>
      <c r="QFK104" s="284"/>
      <c r="QFL104" s="284"/>
      <c r="QFM104" s="284"/>
      <c r="QFN104" s="284"/>
      <c r="QFO104" s="284"/>
      <c r="QFP104" s="284"/>
      <c r="QFQ104" s="284"/>
      <c r="QFR104" s="284"/>
      <c r="QFS104" s="284"/>
      <c r="QFT104" s="284"/>
      <c r="QFU104" s="284"/>
      <c r="QFV104" s="284"/>
      <c r="QFW104" s="284"/>
      <c r="QFX104" s="284"/>
      <c r="QFY104" s="284"/>
      <c r="QFZ104" s="284"/>
      <c r="QGA104" s="284"/>
      <c r="QGB104" s="284"/>
      <c r="QGC104" s="284"/>
      <c r="QGD104" s="284"/>
      <c r="QGE104" s="284"/>
      <c r="QGF104" s="284"/>
      <c r="QGG104" s="284"/>
      <c r="QGH104" s="284"/>
      <c r="QGI104" s="284"/>
      <c r="QGJ104" s="284"/>
      <c r="QGK104" s="284"/>
      <c r="QGL104" s="284"/>
      <c r="QGM104" s="284"/>
      <c r="QGN104" s="284"/>
      <c r="QGO104" s="284"/>
      <c r="QGP104" s="284"/>
      <c r="QGQ104" s="284"/>
      <c r="QGR104" s="284"/>
      <c r="QGS104" s="284"/>
      <c r="QGT104" s="284"/>
      <c r="QGU104" s="284"/>
      <c r="QGV104" s="284"/>
      <c r="QGW104" s="284"/>
      <c r="QGX104" s="284"/>
      <c r="QGY104" s="284"/>
      <c r="QGZ104" s="284"/>
      <c r="QHA104" s="284"/>
      <c r="QHB104" s="284"/>
      <c r="QHC104" s="284"/>
      <c r="QHD104" s="284"/>
      <c r="QHE104" s="284"/>
      <c r="QHF104" s="284"/>
      <c r="QHG104" s="284"/>
      <c r="QHH104" s="284"/>
      <c r="QHI104" s="284"/>
      <c r="QHJ104" s="284"/>
      <c r="QHK104" s="284"/>
      <c r="QHL104" s="284"/>
      <c r="QHM104" s="284"/>
      <c r="QHN104" s="284"/>
      <c r="QHO104" s="284"/>
      <c r="QHP104" s="284"/>
      <c r="QHQ104" s="284"/>
      <c r="QHR104" s="284"/>
      <c r="QHS104" s="284"/>
      <c r="QHT104" s="284"/>
      <c r="QHU104" s="284"/>
      <c r="QHV104" s="284"/>
      <c r="QHW104" s="284"/>
      <c r="QHX104" s="284"/>
      <c r="QHY104" s="284"/>
      <c r="QHZ104" s="284"/>
      <c r="QIA104" s="284"/>
      <c r="QIB104" s="284"/>
      <c r="QIC104" s="284"/>
      <c r="QID104" s="284"/>
      <c r="QIE104" s="284"/>
      <c r="QIF104" s="284"/>
      <c r="QIG104" s="284"/>
      <c r="QIH104" s="284"/>
      <c r="QII104" s="284"/>
      <c r="QIJ104" s="284"/>
      <c r="QIK104" s="284"/>
      <c r="QIL104" s="284"/>
      <c r="QIM104" s="284"/>
      <c r="QIN104" s="284"/>
      <c r="QIO104" s="284"/>
      <c r="QIP104" s="284"/>
      <c r="QIQ104" s="284"/>
      <c r="QIR104" s="284"/>
      <c r="QIS104" s="284"/>
      <c r="QIT104" s="284"/>
      <c r="QIU104" s="284"/>
      <c r="QIV104" s="284"/>
      <c r="QIW104" s="284"/>
      <c r="QIX104" s="284"/>
      <c r="QIY104" s="284"/>
      <c r="QIZ104" s="284"/>
      <c r="QJA104" s="284"/>
      <c r="QJB104" s="284"/>
      <c r="QJC104" s="284"/>
      <c r="QJD104" s="284"/>
      <c r="QJE104" s="284"/>
      <c r="QJF104" s="284"/>
      <c r="QJG104" s="284"/>
      <c r="QJH104" s="284"/>
      <c r="QJI104" s="284"/>
      <c r="QJJ104" s="284"/>
      <c r="QJK104" s="284"/>
      <c r="QJL104" s="284"/>
      <c r="QJM104" s="284"/>
      <c r="QJN104" s="284"/>
      <c r="QJO104" s="284"/>
      <c r="QJP104" s="284"/>
      <c r="QJQ104" s="284"/>
      <c r="QJR104" s="284"/>
      <c r="QJS104" s="284"/>
      <c r="QJT104" s="284"/>
      <c r="QJU104" s="284"/>
      <c r="QJV104" s="284"/>
      <c r="QJW104" s="284"/>
      <c r="QJX104" s="284"/>
      <c r="QJY104" s="284"/>
      <c r="QJZ104" s="284"/>
      <c r="QKA104" s="284"/>
      <c r="QKB104" s="284"/>
      <c r="QKC104" s="284"/>
      <c r="QKD104" s="284"/>
      <c r="QKE104" s="284"/>
      <c r="QKF104" s="284"/>
      <c r="QKG104" s="284"/>
      <c r="QKH104" s="284"/>
      <c r="QKI104" s="284"/>
      <c r="QKJ104" s="284"/>
      <c r="QKK104" s="284"/>
      <c r="QKL104" s="284"/>
      <c r="QKM104" s="284"/>
      <c r="QKN104" s="284"/>
      <c r="QKO104" s="284"/>
      <c r="QKP104" s="284"/>
      <c r="QKQ104" s="284"/>
      <c r="QKR104" s="284"/>
      <c r="QKS104" s="284"/>
      <c r="QKT104" s="284"/>
      <c r="QKU104" s="284"/>
      <c r="QKV104" s="284"/>
      <c r="QKW104" s="284"/>
      <c r="QKX104" s="284"/>
      <c r="QKY104" s="284"/>
      <c r="QKZ104" s="284"/>
      <c r="QLA104" s="284"/>
      <c r="QLB104" s="284"/>
      <c r="QLC104" s="284"/>
      <c r="QLD104" s="284"/>
      <c r="QLE104" s="284"/>
      <c r="QLF104" s="284"/>
      <c r="QLG104" s="284"/>
      <c r="QLH104" s="284"/>
      <c r="QLI104" s="284"/>
      <c r="QLJ104" s="284"/>
      <c r="QLK104" s="284"/>
      <c r="QLL104" s="284"/>
      <c r="QLM104" s="284"/>
      <c r="QLN104" s="284"/>
      <c r="QLO104" s="284"/>
      <c r="QLP104" s="284"/>
      <c r="QLQ104" s="284"/>
      <c r="QLR104" s="284"/>
      <c r="QLS104" s="284"/>
      <c r="QLT104" s="284"/>
      <c r="QLU104" s="284"/>
      <c r="QLV104" s="284"/>
      <c r="QLW104" s="284"/>
      <c r="QLX104" s="284"/>
      <c r="QLY104" s="284"/>
      <c r="QLZ104" s="284"/>
      <c r="QMA104" s="284"/>
      <c r="QMB104" s="284"/>
      <c r="QMC104" s="284"/>
      <c r="QMD104" s="284"/>
      <c r="QME104" s="284"/>
      <c r="QMF104" s="284"/>
      <c r="QMG104" s="284"/>
      <c r="QMH104" s="284"/>
      <c r="QMI104" s="284"/>
      <c r="QMJ104" s="284"/>
      <c r="QMK104" s="284"/>
      <c r="QML104" s="284"/>
      <c r="QMM104" s="284"/>
      <c r="QMN104" s="284"/>
      <c r="QMO104" s="284"/>
      <c r="QMP104" s="284"/>
      <c r="QMQ104" s="284"/>
      <c r="QMR104" s="284"/>
      <c r="QMS104" s="284"/>
      <c r="QMT104" s="284"/>
      <c r="QMU104" s="284"/>
      <c r="QMV104" s="284"/>
      <c r="QMW104" s="284"/>
      <c r="QMX104" s="284"/>
      <c r="QMY104" s="284"/>
      <c r="QMZ104" s="284"/>
      <c r="QNA104" s="284"/>
      <c r="QNB104" s="284"/>
      <c r="QNC104" s="284"/>
      <c r="QND104" s="284"/>
      <c r="QNE104" s="284"/>
      <c r="QNF104" s="284"/>
      <c r="QNG104" s="284"/>
      <c r="QNH104" s="284"/>
      <c r="QNI104" s="284"/>
      <c r="QNJ104" s="284"/>
      <c r="QNK104" s="284"/>
      <c r="QNL104" s="284"/>
      <c r="QNM104" s="284"/>
      <c r="QNN104" s="284"/>
      <c r="QNO104" s="284"/>
      <c r="QNP104" s="284"/>
      <c r="QNQ104" s="284"/>
      <c r="QNR104" s="284"/>
      <c r="QNS104" s="284"/>
      <c r="QNT104" s="284"/>
      <c r="QNU104" s="284"/>
      <c r="QNV104" s="284"/>
      <c r="QNW104" s="284"/>
      <c r="QNX104" s="284"/>
      <c r="QNY104" s="284"/>
      <c r="QNZ104" s="284"/>
      <c r="QOA104" s="284"/>
      <c r="QOB104" s="284"/>
      <c r="QOC104" s="284"/>
      <c r="QOD104" s="284"/>
      <c r="QOE104" s="284"/>
      <c r="QOF104" s="284"/>
      <c r="QOG104" s="284"/>
      <c r="QOH104" s="284"/>
      <c r="QOI104" s="284"/>
      <c r="QOJ104" s="284"/>
      <c r="QOK104" s="284"/>
      <c r="QOL104" s="284"/>
      <c r="QOM104" s="284"/>
      <c r="QON104" s="284"/>
      <c r="QOO104" s="284"/>
      <c r="QOP104" s="284"/>
      <c r="QOQ104" s="284"/>
      <c r="QOR104" s="284"/>
      <c r="QOS104" s="284"/>
      <c r="QOT104" s="284"/>
      <c r="QOU104" s="284"/>
      <c r="QOV104" s="284"/>
      <c r="QOW104" s="284"/>
      <c r="QOX104" s="284"/>
      <c r="QOY104" s="284"/>
      <c r="QOZ104" s="284"/>
      <c r="QPA104" s="284"/>
      <c r="QPB104" s="284"/>
      <c r="QPC104" s="284"/>
      <c r="QPD104" s="284"/>
      <c r="QPE104" s="284"/>
      <c r="QPF104" s="284"/>
      <c r="QPG104" s="284"/>
      <c r="QPH104" s="284"/>
      <c r="QPI104" s="284"/>
      <c r="QPJ104" s="284"/>
      <c r="QPK104" s="284"/>
      <c r="QPL104" s="284"/>
      <c r="QPM104" s="284"/>
      <c r="QPN104" s="284"/>
      <c r="QPO104" s="284"/>
      <c r="QPP104" s="284"/>
      <c r="QPQ104" s="284"/>
      <c r="QPR104" s="284"/>
      <c r="QPS104" s="284"/>
      <c r="QPT104" s="284"/>
      <c r="QPU104" s="284"/>
      <c r="QPV104" s="284"/>
      <c r="QPW104" s="284"/>
      <c r="QPX104" s="284"/>
      <c r="QPY104" s="284"/>
      <c r="QPZ104" s="284"/>
      <c r="QQA104" s="284"/>
      <c r="QQB104" s="284"/>
      <c r="QQC104" s="284"/>
      <c r="QQD104" s="284"/>
      <c r="QQE104" s="284"/>
      <c r="QQF104" s="284"/>
      <c r="QQG104" s="284"/>
      <c r="QQH104" s="284"/>
      <c r="QQI104" s="284"/>
      <c r="QQJ104" s="284"/>
      <c r="QQK104" s="284"/>
      <c r="QQL104" s="284"/>
      <c r="QQM104" s="284"/>
      <c r="QQN104" s="284"/>
      <c r="QQO104" s="284"/>
      <c r="QQP104" s="284"/>
      <c r="QQQ104" s="284"/>
      <c r="QQR104" s="284"/>
      <c r="QQS104" s="284"/>
      <c r="QQT104" s="284"/>
      <c r="QQU104" s="284"/>
      <c r="QQV104" s="284"/>
      <c r="QQW104" s="284"/>
      <c r="QQX104" s="284"/>
      <c r="QQY104" s="284"/>
      <c r="QQZ104" s="284"/>
      <c r="QRA104" s="284"/>
      <c r="QRB104" s="284"/>
      <c r="QRC104" s="284"/>
      <c r="QRD104" s="284"/>
      <c r="QRE104" s="284"/>
      <c r="QRF104" s="284"/>
      <c r="QRG104" s="284"/>
      <c r="QRH104" s="284"/>
      <c r="QRI104" s="284"/>
      <c r="QRJ104" s="284"/>
      <c r="QRK104" s="284"/>
      <c r="QRL104" s="284"/>
      <c r="QRM104" s="284"/>
      <c r="QRN104" s="284"/>
      <c r="QRO104" s="284"/>
      <c r="QRP104" s="284"/>
      <c r="QRQ104" s="284"/>
      <c r="QRR104" s="284"/>
      <c r="QRS104" s="284"/>
      <c r="QRT104" s="284"/>
      <c r="QRU104" s="284"/>
      <c r="QRV104" s="284"/>
      <c r="QRW104" s="284"/>
      <c r="QRX104" s="284"/>
      <c r="QRY104" s="284"/>
      <c r="QRZ104" s="284"/>
      <c r="QSA104" s="284"/>
      <c r="QSB104" s="284"/>
      <c r="QSC104" s="284"/>
      <c r="QSD104" s="284"/>
      <c r="QSE104" s="284"/>
      <c r="QSF104" s="284"/>
      <c r="QSG104" s="284"/>
      <c r="QSH104" s="284"/>
      <c r="QSI104" s="284"/>
      <c r="QSJ104" s="284"/>
      <c r="QSK104" s="284"/>
      <c r="QSL104" s="284"/>
      <c r="QSM104" s="284"/>
      <c r="QSN104" s="284"/>
      <c r="QSO104" s="284"/>
      <c r="QSP104" s="284"/>
      <c r="QSQ104" s="284"/>
      <c r="QSR104" s="284"/>
      <c r="QSS104" s="284"/>
      <c r="QST104" s="284"/>
      <c r="QSU104" s="284"/>
      <c r="QSV104" s="284"/>
      <c r="QSW104" s="284"/>
      <c r="QSX104" s="284"/>
      <c r="QSY104" s="284"/>
      <c r="QSZ104" s="284"/>
      <c r="QTA104" s="284"/>
      <c r="QTB104" s="284"/>
      <c r="QTC104" s="284"/>
      <c r="QTD104" s="284"/>
      <c r="QTE104" s="284"/>
      <c r="QTF104" s="284"/>
      <c r="QTG104" s="284"/>
      <c r="QTH104" s="284"/>
      <c r="QTI104" s="284"/>
      <c r="QTJ104" s="284"/>
      <c r="QTK104" s="284"/>
      <c r="QTL104" s="284"/>
      <c r="QTM104" s="284"/>
      <c r="QTN104" s="284"/>
      <c r="QTO104" s="284"/>
      <c r="QTP104" s="284"/>
      <c r="QTQ104" s="284"/>
      <c r="QTR104" s="284"/>
      <c r="QTS104" s="284"/>
      <c r="QTT104" s="284"/>
      <c r="QTU104" s="284"/>
      <c r="QTV104" s="284"/>
      <c r="QTW104" s="284"/>
      <c r="QTX104" s="284"/>
      <c r="QTY104" s="284"/>
      <c r="QTZ104" s="284"/>
      <c r="QUA104" s="284"/>
      <c r="QUB104" s="284"/>
      <c r="QUC104" s="284"/>
      <c r="QUD104" s="284"/>
      <c r="QUE104" s="284"/>
      <c r="QUF104" s="284"/>
      <c r="QUG104" s="284"/>
      <c r="QUH104" s="284"/>
      <c r="QUI104" s="284"/>
      <c r="QUJ104" s="284"/>
      <c r="QUK104" s="284"/>
      <c r="QUL104" s="284"/>
      <c r="QUM104" s="284"/>
      <c r="QUN104" s="284"/>
      <c r="QUO104" s="284"/>
      <c r="QUP104" s="284"/>
      <c r="QUQ104" s="284"/>
      <c r="QUR104" s="284"/>
      <c r="QUS104" s="284"/>
      <c r="QUT104" s="284"/>
      <c r="QUU104" s="284"/>
      <c r="QUV104" s="284"/>
      <c r="QUW104" s="284"/>
      <c r="QUX104" s="284"/>
      <c r="QUY104" s="284"/>
      <c r="QUZ104" s="284"/>
      <c r="QVA104" s="284"/>
      <c r="QVB104" s="284"/>
      <c r="QVC104" s="284"/>
      <c r="QVD104" s="284"/>
      <c r="QVE104" s="284"/>
      <c r="QVF104" s="284"/>
      <c r="QVG104" s="284"/>
      <c r="QVH104" s="284"/>
      <c r="QVI104" s="284"/>
      <c r="QVJ104" s="284"/>
      <c r="QVK104" s="284"/>
      <c r="QVL104" s="284"/>
      <c r="QVM104" s="284"/>
      <c r="QVN104" s="284"/>
      <c r="QVO104" s="284"/>
      <c r="QVP104" s="284"/>
      <c r="QVQ104" s="284"/>
      <c r="QVR104" s="284"/>
      <c r="QVS104" s="284"/>
      <c r="QVT104" s="284"/>
      <c r="QVU104" s="284"/>
      <c r="QVV104" s="284"/>
      <c r="QVW104" s="284"/>
      <c r="QVX104" s="284"/>
      <c r="QVY104" s="284"/>
      <c r="QVZ104" s="284"/>
      <c r="QWA104" s="284"/>
      <c r="QWB104" s="284"/>
      <c r="QWC104" s="284"/>
      <c r="QWD104" s="284"/>
      <c r="QWE104" s="284"/>
      <c r="QWF104" s="284"/>
      <c r="QWG104" s="284"/>
      <c r="QWH104" s="284"/>
      <c r="QWI104" s="284"/>
      <c r="QWJ104" s="284"/>
      <c r="QWK104" s="284"/>
      <c r="QWL104" s="284"/>
      <c r="QWM104" s="284"/>
      <c r="QWN104" s="284"/>
      <c r="QWO104" s="284"/>
      <c r="QWP104" s="284"/>
      <c r="QWQ104" s="284"/>
      <c r="QWR104" s="284"/>
      <c r="QWS104" s="284"/>
      <c r="QWT104" s="284"/>
      <c r="QWU104" s="284"/>
      <c r="QWV104" s="284"/>
      <c r="QWW104" s="284"/>
      <c r="QWX104" s="284"/>
      <c r="QWY104" s="284"/>
      <c r="QWZ104" s="284"/>
      <c r="QXA104" s="284"/>
      <c r="QXB104" s="284"/>
      <c r="QXC104" s="284"/>
      <c r="QXD104" s="284"/>
      <c r="QXE104" s="284"/>
      <c r="QXF104" s="284"/>
      <c r="QXG104" s="284"/>
      <c r="QXH104" s="284"/>
      <c r="QXI104" s="284"/>
      <c r="QXJ104" s="284"/>
      <c r="QXK104" s="284"/>
      <c r="QXL104" s="284"/>
      <c r="QXM104" s="284"/>
      <c r="QXN104" s="284"/>
      <c r="QXO104" s="284"/>
      <c r="QXP104" s="284"/>
      <c r="QXQ104" s="284"/>
      <c r="QXR104" s="284"/>
      <c r="QXS104" s="284"/>
      <c r="QXT104" s="284"/>
      <c r="QXU104" s="284"/>
      <c r="QXV104" s="284"/>
      <c r="QXW104" s="284"/>
      <c r="QXX104" s="284"/>
      <c r="QXY104" s="284"/>
      <c r="QXZ104" s="284"/>
      <c r="QYA104" s="284"/>
      <c r="QYB104" s="284"/>
      <c r="QYC104" s="284"/>
      <c r="QYD104" s="284"/>
      <c r="QYE104" s="284"/>
      <c r="QYF104" s="284"/>
      <c r="QYG104" s="284"/>
      <c r="QYH104" s="284"/>
      <c r="QYI104" s="284"/>
      <c r="QYJ104" s="284"/>
      <c r="QYK104" s="284"/>
      <c r="QYL104" s="284"/>
      <c r="QYM104" s="284"/>
      <c r="QYN104" s="284"/>
      <c r="QYO104" s="284"/>
      <c r="QYP104" s="284"/>
      <c r="QYQ104" s="284"/>
      <c r="QYR104" s="284"/>
      <c r="QYS104" s="284"/>
      <c r="QYT104" s="284"/>
      <c r="QYU104" s="284"/>
      <c r="QYV104" s="284"/>
      <c r="QYW104" s="284"/>
      <c r="QYX104" s="284"/>
      <c r="QYY104" s="284"/>
      <c r="QYZ104" s="284"/>
      <c r="QZA104" s="284"/>
      <c r="QZB104" s="284"/>
      <c r="QZC104" s="284"/>
      <c r="QZD104" s="284"/>
      <c r="QZE104" s="284"/>
      <c r="QZF104" s="284"/>
      <c r="QZG104" s="284"/>
      <c r="QZH104" s="284"/>
      <c r="QZI104" s="284"/>
      <c r="QZJ104" s="284"/>
      <c r="QZK104" s="284"/>
      <c r="QZL104" s="284"/>
      <c r="QZM104" s="284"/>
      <c r="QZN104" s="284"/>
      <c r="QZO104" s="284"/>
      <c r="QZP104" s="284"/>
      <c r="QZQ104" s="284"/>
      <c r="QZR104" s="284"/>
      <c r="QZS104" s="284"/>
      <c r="QZT104" s="284"/>
      <c r="QZU104" s="284"/>
      <c r="QZV104" s="284"/>
      <c r="QZW104" s="284"/>
      <c r="QZX104" s="284"/>
      <c r="QZY104" s="284"/>
      <c r="QZZ104" s="284"/>
      <c r="RAA104" s="284"/>
      <c r="RAB104" s="284"/>
      <c r="RAC104" s="284"/>
      <c r="RAD104" s="284"/>
      <c r="RAE104" s="284"/>
      <c r="RAF104" s="284"/>
      <c r="RAG104" s="284"/>
      <c r="RAH104" s="284"/>
      <c r="RAI104" s="284"/>
      <c r="RAJ104" s="284"/>
      <c r="RAK104" s="284"/>
      <c r="RAL104" s="284"/>
      <c r="RAM104" s="284"/>
      <c r="RAN104" s="284"/>
      <c r="RAO104" s="284"/>
      <c r="RAP104" s="284"/>
      <c r="RAQ104" s="284"/>
      <c r="RAR104" s="284"/>
      <c r="RAS104" s="284"/>
      <c r="RAT104" s="284"/>
      <c r="RAU104" s="284"/>
      <c r="RAV104" s="284"/>
      <c r="RAW104" s="284"/>
      <c r="RAX104" s="284"/>
      <c r="RAY104" s="284"/>
      <c r="RAZ104" s="284"/>
      <c r="RBA104" s="284"/>
      <c r="RBB104" s="284"/>
      <c r="RBC104" s="284"/>
      <c r="RBD104" s="284"/>
      <c r="RBE104" s="284"/>
      <c r="RBF104" s="284"/>
      <c r="RBG104" s="284"/>
      <c r="RBH104" s="284"/>
      <c r="RBI104" s="284"/>
      <c r="RBJ104" s="284"/>
      <c r="RBK104" s="284"/>
      <c r="RBL104" s="284"/>
      <c r="RBM104" s="284"/>
      <c r="RBN104" s="284"/>
      <c r="RBO104" s="284"/>
      <c r="RBP104" s="284"/>
      <c r="RBQ104" s="284"/>
      <c r="RBR104" s="284"/>
      <c r="RBS104" s="284"/>
      <c r="RBT104" s="284"/>
      <c r="RBU104" s="284"/>
      <c r="RBV104" s="284"/>
      <c r="RBW104" s="284"/>
      <c r="RBX104" s="284"/>
      <c r="RBY104" s="284"/>
      <c r="RBZ104" s="284"/>
      <c r="RCA104" s="284"/>
      <c r="RCB104" s="284"/>
      <c r="RCC104" s="284"/>
      <c r="RCD104" s="284"/>
      <c r="RCE104" s="284"/>
      <c r="RCF104" s="284"/>
      <c r="RCG104" s="284"/>
      <c r="RCH104" s="284"/>
      <c r="RCI104" s="284"/>
      <c r="RCJ104" s="284"/>
      <c r="RCK104" s="284"/>
      <c r="RCL104" s="284"/>
      <c r="RCM104" s="284"/>
      <c r="RCN104" s="284"/>
      <c r="RCO104" s="284"/>
      <c r="RCP104" s="284"/>
      <c r="RCQ104" s="284"/>
      <c r="RCR104" s="284"/>
      <c r="RCS104" s="284"/>
      <c r="RCT104" s="284"/>
      <c r="RCU104" s="284"/>
      <c r="RCV104" s="284"/>
      <c r="RCW104" s="284"/>
      <c r="RCX104" s="284"/>
      <c r="RCY104" s="284"/>
      <c r="RCZ104" s="284"/>
      <c r="RDA104" s="284"/>
      <c r="RDB104" s="284"/>
      <c r="RDC104" s="284"/>
      <c r="RDD104" s="284"/>
      <c r="RDE104" s="284"/>
      <c r="RDF104" s="284"/>
      <c r="RDG104" s="284"/>
      <c r="RDH104" s="284"/>
      <c r="RDI104" s="284"/>
      <c r="RDJ104" s="284"/>
      <c r="RDK104" s="284"/>
      <c r="RDL104" s="284"/>
      <c r="RDM104" s="284"/>
      <c r="RDN104" s="284"/>
      <c r="RDO104" s="284"/>
      <c r="RDP104" s="284"/>
      <c r="RDQ104" s="284"/>
      <c r="RDR104" s="284"/>
      <c r="RDS104" s="284"/>
      <c r="RDT104" s="284"/>
      <c r="RDU104" s="284"/>
      <c r="RDV104" s="284"/>
      <c r="RDW104" s="284"/>
      <c r="RDX104" s="284"/>
      <c r="RDY104" s="284"/>
      <c r="RDZ104" s="284"/>
      <c r="REA104" s="284"/>
      <c r="REB104" s="284"/>
      <c r="REC104" s="284"/>
      <c r="RED104" s="284"/>
      <c r="REE104" s="284"/>
      <c r="REF104" s="284"/>
      <c r="REG104" s="284"/>
      <c r="REH104" s="284"/>
      <c r="REI104" s="284"/>
      <c r="REJ104" s="284"/>
      <c r="REK104" s="284"/>
      <c r="REL104" s="284"/>
      <c r="REM104" s="284"/>
      <c r="REN104" s="284"/>
      <c r="REO104" s="284"/>
      <c r="REP104" s="284"/>
      <c r="REQ104" s="284"/>
      <c r="RER104" s="284"/>
      <c r="RES104" s="284"/>
      <c r="RET104" s="284"/>
      <c r="REU104" s="284"/>
      <c r="REV104" s="284"/>
      <c r="REW104" s="284"/>
      <c r="REX104" s="284"/>
      <c r="REY104" s="284"/>
      <c r="REZ104" s="284"/>
      <c r="RFA104" s="284"/>
      <c r="RFB104" s="284"/>
      <c r="RFC104" s="284"/>
      <c r="RFD104" s="284"/>
      <c r="RFE104" s="284"/>
      <c r="RFF104" s="284"/>
      <c r="RFG104" s="284"/>
      <c r="RFH104" s="284"/>
      <c r="RFI104" s="284"/>
      <c r="RFJ104" s="284"/>
      <c r="RFK104" s="284"/>
      <c r="RFL104" s="284"/>
      <c r="RFM104" s="284"/>
      <c r="RFN104" s="284"/>
      <c r="RFO104" s="284"/>
      <c r="RFP104" s="284"/>
      <c r="RFQ104" s="284"/>
      <c r="RFR104" s="284"/>
      <c r="RFS104" s="284"/>
      <c r="RFT104" s="284"/>
      <c r="RFU104" s="284"/>
      <c r="RFV104" s="284"/>
      <c r="RFW104" s="284"/>
      <c r="RFX104" s="284"/>
      <c r="RFY104" s="284"/>
      <c r="RFZ104" s="284"/>
      <c r="RGA104" s="284"/>
      <c r="RGB104" s="284"/>
      <c r="RGC104" s="284"/>
      <c r="RGD104" s="284"/>
      <c r="RGE104" s="284"/>
      <c r="RGF104" s="284"/>
      <c r="RGG104" s="284"/>
      <c r="RGH104" s="284"/>
      <c r="RGI104" s="284"/>
      <c r="RGJ104" s="284"/>
      <c r="RGK104" s="284"/>
      <c r="RGL104" s="284"/>
      <c r="RGM104" s="284"/>
      <c r="RGN104" s="284"/>
      <c r="RGO104" s="284"/>
      <c r="RGP104" s="284"/>
      <c r="RGQ104" s="284"/>
      <c r="RGR104" s="284"/>
      <c r="RGS104" s="284"/>
      <c r="RGT104" s="284"/>
      <c r="RGU104" s="284"/>
      <c r="RGV104" s="284"/>
      <c r="RGW104" s="284"/>
      <c r="RGX104" s="284"/>
      <c r="RGY104" s="284"/>
      <c r="RGZ104" s="284"/>
      <c r="RHA104" s="284"/>
      <c r="RHB104" s="284"/>
      <c r="RHC104" s="284"/>
      <c r="RHD104" s="284"/>
      <c r="RHE104" s="284"/>
      <c r="RHF104" s="284"/>
      <c r="RHG104" s="284"/>
      <c r="RHH104" s="284"/>
      <c r="RHI104" s="284"/>
      <c r="RHJ104" s="284"/>
      <c r="RHK104" s="284"/>
      <c r="RHL104" s="284"/>
      <c r="RHM104" s="284"/>
      <c r="RHN104" s="284"/>
      <c r="RHO104" s="284"/>
      <c r="RHP104" s="284"/>
      <c r="RHQ104" s="284"/>
      <c r="RHR104" s="284"/>
      <c r="RHS104" s="284"/>
      <c r="RHT104" s="284"/>
      <c r="RHU104" s="284"/>
      <c r="RHV104" s="284"/>
      <c r="RHW104" s="284"/>
      <c r="RHX104" s="284"/>
      <c r="RHY104" s="284"/>
      <c r="RHZ104" s="284"/>
      <c r="RIA104" s="284"/>
      <c r="RIB104" s="284"/>
      <c r="RIC104" s="284"/>
      <c r="RID104" s="284"/>
      <c r="RIE104" s="284"/>
      <c r="RIF104" s="284"/>
      <c r="RIG104" s="284"/>
      <c r="RIH104" s="284"/>
      <c r="RII104" s="284"/>
      <c r="RIJ104" s="284"/>
      <c r="RIK104" s="284"/>
      <c r="RIL104" s="284"/>
      <c r="RIM104" s="284"/>
      <c r="RIN104" s="284"/>
      <c r="RIO104" s="284"/>
      <c r="RIP104" s="284"/>
      <c r="RIQ104" s="284"/>
      <c r="RIR104" s="284"/>
      <c r="RIS104" s="284"/>
      <c r="RIT104" s="284"/>
      <c r="RIU104" s="284"/>
      <c r="RIV104" s="284"/>
      <c r="RIW104" s="284"/>
      <c r="RIX104" s="284"/>
      <c r="RIY104" s="284"/>
      <c r="RIZ104" s="284"/>
      <c r="RJA104" s="284"/>
      <c r="RJB104" s="284"/>
      <c r="RJC104" s="284"/>
      <c r="RJD104" s="284"/>
      <c r="RJE104" s="284"/>
      <c r="RJF104" s="284"/>
      <c r="RJG104" s="284"/>
      <c r="RJH104" s="284"/>
      <c r="RJI104" s="284"/>
      <c r="RJJ104" s="284"/>
      <c r="RJK104" s="284"/>
      <c r="RJL104" s="284"/>
      <c r="RJM104" s="284"/>
      <c r="RJN104" s="284"/>
      <c r="RJO104" s="284"/>
      <c r="RJP104" s="284"/>
      <c r="RJQ104" s="284"/>
      <c r="RJR104" s="284"/>
      <c r="RJS104" s="284"/>
      <c r="RJT104" s="284"/>
      <c r="RJU104" s="284"/>
      <c r="RJV104" s="284"/>
      <c r="RJW104" s="284"/>
      <c r="RJX104" s="284"/>
      <c r="RJY104" s="284"/>
      <c r="RJZ104" s="284"/>
      <c r="RKA104" s="284"/>
      <c r="RKB104" s="284"/>
      <c r="RKC104" s="284"/>
      <c r="RKD104" s="284"/>
      <c r="RKE104" s="284"/>
      <c r="RKF104" s="284"/>
      <c r="RKG104" s="284"/>
      <c r="RKH104" s="284"/>
      <c r="RKI104" s="284"/>
      <c r="RKJ104" s="284"/>
      <c r="RKK104" s="284"/>
      <c r="RKL104" s="284"/>
      <c r="RKM104" s="284"/>
      <c r="RKN104" s="284"/>
      <c r="RKO104" s="284"/>
      <c r="RKP104" s="284"/>
      <c r="RKQ104" s="284"/>
      <c r="RKR104" s="284"/>
      <c r="RKS104" s="284"/>
      <c r="RKT104" s="284"/>
      <c r="RKU104" s="284"/>
      <c r="RKV104" s="284"/>
      <c r="RKW104" s="284"/>
      <c r="RKX104" s="284"/>
      <c r="RKY104" s="284"/>
      <c r="RKZ104" s="284"/>
      <c r="RLA104" s="284"/>
      <c r="RLB104" s="284"/>
      <c r="RLC104" s="284"/>
      <c r="RLD104" s="284"/>
      <c r="RLE104" s="284"/>
      <c r="RLF104" s="284"/>
      <c r="RLG104" s="284"/>
      <c r="RLH104" s="284"/>
      <c r="RLI104" s="284"/>
      <c r="RLJ104" s="284"/>
      <c r="RLK104" s="284"/>
      <c r="RLL104" s="284"/>
      <c r="RLM104" s="284"/>
      <c r="RLN104" s="284"/>
      <c r="RLO104" s="284"/>
      <c r="RLP104" s="284"/>
      <c r="RLQ104" s="284"/>
      <c r="RLR104" s="284"/>
      <c r="RLS104" s="284"/>
      <c r="RLT104" s="284"/>
      <c r="RLU104" s="284"/>
      <c r="RLV104" s="284"/>
      <c r="RLW104" s="284"/>
      <c r="RLX104" s="284"/>
      <c r="RLY104" s="284"/>
      <c r="RLZ104" s="284"/>
      <c r="RMA104" s="284"/>
      <c r="RMB104" s="284"/>
      <c r="RMC104" s="284"/>
      <c r="RMD104" s="284"/>
      <c r="RME104" s="284"/>
      <c r="RMF104" s="284"/>
      <c r="RMG104" s="284"/>
      <c r="RMH104" s="284"/>
      <c r="RMI104" s="284"/>
      <c r="RMJ104" s="284"/>
      <c r="RMK104" s="284"/>
      <c r="RML104" s="284"/>
      <c r="RMM104" s="284"/>
      <c r="RMN104" s="284"/>
      <c r="RMO104" s="284"/>
      <c r="RMP104" s="284"/>
      <c r="RMQ104" s="284"/>
      <c r="RMR104" s="284"/>
      <c r="RMS104" s="284"/>
      <c r="RMT104" s="284"/>
      <c r="RMU104" s="284"/>
      <c r="RMV104" s="284"/>
      <c r="RMW104" s="284"/>
      <c r="RMX104" s="284"/>
      <c r="RMY104" s="284"/>
      <c r="RMZ104" s="284"/>
      <c r="RNA104" s="284"/>
      <c r="RNB104" s="284"/>
      <c r="RNC104" s="284"/>
      <c r="RND104" s="284"/>
      <c r="RNE104" s="284"/>
      <c r="RNF104" s="284"/>
      <c r="RNG104" s="284"/>
      <c r="RNH104" s="284"/>
      <c r="RNI104" s="284"/>
      <c r="RNJ104" s="284"/>
      <c r="RNK104" s="284"/>
      <c r="RNL104" s="284"/>
      <c r="RNM104" s="284"/>
      <c r="RNN104" s="284"/>
      <c r="RNO104" s="284"/>
      <c r="RNP104" s="284"/>
      <c r="RNQ104" s="284"/>
      <c r="RNR104" s="284"/>
      <c r="RNS104" s="284"/>
      <c r="RNT104" s="284"/>
      <c r="RNU104" s="284"/>
      <c r="RNV104" s="284"/>
      <c r="RNW104" s="284"/>
      <c r="RNX104" s="284"/>
      <c r="RNY104" s="284"/>
      <c r="RNZ104" s="284"/>
      <c r="ROA104" s="284"/>
      <c r="ROB104" s="284"/>
      <c r="ROC104" s="284"/>
      <c r="ROD104" s="284"/>
      <c r="ROE104" s="284"/>
      <c r="ROF104" s="284"/>
      <c r="ROG104" s="284"/>
      <c r="ROH104" s="284"/>
      <c r="ROI104" s="284"/>
      <c r="ROJ104" s="284"/>
      <c r="ROK104" s="284"/>
      <c r="ROL104" s="284"/>
      <c r="ROM104" s="284"/>
      <c r="RON104" s="284"/>
      <c r="ROO104" s="284"/>
      <c r="ROP104" s="284"/>
      <c r="ROQ104" s="284"/>
      <c r="ROR104" s="284"/>
      <c r="ROS104" s="284"/>
      <c r="ROT104" s="284"/>
      <c r="ROU104" s="284"/>
      <c r="ROV104" s="284"/>
      <c r="ROW104" s="284"/>
      <c r="ROX104" s="284"/>
      <c r="ROY104" s="284"/>
      <c r="ROZ104" s="284"/>
      <c r="RPA104" s="284"/>
      <c r="RPB104" s="284"/>
      <c r="RPC104" s="284"/>
      <c r="RPD104" s="284"/>
      <c r="RPE104" s="284"/>
      <c r="RPF104" s="284"/>
      <c r="RPG104" s="284"/>
      <c r="RPH104" s="284"/>
      <c r="RPI104" s="284"/>
      <c r="RPJ104" s="284"/>
      <c r="RPK104" s="284"/>
      <c r="RPL104" s="284"/>
      <c r="RPM104" s="284"/>
      <c r="RPN104" s="284"/>
      <c r="RPO104" s="284"/>
      <c r="RPP104" s="284"/>
      <c r="RPQ104" s="284"/>
      <c r="RPR104" s="284"/>
      <c r="RPS104" s="284"/>
      <c r="RPT104" s="284"/>
      <c r="RPU104" s="284"/>
      <c r="RPV104" s="284"/>
      <c r="RPW104" s="284"/>
      <c r="RPX104" s="284"/>
      <c r="RPY104" s="284"/>
      <c r="RPZ104" s="284"/>
      <c r="RQA104" s="284"/>
      <c r="RQB104" s="284"/>
      <c r="RQC104" s="284"/>
      <c r="RQD104" s="284"/>
      <c r="RQE104" s="284"/>
      <c r="RQF104" s="284"/>
      <c r="RQG104" s="284"/>
      <c r="RQH104" s="284"/>
      <c r="RQI104" s="284"/>
      <c r="RQJ104" s="284"/>
      <c r="RQK104" s="284"/>
      <c r="RQL104" s="284"/>
      <c r="RQM104" s="284"/>
      <c r="RQN104" s="284"/>
      <c r="RQO104" s="284"/>
      <c r="RQP104" s="284"/>
      <c r="RQQ104" s="284"/>
      <c r="RQR104" s="284"/>
      <c r="RQS104" s="284"/>
      <c r="RQT104" s="284"/>
      <c r="RQU104" s="284"/>
      <c r="RQV104" s="284"/>
      <c r="RQW104" s="284"/>
      <c r="RQX104" s="284"/>
      <c r="RQY104" s="284"/>
      <c r="RQZ104" s="284"/>
      <c r="RRA104" s="284"/>
      <c r="RRB104" s="284"/>
      <c r="RRC104" s="284"/>
      <c r="RRD104" s="284"/>
      <c r="RRE104" s="284"/>
      <c r="RRF104" s="284"/>
      <c r="RRG104" s="284"/>
      <c r="RRH104" s="284"/>
      <c r="RRI104" s="284"/>
      <c r="RRJ104" s="284"/>
      <c r="RRK104" s="284"/>
      <c r="RRL104" s="284"/>
      <c r="RRM104" s="284"/>
      <c r="RRN104" s="284"/>
      <c r="RRO104" s="284"/>
      <c r="RRP104" s="284"/>
      <c r="RRQ104" s="284"/>
      <c r="RRR104" s="284"/>
      <c r="RRS104" s="284"/>
      <c r="RRT104" s="284"/>
      <c r="RRU104" s="284"/>
      <c r="RRV104" s="284"/>
      <c r="RRW104" s="284"/>
      <c r="RRX104" s="284"/>
      <c r="RRY104" s="284"/>
      <c r="RRZ104" s="284"/>
      <c r="RSA104" s="284"/>
      <c r="RSB104" s="284"/>
      <c r="RSC104" s="284"/>
      <c r="RSD104" s="284"/>
      <c r="RSE104" s="284"/>
      <c r="RSF104" s="284"/>
      <c r="RSG104" s="284"/>
      <c r="RSH104" s="284"/>
      <c r="RSI104" s="284"/>
      <c r="RSJ104" s="284"/>
      <c r="RSK104" s="284"/>
      <c r="RSL104" s="284"/>
      <c r="RSM104" s="284"/>
      <c r="RSN104" s="284"/>
      <c r="RSO104" s="284"/>
      <c r="RSP104" s="284"/>
      <c r="RSQ104" s="284"/>
      <c r="RSR104" s="284"/>
      <c r="RSS104" s="284"/>
      <c r="RST104" s="284"/>
      <c r="RSU104" s="284"/>
      <c r="RSV104" s="284"/>
      <c r="RSW104" s="284"/>
      <c r="RSX104" s="284"/>
      <c r="RSY104" s="284"/>
      <c r="RSZ104" s="284"/>
      <c r="RTA104" s="284"/>
      <c r="RTB104" s="284"/>
      <c r="RTC104" s="284"/>
      <c r="RTD104" s="284"/>
      <c r="RTE104" s="284"/>
      <c r="RTF104" s="284"/>
      <c r="RTG104" s="284"/>
      <c r="RTH104" s="284"/>
      <c r="RTI104" s="284"/>
      <c r="RTJ104" s="284"/>
      <c r="RTK104" s="284"/>
      <c r="RTL104" s="284"/>
      <c r="RTM104" s="284"/>
      <c r="RTN104" s="284"/>
      <c r="RTO104" s="284"/>
      <c r="RTP104" s="284"/>
      <c r="RTQ104" s="284"/>
      <c r="RTR104" s="284"/>
      <c r="RTS104" s="284"/>
      <c r="RTT104" s="284"/>
      <c r="RTU104" s="284"/>
      <c r="RTV104" s="284"/>
      <c r="RTW104" s="284"/>
      <c r="RTX104" s="284"/>
      <c r="RTY104" s="284"/>
      <c r="RTZ104" s="284"/>
      <c r="RUA104" s="284"/>
      <c r="RUB104" s="284"/>
      <c r="RUC104" s="284"/>
      <c r="RUD104" s="284"/>
      <c r="RUE104" s="284"/>
      <c r="RUF104" s="284"/>
      <c r="RUG104" s="284"/>
      <c r="RUH104" s="284"/>
      <c r="RUI104" s="284"/>
      <c r="RUJ104" s="284"/>
      <c r="RUK104" s="284"/>
      <c r="RUL104" s="284"/>
      <c r="RUM104" s="284"/>
      <c r="RUN104" s="284"/>
      <c r="RUO104" s="284"/>
      <c r="RUP104" s="284"/>
      <c r="RUQ104" s="284"/>
      <c r="RUR104" s="284"/>
      <c r="RUS104" s="284"/>
      <c r="RUT104" s="284"/>
      <c r="RUU104" s="284"/>
      <c r="RUV104" s="284"/>
      <c r="RUW104" s="284"/>
      <c r="RUX104" s="284"/>
      <c r="RUY104" s="284"/>
      <c r="RUZ104" s="284"/>
      <c r="RVA104" s="284"/>
      <c r="RVB104" s="284"/>
      <c r="RVC104" s="284"/>
      <c r="RVD104" s="284"/>
      <c r="RVE104" s="284"/>
      <c r="RVF104" s="284"/>
      <c r="RVG104" s="284"/>
      <c r="RVH104" s="284"/>
      <c r="RVI104" s="284"/>
      <c r="RVJ104" s="284"/>
      <c r="RVK104" s="284"/>
      <c r="RVL104" s="284"/>
      <c r="RVM104" s="284"/>
      <c r="RVN104" s="284"/>
      <c r="RVO104" s="284"/>
      <c r="RVP104" s="284"/>
      <c r="RVQ104" s="284"/>
      <c r="RVR104" s="284"/>
      <c r="RVS104" s="284"/>
      <c r="RVT104" s="284"/>
      <c r="RVU104" s="284"/>
      <c r="RVV104" s="284"/>
      <c r="RVW104" s="284"/>
      <c r="RVX104" s="284"/>
      <c r="RVY104" s="284"/>
      <c r="RVZ104" s="284"/>
      <c r="RWA104" s="284"/>
      <c r="RWB104" s="284"/>
      <c r="RWC104" s="284"/>
      <c r="RWD104" s="284"/>
      <c r="RWE104" s="284"/>
      <c r="RWF104" s="284"/>
      <c r="RWG104" s="284"/>
      <c r="RWH104" s="284"/>
      <c r="RWI104" s="284"/>
      <c r="RWJ104" s="284"/>
      <c r="RWK104" s="284"/>
      <c r="RWL104" s="284"/>
      <c r="RWM104" s="284"/>
      <c r="RWN104" s="284"/>
      <c r="RWO104" s="284"/>
      <c r="RWP104" s="284"/>
      <c r="RWQ104" s="284"/>
      <c r="RWR104" s="284"/>
      <c r="RWS104" s="284"/>
      <c r="RWT104" s="284"/>
      <c r="RWU104" s="284"/>
      <c r="RWV104" s="284"/>
      <c r="RWW104" s="284"/>
      <c r="RWX104" s="284"/>
      <c r="RWY104" s="284"/>
      <c r="RWZ104" s="284"/>
      <c r="RXA104" s="284"/>
      <c r="RXB104" s="284"/>
      <c r="RXC104" s="284"/>
      <c r="RXD104" s="284"/>
      <c r="RXE104" s="284"/>
      <c r="RXF104" s="284"/>
      <c r="RXG104" s="284"/>
      <c r="RXH104" s="284"/>
      <c r="RXI104" s="284"/>
      <c r="RXJ104" s="284"/>
      <c r="RXK104" s="284"/>
      <c r="RXL104" s="284"/>
      <c r="RXM104" s="284"/>
      <c r="RXN104" s="284"/>
      <c r="RXO104" s="284"/>
      <c r="RXP104" s="284"/>
      <c r="RXQ104" s="284"/>
      <c r="RXR104" s="284"/>
      <c r="RXS104" s="284"/>
      <c r="RXT104" s="284"/>
      <c r="RXU104" s="284"/>
      <c r="RXV104" s="284"/>
      <c r="RXW104" s="284"/>
      <c r="RXX104" s="284"/>
      <c r="RXY104" s="284"/>
      <c r="RXZ104" s="284"/>
      <c r="RYA104" s="284"/>
      <c r="RYB104" s="284"/>
      <c r="RYC104" s="284"/>
      <c r="RYD104" s="284"/>
      <c r="RYE104" s="284"/>
      <c r="RYF104" s="284"/>
      <c r="RYG104" s="284"/>
      <c r="RYH104" s="284"/>
      <c r="RYI104" s="284"/>
      <c r="RYJ104" s="284"/>
      <c r="RYK104" s="284"/>
      <c r="RYL104" s="284"/>
      <c r="RYM104" s="284"/>
      <c r="RYN104" s="284"/>
      <c r="RYO104" s="284"/>
      <c r="RYP104" s="284"/>
      <c r="RYQ104" s="284"/>
      <c r="RYR104" s="284"/>
      <c r="RYS104" s="284"/>
      <c r="RYT104" s="284"/>
      <c r="RYU104" s="284"/>
      <c r="RYV104" s="284"/>
      <c r="RYW104" s="284"/>
      <c r="RYX104" s="284"/>
      <c r="RYY104" s="284"/>
      <c r="RYZ104" s="284"/>
      <c r="RZA104" s="284"/>
      <c r="RZB104" s="284"/>
      <c r="RZC104" s="284"/>
      <c r="RZD104" s="284"/>
      <c r="RZE104" s="284"/>
      <c r="RZF104" s="284"/>
      <c r="RZG104" s="284"/>
      <c r="RZH104" s="284"/>
      <c r="RZI104" s="284"/>
      <c r="RZJ104" s="284"/>
      <c r="RZK104" s="284"/>
      <c r="RZL104" s="284"/>
      <c r="RZM104" s="284"/>
      <c r="RZN104" s="284"/>
      <c r="RZO104" s="284"/>
      <c r="RZP104" s="284"/>
      <c r="RZQ104" s="284"/>
      <c r="RZR104" s="284"/>
      <c r="RZS104" s="284"/>
      <c r="RZT104" s="284"/>
      <c r="RZU104" s="284"/>
      <c r="RZV104" s="284"/>
      <c r="RZW104" s="284"/>
      <c r="RZX104" s="284"/>
      <c r="RZY104" s="284"/>
      <c r="RZZ104" s="284"/>
      <c r="SAA104" s="284"/>
      <c r="SAB104" s="284"/>
      <c r="SAC104" s="284"/>
      <c r="SAD104" s="284"/>
      <c r="SAE104" s="284"/>
      <c r="SAF104" s="284"/>
      <c r="SAG104" s="284"/>
      <c r="SAH104" s="284"/>
      <c r="SAI104" s="284"/>
      <c r="SAJ104" s="284"/>
      <c r="SAK104" s="284"/>
      <c r="SAL104" s="284"/>
      <c r="SAM104" s="284"/>
      <c r="SAN104" s="284"/>
      <c r="SAO104" s="284"/>
      <c r="SAP104" s="284"/>
      <c r="SAQ104" s="284"/>
      <c r="SAR104" s="284"/>
      <c r="SAS104" s="284"/>
      <c r="SAT104" s="284"/>
      <c r="SAU104" s="284"/>
      <c r="SAV104" s="284"/>
      <c r="SAW104" s="284"/>
      <c r="SAX104" s="284"/>
      <c r="SAY104" s="284"/>
      <c r="SAZ104" s="284"/>
      <c r="SBA104" s="284"/>
      <c r="SBB104" s="284"/>
      <c r="SBC104" s="284"/>
      <c r="SBD104" s="284"/>
      <c r="SBE104" s="284"/>
      <c r="SBF104" s="284"/>
      <c r="SBG104" s="284"/>
      <c r="SBH104" s="284"/>
      <c r="SBI104" s="284"/>
      <c r="SBJ104" s="284"/>
      <c r="SBK104" s="284"/>
      <c r="SBL104" s="284"/>
      <c r="SBM104" s="284"/>
      <c r="SBN104" s="284"/>
      <c r="SBO104" s="284"/>
      <c r="SBP104" s="284"/>
      <c r="SBQ104" s="284"/>
      <c r="SBR104" s="284"/>
      <c r="SBS104" s="284"/>
      <c r="SBT104" s="284"/>
      <c r="SBU104" s="284"/>
      <c r="SBV104" s="284"/>
      <c r="SBW104" s="284"/>
      <c r="SBX104" s="284"/>
      <c r="SBY104" s="284"/>
      <c r="SBZ104" s="284"/>
      <c r="SCA104" s="284"/>
      <c r="SCB104" s="284"/>
      <c r="SCC104" s="284"/>
      <c r="SCD104" s="284"/>
      <c r="SCE104" s="284"/>
      <c r="SCF104" s="284"/>
      <c r="SCG104" s="284"/>
      <c r="SCH104" s="284"/>
      <c r="SCI104" s="284"/>
      <c r="SCJ104" s="284"/>
      <c r="SCK104" s="284"/>
      <c r="SCL104" s="284"/>
      <c r="SCM104" s="284"/>
      <c r="SCN104" s="284"/>
      <c r="SCO104" s="284"/>
      <c r="SCP104" s="284"/>
      <c r="SCQ104" s="284"/>
      <c r="SCR104" s="284"/>
      <c r="SCS104" s="284"/>
      <c r="SCT104" s="284"/>
      <c r="SCU104" s="284"/>
      <c r="SCV104" s="284"/>
      <c r="SCW104" s="284"/>
      <c r="SCX104" s="284"/>
      <c r="SCY104" s="284"/>
      <c r="SCZ104" s="284"/>
      <c r="SDA104" s="284"/>
      <c r="SDB104" s="284"/>
      <c r="SDC104" s="284"/>
      <c r="SDD104" s="284"/>
      <c r="SDE104" s="284"/>
      <c r="SDF104" s="284"/>
      <c r="SDG104" s="284"/>
      <c r="SDH104" s="284"/>
      <c r="SDI104" s="284"/>
      <c r="SDJ104" s="284"/>
      <c r="SDK104" s="284"/>
      <c r="SDL104" s="284"/>
      <c r="SDM104" s="284"/>
      <c r="SDN104" s="284"/>
      <c r="SDO104" s="284"/>
      <c r="SDP104" s="284"/>
      <c r="SDQ104" s="284"/>
      <c r="SDR104" s="284"/>
      <c r="SDS104" s="284"/>
      <c r="SDT104" s="284"/>
      <c r="SDU104" s="284"/>
      <c r="SDV104" s="284"/>
      <c r="SDW104" s="284"/>
      <c r="SDX104" s="284"/>
      <c r="SDY104" s="284"/>
      <c r="SDZ104" s="284"/>
      <c r="SEA104" s="284"/>
      <c r="SEB104" s="284"/>
      <c r="SEC104" s="284"/>
      <c r="SED104" s="284"/>
      <c r="SEE104" s="284"/>
      <c r="SEF104" s="284"/>
      <c r="SEG104" s="284"/>
      <c r="SEH104" s="284"/>
      <c r="SEI104" s="284"/>
      <c r="SEJ104" s="284"/>
      <c r="SEK104" s="284"/>
      <c r="SEL104" s="284"/>
      <c r="SEM104" s="284"/>
      <c r="SEN104" s="284"/>
      <c r="SEO104" s="284"/>
      <c r="SEP104" s="284"/>
      <c r="SEQ104" s="284"/>
      <c r="SER104" s="284"/>
      <c r="SES104" s="284"/>
      <c r="SET104" s="284"/>
      <c r="SEU104" s="284"/>
      <c r="SEV104" s="284"/>
      <c r="SEW104" s="284"/>
      <c r="SEX104" s="284"/>
      <c r="SEY104" s="284"/>
      <c r="SEZ104" s="284"/>
      <c r="SFA104" s="284"/>
      <c r="SFB104" s="284"/>
      <c r="SFC104" s="284"/>
      <c r="SFD104" s="284"/>
      <c r="SFE104" s="284"/>
      <c r="SFF104" s="284"/>
      <c r="SFG104" s="284"/>
      <c r="SFH104" s="284"/>
      <c r="SFI104" s="284"/>
      <c r="SFJ104" s="284"/>
      <c r="SFK104" s="284"/>
      <c r="SFL104" s="284"/>
      <c r="SFM104" s="284"/>
      <c r="SFN104" s="284"/>
      <c r="SFO104" s="284"/>
      <c r="SFP104" s="284"/>
      <c r="SFQ104" s="284"/>
      <c r="SFR104" s="284"/>
      <c r="SFS104" s="284"/>
      <c r="SFT104" s="284"/>
      <c r="SFU104" s="284"/>
      <c r="SFV104" s="284"/>
      <c r="SFW104" s="284"/>
      <c r="SFX104" s="284"/>
      <c r="SFY104" s="284"/>
      <c r="SFZ104" s="284"/>
      <c r="SGA104" s="284"/>
      <c r="SGB104" s="284"/>
      <c r="SGC104" s="284"/>
      <c r="SGD104" s="284"/>
      <c r="SGE104" s="284"/>
      <c r="SGF104" s="284"/>
      <c r="SGG104" s="284"/>
      <c r="SGH104" s="284"/>
      <c r="SGI104" s="284"/>
      <c r="SGJ104" s="284"/>
      <c r="SGK104" s="284"/>
      <c r="SGL104" s="284"/>
      <c r="SGM104" s="284"/>
      <c r="SGN104" s="284"/>
      <c r="SGO104" s="284"/>
      <c r="SGP104" s="284"/>
      <c r="SGQ104" s="284"/>
      <c r="SGR104" s="284"/>
      <c r="SGS104" s="284"/>
      <c r="SGT104" s="284"/>
      <c r="SGU104" s="284"/>
      <c r="SGV104" s="284"/>
      <c r="SGW104" s="284"/>
      <c r="SGX104" s="284"/>
      <c r="SGY104" s="284"/>
      <c r="SGZ104" s="284"/>
      <c r="SHA104" s="284"/>
      <c r="SHB104" s="284"/>
      <c r="SHC104" s="284"/>
      <c r="SHD104" s="284"/>
      <c r="SHE104" s="284"/>
      <c r="SHF104" s="284"/>
      <c r="SHG104" s="284"/>
      <c r="SHH104" s="284"/>
      <c r="SHI104" s="284"/>
      <c r="SHJ104" s="284"/>
      <c r="SHK104" s="284"/>
      <c r="SHL104" s="284"/>
      <c r="SHM104" s="284"/>
      <c r="SHN104" s="284"/>
      <c r="SHO104" s="284"/>
      <c r="SHP104" s="284"/>
      <c r="SHQ104" s="284"/>
      <c r="SHR104" s="284"/>
      <c r="SHS104" s="284"/>
      <c r="SHT104" s="284"/>
      <c r="SHU104" s="284"/>
      <c r="SHV104" s="284"/>
      <c r="SHW104" s="284"/>
      <c r="SHX104" s="284"/>
      <c r="SHY104" s="284"/>
      <c r="SHZ104" s="284"/>
      <c r="SIA104" s="284"/>
      <c r="SIB104" s="284"/>
      <c r="SIC104" s="284"/>
      <c r="SID104" s="284"/>
      <c r="SIE104" s="284"/>
      <c r="SIF104" s="284"/>
      <c r="SIG104" s="284"/>
      <c r="SIH104" s="284"/>
      <c r="SII104" s="284"/>
      <c r="SIJ104" s="284"/>
      <c r="SIK104" s="284"/>
      <c r="SIL104" s="284"/>
      <c r="SIM104" s="284"/>
      <c r="SIN104" s="284"/>
      <c r="SIO104" s="284"/>
      <c r="SIP104" s="284"/>
      <c r="SIQ104" s="284"/>
      <c r="SIR104" s="284"/>
      <c r="SIS104" s="284"/>
      <c r="SIT104" s="284"/>
      <c r="SIU104" s="284"/>
      <c r="SIV104" s="284"/>
      <c r="SIW104" s="284"/>
      <c r="SIX104" s="284"/>
      <c r="SIY104" s="284"/>
      <c r="SIZ104" s="284"/>
      <c r="SJA104" s="284"/>
      <c r="SJB104" s="284"/>
      <c r="SJC104" s="284"/>
      <c r="SJD104" s="284"/>
      <c r="SJE104" s="284"/>
      <c r="SJF104" s="284"/>
      <c r="SJG104" s="284"/>
      <c r="SJH104" s="284"/>
      <c r="SJI104" s="284"/>
      <c r="SJJ104" s="284"/>
      <c r="SJK104" s="284"/>
      <c r="SJL104" s="284"/>
      <c r="SJM104" s="284"/>
      <c r="SJN104" s="284"/>
      <c r="SJO104" s="284"/>
      <c r="SJP104" s="284"/>
      <c r="SJQ104" s="284"/>
      <c r="SJR104" s="284"/>
      <c r="SJS104" s="284"/>
      <c r="SJT104" s="284"/>
      <c r="SJU104" s="284"/>
      <c r="SJV104" s="284"/>
      <c r="SJW104" s="284"/>
      <c r="SJX104" s="284"/>
      <c r="SJY104" s="284"/>
      <c r="SJZ104" s="284"/>
      <c r="SKA104" s="284"/>
      <c r="SKB104" s="284"/>
      <c r="SKC104" s="284"/>
      <c r="SKD104" s="284"/>
      <c r="SKE104" s="284"/>
      <c r="SKF104" s="284"/>
      <c r="SKG104" s="284"/>
      <c r="SKH104" s="284"/>
      <c r="SKI104" s="284"/>
      <c r="SKJ104" s="284"/>
      <c r="SKK104" s="284"/>
      <c r="SKL104" s="284"/>
      <c r="SKM104" s="284"/>
      <c r="SKN104" s="284"/>
      <c r="SKO104" s="284"/>
      <c r="SKP104" s="284"/>
      <c r="SKQ104" s="284"/>
      <c r="SKR104" s="284"/>
      <c r="SKS104" s="284"/>
      <c r="SKT104" s="284"/>
      <c r="SKU104" s="284"/>
      <c r="SKV104" s="284"/>
      <c r="SKW104" s="284"/>
      <c r="SKX104" s="284"/>
      <c r="SKY104" s="284"/>
      <c r="SKZ104" s="284"/>
      <c r="SLA104" s="284"/>
      <c r="SLB104" s="284"/>
      <c r="SLC104" s="284"/>
      <c r="SLD104" s="284"/>
      <c r="SLE104" s="284"/>
      <c r="SLF104" s="284"/>
      <c r="SLG104" s="284"/>
      <c r="SLH104" s="284"/>
      <c r="SLI104" s="284"/>
      <c r="SLJ104" s="284"/>
      <c r="SLK104" s="284"/>
      <c r="SLL104" s="284"/>
      <c r="SLM104" s="284"/>
      <c r="SLN104" s="284"/>
      <c r="SLO104" s="284"/>
      <c r="SLP104" s="284"/>
      <c r="SLQ104" s="284"/>
      <c r="SLR104" s="284"/>
      <c r="SLS104" s="284"/>
      <c r="SLT104" s="284"/>
      <c r="SLU104" s="284"/>
      <c r="SLV104" s="284"/>
      <c r="SLW104" s="284"/>
      <c r="SLX104" s="284"/>
      <c r="SLY104" s="284"/>
      <c r="SLZ104" s="284"/>
      <c r="SMA104" s="284"/>
      <c r="SMB104" s="284"/>
      <c r="SMC104" s="284"/>
      <c r="SMD104" s="284"/>
      <c r="SME104" s="284"/>
      <c r="SMF104" s="284"/>
      <c r="SMG104" s="284"/>
      <c r="SMH104" s="284"/>
      <c r="SMI104" s="284"/>
      <c r="SMJ104" s="284"/>
      <c r="SMK104" s="284"/>
      <c r="SML104" s="284"/>
      <c r="SMM104" s="284"/>
      <c r="SMN104" s="284"/>
      <c r="SMO104" s="284"/>
      <c r="SMP104" s="284"/>
      <c r="SMQ104" s="284"/>
      <c r="SMR104" s="284"/>
      <c r="SMS104" s="284"/>
      <c r="SMT104" s="284"/>
      <c r="SMU104" s="284"/>
      <c r="SMV104" s="284"/>
      <c r="SMW104" s="284"/>
      <c r="SMX104" s="284"/>
      <c r="SMY104" s="284"/>
      <c r="SMZ104" s="284"/>
      <c r="SNA104" s="284"/>
      <c r="SNB104" s="284"/>
      <c r="SNC104" s="284"/>
      <c r="SND104" s="284"/>
      <c r="SNE104" s="284"/>
      <c r="SNF104" s="284"/>
      <c r="SNG104" s="284"/>
      <c r="SNH104" s="284"/>
      <c r="SNI104" s="284"/>
      <c r="SNJ104" s="284"/>
      <c r="SNK104" s="284"/>
      <c r="SNL104" s="284"/>
      <c r="SNM104" s="284"/>
      <c r="SNN104" s="284"/>
      <c r="SNO104" s="284"/>
      <c r="SNP104" s="284"/>
      <c r="SNQ104" s="284"/>
      <c r="SNR104" s="284"/>
      <c r="SNS104" s="284"/>
      <c r="SNT104" s="284"/>
      <c r="SNU104" s="284"/>
      <c r="SNV104" s="284"/>
      <c r="SNW104" s="284"/>
      <c r="SNX104" s="284"/>
      <c r="SNY104" s="284"/>
      <c r="SNZ104" s="284"/>
      <c r="SOA104" s="284"/>
      <c r="SOB104" s="284"/>
      <c r="SOC104" s="284"/>
      <c r="SOD104" s="284"/>
      <c r="SOE104" s="284"/>
      <c r="SOF104" s="284"/>
      <c r="SOG104" s="284"/>
      <c r="SOH104" s="284"/>
      <c r="SOI104" s="284"/>
      <c r="SOJ104" s="284"/>
      <c r="SOK104" s="284"/>
      <c r="SOL104" s="284"/>
      <c r="SOM104" s="284"/>
      <c r="SON104" s="284"/>
      <c r="SOO104" s="284"/>
      <c r="SOP104" s="284"/>
      <c r="SOQ104" s="284"/>
      <c r="SOR104" s="284"/>
      <c r="SOS104" s="284"/>
      <c r="SOT104" s="284"/>
      <c r="SOU104" s="284"/>
      <c r="SOV104" s="284"/>
      <c r="SOW104" s="284"/>
      <c r="SOX104" s="284"/>
      <c r="SOY104" s="284"/>
      <c r="SOZ104" s="284"/>
      <c r="SPA104" s="284"/>
      <c r="SPB104" s="284"/>
      <c r="SPC104" s="284"/>
      <c r="SPD104" s="284"/>
      <c r="SPE104" s="284"/>
      <c r="SPF104" s="284"/>
      <c r="SPG104" s="284"/>
      <c r="SPH104" s="284"/>
      <c r="SPI104" s="284"/>
      <c r="SPJ104" s="284"/>
      <c r="SPK104" s="284"/>
      <c r="SPL104" s="284"/>
      <c r="SPM104" s="284"/>
      <c r="SPN104" s="284"/>
      <c r="SPO104" s="284"/>
      <c r="SPP104" s="284"/>
      <c r="SPQ104" s="284"/>
      <c r="SPR104" s="284"/>
      <c r="SPS104" s="284"/>
      <c r="SPT104" s="284"/>
      <c r="SPU104" s="284"/>
      <c r="SPV104" s="284"/>
      <c r="SPW104" s="284"/>
      <c r="SPX104" s="284"/>
      <c r="SPY104" s="284"/>
      <c r="SPZ104" s="284"/>
      <c r="SQA104" s="284"/>
      <c r="SQB104" s="284"/>
      <c r="SQC104" s="284"/>
      <c r="SQD104" s="284"/>
      <c r="SQE104" s="284"/>
      <c r="SQF104" s="284"/>
      <c r="SQG104" s="284"/>
      <c r="SQH104" s="284"/>
      <c r="SQI104" s="284"/>
      <c r="SQJ104" s="284"/>
      <c r="SQK104" s="284"/>
      <c r="SQL104" s="284"/>
      <c r="SQM104" s="284"/>
      <c r="SQN104" s="284"/>
      <c r="SQO104" s="284"/>
      <c r="SQP104" s="284"/>
      <c r="SQQ104" s="284"/>
      <c r="SQR104" s="284"/>
      <c r="SQS104" s="284"/>
      <c r="SQT104" s="284"/>
      <c r="SQU104" s="284"/>
      <c r="SQV104" s="284"/>
      <c r="SQW104" s="284"/>
      <c r="SQX104" s="284"/>
      <c r="SQY104" s="284"/>
      <c r="SQZ104" s="284"/>
      <c r="SRA104" s="284"/>
      <c r="SRB104" s="284"/>
      <c r="SRC104" s="284"/>
      <c r="SRD104" s="284"/>
      <c r="SRE104" s="284"/>
      <c r="SRF104" s="284"/>
      <c r="SRG104" s="284"/>
      <c r="SRH104" s="284"/>
      <c r="SRI104" s="284"/>
      <c r="SRJ104" s="284"/>
      <c r="SRK104" s="284"/>
      <c r="SRL104" s="284"/>
      <c r="SRM104" s="284"/>
      <c r="SRN104" s="284"/>
      <c r="SRO104" s="284"/>
      <c r="SRP104" s="284"/>
      <c r="SRQ104" s="284"/>
      <c r="SRR104" s="284"/>
      <c r="SRS104" s="284"/>
      <c r="SRT104" s="284"/>
      <c r="SRU104" s="284"/>
      <c r="SRV104" s="284"/>
      <c r="SRW104" s="284"/>
      <c r="SRX104" s="284"/>
      <c r="SRY104" s="284"/>
      <c r="SRZ104" s="284"/>
      <c r="SSA104" s="284"/>
      <c r="SSB104" s="284"/>
      <c r="SSC104" s="284"/>
      <c r="SSD104" s="284"/>
      <c r="SSE104" s="284"/>
      <c r="SSF104" s="284"/>
      <c r="SSG104" s="284"/>
      <c r="SSH104" s="284"/>
      <c r="SSI104" s="284"/>
      <c r="SSJ104" s="284"/>
      <c r="SSK104" s="284"/>
      <c r="SSL104" s="284"/>
      <c r="SSM104" s="284"/>
      <c r="SSN104" s="284"/>
      <c r="SSO104" s="284"/>
      <c r="SSP104" s="284"/>
      <c r="SSQ104" s="284"/>
      <c r="SSR104" s="284"/>
      <c r="SSS104" s="284"/>
      <c r="SST104" s="284"/>
      <c r="SSU104" s="284"/>
      <c r="SSV104" s="284"/>
      <c r="SSW104" s="284"/>
      <c r="SSX104" s="284"/>
      <c r="SSY104" s="284"/>
      <c r="SSZ104" s="284"/>
      <c r="STA104" s="284"/>
      <c r="STB104" s="284"/>
      <c r="STC104" s="284"/>
      <c r="STD104" s="284"/>
      <c r="STE104" s="284"/>
      <c r="STF104" s="284"/>
      <c r="STG104" s="284"/>
      <c r="STH104" s="284"/>
      <c r="STI104" s="284"/>
      <c r="STJ104" s="284"/>
      <c r="STK104" s="284"/>
      <c r="STL104" s="284"/>
      <c r="STM104" s="284"/>
      <c r="STN104" s="284"/>
      <c r="STO104" s="284"/>
      <c r="STP104" s="284"/>
      <c r="STQ104" s="284"/>
      <c r="STR104" s="284"/>
      <c r="STS104" s="284"/>
      <c r="STT104" s="284"/>
      <c r="STU104" s="284"/>
      <c r="STV104" s="284"/>
      <c r="STW104" s="284"/>
      <c r="STX104" s="284"/>
      <c r="STY104" s="284"/>
      <c r="STZ104" s="284"/>
      <c r="SUA104" s="284"/>
      <c r="SUB104" s="284"/>
      <c r="SUC104" s="284"/>
      <c r="SUD104" s="284"/>
      <c r="SUE104" s="284"/>
      <c r="SUF104" s="284"/>
      <c r="SUG104" s="284"/>
      <c r="SUH104" s="284"/>
      <c r="SUI104" s="284"/>
      <c r="SUJ104" s="284"/>
      <c r="SUK104" s="284"/>
      <c r="SUL104" s="284"/>
      <c r="SUM104" s="284"/>
      <c r="SUN104" s="284"/>
      <c r="SUO104" s="284"/>
      <c r="SUP104" s="284"/>
      <c r="SUQ104" s="284"/>
      <c r="SUR104" s="284"/>
      <c r="SUS104" s="284"/>
      <c r="SUT104" s="284"/>
      <c r="SUU104" s="284"/>
      <c r="SUV104" s="284"/>
      <c r="SUW104" s="284"/>
      <c r="SUX104" s="284"/>
      <c r="SUY104" s="284"/>
      <c r="SUZ104" s="284"/>
      <c r="SVA104" s="284"/>
      <c r="SVB104" s="284"/>
      <c r="SVC104" s="284"/>
      <c r="SVD104" s="284"/>
      <c r="SVE104" s="284"/>
      <c r="SVF104" s="284"/>
      <c r="SVG104" s="284"/>
      <c r="SVH104" s="284"/>
      <c r="SVI104" s="284"/>
      <c r="SVJ104" s="284"/>
      <c r="SVK104" s="284"/>
      <c r="SVL104" s="284"/>
      <c r="SVM104" s="284"/>
      <c r="SVN104" s="284"/>
      <c r="SVO104" s="284"/>
      <c r="SVP104" s="284"/>
      <c r="SVQ104" s="284"/>
      <c r="SVR104" s="284"/>
      <c r="SVS104" s="284"/>
      <c r="SVT104" s="284"/>
      <c r="SVU104" s="284"/>
      <c r="SVV104" s="284"/>
      <c r="SVW104" s="284"/>
      <c r="SVX104" s="284"/>
      <c r="SVY104" s="284"/>
      <c r="SVZ104" s="284"/>
      <c r="SWA104" s="284"/>
      <c r="SWB104" s="284"/>
      <c r="SWC104" s="284"/>
      <c r="SWD104" s="284"/>
      <c r="SWE104" s="284"/>
      <c r="SWF104" s="284"/>
      <c r="SWG104" s="284"/>
      <c r="SWH104" s="284"/>
      <c r="SWI104" s="284"/>
      <c r="SWJ104" s="284"/>
      <c r="SWK104" s="284"/>
      <c r="SWL104" s="284"/>
      <c r="SWM104" s="284"/>
      <c r="SWN104" s="284"/>
      <c r="SWO104" s="284"/>
      <c r="SWP104" s="284"/>
      <c r="SWQ104" s="284"/>
      <c r="SWR104" s="284"/>
      <c r="SWS104" s="284"/>
      <c r="SWT104" s="284"/>
      <c r="SWU104" s="284"/>
      <c r="SWV104" s="284"/>
      <c r="SWW104" s="284"/>
      <c r="SWX104" s="284"/>
      <c r="SWY104" s="284"/>
      <c r="SWZ104" s="284"/>
      <c r="SXA104" s="284"/>
      <c r="SXB104" s="284"/>
      <c r="SXC104" s="284"/>
      <c r="SXD104" s="284"/>
      <c r="SXE104" s="284"/>
      <c r="SXF104" s="284"/>
      <c r="SXG104" s="284"/>
      <c r="SXH104" s="284"/>
      <c r="SXI104" s="284"/>
      <c r="SXJ104" s="284"/>
      <c r="SXK104" s="284"/>
      <c r="SXL104" s="284"/>
      <c r="SXM104" s="284"/>
      <c r="SXN104" s="284"/>
      <c r="SXO104" s="284"/>
      <c r="SXP104" s="284"/>
      <c r="SXQ104" s="284"/>
      <c r="SXR104" s="284"/>
      <c r="SXS104" s="284"/>
      <c r="SXT104" s="284"/>
      <c r="SXU104" s="284"/>
      <c r="SXV104" s="284"/>
      <c r="SXW104" s="284"/>
      <c r="SXX104" s="284"/>
      <c r="SXY104" s="284"/>
      <c r="SXZ104" s="284"/>
      <c r="SYA104" s="284"/>
      <c r="SYB104" s="284"/>
      <c r="SYC104" s="284"/>
      <c r="SYD104" s="284"/>
      <c r="SYE104" s="284"/>
      <c r="SYF104" s="284"/>
      <c r="SYG104" s="284"/>
      <c r="SYH104" s="284"/>
      <c r="SYI104" s="284"/>
      <c r="SYJ104" s="284"/>
      <c r="SYK104" s="284"/>
      <c r="SYL104" s="284"/>
      <c r="SYM104" s="284"/>
      <c r="SYN104" s="284"/>
      <c r="SYO104" s="284"/>
      <c r="SYP104" s="284"/>
      <c r="SYQ104" s="284"/>
      <c r="SYR104" s="284"/>
      <c r="SYS104" s="284"/>
      <c r="SYT104" s="284"/>
      <c r="SYU104" s="284"/>
      <c r="SYV104" s="284"/>
      <c r="SYW104" s="284"/>
      <c r="SYX104" s="284"/>
      <c r="SYY104" s="284"/>
      <c r="SYZ104" s="284"/>
      <c r="SZA104" s="284"/>
      <c r="SZB104" s="284"/>
      <c r="SZC104" s="284"/>
      <c r="SZD104" s="284"/>
      <c r="SZE104" s="284"/>
      <c r="SZF104" s="284"/>
      <c r="SZG104" s="284"/>
      <c r="SZH104" s="284"/>
      <c r="SZI104" s="284"/>
      <c r="SZJ104" s="284"/>
      <c r="SZK104" s="284"/>
      <c r="SZL104" s="284"/>
      <c r="SZM104" s="284"/>
      <c r="SZN104" s="284"/>
      <c r="SZO104" s="284"/>
      <c r="SZP104" s="284"/>
      <c r="SZQ104" s="284"/>
      <c r="SZR104" s="284"/>
      <c r="SZS104" s="284"/>
      <c r="SZT104" s="284"/>
      <c r="SZU104" s="284"/>
      <c r="SZV104" s="284"/>
      <c r="SZW104" s="284"/>
      <c r="SZX104" s="284"/>
      <c r="SZY104" s="284"/>
      <c r="SZZ104" s="284"/>
      <c r="TAA104" s="284"/>
      <c r="TAB104" s="284"/>
      <c r="TAC104" s="284"/>
      <c r="TAD104" s="284"/>
      <c r="TAE104" s="284"/>
      <c r="TAF104" s="284"/>
      <c r="TAG104" s="284"/>
      <c r="TAH104" s="284"/>
      <c r="TAI104" s="284"/>
      <c r="TAJ104" s="284"/>
      <c r="TAK104" s="284"/>
      <c r="TAL104" s="284"/>
      <c r="TAM104" s="284"/>
      <c r="TAN104" s="284"/>
      <c r="TAO104" s="284"/>
      <c r="TAP104" s="284"/>
      <c r="TAQ104" s="284"/>
      <c r="TAR104" s="284"/>
      <c r="TAS104" s="284"/>
      <c r="TAT104" s="284"/>
      <c r="TAU104" s="284"/>
      <c r="TAV104" s="284"/>
      <c r="TAW104" s="284"/>
      <c r="TAX104" s="284"/>
      <c r="TAY104" s="284"/>
      <c r="TAZ104" s="284"/>
      <c r="TBA104" s="284"/>
      <c r="TBB104" s="284"/>
      <c r="TBC104" s="284"/>
      <c r="TBD104" s="284"/>
      <c r="TBE104" s="284"/>
      <c r="TBF104" s="284"/>
      <c r="TBG104" s="284"/>
      <c r="TBH104" s="284"/>
      <c r="TBI104" s="284"/>
      <c r="TBJ104" s="284"/>
      <c r="TBK104" s="284"/>
      <c r="TBL104" s="284"/>
      <c r="TBM104" s="284"/>
      <c r="TBN104" s="284"/>
      <c r="TBO104" s="284"/>
      <c r="TBP104" s="284"/>
      <c r="TBQ104" s="284"/>
      <c r="TBR104" s="284"/>
      <c r="TBS104" s="284"/>
      <c r="TBT104" s="284"/>
      <c r="TBU104" s="284"/>
      <c r="TBV104" s="284"/>
      <c r="TBW104" s="284"/>
      <c r="TBX104" s="284"/>
      <c r="TBY104" s="284"/>
      <c r="TBZ104" s="284"/>
      <c r="TCA104" s="284"/>
      <c r="TCB104" s="284"/>
      <c r="TCC104" s="284"/>
      <c r="TCD104" s="284"/>
      <c r="TCE104" s="284"/>
      <c r="TCF104" s="284"/>
      <c r="TCG104" s="284"/>
      <c r="TCH104" s="284"/>
      <c r="TCI104" s="284"/>
      <c r="TCJ104" s="284"/>
      <c r="TCK104" s="284"/>
      <c r="TCL104" s="284"/>
      <c r="TCM104" s="284"/>
      <c r="TCN104" s="284"/>
      <c r="TCO104" s="284"/>
      <c r="TCP104" s="284"/>
      <c r="TCQ104" s="284"/>
      <c r="TCR104" s="284"/>
      <c r="TCS104" s="284"/>
      <c r="TCT104" s="284"/>
      <c r="TCU104" s="284"/>
      <c r="TCV104" s="284"/>
      <c r="TCW104" s="284"/>
      <c r="TCX104" s="284"/>
      <c r="TCY104" s="284"/>
      <c r="TCZ104" s="284"/>
      <c r="TDA104" s="284"/>
      <c r="TDB104" s="284"/>
      <c r="TDC104" s="284"/>
      <c r="TDD104" s="284"/>
      <c r="TDE104" s="284"/>
      <c r="TDF104" s="284"/>
      <c r="TDG104" s="284"/>
      <c r="TDH104" s="284"/>
      <c r="TDI104" s="284"/>
      <c r="TDJ104" s="284"/>
      <c r="TDK104" s="284"/>
      <c r="TDL104" s="284"/>
      <c r="TDM104" s="284"/>
      <c r="TDN104" s="284"/>
      <c r="TDO104" s="284"/>
      <c r="TDP104" s="284"/>
      <c r="TDQ104" s="284"/>
      <c r="TDR104" s="284"/>
      <c r="TDS104" s="284"/>
      <c r="TDT104" s="284"/>
      <c r="TDU104" s="284"/>
      <c r="TDV104" s="284"/>
      <c r="TDW104" s="284"/>
      <c r="TDX104" s="284"/>
      <c r="TDY104" s="284"/>
      <c r="TDZ104" s="284"/>
      <c r="TEA104" s="284"/>
      <c r="TEB104" s="284"/>
      <c r="TEC104" s="284"/>
      <c r="TED104" s="284"/>
      <c r="TEE104" s="284"/>
      <c r="TEF104" s="284"/>
      <c r="TEG104" s="284"/>
      <c r="TEH104" s="284"/>
      <c r="TEI104" s="284"/>
      <c r="TEJ104" s="284"/>
      <c r="TEK104" s="284"/>
      <c r="TEL104" s="284"/>
      <c r="TEM104" s="284"/>
      <c r="TEN104" s="284"/>
      <c r="TEO104" s="284"/>
      <c r="TEP104" s="284"/>
      <c r="TEQ104" s="284"/>
      <c r="TER104" s="284"/>
      <c r="TES104" s="284"/>
      <c r="TET104" s="284"/>
      <c r="TEU104" s="284"/>
      <c r="TEV104" s="284"/>
      <c r="TEW104" s="284"/>
      <c r="TEX104" s="284"/>
      <c r="TEY104" s="284"/>
      <c r="TEZ104" s="284"/>
      <c r="TFA104" s="284"/>
      <c r="TFB104" s="284"/>
      <c r="TFC104" s="284"/>
      <c r="TFD104" s="284"/>
      <c r="TFE104" s="284"/>
      <c r="TFF104" s="284"/>
      <c r="TFG104" s="284"/>
      <c r="TFH104" s="284"/>
      <c r="TFI104" s="284"/>
      <c r="TFJ104" s="284"/>
      <c r="TFK104" s="284"/>
      <c r="TFL104" s="284"/>
      <c r="TFM104" s="284"/>
      <c r="TFN104" s="284"/>
      <c r="TFO104" s="284"/>
      <c r="TFP104" s="284"/>
      <c r="TFQ104" s="284"/>
      <c r="TFR104" s="284"/>
      <c r="TFS104" s="284"/>
      <c r="TFT104" s="284"/>
      <c r="TFU104" s="284"/>
      <c r="TFV104" s="284"/>
      <c r="TFW104" s="284"/>
      <c r="TFX104" s="284"/>
      <c r="TFY104" s="284"/>
      <c r="TFZ104" s="284"/>
      <c r="TGA104" s="284"/>
      <c r="TGB104" s="284"/>
      <c r="TGC104" s="284"/>
      <c r="TGD104" s="284"/>
      <c r="TGE104" s="284"/>
      <c r="TGF104" s="284"/>
      <c r="TGG104" s="284"/>
      <c r="TGH104" s="284"/>
      <c r="TGI104" s="284"/>
      <c r="TGJ104" s="284"/>
      <c r="TGK104" s="284"/>
      <c r="TGL104" s="284"/>
      <c r="TGM104" s="284"/>
      <c r="TGN104" s="284"/>
      <c r="TGO104" s="284"/>
      <c r="TGP104" s="284"/>
      <c r="TGQ104" s="284"/>
      <c r="TGR104" s="284"/>
      <c r="TGS104" s="284"/>
      <c r="TGT104" s="284"/>
      <c r="TGU104" s="284"/>
      <c r="TGV104" s="284"/>
      <c r="TGW104" s="284"/>
      <c r="TGX104" s="284"/>
      <c r="TGY104" s="284"/>
      <c r="TGZ104" s="284"/>
      <c r="THA104" s="284"/>
      <c r="THB104" s="284"/>
      <c r="THC104" s="284"/>
      <c r="THD104" s="284"/>
      <c r="THE104" s="284"/>
      <c r="THF104" s="284"/>
      <c r="THG104" s="284"/>
      <c r="THH104" s="284"/>
      <c r="THI104" s="284"/>
      <c r="THJ104" s="284"/>
      <c r="THK104" s="284"/>
      <c r="THL104" s="284"/>
      <c r="THM104" s="284"/>
      <c r="THN104" s="284"/>
      <c r="THO104" s="284"/>
      <c r="THP104" s="284"/>
      <c r="THQ104" s="284"/>
      <c r="THR104" s="284"/>
      <c r="THS104" s="284"/>
      <c r="THT104" s="284"/>
      <c r="THU104" s="284"/>
      <c r="THV104" s="284"/>
      <c r="THW104" s="284"/>
      <c r="THX104" s="284"/>
      <c r="THY104" s="284"/>
      <c r="THZ104" s="284"/>
      <c r="TIA104" s="284"/>
      <c r="TIB104" s="284"/>
      <c r="TIC104" s="284"/>
      <c r="TID104" s="284"/>
      <c r="TIE104" s="284"/>
      <c r="TIF104" s="284"/>
      <c r="TIG104" s="284"/>
      <c r="TIH104" s="284"/>
      <c r="TII104" s="284"/>
      <c r="TIJ104" s="284"/>
      <c r="TIK104" s="284"/>
      <c r="TIL104" s="284"/>
      <c r="TIM104" s="284"/>
      <c r="TIN104" s="284"/>
      <c r="TIO104" s="284"/>
      <c r="TIP104" s="284"/>
      <c r="TIQ104" s="284"/>
      <c r="TIR104" s="284"/>
      <c r="TIS104" s="284"/>
      <c r="TIT104" s="284"/>
      <c r="TIU104" s="284"/>
      <c r="TIV104" s="284"/>
      <c r="TIW104" s="284"/>
      <c r="TIX104" s="284"/>
      <c r="TIY104" s="284"/>
      <c r="TIZ104" s="284"/>
      <c r="TJA104" s="284"/>
      <c r="TJB104" s="284"/>
      <c r="TJC104" s="284"/>
      <c r="TJD104" s="284"/>
      <c r="TJE104" s="284"/>
      <c r="TJF104" s="284"/>
      <c r="TJG104" s="284"/>
      <c r="TJH104" s="284"/>
      <c r="TJI104" s="284"/>
      <c r="TJJ104" s="284"/>
      <c r="TJK104" s="284"/>
      <c r="TJL104" s="284"/>
      <c r="TJM104" s="284"/>
      <c r="TJN104" s="284"/>
      <c r="TJO104" s="284"/>
      <c r="TJP104" s="284"/>
      <c r="TJQ104" s="284"/>
      <c r="TJR104" s="284"/>
      <c r="TJS104" s="284"/>
      <c r="TJT104" s="284"/>
      <c r="TJU104" s="284"/>
      <c r="TJV104" s="284"/>
      <c r="TJW104" s="284"/>
      <c r="TJX104" s="284"/>
      <c r="TJY104" s="284"/>
      <c r="TJZ104" s="284"/>
      <c r="TKA104" s="284"/>
      <c r="TKB104" s="284"/>
      <c r="TKC104" s="284"/>
      <c r="TKD104" s="284"/>
      <c r="TKE104" s="284"/>
      <c r="TKF104" s="284"/>
      <c r="TKG104" s="284"/>
      <c r="TKH104" s="284"/>
      <c r="TKI104" s="284"/>
      <c r="TKJ104" s="284"/>
      <c r="TKK104" s="284"/>
      <c r="TKL104" s="284"/>
      <c r="TKM104" s="284"/>
      <c r="TKN104" s="284"/>
      <c r="TKO104" s="284"/>
      <c r="TKP104" s="284"/>
      <c r="TKQ104" s="284"/>
      <c r="TKR104" s="284"/>
      <c r="TKS104" s="284"/>
      <c r="TKT104" s="284"/>
      <c r="TKU104" s="284"/>
      <c r="TKV104" s="284"/>
      <c r="TKW104" s="284"/>
      <c r="TKX104" s="284"/>
      <c r="TKY104" s="284"/>
      <c r="TKZ104" s="284"/>
      <c r="TLA104" s="284"/>
      <c r="TLB104" s="284"/>
      <c r="TLC104" s="284"/>
      <c r="TLD104" s="284"/>
      <c r="TLE104" s="284"/>
      <c r="TLF104" s="284"/>
      <c r="TLG104" s="284"/>
      <c r="TLH104" s="284"/>
      <c r="TLI104" s="284"/>
      <c r="TLJ104" s="284"/>
      <c r="TLK104" s="284"/>
      <c r="TLL104" s="284"/>
      <c r="TLM104" s="284"/>
      <c r="TLN104" s="284"/>
      <c r="TLO104" s="284"/>
      <c r="TLP104" s="284"/>
      <c r="TLQ104" s="284"/>
      <c r="TLR104" s="284"/>
      <c r="TLS104" s="284"/>
      <c r="TLT104" s="284"/>
      <c r="TLU104" s="284"/>
      <c r="TLV104" s="284"/>
      <c r="TLW104" s="284"/>
      <c r="TLX104" s="284"/>
      <c r="TLY104" s="284"/>
      <c r="TLZ104" s="284"/>
      <c r="TMA104" s="284"/>
      <c r="TMB104" s="284"/>
      <c r="TMC104" s="284"/>
      <c r="TMD104" s="284"/>
      <c r="TME104" s="284"/>
      <c r="TMF104" s="284"/>
      <c r="TMG104" s="284"/>
      <c r="TMH104" s="284"/>
      <c r="TMI104" s="284"/>
      <c r="TMJ104" s="284"/>
      <c r="TMK104" s="284"/>
      <c r="TML104" s="284"/>
      <c r="TMM104" s="284"/>
      <c r="TMN104" s="284"/>
      <c r="TMO104" s="284"/>
      <c r="TMP104" s="284"/>
      <c r="TMQ104" s="284"/>
      <c r="TMR104" s="284"/>
      <c r="TMS104" s="284"/>
      <c r="TMT104" s="284"/>
      <c r="TMU104" s="284"/>
      <c r="TMV104" s="284"/>
      <c r="TMW104" s="284"/>
      <c r="TMX104" s="284"/>
      <c r="TMY104" s="284"/>
      <c r="TMZ104" s="284"/>
      <c r="TNA104" s="284"/>
      <c r="TNB104" s="284"/>
      <c r="TNC104" s="284"/>
      <c r="TND104" s="284"/>
      <c r="TNE104" s="284"/>
      <c r="TNF104" s="284"/>
      <c r="TNG104" s="284"/>
      <c r="TNH104" s="284"/>
      <c r="TNI104" s="284"/>
      <c r="TNJ104" s="284"/>
      <c r="TNK104" s="284"/>
      <c r="TNL104" s="284"/>
      <c r="TNM104" s="284"/>
      <c r="TNN104" s="284"/>
      <c r="TNO104" s="284"/>
      <c r="TNP104" s="284"/>
      <c r="TNQ104" s="284"/>
      <c r="TNR104" s="284"/>
      <c r="TNS104" s="284"/>
      <c r="TNT104" s="284"/>
      <c r="TNU104" s="284"/>
      <c r="TNV104" s="284"/>
      <c r="TNW104" s="284"/>
      <c r="TNX104" s="284"/>
      <c r="TNY104" s="284"/>
      <c r="TNZ104" s="284"/>
      <c r="TOA104" s="284"/>
      <c r="TOB104" s="284"/>
      <c r="TOC104" s="284"/>
      <c r="TOD104" s="284"/>
      <c r="TOE104" s="284"/>
      <c r="TOF104" s="284"/>
      <c r="TOG104" s="284"/>
      <c r="TOH104" s="284"/>
      <c r="TOI104" s="284"/>
      <c r="TOJ104" s="284"/>
      <c r="TOK104" s="284"/>
      <c r="TOL104" s="284"/>
      <c r="TOM104" s="284"/>
      <c r="TON104" s="284"/>
      <c r="TOO104" s="284"/>
      <c r="TOP104" s="284"/>
      <c r="TOQ104" s="284"/>
      <c r="TOR104" s="284"/>
      <c r="TOS104" s="284"/>
      <c r="TOT104" s="284"/>
      <c r="TOU104" s="284"/>
      <c r="TOV104" s="284"/>
      <c r="TOW104" s="284"/>
      <c r="TOX104" s="284"/>
      <c r="TOY104" s="284"/>
      <c r="TOZ104" s="284"/>
      <c r="TPA104" s="284"/>
      <c r="TPB104" s="284"/>
      <c r="TPC104" s="284"/>
      <c r="TPD104" s="284"/>
      <c r="TPE104" s="284"/>
      <c r="TPF104" s="284"/>
      <c r="TPG104" s="284"/>
      <c r="TPH104" s="284"/>
      <c r="TPI104" s="284"/>
      <c r="TPJ104" s="284"/>
      <c r="TPK104" s="284"/>
      <c r="TPL104" s="284"/>
      <c r="TPM104" s="284"/>
      <c r="TPN104" s="284"/>
      <c r="TPO104" s="284"/>
      <c r="TPP104" s="284"/>
      <c r="TPQ104" s="284"/>
      <c r="TPR104" s="284"/>
      <c r="TPS104" s="284"/>
      <c r="TPT104" s="284"/>
      <c r="TPU104" s="284"/>
      <c r="TPV104" s="284"/>
      <c r="TPW104" s="284"/>
      <c r="TPX104" s="284"/>
      <c r="TPY104" s="284"/>
      <c r="TPZ104" s="284"/>
      <c r="TQA104" s="284"/>
      <c r="TQB104" s="284"/>
      <c r="TQC104" s="284"/>
      <c r="TQD104" s="284"/>
      <c r="TQE104" s="284"/>
      <c r="TQF104" s="284"/>
      <c r="TQG104" s="284"/>
      <c r="TQH104" s="284"/>
      <c r="TQI104" s="284"/>
      <c r="TQJ104" s="284"/>
      <c r="TQK104" s="284"/>
      <c r="TQL104" s="284"/>
      <c r="TQM104" s="284"/>
      <c r="TQN104" s="284"/>
      <c r="TQO104" s="284"/>
      <c r="TQP104" s="284"/>
      <c r="TQQ104" s="284"/>
      <c r="TQR104" s="284"/>
      <c r="TQS104" s="284"/>
      <c r="TQT104" s="284"/>
      <c r="TQU104" s="284"/>
      <c r="TQV104" s="284"/>
      <c r="TQW104" s="284"/>
      <c r="TQX104" s="284"/>
      <c r="TQY104" s="284"/>
      <c r="TQZ104" s="284"/>
      <c r="TRA104" s="284"/>
      <c r="TRB104" s="284"/>
      <c r="TRC104" s="284"/>
      <c r="TRD104" s="284"/>
      <c r="TRE104" s="284"/>
      <c r="TRF104" s="284"/>
      <c r="TRG104" s="284"/>
      <c r="TRH104" s="284"/>
      <c r="TRI104" s="284"/>
      <c r="TRJ104" s="284"/>
      <c r="TRK104" s="284"/>
      <c r="TRL104" s="284"/>
      <c r="TRM104" s="284"/>
      <c r="TRN104" s="284"/>
      <c r="TRO104" s="284"/>
      <c r="TRP104" s="284"/>
      <c r="TRQ104" s="284"/>
      <c r="TRR104" s="284"/>
      <c r="TRS104" s="284"/>
      <c r="TRT104" s="284"/>
      <c r="TRU104" s="284"/>
      <c r="TRV104" s="284"/>
      <c r="TRW104" s="284"/>
      <c r="TRX104" s="284"/>
      <c r="TRY104" s="284"/>
      <c r="TRZ104" s="284"/>
      <c r="TSA104" s="284"/>
      <c r="TSB104" s="284"/>
      <c r="TSC104" s="284"/>
      <c r="TSD104" s="284"/>
      <c r="TSE104" s="284"/>
      <c r="TSF104" s="284"/>
      <c r="TSG104" s="284"/>
      <c r="TSH104" s="284"/>
      <c r="TSI104" s="284"/>
      <c r="TSJ104" s="284"/>
      <c r="TSK104" s="284"/>
      <c r="TSL104" s="284"/>
      <c r="TSM104" s="284"/>
      <c r="TSN104" s="284"/>
      <c r="TSO104" s="284"/>
      <c r="TSP104" s="284"/>
      <c r="TSQ104" s="284"/>
      <c r="TSR104" s="284"/>
      <c r="TSS104" s="284"/>
      <c r="TST104" s="284"/>
      <c r="TSU104" s="284"/>
      <c r="TSV104" s="284"/>
      <c r="TSW104" s="284"/>
      <c r="TSX104" s="284"/>
      <c r="TSY104" s="284"/>
      <c r="TSZ104" s="284"/>
      <c r="TTA104" s="284"/>
      <c r="TTB104" s="284"/>
      <c r="TTC104" s="284"/>
      <c r="TTD104" s="284"/>
      <c r="TTE104" s="284"/>
      <c r="TTF104" s="284"/>
      <c r="TTG104" s="284"/>
      <c r="TTH104" s="284"/>
      <c r="TTI104" s="284"/>
      <c r="TTJ104" s="284"/>
      <c r="TTK104" s="284"/>
      <c r="TTL104" s="284"/>
      <c r="TTM104" s="284"/>
      <c r="TTN104" s="284"/>
      <c r="TTO104" s="284"/>
      <c r="TTP104" s="284"/>
      <c r="TTQ104" s="284"/>
      <c r="TTR104" s="284"/>
      <c r="TTS104" s="284"/>
      <c r="TTT104" s="284"/>
      <c r="TTU104" s="284"/>
      <c r="TTV104" s="284"/>
      <c r="TTW104" s="284"/>
      <c r="TTX104" s="284"/>
      <c r="TTY104" s="284"/>
      <c r="TTZ104" s="284"/>
      <c r="TUA104" s="284"/>
      <c r="TUB104" s="284"/>
      <c r="TUC104" s="284"/>
      <c r="TUD104" s="284"/>
      <c r="TUE104" s="284"/>
      <c r="TUF104" s="284"/>
      <c r="TUG104" s="284"/>
      <c r="TUH104" s="284"/>
      <c r="TUI104" s="284"/>
      <c r="TUJ104" s="284"/>
      <c r="TUK104" s="284"/>
      <c r="TUL104" s="284"/>
      <c r="TUM104" s="284"/>
      <c r="TUN104" s="284"/>
      <c r="TUO104" s="284"/>
      <c r="TUP104" s="284"/>
      <c r="TUQ104" s="284"/>
      <c r="TUR104" s="284"/>
      <c r="TUS104" s="284"/>
      <c r="TUT104" s="284"/>
      <c r="TUU104" s="284"/>
      <c r="TUV104" s="284"/>
      <c r="TUW104" s="284"/>
      <c r="TUX104" s="284"/>
      <c r="TUY104" s="284"/>
      <c r="TUZ104" s="284"/>
      <c r="TVA104" s="284"/>
      <c r="TVB104" s="284"/>
      <c r="TVC104" s="284"/>
      <c r="TVD104" s="284"/>
      <c r="TVE104" s="284"/>
      <c r="TVF104" s="284"/>
      <c r="TVG104" s="284"/>
      <c r="TVH104" s="284"/>
      <c r="TVI104" s="284"/>
      <c r="TVJ104" s="284"/>
      <c r="TVK104" s="284"/>
      <c r="TVL104" s="284"/>
      <c r="TVM104" s="284"/>
      <c r="TVN104" s="284"/>
      <c r="TVO104" s="284"/>
      <c r="TVP104" s="284"/>
      <c r="TVQ104" s="284"/>
      <c r="TVR104" s="284"/>
      <c r="TVS104" s="284"/>
      <c r="TVT104" s="284"/>
      <c r="TVU104" s="284"/>
      <c r="TVV104" s="284"/>
      <c r="TVW104" s="284"/>
      <c r="TVX104" s="284"/>
      <c r="TVY104" s="284"/>
      <c r="TVZ104" s="284"/>
      <c r="TWA104" s="284"/>
      <c r="TWB104" s="284"/>
      <c r="TWC104" s="284"/>
      <c r="TWD104" s="284"/>
      <c r="TWE104" s="284"/>
      <c r="TWF104" s="284"/>
      <c r="TWG104" s="284"/>
      <c r="TWH104" s="284"/>
      <c r="TWI104" s="284"/>
      <c r="TWJ104" s="284"/>
      <c r="TWK104" s="284"/>
      <c r="TWL104" s="284"/>
      <c r="TWM104" s="284"/>
      <c r="TWN104" s="284"/>
      <c r="TWO104" s="284"/>
      <c r="TWP104" s="284"/>
      <c r="TWQ104" s="284"/>
      <c r="TWR104" s="284"/>
      <c r="TWS104" s="284"/>
      <c r="TWT104" s="284"/>
      <c r="TWU104" s="284"/>
      <c r="TWV104" s="284"/>
      <c r="TWW104" s="284"/>
      <c r="TWX104" s="284"/>
      <c r="TWY104" s="284"/>
      <c r="TWZ104" s="284"/>
      <c r="TXA104" s="284"/>
      <c r="TXB104" s="284"/>
      <c r="TXC104" s="284"/>
      <c r="TXD104" s="284"/>
      <c r="TXE104" s="284"/>
      <c r="TXF104" s="284"/>
      <c r="TXG104" s="284"/>
      <c r="TXH104" s="284"/>
      <c r="TXI104" s="284"/>
      <c r="TXJ104" s="284"/>
      <c r="TXK104" s="284"/>
      <c r="TXL104" s="284"/>
      <c r="TXM104" s="284"/>
      <c r="TXN104" s="284"/>
      <c r="TXO104" s="284"/>
      <c r="TXP104" s="284"/>
      <c r="TXQ104" s="284"/>
      <c r="TXR104" s="284"/>
      <c r="TXS104" s="284"/>
      <c r="TXT104" s="284"/>
      <c r="TXU104" s="284"/>
      <c r="TXV104" s="284"/>
      <c r="TXW104" s="284"/>
      <c r="TXX104" s="284"/>
      <c r="TXY104" s="284"/>
      <c r="TXZ104" s="284"/>
      <c r="TYA104" s="284"/>
      <c r="TYB104" s="284"/>
      <c r="TYC104" s="284"/>
      <c r="TYD104" s="284"/>
      <c r="TYE104" s="284"/>
      <c r="TYF104" s="284"/>
      <c r="TYG104" s="284"/>
      <c r="TYH104" s="284"/>
      <c r="TYI104" s="284"/>
      <c r="TYJ104" s="284"/>
      <c r="TYK104" s="284"/>
      <c r="TYL104" s="284"/>
      <c r="TYM104" s="284"/>
      <c r="TYN104" s="284"/>
      <c r="TYO104" s="284"/>
      <c r="TYP104" s="284"/>
      <c r="TYQ104" s="284"/>
      <c r="TYR104" s="284"/>
      <c r="TYS104" s="284"/>
      <c r="TYT104" s="284"/>
      <c r="TYU104" s="284"/>
      <c r="TYV104" s="284"/>
      <c r="TYW104" s="284"/>
      <c r="TYX104" s="284"/>
      <c r="TYY104" s="284"/>
      <c r="TYZ104" s="284"/>
      <c r="TZA104" s="284"/>
      <c r="TZB104" s="284"/>
      <c r="TZC104" s="284"/>
      <c r="TZD104" s="284"/>
      <c r="TZE104" s="284"/>
      <c r="TZF104" s="284"/>
      <c r="TZG104" s="284"/>
      <c r="TZH104" s="284"/>
      <c r="TZI104" s="284"/>
      <c r="TZJ104" s="284"/>
      <c r="TZK104" s="284"/>
      <c r="TZL104" s="284"/>
      <c r="TZM104" s="284"/>
      <c r="TZN104" s="284"/>
      <c r="TZO104" s="284"/>
      <c r="TZP104" s="284"/>
      <c r="TZQ104" s="284"/>
      <c r="TZR104" s="284"/>
      <c r="TZS104" s="284"/>
      <c r="TZT104" s="284"/>
      <c r="TZU104" s="284"/>
      <c r="TZV104" s="284"/>
      <c r="TZW104" s="284"/>
      <c r="TZX104" s="284"/>
      <c r="TZY104" s="284"/>
      <c r="TZZ104" s="284"/>
      <c r="UAA104" s="284"/>
      <c r="UAB104" s="284"/>
      <c r="UAC104" s="284"/>
      <c r="UAD104" s="284"/>
      <c r="UAE104" s="284"/>
      <c r="UAF104" s="284"/>
      <c r="UAG104" s="284"/>
      <c r="UAH104" s="284"/>
      <c r="UAI104" s="284"/>
      <c r="UAJ104" s="284"/>
      <c r="UAK104" s="284"/>
      <c r="UAL104" s="284"/>
      <c r="UAM104" s="284"/>
      <c r="UAN104" s="284"/>
      <c r="UAO104" s="284"/>
      <c r="UAP104" s="284"/>
      <c r="UAQ104" s="284"/>
      <c r="UAR104" s="284"/>
      <c r="UAS104" s="284"/>
      <c r="UAT104" s="284"/>
      <c r="UAU104" s="284"/>
      <c r="UAV104" s="284"/>
      <c r="UAW104" s="284"/>
      <c r="UAX104" s="284"/>
      <c r="UAY104" s="284"/>
      <c r="UAZ104" s="284"/>
      <c r="UBA104" s="284"/>
      <c r="UBB104" s="284"/>
      <c r="UBC104" s="284"/>
      <c r="UBD104" s="284"/>
      <c r="UBE104" s="284"/>
      <c r="UBF104" s="284"/>
      <c r="UBG104" s="284"/>
      <c r="UBH104" s="284"/>
      <c r="UBI104" s="284"/>
      <c r="UBJ104" s="284"/>
      <c r="UBK104" s="284"/>
      <c r="UBL104" s="284"/>
      <c r="UBM104" s="284"/>
      <c r="UBN104" s="284"/>
      <c r="UBO104" s="284"/>
      <c r="UBP104" s="284"/>
      <c r="UBQ104" s="284"/>
      <c r="UBR104" s="284"/>
      <c r="UBS104" s="284"/>
      <c r="UBT104" s="284"/>
      <c r="UBU104" s="284"/>
      <c r="UBV104" s="284"/>
      <c r="UBW104" s="284"/>
      <c r="UBX104" s="284"/>
      <c r="UBY104" s="284"/>
      <c r="UBZ104" s="284"/>
      <c r="UCA104" s="284"/>
      <c r="UCB104" s="284"/>
      <c r="UCC104" s="284"/>
      <c r="UCD104" s="284"/>
      <c r="UCE104" s="284"/>
      <c r="UCF104" s="284"/>
      <c r="UCG104" s="284"/>
      <c r="UCH104" s="284"/>
      <c r="UCI104" s="284"/>
      <c r="UCJ104" s="284"/>
      <c r="UCK104" s="284"/>
      <c r="UCL104" s="284"/>
      <c r="UCM104" s="284"/>
      <c r="UCN104" s="284"/>
      <c r="UCO104" s="284"/>
      <c r="UCP104" s="284"/>
      <c r="UCQ104" s="284"/>
      <c r="UCR104" s="284"/>
      <c r="UCS104" s="284"/>
      <c r="UCT104" s="284"/>
      <c r="UCU104" s="284"/>
      <c r="UCV104" s="284"/>
      <c r="UCW104" s="284"/>
      <c r="UCX104" s="284"/>
      <c r="UCY104" s="284"/>
      <c r="UCZ104" s="284"/>
      <c r="UDA104" s="284"/>
      <c r="UDB104" s="284"/>
      <c r="UDC104" s="284"/>
      <c r="UDD104" s="284"/>
      <c r="UDE104" s="284"/>
      <c r="UDF104" s="284"/>
      <c r="UDG104" s="284"/>
      <c r="UDH104" s="284"/>
      <c r="UDI104" s="284"/>
      <c r="UDJ104" s="284"/>
      <c r="UDK104" s="284"/>
      <c r="UDL104" s="284"/>
      <c r="UDM104" s="284"/>
      <c r="UDN104" s="284"/>
      <c r="UDO104" s="284"/>
      <c r="UDP104" s="284"/>
      <c r="UDQ104" s="284"/>
      <c r="UDR104" s="284"/>
      <c r="UDS104" s="284"/>
      <c r="UDT104" s="284"/>
      <c r="UDU104" s="284"/>
      <c r="UDV104" s="284"/>
      <c r="UDW104" s="284"/>
      <c r="UDX104" s="284"/>
      <c r="UDY104" s="284"/>
      <c r="UDZ104" s="284"/>
      <c r="UEA104" s="284"/>
      <c r="UEB104" s="284"/>
      <c r="UEC104" s="284"/>
      <c r="UED104" s="284"/>
      <c r="UEE104" s="284"/>
      <c r="UEF104" s="284"/>
      <c r="UEG104" s="284"/>
      <c r="UEH104" s="284"/>
      <c r="UEI104" s="284"/>
      <c r="UEJ104" s="284"/>
      <c r="UEK104" s="284"/>
      <c r="UEL104" s="284"/>
      <c r="UEM104" s="284"/>
      <c r="UEN104" s="284"/>
      <c r="UEO104" s="284"/>
      <c r="UEP104" s="284"/>
      <c r="UEQ104" s="284"/>
      <c r="UER104" s="284"/>
      <c r="UES104" s="284"/>
      <c r="UET104" s="284"/>
      <c r="UEU104" s="284"/>
      <c r="UEV104" s="284"/>
      <c r="UEW104" s="284"/>
      <c r="UEX104" s="284"/>
      <c r="UEY104" s="284"/>
      <c r="UEZ104" s="284"/>
      <c r="UFA104" s="284"/>
      <c r="UFB104" s="284"/>
      <c r="UFC104" s="284"/>
      <c r="UFD104" s="284"/>
      <c r="UFE104" s="284"/>
      <c r="UFF104" s="284"/>
      <c r="UFG104" s="284"/>
      <c r="UFH104" s="284"/>
      <c r="UFI104" s="284"/>
      <c r="UFJ104" s="284"/>
      <c r="UFK104" s="284"/>
      <c r="UFL104" s="284"/>
      <c r="UFM104" s="284"/>
      <c r="UFN104" s="284"/>
      <c r="UFO104" s="284"/>
      <c r="UFP104" s="284"/>
      <c r="UFQ104" s="284"/>
      <c r="UFR104" s="284"/>
      <c r="UFS104" s="284"/>
      <c r="UFT104" s="284"/>
      <c r="UFU104" s="284"/>
      <c r="UFV104" s="284"/>
      <c r="UFW104" s="284"/>
      <c r="UFX104" s="284"/>
      <c r="UFY104" s="284"/>
      <c r="UFZ104" s="284"/>
      <c r="UGA104" s="284"/>
      <c r="UGB104" s="284"/>
      <c r="UGC104" s="284"/>
      <c r="UGD104" s="284"/>
      <c r="UGE104" s="284"/>
      <c r="UGF104" s="284"/>
      <c r="UGG104" s="284"/>
      <c r="UGH104" s="284"/>
      <c r="UGI104" s="284"/>
      <c r="UGJ104" s="284"/>
      <c r="UGK104" s="284"/>
      <c r="UGL104" s="284"/>
      <c r="UGM104" s="284"/>
      <c r="UGN104" s="284"/>
      <c r="UGO104" s="284"/>
      <c r="UGP104" s="284"/>
      <c r="UGQ104" s="284"/>
      <c r="UGR104" s="284"/>
      <c r="UGS104" s="284"/>
      <c r="UGT104" s="284"/>
      <c r="UGU104" s="284"/>
      <c r="UGV104" s="284"/>
      <c r="UGW104" s="284"/>
      <c r="UGX104" s="284"/>
      <c r="UGY104" s="284"/>
      <c r="UGZ104" s="284"/>
      <c r="UHA104" s="284"/>
      <c r="UHB104" s="284"/>
      <c r="UHC104" s="284"/>
      <c r="UHD104" s="284"/>
      <c r="UHE104" s="284"/>
      <c r="UHF104" s="284"/>
      <c r="UHG104" s="284"/>
      <c r="UHH104" s="284"/>
      <c r="UHI104" s="284"/>
      <c r="UHJ104" s="284"/>
      <c r="UHK104" s="284"/>
      <c r="UHL104" s="284"/>
      <c r="UHM104" s="284"/>
      <c r="UHN104" s="284"/>
      <c r="UHO104" s="284"/>
      <c r="UHP104" s="284"/>
      <c r="UHQ104" s="284"/>
      <c r="UHR104" s="284"/>
      <c r="UHS104" s="284"/>
      <c r="UHT104" s="284"/>
      <c r="UHU104" s="284"/>
      <c r="UHV104" s="284"/>
      <c r="UHW104" s="284"/>
      <c r="UHX104" s="284"/>
      <c r="UHY104" s="284"/>
      <c r="UHZ104" s="284"/>
      <c r="UIA104" s="284"/>
      <c r="UIB104" s="284"/>
      <c r="UIC104" s="284"/>
      <c r="UID104" s="284"/>
      <c r="UIE104" s="284"/>
      <c r="UIF104" s="284"/>
      <c r="UIG104" s="284"/>
      <c r="UIH104" s="284"/>
      <c r="UII104" s="284"/>
      <c r="UIJ104" s="284"/>
      <c r="UIK104" s="284"/>
      <c r="UIL104" s="284"/>
      <c r="UIM104" s="284"/>
      <c r="UIN104" s="284"/>
      <c r="UIO104" s="284"/>
      <c r="UIP104" s="284"/>
      <c r="UIQ104" s="284"/>
      <c r="UIR104" s="284"/>
      <c r="UIS104" s="284"/>
      <c r="UIT104" s="284"/>
      <c r="UIU104" s="284"/>
      <c r="UIV104" s="284"/>
      <c r="UIW104" s="284"/>
      <c r="UIX104" s="284"/>
      <c r="UIY104" s="284"/>
      <c r="UIZ104" s="284"/>
      <c r="UJA104" s="284"/>
      <c r="UJB104" s="284"/>
      <c r="UJC104" s="284"/>
      <c r="UJD104" s="284"/>
      <c r="UJE104" s="284"/>
      <c r="UJF104" s="284"/>
      <c r="UJG104" s="284"/>
      <c r="UJH104" s="284"/>
      <c r="UJI104" s="284"/>
      <c r="UJJ104" s="284"/>
      <c r="UJK104" s="284"/>
      <c r="UJL104" s="284"/>
      <c r="UJM104" s="284"/>
      <c r="UJN104" s="284"/>
      <c r="UJO104" s="284"/>
      <c r="UJP104" s="284"/>
      <c r="UJQ104" s="284"/>
      <c r="UJR104" s="284"/>
      <c r="UJS104" s="284"/>
      <c r="UJT104" s="284"/>
      <c r="UJU104" s="284"/>
      <c r="UJV104" s="284"/>
      <c r="UJW104" s="284"/>
      <c r="UJX104" s="284"/>
      <c r="UJY104" s="284"/>
      <c r="UJZ104" s="284"/>
      <c r="UKA104" s="284"/>
      <c r="UKB104" s="284"/>
      <c r="UKC104" s="284"/>
      <c r="UKD104" s="284"/>
      <c r="UKE104" s="284"/>
      <c r="UKF104" s="284"/>
      <c r="UKG104" s="284"/>
      <c r="UKH104" s="284"/>
      <c r="UKI104" s="284"/>
      <c r="UKJ104" s="284"/>
      <c r="UKK104" s="284"/>
      <c r="UKL104" s="284"/>
      <c r="UKM104" s="284"/>
      <c r="UKN104" s="284"/>
      <c r="UKO104" s="284"/>
      <c r="UKP104" s="284"/>
      <c r="UKQ104" s="284"/>
      <c r="UKR104" s="284"/>
      <c r="UKS104" s="284"/>
      <c r="UKT104" s="284"/>
      <c r="UKU104" s="284"/>
      <c r="UKV104" s="284"/>
      <c r="UKW104" s="284"/>
      <c r="UKX104" s="284"/>
      <c r="UKY104" s="284"/>
      <c r="UKZ104" s="284"/>
      <c r="ULA104" s="284"/>
      <c r="ULB104" s="284"/>
      <c r="ULC104" s="284"/>
      <c r="ULD104" s="284"/>
      <c r="ULE104" s="284"/>
      <c r="ULF104" s="284"/>
      <c r="ULG104" s="284"/>
      <c r="ULH104" s="284"/>
      <c r="ULI104" s="284"/>
      <c r="ULJ104" s="284"/>
      <c r="ULK104" s="284"/>
      <c r="ULL104" s="284"/>
      <c r="ULM104" s="284"/>
      <c r="ULN104" s="284"/>
      <c r="ULO104" s="284"/>
      <c r="ULP104" s="284"/>
      <c r="ULQ104" s="284"/>
      <c r="ULR104" s="284"/>
      <c r="ULS104" s="284"/>
      <c r="ULT104" s="284"/>
      <c r="ULU104" s="284"/>
      <c r="ULV104" s="284"/>
      <c r="ULW104" s="284"/>
      <c r="ULX104" s="284"/>
      <c r="ULY104" s="284"/>
      <c r="ULZ104" s="284"/>
      <c r="UMA104" s="284"/>
      <c r="UMB104" s="284"/>
      <c r="UMC104" s="284"/>
      <c r="UMD104" s="284"/>
      <c r="UME104" s="284"/>
      <c r="UMF104" s="284"/>
      <c r="UMG104" s="284"/>
      <c r="UMH104" s="284"/>
      <c r="UMI104" s="284"/>
      <c r="UMJ104" s="284"/>
      <c r="UMK104" s="284"/>
      <c r="UML104" s="284"/>
      <c r="UMM104" s="284"/>
      <c r="UMN104" s="284"/>
      <c r="UMO104" s="284"/>
      <c r="UMP104" s="284"/>
      <c r="UMQ104" s="284"/>
      <c r="UMR104" s="284"/>
      <c r="UMS104" s="284"/>
      <c r="UMT104" s="284"/>
      <c r="UMU104" s="284"/>
      <c r="UMV104" s="284"/>
      <c r="UMW104" s="284"/>
      <c r="UMX104" s="284"/>
      <c r="UMY104" s="284"/>
      <c r="UMZ104" s="284"/>
      <c r="UNA104" s="284"/>
      <c r="UNB104" s="284"/>
      <c r="UNC104" s="284"/>
      <c r="UND104" s="284"/>
      <c r="UNE104" s="284"/>
      <c r="UNF104" s="284"/>
      <c r="UNG104" s="284"/>
      <c r="UNH104" s="284"/>
      <c r="UNI104" s="284"/>
      <c r="UNJ104" s="284"/>
      <c r="UNK104" s="284"/>
      <c r="UNL104" s="284"/>
      <c r="UNM104" s="284"/>
      <c r="UNN104" s="284"/>
      <c r="UNO104" s="284"/>
      <c r="UNP104" s="284"/>
      <c r="UNQ104" s="284"/>
      <c r="UNR104" s="284"/>
      <c r="UNS104" s="284"/>
      <c r="UNT104" s="284"/>
      <c r="UNU104" s="284"/>
      <c r="UNV104" s="284"/>
      <c r="UNW104" s="284"/>
      <c r="UNX104" s="284"/>
      <c r="UNY104" s="284"/>
      <c r="UNZ104" s="284"/>
      <c r="UOA104" s="284"/>
      <c r="UOB104" s="284"/>
      <c r="UOC104" s="284"/>
      <c r="UOD104" s="284"/>
      <c r="UOE104" s="284"/>
      <c r="UOF104" s="284"/>
      <c r="UOG104" s="284"/>
      <c r="UOH104" s="284"/>
      <c r="UOI104" s="284"/>
      <c r="UOJ104" s="284"/>
      <c r="UOK104" s="284"/>
      <c r="UOL104" s="284"/>
      <c r="UOM104" s="284"/>
      <c r="UON104" s="284"/>
      <c r="UOO104" s="284"/>
      <c r="UOP104" s="284"/>
      <c r="UOQ104" s="284"/>
      <c r="UOR104" s="284"/>
      <c r="UOS104" s="284"/>
      <c r="UOT104" s="284"/>
      <c r="UOU104" s="284"/>
      <c r="UOV104" s="284"/>
      <c r="UOW104" s="284"/>
      <c r="UOX104" s="284"/>
      <c r="UOY104" s="284"/>
      <c r="UOZ104" s="284"/>
      <c r="UPA104" s="284"/>
      <c r="UPB104" s="284"/>
      <c r="UPC104" s="284"/>
      <c r="UPD104" s="284"/>
      <c r="UPE104" s="284"/>
      <c r="UPF104" s="284"/>
      <c r="UPG104" s="284"/>
      <c r="UPH104" s="284"/>
      <c r="UPI104" s="284"/>
      <c r="UPJ104" s="284"/>
      <c r="UPK104" s="284"/>
      <c r="UPL104" s="284"/>
      <c r="UPM104" s="284"/>
      <c r="UPN104" s="284"/>
      <c r="UPO104" s="284"/>
      <c r="UPP104" s="284"/>
      <c r="UPQ104" s="284"/>
      <c r="UPR104" s="284"/>
      <c r="UPS104" s="284"/>
      <c r="UPT104" s="284"/>
      <c r="UPU104" s="284"/>
      <c r="UPV104" s="284"/>
      <c r="UPW104" s="284"/>
      <c r="UPX104" s="284"/>
      <c r="UPY104" s="284"/>
      <c r="UPZ104" s="284"/>
      <c r="UQA104" s="284"/>
      <c r="UQB104" s="284"/>
      <c r="UQC104" s="284"/>
      <c r="UQD104" s="284"/>
      <c r="UQE104" s="284"/>
      <c r="UQF104" s="284"/>
      <c r="UQG104" s="284"/>
      <c r="UQH104" s="284"/>
      <c r="UQI104" s="284"/>
      <c r="UQJ104" s="284"/>
      <c r="UQK104" s="284"/>
      <c r="UQL104" s="284"/>
      <c r="UQM104" s="284"/>
      <c r="UQN104" s="284"/>
      <c r="UQO104" s="284"/>
      <c r="UQP104" s="284"/>
      <c r="UQQ104" s="284"/>
      <c r="UQR104" s="284"/>
      <c r="UQS104" s="284"/>
      <c r="UQT104" s="284"/>
      <c r="UQU104" s="284"/>
      <c r="UQV104" s="284"/>
      <c r="UQW104" s="284"/>
      <c r="UQX104" s="284"/>
      <c r="UQY104" s="284"/>
      <c r="UQZ104" s="284"/>
      <c r="URA104" s="284"/>
      <c r="URB104" s="284"/>
      <c r="URC104" s="284"/>
      <c r="URD104" s="284"/>
      <c r="URE104" s="284"/>
      <c r="URF104" s="284"/>
      <c r="URG104" s="284"/>
      <c r="URH104" s="284"/>
      <c r="URI104" s="284"/>
      <c r="URJ104" s="284"/>
      <c r="URK104" s="284"/>
      <c r="URL104" s="284"/>
      <c r="URM104" s="284"/>
      <c r="URN104" s="284"/>
      <c r="URO104" s="284"/>
      <c r="URP104" s="284"/>
      <c r="URQ104" s="284"/>
      <c r="URR104" s="284"/>
      <c r="URS104" s="284"/>
      <c r="URT104" s="284"/>
      <c r="URU104" s="284"/>
      <c r="URV104" s="284"/>
      <c r="URW104" s="284"/>
      <c r="URX104" s="284"/>
      <c r="URY104" s="284"/>
      <c r="URZ104" s="284"/>
      <c r="USA104" s="284"/>
      <c r="USB104" s="284"/>
      <c r="USC104" s="284"/>
      <c r="USD104" s="284"/>
      <c r="USE104" s="284"/>
      <c r="USF104" s="284"/>
      <c r="USG104" s="284"/>
      <c r="USH104" s="284"/>
      <c r="USI104" s="284"/>
      <c r="USJ104" s="284"/>
      <c r="USK104" s="284"/>
      <c r="USL104" s="284"/>
      <c r="USM104" s="284"/>
      <c r="USN104" s="284"/>
      <c r="USO104" s="284"/>
      <c r="USP104" s="284"/>
      <c r="USQ104" s="284"/>
      <c r="USR104" s="284"/>
      <c r="USS104" s="284"/>
      <c r="UST104" s="284"/>
      <c r="USU104" s="284"/>
      <c r="USV104" s="284"/>
      <c r="USW104" s="284"/>
      <c r="USX104" s="284"/>
      <c r="USY104" s="284"/>
      <c r="USZ104" s="284"/>
      <c r="UTA104" s="284"/>
      <c r="UTB104" s="284"/>
      <c r="UTC104" s="284"/>
      <c r="UTD104" s="284"/>
      <c r="UTE104" s="284"/>
      <c r="UTF104" s="284"/>
      <c r="UTG104" s="284"/>
      <c r="UTH104" s="284"/>
      <c r="UTI104" s="284"/>
      <c r="UTJ104" s="284"/>
      <c r="UTK104" s="284"/>
      <c r="UTL104" s="284"/>
      <c r="UTM104" s="284"/>
      <c r="UTN104" s="284"/>
      <c r="UTO104" s="284"/>
      <c r="UTP104" s="284"/>
      <c r="UTQ104" s="284"/>
      <c r="UTR104" s="284"/>
      <c r="UTS104" s="284"/>
      <c r="UTT104" s="284"/>
      <c r="UTU104" s="284"/>
      <c r="UTV104" s="284"/>
      <c r="UTW104" s="284"/>
      <c r="UTX104" s="284"/>
      <c r="UTY104" s="284"/>
      <c r="UTZ104" s="284"/>
      <c r="UUA104" s="284"/>
      <c r="UUB104" s="284"/>
      <c r="UUC104" s="284"/>
      <c r="UUD104" s="284"/>
      <c r="UUE104" s="284"/>
      <c r="UUF104" s="284"/>
      <c r="UUG104" s="284"/>
      <c r="UUH104" s="284"/>
      <c r="UUI104" s="284"/>
      <c r="UUJ104" s="284"/>
      <c r="UUK104" s="284"/>
      <c r="UUL104" s="284"/>
      <c r="UUM104" s="284"/>
      <c r="UUN104" s="284"/>
      <c r="UUO104" s="284"/>
      <c r="UUP104" s="284"/>
      <c r="UUQ104" s="284"/>
      <c r="UUR104" s="284"/>
      <c r="UUS104" s="284"/>
      <c r="UUT104" s="284"/>
      <c r="UUU104" s="284"/>
      <c r="UUV104" s="284"/>
      <c r="UUW104" s="284"/>
      <c r="UUX104" s="284"/>
      <c r="UUY104" s="284"/>
      <c r="UUZ104" s="284"/>
      <c r="UVA104" s="284"/>
      <c r="UVB104" s="284"/>
      <c r="UVC104" s="284"/>
      <c r="UVD104" s="284"/>
      <c r="UVE104" s="284"/>
      <c r="UVF104" s="284"/>
      <c r="UVG104" s="284"/>
      <c r="UVH104" s="284"/>
      <c r="UVI104" s="284"/>
      <c r="UVJ104" s="284"/>
      <c r="UVK104" s="284"/>
      <c r="UVL104" s="284"/>
      <c r="UVM104" s="284"/>
      <c r="UVN104" s="284"/>
      <c r="UVO104" s="284"/>
      <c r="UVP104" s="284"/>
      <c r="UVQ104" s="284"/>
      <c r="UVR104" s="284"/>
      <c r="UVS104" s="284"/>
      <c r="UVT104" s="284"/>
      <c r="UVU104" s="284"/>
      <c r="UVV104" s="284"/>
      <c r="UVW104" s="284"/>
      <c r="UVX104" s="284"/>
      <c r="UVY104" s="284"/>
      <c r="UVZ104" s="284"/>
      <c r="UWA104" s="284"/>
      <c r="UWB104" s="284"/>
      <c r="UWC104" s="284"/>
      <c r="UWD104" s="284"/>
      <c r="UWE104" s="284"/>
      <c r="UWF104" s="284"/>
      <c r="UWG104" s="284"/>
      <c r="UWH104" s="284"/>
      <c r="UWI104" s="284"/>
      <c r="UWJ104" s="284"/>
      <c r="UWK104" s="284"/>
      <c r="UWL104" s="284"/>
      <c r="UWM104" s="284"/>
      <c r="UWN104" s="284"/>
      <c r="UWO104" s="284"/>
      <c r="UWP104" s="284"/>
      <c r="UWQ104" s="284"/>
      <c r="UWR104" s="284"/>
      <c r="UWS104" s="284"/>
      <c r="UWT104" s="284"/>
      <c r="UWU104" s="284"/>
      <c r="UWV104" s="284"/>
      <c r="UWW104" s="284"/>
      <c r="UWX104" s="284"/>
      <c r="UWY104" s="284"/>
      <c r="UWZ104" s="284"/>
      <c r="UXA104" s="284"/>
      <c r="UXB104" s="284"/>
      <c r="UXC104" s="284"/>
      <c r="UXD104" s="284"/>
      <c r="UXE104" s="284"/>
      <c r="UXF104" s="284"/>
      <c r="UXG104" s="284"/>
      <c r="UXH104" s="284"/>
      <c r="UXI104" s="284"/>
      <c r="UXJ104" s="284"/>
      <c r="UXK104" s="284"/>
      <c r="UXL104" s="284"/>
      <c r="UXM104" s="284"/>
      <c r="UXN104" s="284"/>
      <c r="UXO104" s="284"/>
      <c r="UXP104" s="284"/>
      <c r="UXQ104" s="284"/>
      <c r="UXR104" s="284"/>
      <c r="UXS104" s="284"/>
      <c r="UXT104" s="284"/>
      <c r="UXU104" s="284"/>
      <c r="UXV104" s="284"/>
      <c r="UXW104" s="284"/>
      <c r="UXX104" s="284"/>
      <c r="UXY104" s="284"/>
      <c r="UXZ104" s="284"/>
      <c r="UYA104" s="284"/>
      <c r="UYB104" s="284"/>
      <c r="UYC104" s="284"/>
      <c r="UYD104" s="284"/>
      <c r="UYE104" s="284"/>
      <c r="UYF104" s="284"/>
      <c r="UYG104" s="284"/>
      <c r="UYH104" s="284"/>
      <c r="UYI104" s="284"/>
      <c r="UYJ104" s="284"/>
      <c r="UYK104" s="284"/>
      <c r="UYL104" s="284"/>
      <c r="UYM104" s="284"/>
      <c r="UYN104" s="284"/>
      <c r="UYO104" s="284"/>
      <c r="UYP104" s="284"/>
      <c r="UYQ104" s="284"/>
      <c r="UYR104" s="284"/>
      <c r="UYS104" s="284"/>
      <c r="UYT104" s="284"/>
      <c r="UYU104" s="284"/>
      <c r="UYV104" s="284"/>
      <c r="UYW104" s="284"/>
      <c r="UYX104" s="284"/>
      <c r="UYY104" s="284"/>
      <c r="UYZ104" s="284"/>
      <c r="UZA104" s="284"/>
      <c r="UZB104" s="284"/>
      <c r="UZC104" s="284"/>
      <c r="UZD104" s="284"/>
      <c r="UZE104" s="284"/>
      <c r="UZF104" s="284"/>
      <c r="UZG104" s="284"/>
      <c r="UZH104" s="284"/>
      <c r="UZI104" s="284"/>
      <c r="UZJ104" s="284"/>
      <c r="UZK104" s="284"/>
      <c r="UZL104" s="284"/>
      <c r="UZM104" s="284"/>
      <c r="UZN104" s="284"/>
      <c r="UZO104" s="284"/>
      <c r="UZP104" s="284"/>
      <c r="UZQ104" s="284"/>
      <c r="UZR104" s="284"/>
      <c r="UZS104" s="284"/>
      <c r="UZT104" s="284"/>
      <c r="UZU104" s="284"/>
      <c r="UZV104" s="284"/>
      <c r="UZW104" s="284"/>
      <c r="UZX104" s="284"/>
      <c r="UZY104" s="284"/>
      <c r="UZZ104" s="284"/>
      <c r="VAA104" s="284"/>
      <c r="VAB104" s="284"/>
      <c r="VAC104" s="284"/>
      <c r="VAD104" s="284"/>
      <c r="VAE104" s="284"/>
      <c r="VAF104" s="284"/>
      <c r="VAG104" s="284"/>
      <c r="VAH104" s="284"/>
      <c r="VAI104" s="284"/>
      <c r="VAJ104" s="284"/>
      <c r="VAK104" s="284"/>
      <c r="VAL104" s="284"/>
      <c r="VAM104" s="284"/>
      <c r="VAN104" s="284"/>
      <c r="VAO104" s="284"/>
      <c r="VAP104" s="284"/>
      <c r="VAQ104" s="284"/>
      <c r="VAR104" s="284"/>
      <c r="VAS104" s="284"/>
      <c r="VAT104" s="284"/>
      <c r="VAU104" s="284"/>
      <c r="VAV104" s="284"/>
      <c r="VAW104" s="284"/>
      <c r="VAX104" s="284"/>
      <c r="VAY104" s="284"/>
      <c r="VAZ104" s="284"/>
      <c r="VBA104" s="284"/>
      <c r="VBB104" s="284"/>
      <c r="VBC104" s="284"/>
      <c r="VBD104" s="284"/>
      <c r="VBE104" s="284"/>
      <c r="VBF104" s="284"/>
      <c r="VBG104" s="284"/>
      <c r="VBH104" s="284"/>
      <c r="VBI104" s="284"/>
      <c r="VBJ104" s="284"/>
      <c r="VBK104" s="284"/>
      <c r="VBL104" s="284"/>
      <c r="VBM104" s="284"/>
      <c r="VBN104" s="284"/>
      <c r="VBO104" s="284"/>
      <c r="VBP104" s="284"/>
      <c r="VBQ104" s="284"/>
      <c r="VBR104" s="284"/>
      <c r="VBS104" s="284"/>
      <c r="VBT104" s="284"/>
      <c r="VBU104" s="284"/>
      <c r="VBV104" s="284"/>
      <c r="VBW104" s="284"/>
      <c r="VBX104" s="284"/>
      <c r="VBY104" s="284"/>
      <c r="VBZ104" s="284"/>
      <c r="VCA104" s="284"/>
      <c r="VCB104" s="284"/>
      <c r="VCC104" s="284"/>
      <c r="VCD104" s="284"/>
      <c r="VCE104" s="284"/>
      <c r="VCF104" s="284"/>
      <c r="VCG104" s="284"/>
      <c r="VCH104" s="284"/>
      <c r="VCI104" s="284"/>
      <c r="VCJ104" s="284"/>
      <c r="VCK104" s="284"/>
      <c r="VCL104" s="284"/>
      <c r="VCM104" s="284"/>
      <c r="VCN104" s="284"/>
      <c r="VCO104" s="284"/>
      <c r="VCP104" s="284"/>
      <c r="VCQ104" s="284"/>
      <c r="VCR104" s="284"/>
      <c r="VCS104" s="284"/>
      <c r="VCT104" s="284"/>
      <c r="VCU104" s="284"/>
      <c r="VCV104" s="284"/>
      <c r="VCW104" s="284"/>
      <c r="VCX104" s="284"/>
      <c r="VCY104" s="284"/>
      <c r="VCZ104" s="284"/>
      <c r="VDA104" s="284"/>
      <c r="VDB104" s="284"/>
      <c r="VDC104" s="284"/>
      <c r="VDD104" s="284"/>
      <c r="VDE104" s="284"/>
      <c r="VDF104" s="284"/>
      <c r="VDG104" s="284"/>
      <c r="VDH104" s="284"/>
      <c r="VDI104" s="284"/>
      <c r="VDJ104" s="284"/>
      <c r="VDK104" s="284"/>
      <c r="VDL104" s="284"/>
      <c r="VDM104" s="284"/>
      <c r="VDN104" s="284"/>
      <c r="VDO104" s="284"/>
      <c r="VDP104" s="284"/>
      <c r="VDQ104" s="284"/>
      <c r="VDR104" s="284"/>
      <c r="VDS104" s="284"/>
      <c r="VDT104" s="284"/>
      <c r="VDU104" s="284"/>
      <c r="VDV104" s="284"/>
      <c r="VDW104" s="284"/>
      <c r="VDX104" s="284"/>
      <c r="VDY104" s="284"/>
      <c r="VDZ104" s="284"/>
      <c r="VEA104" s="284"/>
      <c r="VEB104" s="284"/>
      <c r="VEC104" s="284"/>
      <c r="VED104" s="284"/>
      <c r="VEE104" s="284"/>
      <c r="VEF104" s="284"/>
      <c r="VEG104" s="284"/>
      <c r="VEH104" s="284"/>
      <c r="VEI104" s="284"/>
      <c r="VEJ104" s="284"/>
      <c r="VEK104" s="284"/>
      <c r="VEL104" s="284"/>
      <c r="VEM104" s="284"/>
      <c r="VEN104" s="284"/>
      <c r="VEO104" s="284"/>
      <c r="VEP104" s="284"/>
      <c r="VEQ104" s="284"/>
      <c r="VER104" s="284"/>
      <c r="VES104" s="284"/>
      <c r="VET104" s="284"/>
      <c r="VEU104" s="284"/>
      <c r="VEV104" s="284"/>
      <c r="VEW104" s="284"/>
      <c r="VEX104" s="284"/>
      <c r="VEY104" s="284"/>
      <c r="VEZ104" s="284"/>
      <c r="VFA104" s="284"/>
      <c r="VFB104" s="284"/>
      <c r="VFC104" s="284"/>
      <c r="VFD104" s="284"/>
      <c r="VFE104" s="284"/>
      <c r="VFF104" s="284"/>
      <c r="VFG104" s="284"/>
      <c r="VFH104" s="284"/>
      <c r="VFI104" s="284"/>
      <c r="VFJ104" s="284"/>
      <c r="VFK104" s="284"/>
      <c r="VFL104" s="284"/>
      <c r="VFM104" s="284"/>
      <c r="VFN104" s="284"/>
      <c r="VFO104" s="284"/>
      <c r="VFP104" s="284"/>
      <c r="VFQ104" s="284"/>
      <c r="VFR104" s="284"/>
      <c r="VFS104" s="284"/>
      <c r="VFT104" s="284"/>
      <c r="VFU104" s="284"/>
      <c r="VFV104" s="284"/>
      <c r="VFW104" s="284"/>
      <c r="VFX104" s="284"/>
      <c r="VFY104" s="284"/>
      <c r="VFZ104" s="284"/>
      <c r="VGA104" s="284"/>
      <c r="VGB104" s="284"/>
      <c r="VGC104" s="284"/>
      <c r="VGD104" s="284"/>
      <c r="VGE104" s="284"/>
      <c r="VGF104" s="284"/>
      <c r="VGG104" s="284"/>
      <c r="VGH104" s="284"/>
      <c r="VGI104" s="284"/>
      <c r="VGJ104" s="284"/>
      <c r="VGK104" s="284"/>
      <c r="VGL104" s="284"/>
      <c r="VGM104" s="284"/>
      <c r="VGN104" s="284"/>
      <c r="VGO104" s="284"/>
      <c r="VGP104" s="284"/>
      <c r="VGQ104" s="284"/>
      <c r="VGR104" s="284"/>
      <c r="VGS104" s="284"/>
      <c r="VGT104" s="284"/>
      <c r="VGU104" s="284"/>
      <c r="VGV104" s="284"/>
      <c r="VGW104" s="284"/>
      <c r="VGX104" s="284"/>
      <c r="VGY104" s="284"/>
      <c r="VGZ104" s="284"/>
      <c r="VHA104" s="284"/>
      <c r="VHB104" s="284"/>
      <c r="VHC104" s="284"/>
      <c r="VHD104" s="284"/>
      <c r="VHE104" s="284"/>
      <c r="VHF104" s="284"/>
      <c r="VHG104" s="284"/>
      <c r="VHH104" s="284"/>
      <c r="VHI104" s="284"/>
      <c r="VHJ104" s="284"/>
      <c r="VHK104" s="284"/>
      <c r="VHL104" s="284"/>
      <c r="VHM104" s="284"/>
      <c r="VHN104" s="284"/>
      <c r="VHO104" s="284"/>
      <c r="VHP104" s="284"/>
      <c r="VHQ104" s="284"/>
      <c r="VHR104" s="284"/>
      <c r="VHS104" s="284"/>
      <c r="VHT104" s="284"/>
      <c r="VHU104" s="284"/>
      <c r="VHV104" s="284"/>
      <c r="VHW104" s="284"/>
      <c r="VHX104" s="284"/>
      <c r="VHY104" s="284"/>
      <c r="VHZ104" s="284"/>
      <c r="VIA104" s="284"/>
      <c r="VIB104" s="284"/>
      <c r="VIC104" s="284"/>
      <c r="VID104" s="284"/>
      <c r="VIE104" s="284"/>
      <c r="VIF104" s="284"/>
      <c r="VIG104" s="284"/>
      <c r="VIH104" s="284"/>
      <c r="VII104" s="284"/>
      <c r="VIJ104" s="284"/>
      <c r="VIK104" s="284"/>
      <c r="VIL104" s="284"/>
      <c r="VIM104" s="284"/>
      <c r="VIN104" s="284"/>
      <c r="VIO104" s="284"/>
      <c r="VIP104" s="284"/>
      <c r="VIQ104" s="284"/>
      <c r="VIR104" s="284"/>
      <c r="VIS104" s="284"/>
      <c r="VIT104" s="284"/>
      <c r="VIU104" s="284"/>
      <c r="VIV104" s="284"/>
      <c r="VIW104" s="284"/>
      <c r="VIX104" s="284"/>
      <c r="VIY104" s="284"/>
      <c r="VIZ104" s="284"/>
      <c r="VJA104" s="284"/>
      <c r="VJB104" s="284"/>
      <c r="VJC104" s="284"/>
      <c r="VJD104" s="284"/>
      <c r="VJE104" s="284"/>
      <c r="VJF104" s="284"/>
      <c r="VJG104" s="284"/>
      <c r="VJH104" s="284"/>
      <c r="VJI104" s="284"/>
      <c r="VJJ104" s="284"/>
      <c r="VJK104" s="284"/>
      <c r="VJL104" s="284"/>
      <c r="VJM104" s="284"/>
      <c r="VJN104" s="284"/>
      <c r="VJO104" s="284"/>
      <c r="VJP104" s="284"/>
      <c r="VJQ104" s="284"/>
      <c r="VJR104" s="284"/>
      <c r="VJS104" s="284"/>
      <c r="VJT104" s="284"/>
      <c r="VJU104" s="284"/>
      <c r="VJV104" s="284"/>
      <c r="VJW104" s="284"/>
      <c r="VJX104" s="284"/>
      <c r="VJY104" s="284"/>
      <c r="VJZ104" s="284"/>
      <c r="VKA104" s="284"/>
      <c r="VKB104" s="284"/>
      <c r="VKC104" s="284"/>
      <c r="VKD104" s="284"/>
      <c r="VKE104" s="284"/>
      <c r="VKF104" s="284"/>
      <c r="VKG104" s="284"/>
      <c r="VKH104" s="284"/>
      <c r="VKI104" s="284"/>
      <c r="VKJ104" s="284"/>
      <c r="VKK104" s="284"/>
      <c r="VKL104" s="284"/>
      <c r="VKM104" s="284"/>
      <c r="VKN104" s="284"/>
      <c r="VKO104" s="284"/>
      <c r="VKP104" s="284"/>
      <c r="VKQ104" s="284"/>
      <c r="VKR104" s="284"/>
      <c r="VKS104" s="284"/>
      <c r="VKT104" s="284"/>
      <c r="VKU104" s="284"/>
      <c r="VKV104" s="284"/>
      <c r="VKW104" s="284"/>
      <c r="VKX104" s="284"/>
      <c r="VKY104" s="284"/>
      <c r="VKZ104" s="284"/>
      <c r="VLA104" s="284"/>
      <c r="VLB104" s="284"/>
      <c r="VLC104" s="284"/>
      <c r="VLD104" s="284"/>
      <c r="VLE104" s="284"/>
      <c r="VLF104" s="284"/>
      <c r="VLG104" s="284"/>
      <c r="VLH104" s="284"/>
      <c r="VLI104" s="284"/>
      <c r="VLJ104" s="284"/>
      <c r="VLK104" s="284"/>
      <c r="VLL104" s="284"/>
      <c r="VLM104" s="284"/>
      <c r="VLN104" s="284"/>
      <c r="VLO104" s="284"/>
      <c r="VLP104" s="284"/>
      <c r="VLQ104" s="284"/>
      <c r="VLR104" s="284"/>
      <c r="VLS104" s="284"/>
      <c r="VLT104" s="284"/>
      <c r="VLU104" s="284"/>
      <c r="VLV104" s="284"/>
      <c r="VLW104" s="284"/>
      <c r="VLX104" s="284"/>
      <c r="VLY104" s="284"/>
      <c r="VLZ104" s="284"/>
      <c r="VMA104" s="284"/>
      <c r="VMB104" s="284"/>
      <c r="VMC104" s="284"/>
      <c r="VMD104" s="284"/>
      <c r="VME104" s="284"/>
      <c r="VMF104" s="284"/>
      <c r="VMG104" s="284"/>
      <c r="VMH104" s="284"/>
      <c r="VMI104" s="284"/>
      <c r="VMJ104" s="284"/>
      <c r="VMK104" s="284"/>
      <c r="VML104" s="284"/>
      <c r="VMM104" s="284"/>
      <c r="VMN104" s="284"/>
      <c r="VMO104" s="284"/>
      <c r="VMP104" s="284"/>
      <c r="VMQ104" s="284"/>
      <c r="VMR104" s="284"/>
      <c r="VMS104" s="284"/>
      <c r="VMT104" s="284"/>
      <c r="VMU104" s="284"/>
      <c r="VMV104" s="284"/>
      <c r="VMW104" s="284"/>
      <c r="VMX104" s="284"/>
      <c r="VMY104" s="284"/>
      <c r="VMZ104" s="284"/>
      <c r="VNA104" s="284"/>
      <c r="VNB104" s="284"/>
      <c r="VNC104" s="284"/>
      <c r="VND104" s="284"/>
      <c r="VNE104" s="284"/>
      <c r="VNF104" s="284"/>
      <c r="VNG104" s="284"/>
      <c r="VNH104" s="284"/>
      <c r="VNI104" s="284"/>
      <c r="VNJ104" s="284"/>
      <c r="VNK104" s="284"/>
      <c r="VNL104" s="284"/>
      <c r="VNM104" s="284"/>
      <c r="VNN104" s="284"/>
      <c r="VNO104" s="284"/>
      <c r="VNP104" s="284"/>
      <c r="VNQ104" s="284"/>
      <c r="VNR104" s="284"/>
      <c r="VNS104" s="284"/>
      <c r="VNT104" s="284"/>
      <c r="VNU104" s="284"/>
      <c r="VNV104" s="284"/>
      <c r="VNW104" s="284"/>
      <c r="VNX104" s="284"/>
      <c r="VNY104" s="284"/>
      <c r="VNZ104" s="284"/>
      <c r="VOA104" s="284"/>
      <c r="VOB104" s="284"/>
      <c r="VOC104" s="284"/>
      <c r="VOD104" s="284"/>
      <c r="VOE104" s="284"/>
      <c r="VOF104" s="284"/>
      <c r="VOG104" s="284"/>
      <c r="VOH104" s="284"/>
      <c r="VOI104" s="284"/>
      <c r="VOJ104" s="284"/>
      <c r="VOK104" s="284"/>
      <c r="VOL104" s="284"/>
      <c r="VOM104" s="284"/>
      <c r="VON104" s="284"/>
      <c r="VOO104" s="284"/>
      <c r="VOP104" s="284"/>
      <c r="VOQ104" s="284"/>
      <c r="VOR104" s="284"/>
      <c r="VOS104" s="284"/>
      <c r="VOT104" s="284"/>
      <c r="VOU104" s="284"/>
      <c r="VOV104" s="284"/>
      <c r="VOW104" s="284"/>
      <c r="VOX104" s="284"/>
      <c r="VOY104" s="284"/>
      <c r="VOZ104" s="284"/>
      <c r="VPA104" s="284"/>
      <c r="VPB104" s="284"/>
      <c r="VPC104" s="284"/>
      <c r="VPD104" s="284"/>
      <c r="VPE104" s="284"/>
      <c r="VPF104" s="284"/>
      <c r="VPG104" s="284"/>
      <c r="VPH104" s="284"/>
      <c r="VPI104" s="284"/>
      <c r="VPJ104" s="284"/>
      <c r="VPK104" s="284"/>
      <c r="VPL104" s="284"/>
      <c r="VPM104" s="284"/>
      <c r="VPN104" s="284"/>
      <c r="VPO104" s="284"/>
      <c r="VPP104" s="284"/>
      <c r="VPQ104" s="284"/>
      <c r="VPR104" s="284"/>
      <c r="VPS104" s="284"/>
      <c r="VPT104" s="284"/>
      <c r="VPU104" s="284"/>
      <c r="VPV104" s="284"/>
      <c r="VPW104" s="284"/>
      <c r="VPX104" s="284"/>
      <c r="VPY104" s="284"/>
      <c r="VPZ104" s="284"/>
      <c r="VQA104" s="284"/>
      <c r="VQB104" s="284"/>
      <c r="VQC104" s="284"/>
      <c r="VQD104" s="284"/>
      <c r="VQE104" s="284"/>
      <c r="VQF104" s="284"/>
      <c r="VQG104" s="284"/>
      <c r="VQH104" s="284"/>
      <c r="VQI104" s="284"/>
      <c r="VQJ104" s="284"/>
      <c r="VQK104" s="284"/>
      <c r="VQL104" s="284"/>
      <c r="VQM104" s="284"/>
      <c r="VQN104" s="284"/>
      <c r="VQO104" s="284"/>
      <c r="VQP104" s="284"/>
      <c r="VQQ104" s="284"/>
      <c r="VQR104" s="284"/>
      <c r="VQS104" s="284"/>
      <c r="VQT104" s="284"/>
      <c r="VQU104" s="284"/>
      <c r="VQV104" s="284"/>
      <c r="VQW104" s="284"/>
      <c r="VQX104" s="284"/>
      <c r="VQY104" s="284"/>
      <c r="VQZ104" s="284"/>
      <c r="VRA104" s="284"/>
      <c r="VRB104" s="284"/>
      <c r="VRC104" s="284"/>
      <c r="VRD104" s="284"/>
      <c r="VRE104" s="284"/>
      <c r="VRF104" s="284"/>
      <c r="VRG104" s="284"/>
      <c r="VRH104" s="284"/>
      <c r="VRI104" s="284"/>
      <c r="VRJ104" s="284"/>
      <c r="VRK104" s="284"/>
      <c r="VRL104" s="284"/>
      <c r="VRM104" s="284"/>
      <c r="VRN104" s="284"/>
      <c r="VRO104" s="284"/>
      <c r="VRP104" s="284"/>
      <c r="VRQ104" s="284"/>
      <c r="VRR104" s="284"/>
      <c r="VRS104" s="284"/>
      <c r="VRT104" s="284"/>
      <c r="VRU104" s="284"/>
      <c r="VRV104" s="284"/>
      <c r="VRW104" s="284"/>
      <c r="VRX104" s="284"/>
      <c r="VRY104" s="284"/>
      <c r="VRZ104" s="284"/>
      <c r="VSA104" s="284"/>
      <c r="VSB104" s="284"/>
      <c r="VSC104" s="284"/>
      <c r="VSD104" s="284"/>
      <c r="VSE104" s="284"/>
      <c r="VSF104" s="284"/>
      <c r="VSG104" s="284"/>
      <c r="VSH104" s="284"/>
      <c r="VSI104" s="284"/>
      <c r="VSJ104" s="284"/>
      <c r="VSK104" s="284"/>
      <c r="VSL104" s="284"/>
      <c r="VSM104" s="284"/>
      <c r="VSN104" s="284"/>
      <c r="VSO104" s="284"/>
      <c r="VSP104" s="284"/>
      <c r="VSQ104" s="284"/>
      <c r="VSR104" s="284"/>
      <c r="VSS104" s="284"/>
      <c r="VST104" s="284"/>
      <c r="VSU104" s="284"/>
      <c r="VSV104" s="284"/>
      <c r="VSW104" s="284"/>
      <c r="VSX104" s="284"/>
      <c r="VSY104" s="284"/>
      <c r="VSZ104" s="284"/>
      <c r="VTA104" s="284"/>
      <c r="VTB104" s="284"/>
      <c r="VTC104" s="284"/>
      <c r="VTD104" s="284"/>
      <c r="VTE104" s="284"/>
      <c r="VTF104" s="284"/>
      <c r="VTG104" s="284"/>
      <c r="VTH104" s="284"/>
      <c r="VTI104" s="284"/>
      <c r="VTJ104" s="284"/>
      <c r="VTK104" s="284"/>
      <c r="VTL104" s="284"/>
      <c r="VTM104" s="284"/>
      <c r="VTN104" s="284"/>
      <c r="VTO104" s="284"/>
      <c r="VTP104" s="284"/>
      <c r="VTQ104" s="284"/>
      <c r="VTR104" s="284"/>
      <c r="VTS104" s="284"/>
      <c r="VTT104" s="284"/>
      <c r="VTU104" s="284"/>
      <c r="VTV104" s="284"/>
      <c r="VTW104" s="284"/>
      <c r="VTX104" s="284"/>
      <c r="VTY104" s="284"/>
      <c r="VTZ104" s="284"/>
      <c r="VUA104" s="284"/>
      <c r="VUB104" s="284"/>
      <c r="VUC104" s="284"/>
      <c r="VUD104" s="284"/>
      <c r="VUE104" s="284"/>
      <c r="VUF104" s="284"/>
      <c r="VUG104" s="284"/>
      <c r="VUH104" s="284"/>
      <c r="VUI104" s="284"/>
      <c r="VUJ104" s="284"/>
      <c r="VUK104" s="284"/>
      <c r="VUL104" s="284"/>
      <c r="VUM104" s="284"/>
      <c r="VUN104" s="284"/>
      <c r="VUO104" s="284"/>
      <c r="VUP104" s="284"/>
      <c r="VUQ104" s="284"/>
      <c r="VUR104" s="284"/>
      <c r="VUS104" s="284"/>
      <c r="VUT104" s="284"/>
      <c r="VUU104" s="284"/>
      <c r="VUV104" s="284"/>
      <c r="VUW104" s="284"/>
      <c r="VUX104" s="284"/>
      <c r="VUY104" s="284"/>
      <c r="VUZ104" s="284"/>
      <c r="VVA104" s="284"/>
      <c r="VVB104" s="284"/>
      <c r="VVC104" s="284"/>
      <c r="VVD104" s="284"/>
      <c r="VVE104" s="284"/>
      <c r="VVF104" s="284"/>
      <c r="VVG104" s="284"/>
      <c r="VVH104" s="284"/>
      <c r="VVI104" s="284"/>
      <c r="VVJ104" s="284"/>
      <c r="VVK104" s="284"/>
      <c r="VVL104" s="284"/>
      <c r="VVM104" s="284"/>
      <c r="VVN104" s="284"/>
      <c r="VVO104" s="284"/>
      <c r="VVP104" s="284"/>
      <c r="VVQ104" s="284"/>
      <c r="VVR104" s="284"/>
      <c r="VVS104" s="284"/>
      <c r="VVT104" s="284"/>
      <c r="VVU104" s="284"/>
      <c r="VVV104" s="284"/>
      <c r="VVW104" s="284"/>
      <c r="VVX104" s="284"/>
      <c r="VVY104" s="284"/>
      <c r="VVZ104" s="284"/>
      <c r="VWA104" s="284"/>
      <c r="VWB104" s="284"/>
      <c r="VWC104" s="284"/>
      <c r="VWD104" s="284"/>
      <c r="VWE104" s="284"/>
      <c r="VWF104" s="284"/>
      <c r="VWG104" s="284"/>
      <c r="VWH104" s="284"/>
      <c r="VWI104" s="284"/>
      <c r="VWJ104" s="284"/>
      <c r="VWK104" s="284"/>
      <c r="VWL104" s="284"/>
      <c r="VWM104" s="284"/>
      <c r="VWN104" s="284"/>
      <c r="VWO104" s="284"/>
      <c r="VWP104" s="284"/>
      <c r="VWQ104" s="284"/>
      <c r="VWR104" s="284"/>
      <c r="VWS104" s="284"/>
      <c r="VWT104" s="284"/>
      <c r="VWU104" s="284"/>
      <c r="VWV104" s="284"/>
      <c r="VWW104" s="284"/>
      <c r="VWX104" s="284"/>
      <c r="VWY104" s="284"/>
      <c r="VWZ104" s="284"/>
      <c r="VXA104" s="284"/>
      <c r="VXB104" s="284"/>
      <c r="VXC104" s="284"/>
      <c r="VXD104" s="284"/>
      <c r="VXE104" s="284"/>
      <c r="VXF104" s="284"/>
      <c r="VXG104" s="284"/>
      <c r="VXH104" s="284"/>
      <c r="VXI104" s="284"/>
      <c r="VXJ104" s="284"/>
      <c r="VXK104" s="284"/>
      <c r="VXL104" s="284"/>
      <c r="VXM104" s="284"/>
      <c r="VXN104" s="284"/>
      <c r="VXO104" s="284"/>
      <c r="VXP104" s="284"/>
      <c r="VXQ104" s="284"/>
      <c r="VXR104" s="284"/>
      <c r="VXS104" s="284"/>
      <c r="VXT104" s="284"/>
      <c r="VXU104" s="284"/>
      <c r="VXV104" s="284"/>
      <c r="VXW104" s="284"/>
      <c r="VXX104" s="284"/>
      <c r="VXY104" s="284"/>
      <c r="VXZ104" s="284"/>
      <c r="VYA104" s="284"/>
      <c r="VYB104" s="284"/>
      <c r="VYC104" s="284"/>
      <c r="VYD104" s="284"/>
      <c r="VYE104" s="284"/>
      <c r="VYF104" s="284"/>
      <c r="VYG104" s="284"/>
      <c r="VYH104" s="284"/>
      <c r="VYI104" s="284"/>
      <c r="VYJ104" s="284"/>
      <c r="VYK104" s="284"/>
      <c r="VYL104" s="284"/>
      <c r="VYM104" s="284"/>
      <c r="VYN104" s="284"/>
      <c r="VYO104" s="284"/>
      <c r="VYP104" s="284"/>
      <c r="VYQ104" s="284"/>
      <c r="VYR104" s="284"/>
      <c r="VYS104" s="284"/>
      <c r="VYT104" s="284"/>
      <c r="VYU104" s="284"/>
      <c r="VYV104" s="284"/>
      <c r="VYW104" s="284"/>
      <c r="VYX104" s="284"/>
      <c r="VYY104" s="284"/>
      <c r="VYZ104" s="284"/>
      <c r="VZA104" s="284"/>
      <c r="VZB104" s="284"/>
      <c r="VZC104" s="284"/>
      <c r="VZD104" s="284"/>
      <c r="VZE104" s="284"/>
      <c r="VZF104" s="284"/>
      <c r="VZG104" s="284"/>
      <c r="VZH104" s="284"/>
      <c r="VZI104" s="284"/>
      <c r="VZJ104" s="284"/>
      <c r="VZK104" s="284"/>
      <c r="VZL104" s="284"/>
      <c r="VZM104" s="284"/>
      <c r="VZN104" s="284"/>
      <c r="VZO104" s="284"/>
      <c r="VZP104" s="284"/>
      <c r="VZQ104" s="284"/>
      <c r="VZR104" s="284"/>
      <c r="VZS104" s="284"/>
      <c r="VZT104" s="284"/>
      <c r="VZU104" s="284"/>
      <c r="VZV104" s="284"/>
      <c r="VZW104" s="284"/>
      <c r="VZX104" s="284"/>
      <c r="VZY104" s="284"/>
      <c r="VZZ104" s="284"/>
      <c r="WAA104" s="284"/>
      <c r="WAB104" s="284"/>
      <c r="WAC104" s="284"/>
      <c r="WAD104" s="284"/>
      <c r="WAE104" s="284"/>
      <c r="WAF104" s="284"/>
      <c r="WAG104" s="284"/>
      <c r="WAH104" s="284"/>
      <c r="WAI104" s="284"/>
      <c r="WAJ104" s="284"/>
      <c r="WAK104" s="284"/>
      <c r="WAL104" s="284"/>
      <c r="WAM104" s="284"/>
      <c r="WAN104" s="284"/>
      <c r="WAO104" s="284"/>
      <c r="WAP104" s="284"/>
      <c r="WAQ104" s="284"/>
      <c r="WAR104" s="284"/>
      <c r="WAS104" s="284"/>
      <c r="WAT104" s="284"/>
      <c r="WAU104" s="284"/>
      <c r="WAV104" s="284"/>
      <c r="WAW104" s="284"/>
      <c r="WAX104" s="284"/>
      <c r="WAY104" s="284"/>
      <c r="WAZ104" s="284"/>
      <c r="WBA104" s="284"/>
      <c r="WBB104" s="284"/>
      <c r="WBC104" s="284"/>
      <c r="WBD104" s="284"/>
      <c r="WBE104" s="284"/>
      <c r="WBF104" s="284"/>
      <c r="WBG104" s="284"/>
      <c r="WBH104" s="284"/>
      <c r="WBI104" s="284"/>
      <c r="WBJ104" s="284"/>
      <c r="WBK104" s="284"/>
      <c r="WBL104" s="284"/>
      <c r="WBM104" s="284"/>
      <c r="WBN104" s="284"/>
      <c r="WBO104" s="284"/>
      <c r="WBP104" s="284"/>
      <c r="WBQ104" s="284"/>
      <c r="WBR104" s="284"/>
      <c r="WBS104" s="284"/>
      <c r="WBT104" s="284"/>
      <c r="WBU104" s="284"/>
      <c r="WBV104" s="284"/>
      <c r="WBW104" s="284"/>
      <c r="WBX104" s="284"/>
      <c r="WBY104" s="284"/>
      <c r="WBZ104" s="284"/>
      <c r="WCA104" s="284"/>
      <c r="WCB104" s="284"/>
      <c r="WCC104" s="284"/>
      <c r="WCD104" s="284"/>
      <c r="WCE104" s="284"/>
      <c r="WCF104" s="284"/>
      <c r="WCG104" s="284"/>
      <c r="WCH104" s="284"/>
      <c r="WCI104" s="284"/>
      <c r="WCJ104" s="284"/>
      <c r="WCK104" s="284"/>
      <c r="WCL104" s="284"/>
      <c r="WCM104" s="284"/>
      <c r="WCN104" s="284"/>
      <c r="WCO104" s="284"/>
      <c r="WCP104" s="284"/>
      <c r="WCQ104" s="284"/>
      <c r="WCR104" s="284"/>
      <c r="WCS104" s="284"/>
      <c r="WCT104" s="284"/>
      <c r="WCU104" s="284"/>
      <c r="WCV104" s="284"/>
      <c r="WCW104" s="284"/>
      <c r="WCX104" s="284"/>
      <c r="WCY104" s="284"/>
      <c r="WCZ104" s="284"/>
      <c r="WDA104" s="284"/>
      <c r="WDB104" s="284"/>
      <c r="WDC104" s="284"/>
      <c r="WDD104" s="284"/>
      <c r="WDE104" s="284"/>
      <c r="WDF104" s="284"/>
      <c r="WDG104" s="284"/>
      <c r="WDH104" s="284"/>
      <c r="WDI104" s="284"/>
      <c r="WDJ104" s="284"/>
      <c r="WDK104" s="284"/>
      <c r="WDL104" s="284"/>
      <c r="WDM104" s="284"/>
      <c r="WDN104" s="284"/>
      <c r="WDO104" s="284"/>
      <c r="WDP104" s="284"/>
      <c r="WDQ104" s="284"/>
      <c r="WDR104" s="284"/>
      <c r="WDS104" s="284"/>
      <c r="WDT104" s="284"/>
      <c r="WDU104" s="284"/>
      <c r="WDV104" s="284"/>
      <c r="WDW104" s="284"/>
      <c r="WDX104" s="284"/>
      <c r="WDY104" s="284"/>
      <c r="WDZ104" s="284"/>
      <c r="WEA104" s="284"/>
      <c r="WEB104" s="284"/>
      <c r="WEC104" s="284"/>
      <c r="WED104" s="284"/>
      <c r="WEE104" s="284"/>
      <c r="WEF104" s="284"/>
      <c r="WEG104" s="284"/>
      <c r="WEH104" s="284"/>
      <c r="WEI104" s="284"/>
      <c r="WEJ104" s="284"/>
      <c r="WEK104" s="284"/>
      <c r="WEL104" s="284"/>
      <c r="WEM104" s="284"/>
      <c r="WEN104" s="284"/>
      <c r="WEO104" s="284"/>
      <c r="WEP104" s="284"/>
      <c r="WEQ104" s="284"/>
      <c r="WER104" s="284"/>
      <c r="WES104" s="284"/>
      <c r="WET104" s="284"/>
      <c r="WEU104" s="284"/>
      <c r="WEV104" s="284"/>
      <c r="WEW104" s="284"/>
      <c r="WEX104" s="284"/>
      <c r="WEY104" s="284"/>
      <c r="WEZ104" s="284"/>
      <c r="WFA104" s="284"/>
      <c r="WFB104" s="284"/>
      <c r="WFC104" s="284"/>
      <c r="WFD104" s="284"/>
      <c r="WFE104" s="284"/>
      <c r="WFF104" s="284"/>
      <c r="WFG104" s="284"/>
      <c r="WFH104" s="284"/>
      <c r="WFI104" s="284"/>
      <c r="WFJ104" s="284"/>
      <c r="WFK104" s="284"/>
      <c r="WFL104" s="284"/>
      <c r="WFM104" s="284"/>
      <c r="WFN104" s="284"/>
      <c r="WFO104" s="284"/>
      <c r="WFP104" s="284"/>
      <c r="WFQ104" s="284"/>
      <c r="WFR104" s="284"/>
      <c r="WFS104" s="284"/>
      <c r="WFT104" s="284"/>
      <c r="WFU104" s="284"/>
      <c r="WFV104" s="284"/>
      <c r="WFW104" s="284"/>
      <c r="WFX104" s="284"/>
      <c r="WFY104" s="284"/>
      <c r="WFZ104" s="284"/>
      <c r="WGA104" s="284"/>
      <c r="WGB104" s="284"/>
      <c r="WGC104" s="284"/>
      <c r="WGD104" s="284"/>
      <c r="WGE104" s="284"/>
      <c r="WGF104" s="284"/>
      <c r="WGG104" s="284"/>
      <c r="WGH104" s="284"/>
      <c r="WGI104" s="284"/>
      <c r="WGJ104" s="284"/>
      <c r="WGK104" s="284"/>
      <c r="WGL104" s="284"/>
      <c r="WGM104" s="284"/>
      <c r="WGN104" s="284"/>
      <c r="WGO104" s="284"/>
      <c r="WGP104" s="284"/>
      <c r="WGQ104" s="284"/>
      <c r="WGR104" s="284"/>
      <c r="WGS104" s="284"/>
      <c r="WGT104" s="284"/>
      <c r="WGU104" s="284"/>
      <c r="WGV104" s="284"/>
      <c r="WGW104" s="284"/>
      <c r="WGX104" s="284"/>
      <c r="WGY104" s="284"/>
      <c r="WGZ104" s="284"/>
      <c r="WHA104" s="284"/>
      <c r="WHB104" s="284"/>
      <c r="WHC104" s="284"/>
      <c r="WHD104" s="284"/>
      <c r="WHE104" s="284"/>
      <c r="WHF104" s="284"/>
      <c r="WHG104" s="284"/>
      <c r="WHH104" s="284"/>
      <c r="WHI104" s="284"/>
      <c r="WHJ104" s="284"/>
      <c r="WHK104" s="284"/>
      <c r="WHL104" s="284"/>
      <c r="WHM104" s="284"/>
      <c r="WHN104" s="284"/>
      <c r="WHO104" s="284"/>
      <c r="WHP104" s="284"/>
      <c r="WHQ104" s="284"/>
      <c r="WHR104" s="284"/>
      <c r="WHS104" s="284"/>
      <c r="WHT104" s="284"/>
      <c r="WHU104" s="284"/>
      <c r="WHV104" s="284"/>
      <c r="WHW104" s="284"/>
      <c r="WHX104" s="284"/>
      <c r="WHY104" s="284"/>
      <c r="WHZ104" s="284"/>
      <c r="WIA104" s="284"/>
      <c r="WIB104" s="284"/>
      <c r="WIC104" s="284"/>
      <c r="WID104" s="284"/>
      <c r="WIE104" s="284"/>
      <c r="WIF104" s="284"/>
      <c r="WIG104" s="284"/>
      <c r="WIH104" s="284"/>
      <c r="WII104" s="284"/>
      <c r="WIJ104" s="284"/>
      <c r="WIK104" s="284"/>
      <c r="WIL104" s="284"/>
      <c r="WIM104" s="284"/>
      <c r="WIN104" s="284"/>
      <c r="WIO104" s="284"/>
      <c r="WIP104" s="284"/>
      <c r="WIQ104" s="284"/>
      <c r="WIR104" s="284"/>
      <c r="WIS104" s="284"/>
      <c r="WIT104" s="284"/>
      <c r="WIU104" s="284"/>
      <c r="WIV104" s="284"/>
      <c r="WIW104" s="284"/>
      <c r="WIX104" s="284"/>
      <c r="WIY104" s="284"/>
      <c r="WIZ104" s="284"/>
      <c r="WJA104" s="284"/>
      <c r="WJB104" s="284"/>
      <c r="WJC104" s="284"/>
      <c r="WJD104" s="284"/>
      <c r="WJE104" s="284"/>
      <c r="WJF104" s="284"/>
      <c r="WJG104" s="284"/>
      <c r="WJH104" s="284"/>
      <c r="WJI104" s="284"/>
      <c r="WJJ104" s="284"/>
      <c r="WJK104" s="284"/>
      <c r="WJL104" s="284"/>
      <c r="WJM104" s="284"/>
      <c r="WJN104" s="284"/>
      <c r="WJO104" s="284"/>
      <c r="WJP104" s="284"/>
      <c r="WJQ104" s="284"/>
      <c r="WJR104" s="284"/>
      <c r="WJS104" s="284"/>
      <c r="WJT104" s="284"/>
      <c r="WJU104" s="284"/>
      <c r="WJV104" s="284"/>
      <c r="WJW104" s="284"/>
      <c r="WJX104" s="284"/>
      <c r="WJY104" s="284"/>
      <c r="WJZ104" s="284"/>
      <c r="WKA104" s="284"/>
      <c r="WKB104" s="284"/>
      <c r="WKC104" s="284"/>
      <c r="WKD104" s="284"/>
      <c r="WKE104" s="284"/>
      <c r="WKF104" s="284"/>
      <c r="WKG104" s="284"/>
      <c r="WKH104" s="284"/>
      <c r="WKI104" s="284"/>
      <c r="WKJ104" s="284"/>
      <c r="WKK104" s="284"/>
      <c r="WKL104" s="284"/>
      <c r="WKM104" s="284"/>
      <c r="WKN104" s="284"/>
      <c r="WKO104" s="284"/>
      <c r="WKP104" s="284"/>
      <c r="WKQ104" s="284"/>
      <c r="WKR104" s="284"/>
      <c r="WKS104" s="284"/>
      <c r="WKT104" s="284"/>
      <c r="WKU104" s="284"/>
      <c r="WKV104" s="284"/>
      <c r="WKW104" s="284"/>
      <c r="WKX104" s="284"/>
      <c r="WKY104" s="284"/>
      <c r="WKZ104" s="284"/>
      <c r="WLA104" s="284"/>
      <c r="WLB104" s="284"/>
      <c r="WLC104" s="284"/>
      <c r="WLD104" s="284"/>
      <c r="WLE104" s="284"/>
      <c r="WLF104" s="284"/>
      <c r="WLG104" s="284"/>
      <c r="WLH104" s="284"/>
      <c r="WLI104" s="284"/>
      <c r="WLJ104" s="284"/>
      <c r="WLK104" s="284"/>
      <c r="WLL104" s="284"/>
      <c r="WLM104" s="284"/>
      <c r="WLN104" s="284"/>
      <c r="WLO104" s="284"/>
      <c r="WLP104" s="284"/>
      <c r="WLQ104" s="284"/>
      <c r="WLR104" s="284"/>
      <c r="WLS104" s="284"/>
      <c r="WLT104" s="284"/>
      <c r="WLU104" s="284"/>
      <c r="WLV104" s="284"/>
      <c r="WLW104" s="284"/>
      <c r="WLX104" s="284"/>
      <c r="WLY104" s="284"/>
      <c r="WLZ104" s="284"/>
      <c r="WMA104" s="284"/>
      <c r="WMB104" s="284"/>
      <c r="WMC104" s="284"/>
      <c r="WMD104" s="284"/>
      <c r="WME104" s="284"/>
      <c r="WMF104" s="284"/>
      <c r="WMG104" s="284"/>
      <c r="WMH104" s="284"/>
      <c r="WMI104" s="284"/>
      <c r="WMJ104" s="284"/>
      <c r="WMK104" s="284"/>
      <c r="WML104" s="284"/>
      <c r="WMM104" s="284"/>
      <c r="WMN104" s="284"/>
      <c r="WMO104" s="284"/>
      <c r="WMP104" s="284"/>
      <c r="WMQ104" s="284"/>
      <c r="WMR104" s="284"/>
      <c r="WMS104" s="284"/>
      <c r="WMT104" s="284"/>
      <c r="WMU104" s="284"/>
      <c r="WMV104" s="284"/>
      <c r="WMW104" s="284"/>
      <c r="WMX104" s="284"/>
      <c r="WMY104" s="284"/>
      <c r="WMZ104" s="284"/>
      <c r="WNA104" s="284"/>
      <c r="WNB104" s="284"/>
      <c r="WNC104" s="284"/>
      <c r="WND104" s="284"/>
      <c r="WNE104" s="284"/>
      <c r="WNF104" s="284"/>
      <c r="WNG104" s="284"/>
      <c r="WNH104" s="284"/>
      <c r="WNI104" s="284"/>
      <c r="WNJ104" s="284"/>
      <c r="WNK104" s="284"/>
      <c r="WNL104" s="284"/>
      <c r="WNM104" s="284"/>
      <c r="WNN104" s="284"/>
      <c r="WNO104" s="284"/>
      <c r="WNP104" s="284"/>
      <c r="WNQ104" s="284"/>
      <c r="WNR104" s="284"/>
      <c r="WNS104" s="284"/>
      <c r="WNT104" s="284"/>
      <c r="WNU104" s="284"/>
      <c r="WNV104" s="284"/>
      <c r="WNW104" s="284"/>
      <c r="WNX104" s="284"/>
      <c r="WNY104" s="284"/>
      <c r="WNZ104" s="284"/>
      <c r="WOA104" s="284"/>
      <c r="WOB104" s="284"/>
      <c r="WOC104" s="284"/>
      <c r="WOD104" s="284"/>
      <c r="WOE104" s="284"/>
      <c r="WOF104" s="284"/>
      <c r="WOG104" s="284"/>
      <c r="WOH104" s="284"/>
      <c r="WOI104" s="284"/>
      <c r="WOJ104" s="284"/>
      <c r="WOK104" s="284"/>
      <c r="WOL104" s="284"/>
      <c r="WOM104" s="284"/>
      <c r="WON104" s="284"/>
      <c r="WOO104" s="284"/>
      <c r="WOP104" s="284"/>
      <c r="WOQ104" s="284"/>
      <c r="WOR104" s="284"/>
      <c r="WOS104" s="284"/>
      <c r="WOT104" s="284"/>
      <c r="WOU104" s="284"/>
      <c r="WOV104" s="284"/>
      <c r="WOW104" s="284"/>
      <c r="WOX104" s="284"/>
      <c r="WOY104" s="284"/>
      <c r="WOZ104" s="284"/>
      <c r="WPA104" s="284"/>
      <c r="WPB104" s="284"/>
      <c r="WPC104" s="284"/>
      <c r="WPD104" s="284"/>
      <c r="WPE104" s="284"/>
      <c r="WPF104" s="284"/>
      <c r="WPG104" s="284"/>
      <c r="WPH104" s="284"/>
      <c r="WPI104" s="284"/>
      <c r="WPJ104" s="284"/>
      <c r="WPK104" s="284"/>
      <c r="WPL104" s="284"/>
      <c r="WPM104" s="284"/>
      <c r="WPN104" s="284"/>
      <c r="WPO104" s="284"/>
      <c r="WPP104" s="284"/>
      <c r="WPQ104" s="284"/>
      <c r="WPR104" s="284"/>
      <c r="WPS104" s="284"/>
      <c r="WPT104" s="284"/>
      <c r="WPU104" s="284"/>
      <c r="WPV104" s="284"/>
      <c r="WPW104" s="284"/>
      <c r="WPX104" s="284"/>
      <c r="WPY104" s="284"/>
      <c r="WPZ104" s="284"/>
      <c r="WQA104" s="284"/>
      <c r="WQB104" s="284"/>
      <c r="WQC104" s="284"/>
      <c r="WQD104" s="284"/>
      <c r="WQE104" s="284"/>
      <c r="WQF104" s="284"/>
      <c r="WQG104" s="284"/>
      <c r="WQH104" s="284"/>
      <c r="WQI104" s="284"/>
      <c r="WQJ104" s="284"/>
      <c r="WQK104" s="284"/>
      <c r="WQL104" s="284"/>
      <c r="WQM104" s="284"/>
      <c r="WQN104" s="284"/>
      <c r="WQO104" s="284"/>
      <c r="WQP104" s="284"/>
      <c r="WQQ104" s="284"/>
      <c r="WQR104" s="284"/>
      <c r="WQS104" s="284"/>
      <c r="WQT104" s="284"/>
      <c r="WQU104" s="284"/>
      <c r="WQV104" s="284"/>
      <c r="WQW104" s="284"/>
      <c r="WQX104" s="284"/>
      <c r="WQY104" s="284"/>
      <c r="WQZ104" s="284"/>
      <c r="WRA104" s="284"/>
      <c r="WRB104" s="284"/>
      <c r="WRC104" s="284"/>
      <c r="WRD104" s="284"/>
      <c r="WRE104" s="284"/>
      <c r="WRF104" s="284"/>
      <c r="WRG104" s="284"/>
      <c r="WRH104" s="284"/>
      <c r="WRI104" s="284"/>
      <c r="WRJ104" s="284"/>
      <c r="WRK104" s="284"/>
      <c r="WRL104" s="284"/>
      <c r="WRM104" s="284"/>
      <c r="WRN104" s="284"/>
      <c r="WRO104" s="284"/>
      <c r="WRP104" s="284"/>
      <c r="WRQ104" s="284"/>
      <c r="WRR104" s="284"/>
      <c r="WRS104" s="284"/>
      <c r="WRT104" s="284"/>
      <c r="WRU104" s="284"/>
      <c r="WRV104" s="284"/>
      <c r="WRW104" s="284"/>
      <c r="WRX104" s="284"/>
      <c r="WRY104" s="284"/>
      <c r="WRZ104" s="284"/>
      <c r="WSA104" s="284"/>
      <c r="WSB104" s="284"/>
      <c r="WSC104" s="284"/>
      <c r="WSD104" s="284"/>
      <c r="WSE104" s="284"/>
      <c r="WSF104" s="284"/>
      <c r="WSG104" s="284"/>
      <c r="WSH104" s="284"/>
      <c r="WSI104" s="284"/>
      <c r="WSJ104" s="284"/>
      <c r="WSK104" s="284"/>
      <c r="WSL104" s="284"/>
      <c r="WSM104" s="284"/>
      <c r="WSN104" s="284"/>
      <c r="WSO104" s="284"/>
      <c r="WSP104" s="284"/>
      <c r="WSQ104" s="284"/>
      <c r="WSR104" s="284"/>
      <c r="WSS104" s="284"/>
      <c r="WST104" s="284"/>
      <c r="WSU104" s="284"/>
      <c r="WSV104" s="284"/>
      <c r="WSW104" s="284"/>
      <c r="WSX104" s="284"/>
      <c r="WSY104" s="284"/>
      <c r="WSZ104" s="284"/>
      <c r="WTA104" s="284"/>
      <c r="WTB104" s="284"/>
      <c r="WTC104" s="284"/>
      <c r="WTD104" s="284"/>
      <c r="WTE104" s="284"/>
      <c r="WTF104" s="284"/>
      <c r="WTG104" s="284"/>
      <c r="WTH104" s="284"/>
      <c r="WTI104" s="284"/>
      <c r="WTJ104" s="284"/>
      <c r="WTK104" s="284"/>
      <c r="WTL104" s="284"/>
      <c r="WTM104" s="284"/>
      <c r="WTN104" s="284"/>
      <c r="WTO104" s="284"/>
      <c r="WTP104" s="284"/>
      <c r="WTQ104" s="284"/>
      <c r="WTR104" s="284"/>
      <c r="WTS104" s="284"/>
      <c r="WTT104" s="284"/>
      <c r="WTU104" s="284"/>
      <c r="WTV104" s="284"/>
      <c r="WTW104" s="284"/>
      <c r="WTX104" s="284"/>
      <c r="WTY104" s="284"/>
      <c r="WTZ104" s="284"/>
      <c r="WUA104" s="284"/>
      <c r="WUB104" s="284"/>
      <c r="WUC104" s="284"/>
      <c r="WUD104" s="284"/>
      <c r="WUE104" s="284"/>
      <c r="WUF104" s="284"/>
      <c r="WUG104" s="284"/>
      <c r="WUH104" s="284"/>
      <c r="WUI104" s="284"/>
      <c r="WUJ104" s="284"/>
      <c r="WUK104" s="284"/>
      <c r="WUL104" s="284"/>
      <c r="WUM104" s="284"/>
      <c r="WUN104" s="284"/>
      <c r="WUO104" s="284"/>
      <c r="WUP104" s="284"/>
      <c r="WUQ104" s="284"/>
      <c r="WUR104" s="284"/>
      <c r="WUS104" s="284"/>
      <c r="WUT104" s="284"/>
      <c r="WUU104" s="284"/>
      <c r="WUV104" s="284"/>
      <c r="WUW104" s="284"/>
      <c r="WUX104" s="284"/>
      <c r="WUY104" s="284"/>
      <c r="WUZ104" s="284"/>
      <c r="WVA104" s="284"/>
      <c r="WVB104" s="284"/>
      <c r="WVC104" s="284"/>
      <c r="WVD104" s="284"/>
      <c r="WVE104" s="284"/>
      <c r="WVF104" s="284"/>
      <c r="WVG104" s="284"/>
      <c r="WVH104" s="284"/>
      <c r="WVI104" s="284"/>
      <c r="WVJ104" s="284"/>
      <c r="WVK104" s="284"/>
      <c r="WVL104" s="284"/>
      <c r="WVM104" s="284"/>
      <c r="WVN104" s="284"/>
      <c r="WVO104" s="284"/>
      <c r="WVP104" s="284"/>
      <c r="WVQ104" s="284"/>
      <c r="WVR104" s="284"/>
      <c r="WVS104" s="284"/>
      <c r="WVT104" s="284"/>
      <c r="WVU104" s="284"/>
      <c r="WVV104" s="284"/>
      <c r="WVW104" s="284"/>
      <c r="WVX104" s="284"/>
      <c r="WVY104" s="284"/>
      <c r="WVZ104" s="284"/>
      <c r="WWA104" s="284"/>
      <c r="WWB104" s="284"/>
      <c r="WWC104" s="284"/>
      <c r="WWD104" s="284"/>
      <c r="WWE104" s="284"/>
      <c r="WWF104" s="284"/>
      <c r="WWG104" s="284"/>
      <c r="WWH104" s="284"/>
      <c r="WWI104" s="284"/>
      <c r="WWJ104" s="284"/>
      <c r="WWK104" s="284"/>
      <c r="WWL104" s="284"/>
      <c r="WWM104" s="284"/>
      <c r="WWN104" s="284"/>
      <c r="WWO104" s="284"/>
      <c r="WWP104" s="284"/>
      <c r="WWQ104" s="284"/>
      <c r="WWR104" s="284"/>
      <c r="WWS104" s="284"/>
      <c r="WWT104" s="284"/>
      <c r="WWU104" s="284"/>
      <c r="WWV104" s="284"/>
      <c r="WWW104" s="284"/>
      <c r="WWX104" s="284"/>
      <c r="WWY104" s="284"/>
      <c r="WWZ104" s="284"/>
      <c r="WXA104" s="284"/>
      <c r="WXB104" s="284"/>
      <c r="WXC104" s="284"/>
      <c r="WXD104" s="284"/>
      <c r="WXE104" s="284"/>
      <c r="WXF104" s="284"/>
      <c r="WXG104" s="284"/>
      <c r="WXH104" s="284"/>
      <c r="WXI104" s="284"/>
      <c r="WXJ104" s="284"/>
      <c r="WXK104" s="284"/>
      <c r="WXL104" s="284"/>
      <c r="WXM104" s="284"/>
      <c r="WXN104" s="284"/>
      <c r="WXO104" s="284"/>
      <c r="WXP104" s="284"/>
      <c r="WXQ104" s="284"/>
      <c r="WXR104" s="284"/>
      <c r="WXS104" s="284"/>
      <c r="WXT104" s="284"/>
      <c r="WXU104" s="284"/>
      <c r="WXV104" s="284"/>
      <c r="WXW104" s="284"/>
      <c r="WXX104" s="284"/>
      <c r="WXY104" s="284"/>
      <c r="WXZ104" s="284"/>
      <c r="WYA104" s="284"/>
      <c r="WYB104" s="284"/>
      <c r="WYC104" s="284"/>
      <c r="WYD104" s="284"/>
      <c r="WYE104" s="284"/>
      <c r="WYF104" s="284"/>
      <c r="WYG104" s="284"/>
      <c r="WYH104" s="284"/>
      <c r="WYI104" s="284"/>
      <c r="WYJ104" s="284"/>
      <c r="WYK104" s="284"/>
      <c r="WYL104" s="284"/>
      <c r="WYM104" s="284"/>
      <c r="WYN104" s="284"/>
      <c r="WYO104" s="284"/>
      <c r="WYP104" s="284"/>
      <c r="WYQ104" s="284"/>
      <c r="WYR104" s="284"/>
      <c r="WYS104" s="284"/>
      <c r="WYT104" s="284"/>
      <c r="WYU104" s="284"/>
      <c r="WYV104" s="284"/>
      <c r="WYW104" s="284"/>
      <c r="WYX104" s="284"/>
      <c r="WYY104" s="284"/>
      <c r="WYZ104" s="284"/>
      <c r="WZA104" s="284"/>
      <c r="WZB104" s="284"/>
      <c r="WZC104" s="284"/>
      <c r="WZD104" s="284"/>
      <c r="WZE104" s="284"/>
      <c r="WZF104" s="284"/>
      <c r="WZG104" s="284"/>
      <c r="WZH104" s="284"/>
      <c r="WZI104" s="284"/>
      <c r="WZJ104" s="284"/>
      <c r="WZK104" s="284"/>
      <c r="WZL104" s="284"/>
      <c r="WZM104" s="284"/>
      <c r="WZN104" s="284"/>
      <c r="WZO104" s="284"/>
      <c r="WZP104" s="284"/>
      <c r="WZQ104" s="284"/>
      <c r="WZR104" s="284"/>
      <c r="WZS104" s="284"/>
      <c r="WZT104" s="284"/>
      <c r="WZU104" s="284"/>
      <c r="WZV104" s="284"/>
      <c r="WZW104" s="284"/>
      <c r="WZX104" s="284"/>
      <c r="WZY104" s="284"/>
      <c r="WZZ104" s="284"/>
      <c r="XAA104" s="284"/>
      <c r="XAB104" s="284"/>
      <c r="XAC104" s="284"/>
      <c r="XAD104" s="284"/>
      <c r="XAE104" s="284"/>
      <c r="XAF104" s="284"/>
      <c r="XAG104" s="284"/>
      <c r="XAH104" s="284"/>
      <c r="XAI104" s="284"/>
      <c r="XAJ104" s="284"/>
      <c r="XAK104" s="284"/>
      <c r="XAL104" s="284"/>
      <c r="XAM104" s="284"/>
      <c r="XAN104" s="284"/>
      <c r="XAO104" s="284"/>
      <c r="XAP104" s="284"/>
      <c r="XAQ104" s="284"/>
      <c r="XAR104" s="284"/>
      <c r="XAS104" s="284"/>
      <c r="XAT104" s="284"/>
      <c r="XAU104" s="284"/>
      <c r="XAV104" s="284"/>
      <c r="XAW104" s="284"/>
      <c r="XAX104" s="284"/>
      <c r="XAY104" s="284"/>
      <c r="XAZ104" s="284"/>
      <c r="XBA104" s="284"/>
      <c r="XBB104" s="284"/>
      <c r="XBC104" s="284"/>
      <c r="XBD104" s="284"/>
      <c r="XBE104" s="284"/>
      <c r="XBF104" s="284"/>
      <c r="XBG104" s="284"/>
      <c r="XBH104" s="284"/>
      <c r="XBI104" s="284"/>
      <c r="XBJ104" s="284"/>
      <c r="XBK104" s="284"/>
      <c r="XBL104" s="284"/>
      <c r="XBM104" s="284"/>
      <c r="XBN104" s="284"/>
      <c r="XBO104" s="284"/>
      <c r="XBP104" s="284"/>
      <c r="XBQ104" s="284"/>
      <c r="XBR104" s="284"/>
      <c r="XBS104" s="284"/>
      <c r="XBT104" s="284"/>
      <c r="XBU104" s="284"/>
      <c r="XBV104" s="284"/>
      <c r="XBW104" s="284"/>
      <c r="XBX104" s="284"/>
      <c r="XBY104" s="284"/>
      <c r="XBZ104" s="284"/>
      <c r="XCA104" s="284"/>
      <c r="XCB104" s="284"/>
      <c r="XCC104" s="284"/>
      <c r="XCD104" s="284"/>
      <c r="XCE104" s="284"/>
      <c r="XCF104" s="284"/>
      <c r="XCG104" s="284"/>
      <c r="XCH104" s="284"/>
      <c r="XCI104" s="284"/>
      <c r="XCJ104" s="284"/>
      <c r="XCK104" s="284"/>
      <c r="XCL104" s="284"/>
      <c r="XCM104" s="284"/>
      <c r="XCN104" s="284"/>
      <c r="XCO104" s="284"/>
      <c r="XCP104" s="284"/>
      <c r="XCQ104" s="284"/>
      <c r="XCR104" s="284"/>
      <c r="XCS104" s="284"/>
      <c r="XCT104" s="284"/>
      <c r="XCU104" s="284"/>
      <c r="XCV104" s="284"/>
      <c r="XCW104" s="284"/>
      <c r="XCX104" s="284"/>
      <c r="XCY104" s="284"/>
      <c r="XCZ104" s="284"/>
      <c r="XDA104" s="284"/>
      <c r="XDB104" s="284"/>
      <c r="XDC104" s="284"/>
      <c r="XDD104" s="284"/>
      <c r="XDE104" s="284"/>
      <c r="XDF104" s="284"/>
      <c r="XDG104" s="284"/>
      <c r="XDH104" s="284"/>
      <c r="XDI104" s="284"/>
      <c r="XDJ104" s="284"/>
      <c r="XDK104" s="284"/>
      <c r="XDL104" s="284"/>
      <c r="XDM104" s="284"/>
      <c r="XDN104" s="284"/>
      <c r="XDO104" s="284"/>
      <c r="XDP104" s="284"/>
      <c r="XDQ104" s="284"/>
      <c r="XDR104" s="284"/>
      <c r="XDS104" s="284"/>
      <c r="XDT104" s="284"/>
      <c r="XDU104" s="284"/>
      <c r="XDV104" s="284"/>
      <c r="XDW104" s="284"/>
      <c r="XDX104" s="284"/>
    </row>
    <row r="105" spans="1:16352" ht="26.25">
      <c r="A105" s="368" t="s">
        <v>289</v>
      </c>
      <c r="B105" s="369"/>
      <c r="C105" s="282"/>
      <c r="D105" s="282">
        <v>85</v>
      </c>
      <c r="E105" s="370"/>
      <c r="F105" s="371"/>
      <c r="G105" s="372" t="str">
        <f ca="1">_xll.DBRA(Server&amp;#REF!,$A105,$H$15)</f>
        <v/>
      </c>
      <c r="H105" s="373"/>
      <c r="I105" s="374">
        <f t="shared" ref="I105:P105" ca="1" si="26">I95+I98+I104</f>
        <v>0</v>
      </c>
      <c r="J105" s="374">
        <f t="shared" ca="1" si="26"/>
        <v>0</v>
      </c>
      <c r="K105" s="374">
        <f t="shared" ca="1" si="26"/>
        <v>0</v>
      </c>
      <c r="L105" s="374">
        <f t="shared" ca="1" si="26"/>
        <v>0</v>
      </c>
      <c r="M105" s="374">
        <f t="shared" ca="1" si="26"/>
        <v>0</v>
      </c>
      <c r="N105" s="374">
        <f t="shared" ca="1" si="26"/>
        <v>0</v>
      </c>
      <c r="O105" s="374">
        <f t="shared" ca="1" si="26"/>
        <v>0</v>
      </c>
      <c r="P105" s="374">
        <f t="shared" ca="1" si="26"/>
        <v>0</v>
      </c>
      <c r="Q105" s="326"/>
      <c r="R105" s="329"/>
      <c r="S105" s="329"/>
      <c r="T105" s="284"/>
    </row>
    <row r="106" spans="1:16352" ht="26.25">
      <c r="A106" s="317"/>
      <c r="B106" s="282"/>
      <c r="C106" s="282"/>
      <c r="D106" s="282">
        <v>86</v>
      </c>
      <c r="G106" s="375"/>
      <c r="H106" s="375"/>
      <c r="I106" s="376"/>
      <c r="J106" s="377"/>
      <c r="K106" s="377"/>
      <c r="L106" s="378"/>
      <c r="M106" s="377"/>
      <c r="N106" s="309"/>
      <c r="O106" s="309"/>
      <c r="P106" s="309"/>
      <c r="Q106" s="326"/>
      <c r="S106" s="256"/>
      <c r="U106" s="284"/>
    </row>
    <row r="107" spans="1:16352" s="309" customFormat="1" ht="26.25">
      <c r="A107" s="379"/>
      <c r="B107" s="302"/>
      <c r="C107" s="302"/>
      <c r="D107" s="302">
        <v>87</v>
      </c>
      <c r="E107" s="303"/>
      <c r="F107" s="304"/>
      <c r="G107" s="454" t="str">
        <f ca="1">IF($H$15="English","IV - OPERATIONAL INVESTMENTS","IV - INVESTISSEMENTS OPERATIONNELS")</f>
        <v>IV - OPERATIONAL INVESTMENTS</v>
      </c>
      <c r="H107" s="454"/>
      <c r="I107" s="305" t="str">
        <f ca="1">I$21</f>
        <v>Actual 2022</v>
      </c>
      <c r="J107" s="305" t="str">
        <f t="shared" ref="J107:P107" ca="1" si="27">J$21</f>
        <v>F2 2023</v>
      </c>
      <c r="K107" s="305" t="str">
        <f t="shared" ca="1" si="27"/>
        <v>Budget 2024</v>
      </c>
      <c r="L107" s="305" t="str">
        <f t="shared" ca="1" si="27"/>
        <v>LTP 2025</v>
      </c>
      <c r="M107" s="305" t="str">
        <f t="shared" ca="1" si="27"/>
        <v>LTP 2026</v>
      </c>
      <c r="N107" s="305" t="str">
        <f t="shared" ca="1" si="27"/>
        <v>LTP 2027</v>
      </c>
      <c r="O107" s="305" t="str">
        <f t="shared" ca="1" si="27"/>
        <v>LTP 2028</v>
      </c>
      <c r="P107" s="305" t="str">
        <f t="shared" ca="1" si="27"/>
        <v>LTP 2029</v>
      </c>
      <c r="Q107" s="326"/>
      <c r="R107" s="284"/>
      <c r="S107" s="256"/>
      <c r="T107" s="380"/>
    </row>
    <row r="108" spans="1:16352" ht="27" thickBot="1">
      <c r="B108" s="282"/>
      <c r="C108" s="282"/>
      <c r="D108" s="282">
        <v>88</v>
      </c>
      <c r="G108" s="313"/>
      <c r="H108" s="314"/>
      <c r="I108" s="315"/>
      <c r="J108" s="315"/>
      <c r="K108" s="315"/>
      <c r="L108" s="315"/>
      <c r="M108" s="315"/>
      <c r="N108" s="315"/>
      <c r="O108" s="315"/>
      <c r="P108" s="315"/>
      <c r="Q108" s="326"/>
      <c r="S108" s="256"/>
      <c r="U108" s="284"/>
    </row>
    <row r="109" spans="1:16352" ht="26.25">
      <c r="A109" s="317" t="s">
        <v>290</v>
      </c>
      <c r="B109" s="331" t="s">
        <v>247</v>
      </c>
      <c r="C109" s="282"/>
      <c r="D109" s="282">
        <v>89</v>
      </c>
      <c r="G109" s="457" t="str">
        <f ca="1">_xll.DBRA(Server&amp;$A$21,$A109,$H$15)</f>
        <v>Gross Industrial CAPEX</v>
      </c>
      <c r="H109" s="458"/>
      <c r="I109" s="318">
        <f ca="1">_xll.DBRW($H$8,$H$12,$H$14,$H$10,$H$13,$H$11,I$2,$H$9,$B109)+_xll.DBRW($H$8,$H$12,$H$14,$H$10,$H$13,$H$11,I$2,$H$9,$A109)</f>
        <v>0</v>
      </c>
      <c r="J109" s="318">
        <f ca="1">_xll.DBRW($H$8,$H$12,$H$14,$H$10,$H$13,$H$11,J$2,$H$9,$B109)+_xll.DBRW($H$8,$H$12,$H$14,$H$10,$H$13,$H$11,J$2,$H$9,$A109)</f>
        <v>0</v>
      </c>
      <c r="K109" s="318">
        <f ca="1">_xll.DBRW($H$8,$H$12,$H$14,$H$10,$H$13,$H$11,K$2,$H$9,$B109)+_xll.DBRW($H$8,$H$12,$H$14,$H$10,$H$13,$H$11,K$2,$H$9,$A109)</f>
        <v>0</v>
      </c>
      <c r="L109" s="318">
        <f ca="1">_xll.DBRW($H$8,$H$12,$H$14,$H$10,$H$13,$H$11,L$2,$H$9,$B109)+_xll.DBRW($H$8,$H$12,$H$14,$H$10,$H$13,$H$11,L$2,$H$9,$A109)</f>
        <v>0</v>
      </c>
      <c r="M109" s="318">
        <f ca="1">_xll.DBRW($H$8,$H$12,$H$14,$H$10,$H$13,$H$11,M$2,$H$9,$B109)+_xll.DBRW($H$8,$H$12,$H$14,$H$10,$H$13,$H$11,M$2,$H$9,$A109)</f>
        <v>0</v>
      </c>
      <c r="N109" s="318">
        <f ca="1">_xll.DBRW($H$8,$H$12,$H$14,$H$10,$H$13,$H$11,N$2,$H$9,$B109)+_xll.DBRW($H$8,$H$12,$H$14,$H$10,$H$13,$H$11,N$2,$H$9,$A109)</f>
        <v>0</v>
      </c>
      <c r="O109" s="318">
        <f ca="1">_xll.DBRW($H$8,$H$12,$H$14,$H$10,$H$13,$H$11,O$2,$H$9,$B109)+_xll.DBRW($H$8,$H$12,$H$14,$H$10,$H$13,$H$11,O$2,$H$9,$A109)</f>
        <v>0</v>
      </c>
      <c r="P109" s="318">
        <f ca="1">_xll.DBRW($H$8,$H$12,$H$14,$H$10,$H$13,$H$11,P$2,$H$9,$B109)+_xll.DBRW($H$8,$H$12,$H$14,$H$10,$H$13,$H$11,P$2,$H$9,$A109)</f>
        <v>0</v>
      </c>
      <c r="Q109" s="326"/>
      <c r="S109" s="256"/>
      <c r="U109" s="284"/>
    </row>
    <row r="110" spans="1:16352" ht="26.25">
      <c r="A110" s="317" t="s">
        <v>291</v>
      </c>
      <c r="B110" s="331"/>
      <c r="C110" s="282"/>
      <c r="D110" s="282">
        <v>90</v>
      </c>
      <c r="G110" s="457" t="str">
        <f ca="1">_xll.DBRA(Server&amp;$A$21,$A110,$H$15)</f>
        <v>New Operating financial assets - IFRIC 12 bifurcated IFRS16</v>
      </c>
      <c r="H110" s="458"/>
      <c r="I110" s="381">
        <f ca="1">_xll.DBRW($H$8,$H$12,$H$14,$H$10,$H$13,$H$11,I$2,$H$9,$A110)</f>
        <v>0</v>
      </c>
      <c r="J110" s="381">
        <f ca="1">_xll.DBRW($H$8,$H$12,$H$14,$H$10,$H$13,$H$11,J$2,$H$9,$A110)</f>
        <v>0</v>
      </c>
      <c r="K110" s="381">
        <f ca="1">_xll.DBRW($H$8,$H$12,$H$14,$H$10,$H$13,$H$11,K$2,$H$9,$A110)</f>
        <v>0</v>
      </c>
      <c r="L110" s="381">
        <f ca="1">_xll.DBRW($H$8,$H$12,$H$14,$H$10,$H$13,$H$11,L$2,$H$9,$A110)</f>
        <v>0</v>
      </c>
      <c r="M110" s="381">
        <f ca="1">_xll.DBRW($H$8,$H$12,$H$14,$H$10,$H$13,$H$11,M$2,$H$9,$A110)</f>
        <v>0</v>
      </c>
      <c r="N110" s="381">
        <f ca="1">_xll.DBRW($H$8,$H$12,$H$14,$H$10,$H$13,$H$11,N$2,$H$9,$A110)</f>
        <v>0</v>
      </c>
      <c r="O110" s="381">
        <f ca="1">_xll.DBRW($H$8,$H$12,$H$14,$H$10,$H$13,$H$11,O$2,$H$9,$A110)</f>
        <v>0</v>
      </c>
      <c r="P110" s="381">
        <f ca="1">_xll.DBRW($H$8,$H$12,$H$14,$H$10,$H$13,$H$11,P$2,$H$9,$A110)</f>
        <v>0</v>
      </c>
      <c r="Q110" s="326"/>
      <c r="S110" s="256"/>
      <c r="U110" s="284"/>
    </row>
    <row r="111" spans="1:16352" ht="27" thickBot="1">
      <c r="A111" s="317" t="s">
        <v>292</v>
      </c>
      <c r="B111" s="331"/>
      <c r="C111" s="282"/>
      <c r="D111" s="282">
        <v>91</v>
      </c>
      <c r="G111" s="457" t="str">
        <f ca="1">_xll.DBRA(Server&amp;$A$21,$A111,$H$15)</f>
        <v>New Operating financial assets - IFRIC 12 Off Balance sheet</v>
      </c>
      <c r="H111" s="458"/>
      <c r="I111" s="381">
        <f ca="1">_xll.DBRW($H$8,$H$12,$H$14,$H$10,$H$13,$H$11,I$2,$H$9,$A111)</f>
        <v>0</v>
      </c>
      <c r="J111" s="381">
        <f ca="1">_xll.DBRW($H$8,$H$12,$H$14,$H$10,$H$13,$H$11,J$2,$H$9,$A111)</f>
        <v>0</v>
      </c>
      <c r="K111" s="381">
        <f ca="1">_xll.DBRW($H$8,$H$12,$H$14,$H$10,$H$13,$H$11,K$2,$H$9,$A111)</f>
        <v>0</v>
      </c>
      <c r="L111" s="381">
        <f ca="1">_xll.DBRW($H$8,$H$12,$H$14,$H$10,$H$13,$H$11,L$2,$H$9,$A111)</f>
        <v>0</v>
      </c>
      <c r="M111" s="381">
        <f ca="1">_xll.DBRW($H$8,$H$12,$H$14,$H$10,$H$13,$H$11,M$2,$H$9,$A111)</f>
        <v>0</v>
      </c>
      <c r="N111" s="381">
        <f ca="1">_xll.DBRW($H$8,$H$12,$H$14,$H$10,$H$13,$H$11,N$2,$H$9,$A111)</f>
        <v>0</v>
      </c>
      <c r="O111" s="381">
        <f ca="1">_xll.DBRW($H$8,$H$12,$H$14,$H$10,$H$13,$H$11,O$2,$H$9,$A111)</f>
        <v>0</v>
      </c>
      <c r="P111" s="381">
        <f ca="1">_xll.DBRW($H$8,$H$12,$H$14,$H$10,$H$13,$H$11,P$2,$H$9,$A111)</f>
        <v>0</v>
      </c>
      <c r="Q111" s="326"/>
      <c r="S111" s="256"/>
      <c r="U111" s="284"/>
    </row>
    <row r="112" spans="1:16352" ht="27" thickBot="1">
      <c r="A112" s="317"/>
      <c r="B112" s="331"/>
      <c r="C112" s="282"/>
      <c r="D112" s="282">
        <v>92</v>
      </c>
      <c r="G112" s="456" t="str">
        <f ca="1">IF($H$15="English","Total Gross Investments (all financing modes)","Total des Investissements bruts (tout mode de financement)")</f>
        <v>Total Gross Investments (all financing modes)</v>
      </c>
      <c r="H112" s="456"/>
      <c r="I112" s="346">
        <f t="shared" ref="I112:P112" ca="1" si="28">SUM(I109:I111)</f>
        <v>0</v>
      </c>
      <c r="J112" s="346">
        <f t="shared" ca="1" si="28"/>
        <v>0</v>
      </c>
      <c r="K112" s="346">
        <f t="shared" ca="1" si="28"/>
        <v>0</v>
      </c>
      <c r="L112" s="346">
        <f t="shared" ca="1" si="28"/>
        <v>0</v>
      </c>
      <c r="M112" s="346">
        <f t="shared" ca="1" si="28"/>
        <v>0</v>
      </c>
      <c r="N112" s="346">
        <f t="shared" ca="1" si="28"/>
        <v>0</v>
      </c>
      <c r="O112" s="346">
        <f t="shared" ca="1" si="28"/>
        <v>0</v>
      </c>
      <c r="P112" s="346">
        <f t="shared" ca="1" si="28"/>
        <v>0</v>
      </c>
      <c r="Q112" s="326"/>
      <c r="S112" s="256"/>
      <c r="U112" s="284"/>
    </row>
    <row r="113" spans="1:21" ht="26.25">
      <c r="A113" s="317"/>
      <c r="B113" s="331"/>
      <c r="C113" s="282"/>
      <c r="D113" s="282">
        <v>93</v>
      </c>
      <c r="G113" s="382"/>
      <c r="H113" s="383"/>
      <c r="I113" s="381"/>
      <c r="J113" s="381"/>
      <c r="K113" s="381"/>
      <c r="L113" s="381"/>
      <c r="M113" s="381"/>
      <c r="N113" s="381"/>
      <c r="O113" s="381"/>
      <c r="P113" s="381"/>
      <c r="Q113" s="326"/>
      <c r="S113" s="256"/>
      <c r="U113" s="284"/>
    </row>
    <row r="114" spans="1:21" s="309" customFormat="1" ht="26.25">
      <c r="A114" s="379"/>
      <c r="B114" s="384"/>
      <c r="C114" s="302"/>
      <c r="D114" s="302">
        <v>94</v>
      </c>
      <c r="E114" s="303"/>
      <c r="F114" s="304"/>
      <c r="G114" s="454" t="s">
        <v>293</v>
      </c>
      <c r="H114" s="454"/>
      <c r="I114" s="305" t="str">
        <f ca="1">I$21</f>
        <v>Actual 2022</v>
      </c>
      <c r="J114" s="305" t="str">
        <f t="shared" ref="J114:P114" ca="1" si="29">J$21</f>
        <v>F2 2023</v>
      </c>
      <c r="K114" s="305" t="str">
        <f t="shared" ca="1" si="29"/>
        <v>Budget 2024</v>
      </c>
      <c r="L114" s="305" t="str">
        <f t="shared" ca="1" si="29"/>
        <v>LTP 2025</v>
      </c>
      <c r="M114" s="305" t="str">
        <f t="shared" ca="1" si="29"/>
        <v>LTP 2026</v>
      </c>
      <c r="N114" s="305" t="str">
        <f t="shared" ca="1" si="29"/>
        <v>LTP 2027</v>
      </c>
      <c r="O114" s="305" t="str">
        <f t="shared" ca="1" si="29"/>
        <v>LTP 2028</v>
      </c>
      <c r="P114" s="305" t="str">
        <f t="shared" ca="1" si="29"/>
        <v>LTP 2029</v>
      </c>
      <c r="Q114" s="326"/>
      <c r="R114" s="284"/>
      <c r="S114" s="256"/>
      <c r="T114" s="380"/>
    </row>
    <row r="115" spans="1:21" ht="27" thickBot="1">
      <c r="A115" s="317"/>
      <c r="B115" s="331"/>
      <c r="C115" s="282"/>
      <c r="D115" s="282">
        <v>95</v>
      </c>
      <c r="G115" s="313"/>
      <c r="H115" s="314"/>
      <c r="I115" s="315"/>
      <c r="J115" s="315"/>
      <c r="K115" s="315"/>
      <c r="L115" s="315"/>
      <c r="M115" s="315"/>
      <c r="N115" s="315"/>
      <c r="O115" s="315"/>
      <c r="P115" s="315"/>
      <c r="Q115" s="326"/>
      <c r="S115" s="256"/>
      <c r="U115" s="284"/>
    </row>
    <row r="116" spans="1:21" s="340" customFormat="1" ht="26.25">
      <c r="A116" s="317"/>
      <c r="B116" s="331"/>
      <c r="C116" s="282"/>
      <c r="D116" s="282">
        <v>96</v>
      </c>
      <c r="E116" s="335"/>
      <c r="F116" s="336"/>
      <c r="G116" s="385" t="str">
        <f ca="1">IF($H$15="English","Amortization /Revenue","Amortissements / Chiffre d'affaires")</f>
        <v>Amortization /Revenue</v>
      </c>
      <c r="H116" s="385"/>
      <c r="I116" s="386" t="str">
        <f t="shared" ref="I116:P116" ca="1" si="30">IFERROR(I50/I23,"")</f>
        <v/>
      </c>
      <c r="J116" s="386" t="str">
        <f t="shared" ca="1" si="30"/>
        <v/>
      </c>
      <c r="K116" s="386" t="str">
        <f t="shared" ca="1" si="30"/>
        <v/>
      </c>
      <c r="L116" s="386" t="str">
        <f t="shared" ca="1" si="30"/>
        <v/>
      </c>
      <c r="M116" s="386" t="str">
        <f t="shared" ca="1" si="30"/>
        <v/>
      </c>
      <c r="N116" s="386" t="str">
        <f t="shared" ca="1" si="30"/>
        <v/>
      </c>
      <c r="O116" s="386" t="str">
        <f t="shared" ca="1" si="30"/>
        <v/>
      </c>
      <c r="P116" s="386" t="str">
        <f t="shared" ca="1" si="30"/>
        <v/>
      </c>
      <c r="Q116" s="326"/>
    </row>
    <row r="117" spans="1:21" s="340" customFormat="1" ht="26.25">
      <c r="A117" s="317"/>
      <c r="B117" s="331"/>
      <c r="C117" s="282"/>
      <c r="D117" s="282">
        <v>97</v>
      </c>
      <c r="E117" s="387"/>
      <c r="F117" s="336"/>
      <c r="G117" s="388" t="str">
        <f ca="1">IF($H$15="English","ROCE after theoritical MF &amp; Tax excl. IFRIC12","ROCE après MF et Impot théoriques et avant IFRIC12")</f>
        <v>ROCE after theoritical MF &amp; Tax excl. IFRIC12</v>
      </c>
      <c r="H117" s="389"/>
      <c r="I117" s="390" t="s">
        <v>294</v>
      </c>
      <c r="J117" s="386" t="str">
        <f ca="1">IFERROR(J130,"-")</f>
        <v>-</v>
      </c>
      <c r="K117" s="386" t="str">
        <f t="shared" ref="K117:P117" ca="1" si="31">IFERROR(K130,"-")</f>
        <v>-</v>
      </c>
      <c r="L117" s="386" t="str">
        <f t="shared" ca="1" si="31"/>
        <v>-</v>
      </c>
      <c r="M117" s="386" t="str">
        <f t="shared" ca="1" si="31"/>
        <v>-</v>
      </c>
      <c r="N117" s="386" t="str">
        <f t="shared" ca="1" si="31"/>
        <v>-</v>
      </c>
      <c r="O117" s="386" t="str">
        <f t="shared" ca="1" si="31"/>
        <v>-</v>
      </c>
      <c r="P117" s="386" t="str">
        <f t="shared" ca="1" si="31"/>
        <v>-</v>
      </c>
      <c r="Q117" s="306"/>
    </row>
    <row r="118" spans="1:21" s="340" customFormat="1" ht="26.25">
      <c r="A118" s="317"/>
      <c r="B118" s="331"/>
      <c r="C118" s="282"/>
      <c r="D118" s="282">
        <v>98</v>
      </c>
      <c r="E118" s="387"/>
      <c r="F118" s="336"/>
      <c r="G118" s="388" t="str">
        <f ca="1">IF($H$15="English","Implicit interest rate","Taux d'intérêt implicite")</f>
        <v>Implicit interest rate</v>
      </c>
      <c r="H118" s="389"/>
      <c r="I118" s="390" t="s">
        <v>294</v>
      </c>
      <c r="J118" s="386" t="str">
        <f t="shared" ref="J118:K118" ca="1" si="32">IFERROR(J37/AVERAGE(I96:J96),"-")</f>
        <v>-</v>
      </c>
      <c r="K118" s="386" t="str">
        <f t="shared" ca="1" si="32"/>
        <v>-</v>
      </c>
      <c r="L118" s="386" t="str">
        <f ca="1">IFERROR(L37/AVERAGE(K96:L96),"-")</f>
        <v>-</v>
      </c>
      <c r="M118" s="386" t="str">
        <f t="shared" ref="M118:P118" ca="1" si="33">IFERROR(M37/AVERAGE(L96:M96),"-")</f>
        <v>-</v>
      </c>
      <c r="N118" s="386" t="str">
        <f t="shared" ca="1" si="33"/>
        <v>-</v>
      </c>
      <c r="O118" s="386" t="str">
        <f t="shared" ca="1" si="33"/>
        <v>-</v>
      </c>
      <c r="P118" s="386" t="str">
        <f t="shared" ca="1" si="33"/>
        <v>-</v>
      </c>
      <c r="Q118" s="306"/>
      <c r="R118" s="342"/>
      <c r="S118" s="342"/>
      <c r="U118" s="341"/>
    </row>
    <row r="119" spans="1:21" ht="23.25" hidden="1" outlineLevel="1">
      <c r="Q119" s="391"/>
      <c r="R119" s="329"/>
      <c r="S119" s="329"/>
      <c r="T119" s="284"/>
    </row>
    <row r="120" spans="1:21" ht="23.25" hidden="1" outlineLevel="1">
      <c r="Q120" s="392"/>
      <c r="R120" s="329"/>
      <c r="S120" s="329"/>
      <c r="T120" s="284"/>
    </row>
    <row r="121" spans="1:21" ht="23.25" hidden="1" outlineLevel="1">
      <c r="G121" s="455" t="s">
        <v>295</v>
      </c>
      <c r="H121" s="455"/>
      <c r="T121" s="284"/>
    </row>
    <row r="122" spans="1:21" ht="23.25" hidden="1" outlineLevel="1">
      <c r="G122" s="393" t="str">
        <f ca="1">IF(_xll.DBRW(xServer&amp;":}ElementAttributes_Legal_Organization",ctx_legal_Context,"Country_Entity")="","Corporate",_xll.DBRW(xServer&amp;":}ElementAttributes_Legal_Organization",ctx_legal_Context,"Country_Entity"))</f>
        <v>Corporate</v>
      </c>
      <c r="H122" s="393" t="str">
        <f ca="1">IF(MID(H9,5,4)&gt;"2019",H9,"LTP_2021_VC")</f>
        <v>LTP_2023_VC</v>
      </c>
      <c r="T122" s="284"/>
    </row>
    <row r="123" spans="1:21" ht="23.25" hidden="1" outlineLevel="1">
      <c r="G123" s="394" t="s">
        <v>296</v>
      </c>
      <c r="H123" s="395">
        <f ca="1">_xll.DBR("tango_core_model:ST_LTP_TAXES_INTERESTS_RATES",$H$122,$P$2,$G$122,"Theoretical_tax_rate")</f>
        <v>0</v>
      </c>
      <c r="I123" s="396"/>
      <c r="J123" s="397"/>
      <c r="K123" s="397"/>
      <c r="L123" s="397"/>
      <c r="M123" s="397"/>
      <c r="N123" s="397"/>
      <c r="O123" s="397"/>
      <c r="T123" s="284"/>
    </row>
    <row r="124" spans="1:21" ht="23.25" hidden="1" outlineLevel="1">
      <c r="G124" s="394" t="s">
        <v>297</v>
      </c>
      <c r="H124" s="395">
        <v>8.0000000000000002E-3</v>
      </c>
      <c r="I124" s="396"/>
      <c r="J124" s="397"/>
      <c r="K124" s="397"/>
      <c r="L124" s="397"/>
      <c r="M124" s="397"/>
      <c r="N124" s="397"/>
      <c r="O124" s="397"/>
      <c r="T124" s="284"/>
    </row>
    <row r="125" spans="1:21" ht="23.25" hidden="1" outlineLevel="1">
      <c r="G125" s="283" t="s">
        <v>298</v>
      </c>
      <c r="H125" s="396"/>
      <c r="I125" s="398">
        <f ca="1">(I32-I24)</f>
        <v>0</v>
      </c>
      <c r="J125" s="398">
        <f t="shared" ref="J125:P125" ca="1" si="34">(J32-J24)</f>
        <v>0</v>
      </c>
      <c r="K125" s="398">
        <f t="shared" ca="1" si="34"/>
        <v>0</v>
      </c>
      <c r="L125" s="398">
        <f t="shared" ca="1" si="34"/>
        <v>0</v>
      </c>
      <c r="M125" s="398">
        <f t="shared" ca="1" si="34"/>
        <v>0</v>
      </c>
      <c r="N125" s="398">
        <f t="shared" ca="1" si="34"/>
        <v>0</v>
      </c>
      <c r="O125" s="398">
        <f t="shared" ca="1" si="34"/>
        <v>0</v>
      </c>
      <c r="P125" s="398">
        <f t="shared" ca="1" si="34"/>
        <v>0</v>
      </c>
      <c r="T125" s="284"/>
    </row>
    <row r="126" spans="1:21" ht="23.25" hidden="1" outlineLevel="1">
      <c r="G126" s="283" t="s">
        <v>335</v>
      </c>
      <c r="H126" s="396"/>
      <c r="I126" s="398">
        <f ca="1">IF($G$122="Corporate",0,-$H$124*I23)</f>
        <v>0</v>
      </c>
      <c r="J126" s="398">
        <f t="shared" ref="J126:P126" ca="1" si="35">IF($G$122="Corporate",0,-$H$124*J23)</f>
        <v>0</v>
      </c>
      <c r="K126" s="398">
        <f t="shared" ca="1" si="35"/>
        <v>0</v>
      </c>
      <c r="L126" s="398">
        <f t="shared" ca="1" si="35"/>
        <v>0</v>
      </c>
      <c r="M126" s="398">
        <f t="shared" ca="1" si="35"/>
        <v>0</v>
      </c>
      <c r="N126" s="398">
        <f t="shared" ca="1" si="35"/>
        <v>0</v>
      </c>
      <c r="O126" s="398">
        <f t="shared" ca="1" si="35"/>
        <v>0</v>
      </c>
      <c r="P126" s="398">
        <f t="shared" ca="1" si="35"/>
        <v>0</v>
      </c>
      <c r="T126" s="284"/>
    </row>
    <row r="127" spans="1:21" ht="23.25" hidden="1" outlineLevel="1">
      <c r="G127" s="283" t="s">
        <v>299</v>
      </c>
      <c r="H127" s="399"/>
      <c r="I127" s="398">
        <f ca="1">SUM(I125:I126)</f>
        <v>0</v>
      </c>
      <c r="J127" s="398">
        <f t="shared" ref="J127:P127" ca="1" si="36">SUM(J125:J126)</f>
        <v>0</v>
      </c>
      <c r="K127" s="398">
        <f t="shared" ca="1" si="36"/>
        <v>0</v>
      </c>
      <c r="L127" s="398">
        <f t="shared" ca="1" si="36"/>
        <v>0</v>
      </c>
      <c r="M127" s="398">
        <f t="shared" ca="1" si="36"/>
        <v>0</v>
      </c>
      <c r="N127" s="398">
        <f t="shared" ca="1" si="36"/>
        <v>0</v>
      </c>
      <c r="O127" s="398">
        <f t="shared" ca="1" si="36"/>
        <v>0</v>
      </c>
      <c r="P127" s="398">
        <f t="shared" ca="1" si="36"/>
        <v>0</v>
      </c>
      <c r="T127" s="284"/>
    </row>
    <row r="128" spans="1:21" ht="23.25" hidden="1" outlineLevel="1">
      <c r="G128" s="283" t="s">
        <v>296</v>
      </c>
      <c r="H128" s="399"/>
      <c r="I128" s="398">
        <f ca="1">I127*-$H$123</f>
        <v>0</v>
      </c>
      <c r="J128" s="398">
        <f t="shared" ref="J128:P128" ca="1" si="37">J127*-$H$123</f>
        <v>0</v>
      </c>
      <c r="K128" s="398">
        <f t="shared" ca="1" si="37"/>
        <v>0</v>
      </c>
      <c r="L128" s="398">
        <f t="shared" ca="1" si="37"/>
        <v>0</v>
      </c>
      <c r="M128" s="398">
        <f t="shared" ca="1" si="37"/>
        <v>0</v>
      </c>
      <c r="N128" s="398">
        <f t="shared" ca="1" si="37"/>
        <v>0</v>
      </c>
      <c r="O128" s="398">
        <f t="shared" ca="1" si="37"/>
        <v>0</v>
      </c>
      <c r="P128" s="398">
        <f t="shared" ca="1" si="37"/>
        <v>0</v>
      </c>
      <c r="T128" s="284"/>
    </row>
    <row r="129" spans="7:20" ht="23.25" hidden="1" outlineLevel="1">
      <c r="G129" s="400" t="s">
        <v>300</v>
      </c>
      <c r="H129" s="401"/>
      <c r="I129" s="402">
        <f ca="1">SUM(I127:I128)</f>
        <v>0</v>
      </c>
      <c r="J129" s="402">
        <f t="shared" ref="J129:P129" ca="1" si="38">SUM(J127:J128)</f>
        <v>0</v>
      </c>
      <c r="K129" s="402">
        <f t="shared" ca="1" si="38"/>
        <v>0</v>
      </c>
      <c r="L129" s="402">
        <f t="shared" ca="1" si="38"/>
        <v>0</v>
      </c>
      <c r="M129" s="402">
        <f t="shared" ca="1" si="38"/>
        <v>0</v>
      </c>
      <c r="N129" s="402">
        <f t="shared" ca="1" si="38"/>
        <v>0</v>
      </c>
      <c r="O129" s="402">
        <f t="shared" ca="1" si="38"/>
        <v>0</v>
      </c>
      <c r="P129" s="402">
        <f t="shared" ca="1" si="38"/>
        <v>0</v>
      </c>
      <c r="T129" s="284"/>
    </row>
    <row r="130" spans="7:20" ht="23.25" hidden="1" outlineLevel="1">
      <c r="G130" s="340" t="s">
        <v>301</v>
      </c>
      <c r="H130" s="340"/>
      <c r="I130" s="403"/>
      <c r="J130" s="403" t="e">
        <f ca="1">J129/AVERAGE(I93:J93)</f>
        <v>#DIV/0!</v>
      </c>
      <c r="K130" s="403" t="e">
        <f t="shared" ref="K130:P130" ca="1" si="39">K129/AVERAGE(J93:K93)</f>
        <v>#DIV/0!</v>
      </c>
      <c r="L130" s="403" t="e">
        <f t="shared" ca="1" si="39"/>
        <v>#DIV/0!</v>
      </c>
      <c r="M130" s="403" t="e">
        <f t="shared" ca="1" si="39"/>
        <v>#DIV/0!</v>
      </c>
      <c r="N130" s="403" t="e">
        <f t="shared" ca="1" si="39"/>
        <v>#DIV/0!</v>
      </c>
      <c r="O130" s="403" t="e">
        <f t="shared" ca="1" si="39"/>
        <v>#DIV/0!</v>
      </c>
      <c r="P130" s="403" t="e">
        <f t="shared" ca="1" si="39"/>
        <v>#DIV/0!</v>
      </c>
    </row>
    <row r="131" spans="7:20" ht="23.25" hidden="1" outlineLevel="1">
      <c r="I131" s="404"/>
      <c r="J131" s="404"/>
      <c r="K131" s="404"/>
      <c r="L131" s="404"/>
      <c r="M131" s="404"/>
      <c r="N131" s="404"/>
      <c r="O131" s="404"/>
      <c r="P131" s="404"/>
    </row>
    <row r="132" spans="7:20" ht="23.25" collapsed="1">
      <c r="J132" s="405"/>
      <c r="K132" s="405"/>
      <c r="L132" s="405"/>
      <c r="M132" s="405"/>
      <c r="N132" s="405"/>
      <c r="O132" s="405"/>
      <c r="P132" s="405"/>
    </row>
    <row r="133" spans="7:20" ht="23.25"/>
    <row r="134" spans="7:20" ht="23.25"/>
    <row r="135" spans="7:20" ht="23.25"/>
    <row r="136" spans="7:20" ht="23.25"/>
    <row r="137" spans="7:20" ht="23.25"/>
    <row r="138" spans="7:20" ht="23.25"/>
    <row r="139" spans="7:20" ht="23.25"/>
    <row r="140" spans="7:20" ht="23.25"/>
    <row r="141" spans="7:20" ht="23.25"/>
    <row r="142" spans="7:20" ht="23.25"/>
  </sheetData>
  <sheetProtection formatColumns="0" formatRows="0"/>
  <protectedRanges>
    <protectedRange sqref="Q23:Q27" name="Plage1_1_1"/>
  </protectedRanges>
  <mergeCells count="86">
    <mergeCell ref="G24:H24"/>
    <mergeCell ref="H17:S17"/>
    <mergeCell ref="H18:S18"/>
    <mergeCell ref="H19:S19"/>
    <mergeCell ref="G21:H21"/>
    <mergeCell ref="G23:H23"/>
    <mergeCell ref="G38:H38"/>
    <mergeCell ref="G25:H25"/>
    <mergeCell ref="G26:H26"/>
    <mergeCell ref="G27:H27"/>
    <mergeCell ref="G28:H28"/>
    <mergeCell ref="G29:H29"/>
    <mergeCell ref="G30:H30"/>
    <mergeCell ref="G31:H31"/>
    <mergeCell ref="G32:H32"/>
    <mergeCell ref="G34:H34"/>
    <mergeCell ref="G35:H35"/>
    <mergeCell ref="G37:H37"/>
    <mergeCell ref="G53:H53"/>
    <mergeCell ref="G39:H39"/>
    <mergeCell ref="G40:H40"/>
    <mergeCell ref="G41:H41"/>
    <mergeCell ref="G42:H42"/>
    <mergeCell ref="G43:H43"/>
    <mergeCell ref="G44:H44"/>
    <mergeCell ref="G47:H47"/>
    <mergeCell ref="G49:H49"/>
    <mergeCell ref="G50:H50"/>
    <mergeCell ref="G51:H51"/>
    <mergeCell ref="G52:H52"/>
    <mergeCell ref="G65:H65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77:H77"/>
    <mergeCell ref="G66:H66"/>
    <mergeCell ref="G67:H67"/>
    <mergeCell ref="G68:H68"/>
    <mergeCell ref="G69:H69"/>
    <mergeCell ref="G70:H70"/>
    <mergeCell ref="G71:H71"/>
    <mergeCell ref="G72:H72"/>
    <mergeCell ref="G73:H73"/>
    <mergeCell ref="G74:H74"/>
    <mergeCell ref="G75:H75"/>
    <mergeCell ref="G76:H76"/>
    <mergeCell ref="G91:H91"/>
    <mergeCell ref="G78:H78"/>
    <mergeCell ref="G79:H79"/>
    <mergeCell ref="G80:H80"/>
    <mergeCell ref="G81:H81"/>
    <mergeCell ref="G82:H82"/>
    <mergeCell ref="G83:H83"/>
    <mergeCell ref="G84:H84"/>
    <mergeCell ref="G86:H86"/>
    <mergeCell ref="G88:H88"/>
    <mergeCell ref="G89:H89"/>
    <mergeCell ref="G90:H90"/>
    <mergeCell ref="G103:H103"/>
    <mergeCell ref="G92:H92"/>
    <mergeCell ref="G93:H93"/>
    <mergeCell ref="G94:H94"/>
    <mergeCell ref="G95:H95"/>
    <mergeCell ref="G96:H96"/>
    <mergeCell ref="G97:H97"/>
    <mergeCell ref="G98:H98"/>
    <mergeCell ref="G99:H99"/>
    <mergeCell ref="G100:H100"/>
    <mergeCell ref="G101:H101"/>
    <mergeCell ref="G102:H102"/>
    <mergeCell ref="G114:H114"/>
    <mergeCell ref="G121:H121"/>
    <mergeCell ref="G104:H104"/>
    <mergeCell ref="G107:H107"/>
    <mergeCell ref="G109:H109"/>
    <mergeCell ref="G110:H110"/>
    <mergeCell ref="G111:H111"/>
    <mergeCell ref="G112:H112"/>
  </mergeCells>
  <conditionalFormatting sqref="I105:P105">
    <cfRule type="expression" dxfId="0" priority="1" stopIfTrue="1">
      <formula>ABS(I105)&gt;0.1</formula>
    </cfRule>
  </conditionalFormatting>
  <dataValidations count="2">
    <dataValidation type="list" allowBlank="1" showInputMessage="1" showErrorMessage="1" sqref="H8">
      <formula1>"tango_core_model:Report_LTP,tango_core_model:RP_LTP"</formula1>
    </dataValidation>
    <dataValidation type="list" allowBlank="1" showInputMessage="1" showErrorMessage="1" sqref="H15">
      <formula1>Language</formula1>
    </dataValidation>
  </dataValidations>
  <hyperlinks>
    <hyperlink ref="F16" location="'Operating Lease'!A1" display="'Operating Lease'!A1"/>
    <hyperlink ref="E16" location="'Operating Lease'!A1" display="'Operating Lease'!A1"/>
    <hyperlink ref="F15" location="Capex!A1" display="Capex"/>
    <hyperlink ref="E17" location="'Operating Lease'!A1" display="'Operating Lease'!A1"/>
    <hyperlink ref="F14" location="Context!A1" display="Context!A1"/>
    <hyperlink ref="G16" location="'Operating Lease'!A1" display="'Operating Lease'!A1"/>
    <hyperlink ref="G15" location="Capex!A1" display="Capex"/>
    <hyperlink ref="F17" location="'Operating Lease'!A1" display="'Operating Lease'!A1"/>
    <hyperlink ref="G14" location="Context!A1" display="Context!A1"/>
  </hyperlinks>
  <printOptions horizontalCentered="1"/>
  <pageMargins left="3.937007874015748E-2" right="3.937007874015748E-2" top="0.55118110236220474" bottom="0.55118110236220474" header="0.31496062992125984" footer="0.31496062992125984"/>
  <pageSetup paperSize="9" scale="29" orientation="portrait" r:id="rId1"/>
  <headerFooter scaleWithDoc="0">
    <oddFooter>&amp;L&amp;8&amp;D&amp;CConfidentiel  -  Direction Financière&amp;R&amp;8&amp;A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 tint="0.79998168889431442"/>
    <pageSetUpPr fitToPage="1"/>
  </sheetPr>
  <dimension ref="A1:AG85"/>
  <sheetViews>
    <sheetView showGridLines="0" topLeftCell="I11" zoomScale="80" zoomScaleNormal="80" zoomScaleSheetLayoutView="71" workbookViewId="0">
      <selection activeCell="J55" sqref="J55"/>
    </sheetView>
  </sheetViews>
  <sheetFormatPr baseColWidth="10" defaultRowHeight="20.100000000000001" customHeight="1" outlineLevelRow="1" outlineLevelCol="1"/>
  <cols>
    <col min="1" max="2" width="13.42578125" style="71" hidden="1" customWidth="1" outlineLevel="1"/>
    <col min="3" max="6" width="18.7109375" style="71" hidden="1" customWidth="1" outlineLevel="1"/>
    <col min="7" max="7" width="8.85546875" style="72" hidden="1" customWidth="1" outlineLevel="1"/>
    <col min="8" max="8" width="15.140625" style="71" hidden="1" customWidth="1" outlineLevel="1"/>
    <col min="9" max="9" width="8.42578125" style="71" customWidth="1" collapsed="1"/>
    <col min="10" max="10" width="23" style="73" customWidth="1"/>
    <col min="11" max="16" width="9.42578125" style="71" customWidth="1"/>
    <col min="17" max="17" width="11.42578125" style="71"/>
    <col min="18" max="18" width="2.42578125" style="71" customWidth="1"/>
    <col min="19" max="24" width="9.42578125" style="71" customWidth="1"/>
    <col min="25" max="25" width="11.42578125" style="71"/>
    <col min="26" max="26" width="5.7109375" style="71" customWidth="1"/>
    <col min="27" max="32" width="9.42578125" style="71" customWidth="1"/>
    <col min="33" max="16384" width="11.42578125" style="71"/>
  </cols>
  <sheetData>
    <row r="1" spans="2:33" ht="20.100000000000001" hidden="1" customHeight="1" outlineLevel="1">
      <c r="B1" s="116" t="s">
        <v>41</v>
      </c>
      <c r="C1" s="116"/>
      <c r="D1" s="116" t="str">
        <f ca="1">_xll.VIEW("tango_core_model:Rp_LTP",$D$3,$D$4,"!",$D$5,$D$2,"!",$F$15,"!")</f>
        <v>tango_core_model:Rp_LTP</v>
      </c>
      <c r="E1" s="116"/>
    </row>
    <row r="2" spans="2:33" ht="20.100000000000001" hidden="1" customHeight="1" outlineLevel="1">
      <c r="B2" s="116" t="s">
        <v>55</v>
      </c>
      <c r="C2" s="116"/>
      <c r="D2" s="116" t="str">
        <f ca="1">+Legal_organization</f>
        <v>TRANSDEV All</v>
      </c>
      <c r="E2" s="116"/>
      <c r="K2" s="71" t="str">
        <f ca="1">_xll.DBRW("tango_core_model:TC_LTP_Version_Annee_Ouverture",$F$15,K$3,"STR_VAR1")</f>
        <v>BUDGET</v>
      </c>
    </row>
    <row r="3" spans="2:33" ht="29.25" hidden="1" customHeight="1" outlineLevel="1">
      <c r="B3" s="116" t="s">
        <v>2</v>
      </c>
      <c r="C3" s="116"/>
      <c r="D3" s="116" t="s">
        <v>191</v>
      </c>
      <c r="E3" s="116"/>
      <c r="I3" s="2"/>
      <c r="J3" s="125">
        <f>N</f>
        <v>2023</v>
      </c>
      <c r="K3" s="125" t="str">
        <f>"F_year_"&amp;N</f>
        <v>F_year_2023</v>
      </c>
      <c r="L3" s="125" t="str">
        <f>"F_year_"&amp;N+1</f>
        <v>F_year_2024</v>
      </c>
      <c r="M3" s="125" t="str">
        <f>"F_year_"&amp;N+2</f>
        <v>F_year_2025</v>
      </c>
      <c r="N3" s="125" t="str">
        <f>"F_year_"&amp;N+3</f>
        <v>F_year_2026</v>
      </c>
      <c r="O3" s="125" t="str">
        <f>"F_year_"&amp;N+4</f>
        <v>F_year_2027</v>
      </c>
      <c r="P3" s="125" t="str">
        <f>"F_year_"&amp;N+5</f>
        <v>F_year_2028</v>
      </c>
      <c r="Q3" s="125" t="str">
        <f>"F_year_"&amp;N+6</f>
        <v>F_year_2029</v>
      </c>
      <c r="S3" s="125" t="str">
        <f>"F_year_"&amp;N</f>
        <v>F_year_2023</v>
      </c>
      <c r="T3" s="125" t="str">
        <f>"F_year_"&amp;N+1</f>
        <v>F_year_2024</v>
      </c>
      <c r="U3" s="125" t="str">
        <f>"F_year_"&amp;N+2</f>
        <v>F_year_2025</v>
      </c>
      <c r="V3" s="125" t="str">
        <f>"F_year_"&amp;N+3</f>
        <v>F_year_2026</v>
      </c>
      <c r="W3" s="125" t="str">
        <f>"F_year_"&amp;N+4</f>
        <v>F_year_2027</v>
      </c>
      <c r="X3" s="125" t="str">
        <f>"F_year_"&amp;N+5</f>
        <v>F_year_2028</v>
      </c>
      <c r="Y3" s="125" t="str">
        <f>"F_year_"&amp;N+6</f>
        <v>F_year_2029</v>
      </c>
      <c r="AA3" s="125" t="str">
        <f>"F_year_"&amp;N</f>
        <v>F_year_2023</v>
      </c>
      <c r="AB3" s="125" t="str">
        <f>"F_year_"&amp;N+1</f>
        <v>F_year_2024</v>
      </c>
      <c r="AC3" s="125" t="str">
        <f>"F_year_"&amp;N+2</f>
        <v>F_year_2025</v>
      </c>
      <c r="AD3" s="125" t="str">
        <f>"F_year_"&amp;N+3</f>
        <v>F_year_2026</v>
      </c>
      <c r="AE3" s="125" t="str">
        <f>"F_year_"&amp;N+4</f>
        <v>F_year_2027</v>
      </c>
      <c r="AF3" s="125" t="str">
        <f>"F_year_"&amp;N+5</f>
        <v>F_year_2028</v>
      </c>
      <c r="AG3" s="125" t="str">
        <f>"F_year_"&amp;N+6</f>
        <v>F_year_2029</v>
      </c>
    </row>
    <row r="4" spans="2:33" ht="20.100000000000001" hidden="1" customHeight="1" outlineLevel="1">
      <c r="B4" s="116" t="s">
        <v>0</v>
      </c>
      <c r="C4" s="116"/>
      <c r="D4" s="116" t="str">
        <f ca="1">_xll.SUBNM("tango_core_model:Currency","","MEUR")</f>
        <v>MEUR</v>
      </c>
      <c r="E4" s="116"/>
      <c r="H4" s="121" t="str">
        <f>Current_Version</f>
        <v>LTP_2023_VC</v>
      </c>
      <c r="I4" s="121"/>
      <c r="J4" s="121" t="s">
        <v>39</v>
      </c>
      <c r="K4" s="122">
        <f ca="1">_xll.DBRW("tango_core_model:ST_Currency",K$3,$H$4,Currency,"EUR",$J4)</f>
        <v>1</v>
      </c>
      <c r="L4" s="122">
        <f ca="1">_xll.DBRW("tango_core_model:ST_Currency",L$3,$H$4,Currency,"EUR",$J4)</f>
        <v>1</v>
      </c>
      <c r="M4" s="122">
        <f ca="1">_xll.DBRW("tango_core_model:ST_Currency",M$3,$H$4,Currency,"EUR",$J4)</f>
        <v>1</v>
      </c>
      <c r="N4" s="122">
        <f ca="1">_xll.DBRW("tango_core_model:ST_Currency",N$3,$H$4,Currency,"EUR",$J4)</f>
        <v>1</v>
      </c>
      <c r="O4" s="122">
        <f ca="1">_xll.DBRW("tango_core_model:ST_Currency",O$3,$H$4,Currency,"EUR",$J4)</f>
        <v>1</v>
      </c>
      <c r="P4" s="122">
        <f ca="1">_xll.DBRW("tango_core_model:ST_Currency",P$3,$H$4,Currency,"EUR",$J4)</f>
        <v>1</v>
      </c>
      <c r="Q4" s="122">
        <f ca="1">_xll.DBRW("tango_core_model:ST_Currency",Q$3,$H$4,Currency,"EUR",$J4)</f>
        <v>1</v>
      </c>
      <c r="S4" s="122">
        <f ca="1">_xll.DBRW("tango_core_model:ST_Currency",S$3,$H$4,Currency,"EUR",$J4)</f>
        <v>1</v>
      </c>
      <c r="T4" s="122">
        <f ca="1">_xll.DBRW("tango_core_model:ST_Currency",T$3,$H$4,Currency,"EUR",$J4)</f>
        <v>1</v>
      </c>
      <c r="U4" s="122">
        <f ca="1">_xll.DBRW("tango_core_model:ST_Currency",U$3,$H$4,Currency,"EUR",$J4)</f>
        <v>1</v>
      </c>
      <c r="V4" s="122">
        <f ca="1">_xll.DBRW("tango_core_model:ST_Currency",V$3,$H$4,Currency,"EUR",$J4)</f>
        <v>1</v>
      </c>
      <c r="W4" s="122">
        <f ca="1">_xll.DBRW("tango_core_model:ST_Currency",W$3,$H$4,Currency,"EUR",$J4)</f>
        <v>1</v>
      </c>
      <c r="X4" s="122">
        <f ca="1">_xll.DBRW("tango_core_model:ST_Currency",X$3,$H$4,Currency,"EUR",$J4)</f>
        <v>1</v>
      </c>
      <c r="Y4" s="122">
        <f ca="1">_xll.DBRW("tango_core_model:ST_Currency",Y$3,$H$4,Currency,"EUR",$J4)</f>
        <v>1</v>
      </c>
      <c r="AA4" s="122">
        <f ca="1">_xll.DBRW("tango_core_model:ST_Currency",AA$3,$H$4,Currency,"EUR",$J4)</f>
        <v>1</v>
      </c>
      <c r="AB4" s="122">
        <f ca="1">_xll.DBRW("tango_core_model:ST_Currency",AB$3,$H$4,Currency,"EUR",$J4)</f>
        <v>1</v>
      </c>
      <c r="AC4" s="122">
        <f ca="1">_xll.DBRW("tango_core_model:ST_Currency",AC$3,$H$4,Currency,"EUR",$J4)</f>
        <v>1</v>
      </c>
      <c r="AD4" s="122">
        <f ca="1">_xll.DBRW("tango_core_model:ST_Currency",AD$3,$H$4,Currency,"EUR",$J4)</f>
        <v>1</v>
      </c>
      <c r="AE4" s="122">
        <f ca="1">_xll.DBRW("tango_core_model:ST_Currency",AE$3,$H$4,Currency,"EUR",$J4)</f>
        <v>1</v>
      </c>
      <c r="AF4" s="122">
        <f ca="1">_xll.DBRW("tango_core_model:ST_Currency",AF$3,$H$4,Currency,"EUR",$J4)</f>
        <v>1</v>
      </c>
      <c r="AG4" s="122">
        <f ca="1">_xll.DBRW("tango_core_model:ST_Currency",AG$3,$H$4,Currency,"EUR",$J4)</f>
        <v>1</v>
      </c>
    </row>
    <row r="5" spans="2:33" ht="20.100000000000001" hidden="1" customHeight="1" outlineLevel="1">
      <c r="B5" s="408" t="s">
        <v>307</v>
      </c>
      <c r="C5" s="116"/>
      <c r="D5" s="116" t="str">
        <f ca="1">IF(MID(F28,5,4)&gt;"2020",_xll.SUBNM("tango_core_model:Weighting","","W_APP"),_xll.SUBNM("tango_core_model:Weighting","","W_NO_APP"))</f>
        <v>W_APP</v>
      </c>
      <c r="E5" s="116"/>
      <c r="H5" s="121"/>
      <c r="I5" s="121"/>
      <c r="J5" s="123" t="s">
        <v>40</v>
      </c>
      <c r="K5" s="124">
        <f ca="1">_xll.DBRW("tango_core_model:ST_Currency",K$3,$H$4,Currency,"EUR",$J5)</f>
        <v>1</v>
      </c>
      <c r="L5" s="124">
        <f ca="1">_xll.DBRW("tango_core_model:ST_Currency",L$3,$H$4,Currency,"EUR",$J5)</f>
        <v>1</v>
      </c>
      <c r="M5" s="124">
        <f ca="1">_xll.DBRW("tango_core_model:ST_Currency",M$3,$H$4,Currency,"EUR",$J5)</f>
        <v>1</v>
      </c>
      <c r="N5" s="124">
        <f ca="1">_xll.DBRW("tango_core_model:ST_Currency",N$3,$H$4,Currency,"EUR",$J5)</f>
        <v>1</v>
      </c>
      <c r="O5" s="124">
        <f ca="1">_xll.DBRW("tango_core_model:ST_Currency",O$3,$H$4,Currency,"EUR",$J5)</f>
        <v>1</v>
      </c>
      <c r="P5" s="124">
        <f ca="1">_xll.DBRW("tango_core_model:ST_Currency",P$3,$H$4,Currency,"EUR",$J5)</f>
        <v>1</v>
      </c>
      <c r="Q5" s="124">
        <f ca="1">_xll.DBRW("tango_core_model:ST_Currency",Q$3,$H$4,Currency,"EUR",$J5)</f>
        <v>1</v>
      </c>
      <c r="S5" s="124">
        <f ca="1">_xll.DBRW("tango_core_model:ST_Currency",S$3,$H$4,Currency,"EUR",$J5)</f>
        <v>1</v>
      </c>
      <c r="T5" s="124">
        <f ca="1">_xll.DBRW("tango_core_model:ST_Currency",T$3,$H$4,Currency,"EUR",$J5)</f>
        <v>1</v>
      </c>
      <c r="U5" s="124">
        <f ca="1">_xll.DBRW("tango_core_model:ST_Currency",U$3,$H$4,Currency,"EUR",$J5)</f>
        <v>1</v>
      </c>
      <c r="V5" s="124">
        <f ca="1">_xll.DBRW("tango_core_model:ST_Currency",V$3,$H$4,Currency,"EUR",$J5)</f>
        <v>1</v>
      </c>
      <c r="W5" s="124">
        <f ca="1">_xll.DBRW("tango_core_model:ST_Currency",W$3,$H$4,Currency,"EUR",$J5)</f>
        <v>1</v>
      </c>
      <c r="X5" s="124">
        <f ca="1">_xll.DBRW("tango_core_model:ST_Currency",X$3,$H$4,Currency,"EUR",$J5)</f>
        <v>1</v>
      </c>
      <c r="Y5" s="124">
        <f ca="1">_xll.DBRW("tango_core_model:ST_Currency",Y$3,$H$4,Currency,"EUR",$J5)</f>
        <v>1</v>
      </c>
      <c r="AA5" s="124">
        <f ca="1">_xll.DBRW("tango_core_model:ST_Currency",AA$3,$H$4,Currency,"EUR",$J5)</f>
        <v>1</v>
      </c>
      <c r="AB5" s="124">
        <f ca="1">_xll.DBRW("tango_core_model:ST_Currency",AB$3,$H$4,Currency,"EUR",$J5)</f>
        <v>1</v>
      </c>
      <c r="AC5" s="124">
        <f ca="1">_xll.DBRW("tango_core_model:ST_Currency",AC$3,$H$4,Currency,"EUR",$J5)</f>
        <v>1</v>
      </c>
      <c r="AD5" s="124">
        <f ca="1">_xll.DBRW("tango_core_model:ST_Currency",AD$3,$H$4,Currency,"EUR",$J5)</f>
        <v>1</v>
      </c>
      <c r="AE5" s="124">
        <f ca="1">_xll.DBRW("tango_core_model:ST_Currency",AE$3,$H$4,Currency,"EUR",$J5)</f>
        <v>1</v>
      </c>
      <c r="AF5" s="124">
        <f ca="1">_xll.DBRW("tango_core_model:ST_Currency",AF$3,$H$4,Currency,"EUR",$J5)</f>
        <v>1</v>
      </c>
      <c r="AG5" s="124">
        <f ca="1">_xll.DBRW("tango_core_model:ST_Currency",AG$3,$H$4,Currency,"EUR",$J5)</f>
        <v>1</v>
      </c>
    </row>
    <row r="6" spans="2:33" ht="20.100000000000001" hidden="1" customHeight="1" outlineLevel="1">
      <c r="B6" s="408" t="s">
        <v>308</v>
      </c>
      <c r="C6" s="116"/>
      <c r="D6" s="116" t="str">
        <f ca="1">IF(MID(F15,5,4)&gt;"2020",_xll.SUBNM("tango_core_model:Weighting","","W_APP"),_xll.SUBNM("tango_core_model:Weighting","","W_NO_APP"))</f>
        <v>W_APP</v>
      </c>
      <c r="H6" s="117" t="str">
        <f>LEFT(LY_Version,11)</f>
        <v>LTP_2022_V6</v>
      </c>
      <c r="I6" s="117"/>
      <c r="J6" s="117" t="s">
        <v>39</v>
      </c>
      <c r="K6" s="118">
        <f ca="1">_xll.DBRW("tango_core_model:ST_Currency",K$3,$H$6,Currency,"EUR",$J6)</f>
        <v>1</v>
      </c>
      <c r="L6" s="118">
        <f ca="1">_xll.DBRW("tango_core_model:ST_Currency",L$3,$H$6,Currency,"EUR",$J6)</f>
        <v>1</v>
      </c>
      <c r="M6" s="118">
        <f ca="1">_xll.DBRW("tango_core_model:ST_Currency",M$3,$H$6,Currency,"EUR",$J6)</f>
        <v>1</v>
      </c>
      <c r="N6" s="118">
        <f ca="1">_xll.DBRW("tango_core_model:ST_Currency",N$3,$H$6,Currency,"EUR",$J6)</f>
        <v>1</v>
      </c>
      <c r="O6" s="118">
        <f ca="1">_xll.DBRW("tango_core_model:ST_Currency",O$3,$H$6,Currency,"EUR",$J6)</f>
        <v>1</v>
      </c>
      <c r="P6" s="118">
        <f ca="1">_xll.DBRW("tango_core_model:ST_Currency",P$3,$H$6,Currency,"EUR",$J6)</f>
        <v>1</v>
      </c>
      <c r="Q6" s="118">
        <f ca="1">_xll.DBRW("tango_core_model:ST_Currency",Q$3,$H$6,Currency,"EUR",$J6)</f>
        <v>1</v>
      </c>
      <c r="S6" s="118">
        <f ca="1">_xll.DBRW("tango_core_model:ST_Currency",S$3,$H$6,Currency,"EUR",$J6)</f>
        <v>1</v>
      </c>
      <c r="T6" s="118">
        <f ca="1">_xll.DBRW("tango_core_model:ST_Currency",T$3,$H$6,Currency,"EUR",$J6)</f>
        <v>1</v>
      </c>
      <c r="U6" s="118">
        <f ca="1">_xll.DBRW("tango_core_model:ST_Currency",U$3,$H$6,Currency,"EUR",$J6)</f>
        <v>1</v>
      </c>
      <c r="V6" s="118">
        <f ca="1">_xll.DBRW("tango_core_model:ST_Currency",V$3,$H$6,Currency,"EUR",$J6)</f>
        <v>1</v>
      </c>
      <c r="W6" s="118">
        <f ca="1">_xll.DBRW("tango_core_model:ST_Currency",W$3,$H$6,Currency,"EUR",$J6)</f>
        <v>1</v>
      </c>
      <c r="X6" s="118">
        <f ca="1">_xll.DBRW("tango_core_model:ST_Currency",X$3,$H$6,Currency,"EUR",$J6)</f>
        <v>1</v>
      </c>
      <c r="Y6" s="118">
        <f ca="1">_xll.DBRW("tango_core_model:ST_Currency",Y$3,$H$6,Currency,"EUR",$J6)</f>
        <v>1</v>
      </c>
      <c r="AA6" s="118">
        <f ca="1">_xll.DBRW("tango_core_model:ST_Currency",AA$3,$H$6,Currency,"EUR",$J6)</f>
        <v>1</v>
      </c>
      <c r="AB6" s="118">
        <f ca="1">_xll.DBRW("tango_core_model:ST_Currency",AB$3,$H$6,Currency,"EUR",$J6)</f>
        <v>1</v>
      </c>
      <c r="AC6" s="118">
        <f ca="1">_xll.DBRW("tango_core_model:ST_Currency",AC$3,$H$6,Currency,"EUR",$J6)</f>
        <v>1</v>
      </c>
      <c r="AD6" s="118">
        <f ca="1">_xll.DBRW("tango_core_model:ST_Currency",AD$3,$H$6,Currency,"EUR",$J6)</f>
        <v>1</v>
      </c>
      <c r="AE6" s="118">
        <f ca="1">_xll.DBRW("tango_core_model:ST_Currency",AE$3,$H$6,Currency,"EUR",$J6)</f>
        <v>1</v>
      </c>
      <c r="AF6" s="118">
        <f ca="1">_xll.DBRW("tango_core_model:ST_Currency",AF$3,$H$6,Currency,"EUR",$J6)</f>
        <v>1</v>
      </c>
      <c r="AG6" s="118">
        <f ca="1">_xll.DBRW("tango_core_model:ST_Currency",AG$3,$H$6,Currency,"EUR",$J6)</f>
        <v>1</v>
      </c>
    </row>
    <row r="7" spans="2:33" ht="20.100000000000001" hidden="1" customHeight="1" outlineLevel="1">
      <c r="H7" s="117"/>
      <c r="I7" s="117"/>
      <c r="J7" s="119" t="s">
        <v>40</v>
      </c>
      <c r="K7" s="120">
        <f ca="1">_xll.DBRW("tango_core_model:ST_Currency",K$3,$H$6,Currency,"EUR",$J7)</f>
        <v>1</v>
      </c>
      <c r="L7" s="120">
        <f ca="1">_xll.DBRW("tango_core_model:ST_Currency",L$3,$H$6,Currency,"EUR",$J7)</f>
        <v>1</v>
      </c>
      <c r="M7" s="120">
        <f ca="1">_xll.DBRW("tango_core_model:ST_Currency",M$3,$H$6,Currency,"EUR",$J7)</f>
        <v>1</v>
      </c>
      <c r="N7" s="120">
        <f ca="1">_xll.DBRW("tango_core_model:ST_Currency",N$3,$H$6,Currency,"EUR",$J7)</f>
        <v>1</v>
      </c>
      <c r="O7" s="120">
        <f ca="1">_xll.DBRW("tango_core_model:ST_Currency",O$3,$H$6,Currency,"EUR",$J7)</f>
        <v>1</v>
      </c>
      <c r="P7" s="120">
        <f ca="1">_xll.DBRW("tango_core_model:ST_Currency",P$3,$H$6,Currency,"EUR",$J7)</f>
        <v>1</v>
      </c>
      <c r="Q7" s="120">
        <f ca="1">_xll.DBRW("tango_core_model:ST_Currency",Q$3,$H$6,Currency,"EUR",$J7)</f>
        <v>1</v>
      </c>
      <c r="S7" s="120">
        <f ca="1">_xll.DBRW("tango_core_model:ST_Currency",S$3,$H$6,Currency,"EUR",$J7)</f>
        <v>1</v>
      </c>
      <c r="T7" s="120">
        <f ca="1">_xll.DBRW("tango_core_model:ST_Currency",T$3,$H$6,Currency,"EUR",$J7)</f>
        <v>1</v>
      </c>
      <c r="U7" s="120">
        <f ca="1">_xll.DBRW("tango_core_model:ST_Currency",U$3,$H$6,Currency,"EUR",$J7)</f>
        <v>1</v>
      </c>
      <c r="V7" s="120">
        <f ca="1">_xll.DBRW("tango_core_model:ST_Currency",V$3,$H$6,Currency,"EUR",$J7)</f>
        <v>1</v>
      </c>
      <c r="W7" s="120">
        <f ca="1">_xll.DBRW("tango_core_model:ST_Currency",W$3,$H$6,Currency,"EUR",$J7)</f>
        <v>1</v>
      </c>
      <c r="X7" s="120">
        <f ca="1">_xll.DBRW("tango_core_model:ST_Currency",X$3,$H$6,Currency,"EUR",$J7)</f>
        <v>1</v>
      </c>
      <c r="Y7" s="120">
        <f ca="1">_xll.DBRW("tango_core_model:ST_Currency",Y$3,$H$6,Currency,"EUR",$J7)</f>
        <v>1</v>
      </c>
      <c r="AA7" s="120">
        <f ca="1">_xll.DBRW("tango_core_model:ST_Currency",AA$3,$H$6,Currency,"EUR",$J7)</f>
        <v>1</v>
      </c>
      <c r="AB7" s="120">
        <f ca="1">_xll.DBRW("tango_core_model:ST_Currency",AB$3,$H$6,Currency,"EUR",$J7)</f>
        <v>1</v>
      </c>
      <c r="AC7" s="120">
        <f ca="1">_xll.DBRW("tango_core_model:ST_Currency",AC$3,$H$6,Currency,"EUR",$J7)</f>
        <v>1</v>
      </c>
      <c r="AD7" s="120">
        <f ca="1">_xll.DBRW("tango_core_model:ST_Currency",AD$3,$H$6,Currency,"EUR",$J7)</f>
        <v>1</v>
      </c>
      <c r="AE7" s="120">
        <f ca="1">_xll.DBRW("tango_core_model:ST_Currency",AE$3,$H$6,Currency,"EUR",$J7)</f>
        <v>1</v>
      </c>
      <c r="AF7" s="120">
        <f ca="1">_xll.DBRW("tango_core_model:ST_Currency",AF$3,$H$6,Currency,"EUR",$J7)</f>
        <v>1</v>
      </c>
      <c r="AG7" s="120">
        <f ca="1">_xll.DBRW("tango_core_model:ST_Currency",AG$3,$H$6,Currency,"EUR",$J7)</f>
        <v>1</v>
      </c>
    </row>
    <row r="8" spans="2:33" ht="20.100000000000001" hidden="1" customHeight="1" outlineLevel="1"/>
    <row r="9" spans="2:33" ht="20.100000000000001" hidden="1" customHeight="1" outlineLevel="1"/>
    <row r="10" spans="2:33" ht="20.100000000000001" hidden="1" customHeight="1" outlineLevel="1">
      <c r="E10" s="72"/>
      <c r="F10" s="72"/>
    </row>
    <row r="11" spans="2:33" s="72" customFormat="1" ht="27" customHeight="1" collapsed="1">
      <c r="I11" s="232" t="str">
        <f ca="1">+Legal_organization</f>
        <v>TRANSDEV All</v>
      </c>
      <c r="J11" s="232"/>
      <c r="K11" s="232"/>
      <c r="L11" s="233"/>
      <c r="M11" s="233"/>
      <c r="N11" s="233"/>
      <c r="O11" s="233"/>
      <c r="P11" s="233"/>
      <c r="Q11" s="234" t="str">
        <f ca="1">_xll.SUBNM("tango_core_model:LTP_components","","LTP")</f>
        <v>LTP</v>
      </c>
      <c r="S11" s="232"/>
      <c r="T11" s="233"/>
      <c r="U11" s="233"/>
      <c r="V11" s="233"/>
      <c r="W11" s="233"/>
      <c r="X11" s="233"/>
      <c r="Y11" s="234" t="str">
        <f ca="1">_xll.SUBNM("tango_core_model:LTP_components","","ZGP&amp;DispCountry_Plans")</f>
        <v>ZGP&amp;DispCountry_Plans</v>
      </c>
      <c r="AA11" s="232"/>
      <c r="AB11" s="233"/>
      <c r="AC11" s="233"/>
      <c r="AD11" s="233"/>
      <c r="AE11" s="233"/>
      <c r="AF11" s="233"/>
      <c r="AG11" s="234" t="str">
        <f ca="1">_xll.SUBNM("tango_core_model:LTP_components","","Growth_Plan")</f>
        <v>Growth_Plan</v>
      </c>
    </row>
    <row r="12" spans="2:33" ht="4.5" customHeight="1">
      <c r="E12" s="72"/>
      <c r="F12" s="72"/>
    </row>
    <row r="13" spans="2:33" ht="20.100000000000001" customHeight="1">
      <c r="E13" s="72"/>
      <c r="F13" s="72"/>
      <c r="I13" s="75" t="str">
        <f>+"LONG TERM PLAN COMPARISON - "&amp;N&amp;" vs "&amp;N-1</f>
        <v>LONG TERM PLAN COMPARISON - 2023 vs 2022</v>
      </c>
    </row>
    <row r="14" spans="2:33" ht="6" customHeight="1">
      <c r="G14" s="76"/>
      <c r="H14" s="77"/>
    </row>
    <row r="15" spans="2:33" ht="28.5" customHeight="1">
      <c r="F15" s="78" t="str">
        <f>LY_Version</f>
        <v>LTP_2022_V6</v>
      </c>
      <c r="G15" s="76"/>
      <c r="H15" s="79"/>
      <c r="I15" s="477" t="str">
        <f>"LTP "&amp;N-1</f>
        <v>LTP 2022</v>
      </c>
      <c r="J15" s="228" t="str">
        <f>"M"&amp;Currency</f>
        <v>MEUR</v>
      </c>
      <c r="K15" s="229" t="str">
        <f ca="1">_xll.DBRW("tango_core_model:TC_LTP_Version_Annee_Ouverture",$F$15,K$3,"STR_VAR1")&amp;" "&amp;RIGHT(K3,4)</f>
        <v>BUDGET 2023</v>
      </c>
      <c r="L15" s="229" t="str">
        <f ca="1">_xll.DBRW("tango_core_model:TC_LTP_Version_Annee_Ouverture",$F$15,L$3,"STR_VAR1")&amp;" "&amp;RIGHT(L3,4)</f>
        <v>LTP 2024</v>
      </c>
      <c r="M15" s="229" t="str">
        <f ca="1">_xll.DBRW("tango_core_model:TC_LTP_Version_Annee_Ouverture",$F$15,M$3,"STR_VAR1")&amp;" "&amp;RIGHT(M3,4)</f>
        <v>LTP 2025</v>
      </c>
      <c r="N15" s="229" t="str">
        <f ca="1">_xll.DBRW("tango_core_model:TC_LTP_Version_Annee_Ouverture",$F$15,N$3,"STR_VAR1")&amp;" "&amp;RIGHT(N3,4)</f>
        <v>LTP 2026</v>
      </c>
      <c r="O15" s="229" t="str">
        <f ca="1">_xll.DBRW("tango_core_model:TC_LTP_Version_Annee_Ouverture",$F$15,O$3,"STR_VAR1")&amp;" "&amp;RIGHT(O3,4)</f>
        <v>LTP 2027</v>
      </c>
      <c r="P15" s="229" t="str">
        <f ca="1">_xll.DBRW("tango_core_model:TC_LTP_Version_Annee_Ouverture",$F$15,P$3,"STR_VAR1")&amp;" "&amp;RIGHT(P3,4)</f>
        <v>LTP 2028</v>
      </c>
      <c r="Q15" s="229" t="str">
        <f ca="1">_xll.DBRW("tango_core_model:TC_LTP_Version_Annee_Ouverture",$F$15,Q$3,"STR_VAR1")&amp;" "&amp;RIGHT(Q3,4)</f>
        <v xml:space="preserve"> 2029</v>
      </c>
      <c r="R15" s="80"/>
      <c r="S15" s="229" t="str">
        <f ca="1">_xll.DBRW("tango_core_model:TC_LTP_Version_Annee_Ouverture",$F$15,S$3,"STR_VAR1")&amp;" "&amp;RIGHT(S3,4)</f>
        <v>BUDGET 2023</v>
      </c>
      <c r="T15" s="229" t="str">
        <f ca="1">_xll.DBRW("tango_core_model:TC_LTP_Version_Annee_Ouverture",$F$15,T$3,"STR_VAR1")&amp;" "&amp;RIGHT(T3,4)</f>
        <v>LTP 2024</v>
      </c>
      <c r="U15" s="229" t="str">
        <f ca="1">_xll.DBRW("tango_core_model:TC_LTP_Version_Annee_Ouverture",$F$15,U$3,"STR_VAR1")&amp;" "&amp;RIGHT(U3,4)</f>
        <v>LTP 2025</v>
      </c>
      <c r="V15" s="229" t="str">
        <f ca="1">_xll.DBRW("tango_core_model:TC_LTP_Version_Annee_Ouverture",$F$15,V$3,"STR_VAR1")&amp;" "&amp;RIGHT(V3,4)</f>
        <v>LTP 2026</v>
      </c>
      <c r="W15" s="229" t="str">
        <f ca="1">_xll.DBRW("tango_core_model:TC_LTP_Version_Annee_Ouverture",$F$15,W$3,"STR_VAR1")&amp;" "&amp;RIGHT(W3,4)</f>
        <v>LTP 2027</v>
      </c>
      <c r="X15" s="229" t="str">
        <f ca="1">_xll.DBRW("tango_core_model:TC_LTP_Version_Annee_Ouverture",$F$15,X$3,"STR_VAR1")&amp;" "&amp;RIGHT(X3,4)</f>
        <v>LTP 2028</v>
      </c>
      <c r="Y15" s="229" t="str">
        <f ca="1">_xll.DBRW("tango_core_model:TC_LTP_Version_Annee_Ouverture",$F$15,Y$3,"STR_VAR1")&amp;" "&amp;RIGHT(Y3,4)</f>
        <v xml:space="preserve"> 2029</v>
      </c>
      <c r="Z15" s="80"/>
      <c r="AA15" s="229" t="str">
        <f ca="1">_xll.DBRW("tango_core_model:TC_LTP_Version_Annee_Ouverture",$F$15,AA$3,"STR_VAR1")&amp;" "&amp;RIGHT(AA3,4)</f>
        <v>BUDGET 2023</v>
      </c>
      <c r="AB15" s="229" t="str">
        <f ca="1">_xll.DBRW("tango_core_model:TC_LTP_Version_Annee_Ouverture",$F$15,AB$3,"STR_VAR1")&amp;" "&amp;RIGHT(AB3,4)</f>
        <v>LTP 2024</v>
      </c>
      <c r="AC15" s="229" t="str">
        <f ca="1">_xll.DBRW("tango_core_model:TC_LTP_Version_Annee_Ouverture",$F$15,AC$3,"STR_VAR1")&amp;" "&amp;RIGHT(AC3,4)</f>
        <v>LTP 2025</v>
      </c>
      <c r="AD15" s="229" t="str">
        <f ca="1">_xll.DBRW("tango_core_model:TC_LTP_Version_Annee_Ouverture",$F$15,AD$3,"STR_VAR1")&amp;" "&amp;RIGHT(AD3,4)</f>
        <v>LTP 2026</v>
      </c>
      <c r="AE15" s="229" t="str">
        <f ca="1">_xll.DBRW("tango_core_model:TC_LTP_Version_Annee_Ouverture",$F$15,AE$3,"STR_VAR1")&amp;" "&amp;RIGHT(AE3,4)</f>
        <v>LTP 2027</v>
      </c>
      <c r="AF15" s="229" t="str">
        <f ca="1">_xll.DBRW("tango_core_model:TC_LTP_Version_Annee_Ouverture",$F$15,AF$3,"STR_VAR1")&amp;" "&amp;RIGHT(AF3,4)</f>
        <v>LTP 2028</v>
      </c>
      <c r="AG15" s="229" t="str">
        <f ca="1">_xll.DBRW("tango_core_model:TC_LTP_Version_Annee_Ouverture",$F$15,AG$3,"STR_VAR1")&amp;" "&amp;RIGHT(AG3,4)</f>
        <v xml:space="preserve"> 2029</v>
      </c>
    </row>
    <row r="16" spans="2:33" ht="15">
      <c r="B16" s="74" t="str">
        <f t="shared" ref="B16:B24" ca="1" si="0">+$Q$11</f>
        <v>LTP</v>
      </c>
      <c r="D16" s="74"/>
      <c r="E16" s="74"/>
      <c r="F16" s="74" t="s">
        <v>17</v>
      </c>
      <c r="G16" s="81"/>
      <c r="H16" s="79"/>
      <c r="I16" s="477"/>
      <c r="J16" s="74" t="s">
        <v>82</v>
      </c>
      <c r="K16" s="87">
        <f ca="1">_xll.DBRW($D$1,$D$3,$D$4,$Q$11,$D$6,$D$2,K$3,$F$15,$F16)*K$7</f>
        <v>9336.3567091770001</v>
      </c>
      <c r="L16" s="87">
        <f ca="1">_xll.DBRW($D$1,$D$3,$D$4,$Q$11,$D$6,$D$2,L$3,$F$15,$F16)*L$7</f>
        <v>10007.033025344426</v>
      </c>
      <c r="M16" s="87">
        <f ca="1">_xll.DBRW($D$1,$D$3,$D$4,$Q$11,$D$6,$D$2,M$3,$F$15,$F16)*M$7</f>
        <v>10565.535610686065</v>
      </c>
      <c r="N16" s="87">
        <f ca="1">_xll.DBRW($D$1,$D$3,$D$4,$Q$11,$D$6,$D$2,N$3,$F$15,$F16)*N$7</f>
        <v>11087.858940855507</v>
      </c>
      <c r="O16" s="87">
        <f ca="1">_xll.DBRW($D$1,$D$3,$D$4,$Q$11,$D$6,$D$2,O$3,$F$15,$F16)*O$7</f>
        <v>11489.43699757781</v>
      </c>
      <c r="P16" s="87">
        <f ca="1">_xll.DBRW($D$1,$D$3,$D$4,$Q$11,$D$6,$D$2,P$3,$F$15,$F16)*P$7</f>
        <v>11890.13256652376</v>
      </c>
      <c r="Q16" s="87" t="s">
        <v>56</v>
      </c>
      <c r="R16" s="87"/>
      <c r="S16" s="87">
        <f ca="1">_xll.DBRW($D$1,$D$3,$D$4,$Y$11,$D$6,$D$2,S$3,$F$15,$F16)*S$7</f>
        <v>8317.7889792469996</v>
      </c>
      <c r="T16" s="87">
        <f ca="1">_xll.DBRW($D$1,$D$3,$D$4,$Y$11,$D$6,$D$2,T$3,$F$15,$F16)*T$7</f>
        <v>8082.0153481580792</v>
      </c>
      <c r="U16" s="87">
        <f ca="1">_xll.DBRW($D$1,$D$3,$D$4,$Y$11,$D$6,$D$2,U$3,$F$15,$F16)*U$7</f>
        <v>8089.6996558471737</v>
      </c>
      <c r="V16" s="87">
        <f ca="1">_xll.DBRW($D$1,$D$3,$D$4,$Y$11,$D$6,$D$2,V$3,$F$15,$F16)*V$7</f>
        <v>8096.3655919892353</v>
      </c>
      <c r="W16" s="87">
        <f ca="1">_xll.DBRW($D$1,$D$3,$D$4,$Y$11,$D$6,$D$2,W$3,$F$15,$F16)*W$7</f>
        <v>8028.1069206438433</v>
      </c>
      <c r="X16" s="87">
        <f ca="1">_xll.DBRW($D$1,$D$3,$D$4,$Y$11,$D$6,$D$2,X$3,$F$15,$F16)*X$7</f>
        <v>8108.254555161775</v>
      </c>
      <c r="Y16" s="87" t="s">
        <v>56</v>
      </c>
      <c r="Z16" s="87"/>
      <c r="AA16" s="87">
        <f ca="1">_xll.DBRW($D$1,$D$3,$D$4,$AG$11,$D$6,$D$2,AA$3,$F$15,$F16)*AA$7</f>
        <v>1018.56772993</v>
      </c>
      <c r="AB16" s="87">
        <f ca="1">_xll.DBRW($D$1,$D$3,$D$4,$AG$11,$D$6,$D$2,AB$3,$F$15,$F16)*AB$7</f>
        <v>1925.0176771863478</v>
      </c>
      <c r="AC16" s="87">
        <f ca="1">_xll.DBRW($D$1,$D$3,$D$4,$AG$11,$D$6,$D$2,AC$3,$F$15,$F16)*AC$7</f>
        <v>2475.8359548388935</v>
      </c>
      <c r="AD16" s="87">
        <f ca="1">_xll.DBRW($D$1,$D$3,$D$4,$AG$11,$D$6,$D$2,AD$3,$F$15,$F16)*AD$7</f>
        <v>2991.4933488662746</v>
      </c>
      <c r="AE16" s="87">
        <f ca="1">_xll.DBRW($D$1,$D$3,$D$4,$AG$11,$D$6,$D$2,AE$3,$F$15,$F16)*AE$7</f>
        <v>3461.3300769339662</v>
      </c>
      <c r="AF16" s="87">
        <f ca="1">_xll.DBRW($D$1,$D$3,$D$4,$AG$11,$D$6,$D$2,AF$3,$F$15,$F16)*AF$7</f>
        <v>3781.8780113619841</v>
      </c>
      <c r="AG16" s="87" t="s">
        <v>56</v>
      </c>
    </row>
    <row r="17" spans="2:33" ht="15">
      <c r="B17" s="74" t="str">
        <f t="shared" ca="1" si="0"/>
        <v>LTP</v>
      </c>
      <c r="C17" s="74"/>
      <c r="D17" s="74"/>
      <c r="E17" s="74"/>
      <c r="F17" s="74" t="s">
        <v>197</v>
      </c>
      <c r="G17" s="81"/>
      <c r="H17" s="79"/>
      <c r="I17" s="477"/>
      <c r="J17" s="74" t="s">
        <v>62</v>
      </c>
      <c r="K17" s="87">
        <f ca="1">_xll.DBRW($D$1,$D$3,$D$4,$Q$11,$D$6,$D$2,K$3,$F$15,$F17)*K$7</f>
        <v>562.52262646500196</v>
      </c>
      <c r="L17" s="87">
        <f ca="1">_xll.DBRW($D$1,$D$3,$D$4,$Q$11,$D$6,$D$2,L$3,$F$15,$F17)*L$7</f>
        <v>668.30367387082219</v>
      </c>
      <c r="M17" s="87">
        <f ca="1">_xll.DBRW($D$1,$D$3,$D$4,$Q$11,$D$6,$D$2,M$3,$F$15,$F17)*M$7</f>
        <v>778.91206281664427</v>
      </c>
      <c r="N17" s="87">
        <f ca="1">_xll.DBRW($D$1,$D$3,$D$4,$Q$11,$D$6,$D$2,N$3,$F$15,$F17)*N$7</f>
        <v>894.61140201473427</v>
      </c>
      <c r="O17" s="87">
        <f ca="1">_xll.DBRW($D$1,$D$3,$D$4,$Q$11,$D$6,$D$2,O$3,$F$15,$F17)*O$7</f>
        <v>974.81142007699373</v>
      </c>
      <c r="P17" s="87">
        <f ca="1">_xll.DBRW($D$1,$D$3,$D$4,$Q$11,$D$6,$D$2,P$3,$F$15,$F17)*P$7</f>
        <v>1024.9100446380048</v>
      </c>
      <c r="Q17" s="87" t="s">
        <v>56</v>
      </c>
      <c r="R17" s="87"/>
      <c r="S17" s="87">
        <f ca="1">_xll.DBRW($D$1,$D$3,$D$4,$Y$11,$D$6,$D$2,S$3,$F$15,$F17)*S$7</f>
        <v>554.80118850500185</v>
      </c>
      <c r="T17" s="87">
        <f ca="1">_xll.DBRW($D$1,$D$3,$D$4,$Y$11,$D$6,$D$2,T$3,$F$15,$F17)*T$7</f>
        <v>585.01196235861414</v>
      </c>
      <c r="U17" s="87">
        <f ca="1">_xll.DBRW($D$1,$D$3,$D$4,$Y$11,$D$6,$D$2,U$3,$F$15,$F17)*U$7</f>
        <v>621.50291509785143</v>
      </c>
      <c r="V17" s="87">
        <f ca="1">_xll.DBRW($D$1,$D$3,$D$4,$Y$11,$D$6,$D$2,V$3,$F$15,$F17)*V$7</f>
        <v>650.07580496242417</v>
      </c>
      <c r="W17" s="87">
        <f ca="1">_xll.DBRW($D$1,$D$3,$D$4,$Y$11,$D$6,$D$2,W$3,$F$15,$F17)*W$7</f>
        <v>658.94621426882884</v>
      </c>
      <c r="X17" s="87">
        <f ca="1">_xll.DBRW($D$1,$D$3,$D$4,$Y$11,$D$6,$D$2,X$3,$F$15,$F17)*X$7</f>
        <v>662.02030021855376</v>
      </c>
      <c r="Y17" s="87" t="s">
        <v>56</v>
      </c>
      <c r="Z17" s="87"/>
      <c r="AA17" s="87">
        <f ca="1">_xll.DBRW($D$1,$D$3,$D$4,$AG$11,$D$6,$D$2,AA$3,$F$15,$F17)*AA$7</f>
        <v>7.7214379600001166</v>
      </c>
      <c r="AB17" s="87">
        <f ca="1">_xll.DBRW($D$1,$D$3,$D$4,$AG$11,$D$6,$D$2,AB$3,$F$15,$F17)*AB$7</f>
        <v>83.291711512208394</v>
      </c>
      <c r="AC17" s="87">
        <f ca="1">_xll.DBRW($D$1,$D$3,$D$4,$AG$11,$D$6,$D$2,AC$3,$F$15,$F17)*AC$7</f>
        <v>157.40914771879284</v>
      </c>
      <c r="AD17" s="87">
        <f ca="1">_xll.DBRW($D$1,$D$3,$D$4,$AG$11,$D$6,$D$2,AD$3,$F$15,$F17)*AD$7</f>
        <v>244.53559705230987</v>
      </c>
      <c r="AE17" s="87">
        <f ca="1">_xll.DBRW($D$1,$D$3,$D$4,$AG$11,$D$6,$D$2,AE$3,$F$15,$F17)*AE$7</f>
        <v>315.86520580816477</v>
      </c>
      <c r="AF17" s="87">
        <f ca="1">_xll.DBRW($D$1,$D$3,$D$4,$AG$11,$D$6,$D$2,AF$3,$F$15,$F17)*AF$7</f>
        <v>362.88974441945106</v>
      </c>
      <c r="AG17" s="87" t="s">
        <v>56</v>
      </c>
    </row>
    <row r="18" spans="2:33" ht="15">
      <c r="B18" s="74" t="str">
        <f t="shared" ca="1" si="0"/>
        <v>LTP</v>
      </c>
      <c r="C18" s="74"/>
      <c r="D18" s="74"/>
      <c r="E18" s="74"/>
      <c r="F18" s="74" t="s">
        <v>192</v>
      </c>
      <c r="G18" s="81"/>
      <c r="H18" s="79"/>
      <c r="I18" s="477"/>
      <c r="J18" s="74" t="s">
        <v>205</v>
      </c>
      <c r="K18" s="87">
        <f ca="1">_xll.DBRW($D$1,$D$3,$D$4,$Q$11,$D$6,$D$2,K$3,$F$15,$F18)*K$7</f>
        <v>93.59423434200184</v>
      </c>
      <c r="L18" s="87">
        <f ca="1">_xll.DBRW($D$1,$D$3,$D$4,$Q$11,$D$6,$D$2,L$3,$F$15,$F18)*L$7</f>
        <v>170.00142337080277</v>
      </c>
      <c r="M18" s="87">
        <f ca="1">_xll.DBRW($D$1,$D$3,$D$4,$Q$11,$D$6,$D$2,M$3,$F$15,$F18)*M$7</f>
        <v>240.6413909634108</v>
      </c>
      <c r="N18" s="87">
        <f ca="1">_xll.DBRW($D$1,$D$3,$D$4,$Q$11,$D$6,$D$2,N$3,$F$15,$F18)*N$7</f>
        <v>320.11269678893484</v>
      </c>
      <c r="O18" s="87">
        <f ca="1">_xll.DBRW($D$1,$D$3,$D$4,$Q$11,$D$6,$D$2,O$3,$F$15,$F18)*O$7</f>
        <v>381.85471024361482</v>
      </c>
      <c r="P18" s="87">
        <f ca="1">_xll.DBRW($D$1,$D$3,$D$4,$Q$11,$D$6,$D$2,P$3,$F$15,$F18)*P$7</f>
        <v>426.10151987527053</v>
      </c>
      <c r="Q18" s="87" t="s">
        <v>56</v>
      </c>
      <c r="R18" s="87"/>
      <c r="S18" s="87">
        <f ca="1">_xll.DBRW($D$1,$D$3,$D$4,$Y$11,$D$6,$D$2,S$3,$F$15,$F18)*S$7</f>
        <v>98.035416820001757</v>
      </c>
      <c r="T18" s="87">
        <f ca="1">_xll.DBRW($D$1,$D$3,$D$4,$Y$11,$D$6,$D$2,T$3,$F$15,$F18)*T$7</f>
        <v>138.03111975753444</v>
      </c>
      <c r="U18" s="87">
        <f ca="1">_xll.DBRW($D$1,$D$3,$D$4,$Y$11,$D$6,$D$2,U$3,$F$15,$F18)*U$7</f>
        <v>178.89922923529969</v>
      </c>
      <c r="V18" s="87">
        <f ca="1">_xll.DBRW($D$1,$D$3,$D$4,$Y$11,$D$6,$D$2,V$3,$F$15,$F18)*V$7</f>
        <v>194.20225957331351</v>
      </c>
      <c r="W18" s="87">
        <f ca="1">_xll.DBRW($D$1,$D$3,$D$4,$Y$11,$D$6,$D$2,W$3,$F$15,$F18)*W$7</f>
        <v>200.60647770593093</v>
      </c>
      <c r="X18" s="87">
        <f ca="1">_xll.DBRW($D$1,$D$3,$D$4,$Y$11,$D$6,$D$2,X$3,$F$15,$F18)*X$7</f>
        <v>213.47672714992979</v>
      </c>
      <c r="Y18" s="87" t="s">
        <v>56</v>
      </c>
      <c r="Z18" s="87"/>
      <c r="AA18" s="87">
        <f ca="1">_xll.DBRW($D$1,$D$3,$D$4,$AG$11,$D$6,$D$2,AA$3,$F$15,$F18)*AA$7</f>
        <v>-4.4411824779998792</v>
      </c>
      <c r="AB18" s="87">
        <f ca="1">_xll.DBRW($D$1,$D$3,$D$4,$AG$11,$D$6,$D$2,AB$3,$F$15,$F18)*AB$7</f>
        <v>31.970303613268282</v>
      </c>
      <c r="AC18" s="87">
        <f ca="1">_xll.DBRW($D$1,$D$3,$D$4,$AG$11,$D$6,$D$2,AC$3,$F$15,$F18)*AC$7</f>
        <v>61.742161728111228</v>
      </c>
      <c r="AD18" s="87">
        <f ca="1">_xll.DBRW($D$1,$D$3,$D$4,$AG$11,$D$6,$D$2,AD$3,$F$15,$F18)*AD$7</f>
        <v>125.9104372156213</v>
      </c>
      <c r="AE18" s="87">
        <f ca="1">_xll.DBRW($D$1,$D$3,$D$4,$AG$11,$D$6,$D$2,AE$3,$F$15,$F18)*AE$7</f>
        <v>181.24823253768386</v>
      </c>
      <c r="AF18" s="87">
        <f ca="1">_xll.DBRW($D$1,$D$3,$D$4,$AG$11,$D$6,$D$2,AF$3,$F$15,$F18)*AF$7</f>
        <v>212.62479272534077</v>
      </c>
      <c r="AG18" s="87" t="s">
        <v>56</v>
      </c>
    </row>
    <row r="19" spans="2:33" ht="15">
      <c r="B19" s="74" t="str">
        <f t="shared" ca="1" si="0"/>
        <v>LTP</v>
      </c>
      <c r="C19" s="74"/>
      <c r="D19" s="74"/>
      <c r="E19" s="74"/>
      <c r="F19" s="74" t="s">
        <v>23</v>
      </c>
      <c r="G19" s="81"/>
      <c r="H19" s="79"/>
      <c r="I19" s="477"/>
      <c r="J19" s="74" t="s">
        <v>200</v>
      </c>
      <c r="K19" s="87">
        <f ca="1">_xll.DBRW($D$1,$D$3,$D$4,$Q$11,$D$6,$D$2,K$3,$F$15,$F19)*K$7</f>
        <v>1.0176601200017175</v>
      </c>
      <c r="L19" s="87">
        <f ca="1">_xll.DBRW($D$1,$D$3,$D$4,$Q$11,$D$6,$D$2,L$3,$F$15,$F19)*L$7</f>
        <v>46.028738526082101</v>
      </c>
      <c r="M19" s="87">
        <f ca="1">_xll.DBRW($D$1,$D$3,$D$4,$Q$11,$D$6,$D$2,M$3,$F$15,$F19)*M$7</f>
        <v>100.93013107971051</v>
      </c>
      <c r="N19" s="87">
        <f ca="1">_xll.DBRW($D$1,$D$3,$D$4,$Q$11,$D$6,$D$2,N$3,$F$15,$F19)*N$7</f>
        <v>158.66565317150256</v>
      </c>
      <c r="O19" s="87">
        <f ca="1">_xll.DBRW($D$1,$D$3,$D$4,$Q$11,$D$6,$D$2,O$3,$F$15,$F19)*O$7</f>
        <v>200.91473071568603</v>
      </c>
      <c r="P19" s="87">
        <f ca="1">_xll.DBRW($D$1,$D$3,$D$4,$Q$11,$D$6,$D$2,P$3,$F$15,$F19)*P$7</f>
        <v>237.95550767304218</v>
      </c>
      <c r="Q19" s="87" t="s">
        <v>56</v>
      </c>
      <c r="R19" s="87"/>
      <c r="S19" s="87">
        <f ca="1">_xll.DBRW($D$1,$D$3,$D$4,$Y$11,$D$6,$D$2,S$3,$F$15,$F19)*S$7</f>
        <v>29.47778420400163</v>
      </c>
      <c r="T19" s="87">
        <f ca="1">_xll.DBRW($D$1,$D$3,$D$4,$Y$11,$D$6,$D$2,T$3,$F$15,$F19)*T$7</f>
        <v>58.217746706537362</v>
      </c>
      <c r="U19" s="87">
        <f ca="1">_xll.DBRW($D$1,$D$3,$D$4,$Y$11,$D$6,$D$2,U$3,$F$15,$F19)*U$7</f>
        <v>93.660190944276749</v>
      </c>
      <c r="V19" s="87">
        <f ca="1">_xll.DBRW($D$1,$D$3,$D$4,$Y$11,$D$6,$D$2,V$3,$F$15,$F19)*V$7</f>
        <v>106.40392629822075</v>
      </c>
      <c r="W19" s="87">
        <f ca="1">_xll.DBRW($D$1,$D$3,$D$4,$Y$11,$D$6,$D$2,W$3,$F$15,$F19)*W$7</f>
        <v>116.06216261403048</v>
      </c>
      <c r="X19" s="87">
        <f ca="1">_xll.DBRW($D$1,$D$3,$D$4,$Y$11,$D$6,$D$2,X$3,$F$15,$F19)*X$7</f>
        <v>131.83228485173217</v>
      </c>
      <c r="Y19" s="87" t="s">
        <v>56</v>
      </c>
      <c r="Z19" s="87"/>
      <c r="AA19" s="87">
        <f ca="1">_xll.DBRW($D$1,$D$3,$D$4,$AG$11,$D$6,$D$2,AA$3,$F$15,$F19)*AA$7</f>
        <v>-28.460124083999922</v>
      </c>
      <c r="AB19" s="87">
        <f ca="1">_xll.DBRW($D$1,$D$3,$D$4,$AG$11,$D$6,$D$2,AB$3,$F$15,$F19)*AB$7</f>
        <v>-12.189008180455247</v>
      </c>
      <c r="AC19" s="87">
        <f ca="1">_xll.DBRW($D$1,$D$3,$D$4,$AG$11,$D$6,$D$2,AC$3,$F$15,$F19)*AC$7</f>
        <v>7.2699401354337123</v>
      </c>
      <c r="AD19" s="87">
        <f ca="1">_xll.DBRW($D$1,$D$3,$D$4,$AG$11,$D$6,$D$2,AD$3,$F$15,$F19)*AD$7</f>
        <v>52.261726873282008</v>
      </c>
      <c r="AE19" s="87">
        <f ca="1">_xll.DBRW($D$1,$D$3,$D$4,$AG$11,$D$6,$D$2,AE$3,$F$15,$F19)*AE$7</f>
        <v>84.852568101655748</v>
      </c>
      <c r="AF19" s="87">
        <f ca="1">_xll.DBRW($D$1,$D$3,$D$4,$AG$11,$D$6,$D$2,AF$3,$F$15,$F19)*AF$7</f>
        <v>106.12322282131005</v>
      </c>
      <c r="AG19" s="87" t="s">
        <v>56</v>
      </c>
    </row>
    <row r="20" spans="2:33" ht="15">
      <c r="B20" s="74" t="str">
        <f t="shared" ca="1" si="0"/>
        <v>LTP</v>
      </c>
      <c r="C20" s="74"/>
      <c r="D20" s="74"/>
      <c r="E20" s="74"/>
      <c r="F20" s="74" t="s">
        <v>15</v>
      </c>
      <c r="G20" s="81"/>
      <c r="H20" s="79"/>
      <c r="I20" s="477"/>
      <c r="J20" s="74" t="s">
        <v>57</v>
      </c>
      <c r="K20" s="87">
        <f ca="1">_xll.DBRW($D$1,$D$3,$D$4,$Q$11,$D$6,$D$2,K$3,$F$15,$F20)*K$7</f>
        <v>-164.27666008599994</v>
      </c>
      <c r="L20" s="87">
        <f ca="1">_xll.DBRW($D$1,$D$3,$D$4,$Q$11,$D$6,$D$2,L$3,$F$15,$F20)*L$7</f>
        <v>-49.059005375290305</v>
      </c>
      <c r="M20" s="87">
        <f ca="1">_xll.DBRW($D$1,$D$3,$D$4,$Q$11,$D$6,$D$2,M$3,$F$15,$F20)*M$7</f>
        <v>-21.512631850375634</v>
      </c>
      <c r="N20" s="87">
        <f ca="1">_xll.DBRW($D$1,$D$3,$D$4,$Q$11,$D$6,$D$2,N$3,$F$15,$F20)*N$7</f>
        <v>-29.262136768931775</v>
      </c>
      <c r="O20" s="87">
        <f ca="1">_xll.DBRW($D$1,$D$3,$D$4,$Q$11,$D$6,$D$2,O$3,$F$15,$F20)*O$7</f>
        <v>-18.361376631587362</v>
      </c>
      <c r="P20" s="87">
        <f ca="1">_xll.DBRW($D$1,$D$3,$D$4,$Q$11,$D$6,$D$2,P$3,$F$15,$F20)*P$7</f>
        <v>-25.143209969471801</v>
      </c>
      <c r="Q20" s="87" t="s">
        <v>56</v>
      </c>
      <c r="R20" s="87"/>
      <c r="S20" s="87">
        <f ca="1">_xll.DBRW($D$1,$D$3,$D$4,$Y$11,$D$6,$D$2,S$3,$F$15,$F20)*S$7</f>
        <v>-158.50167468499993</v>
      </c>
      <c r="T20" s="87">
        <f ca="1">_xll.DBRW($D$1,$D$3,$D$4,$Y$11,$D$6,$D$2,T$3,$F$15,$F20)*T$7</f>
        <v>-31.745354989857741</v>
      </c>
      <c r="U20" s="87">
        <f ca="1">_xll.DBRW($D$1,$D$3,$D$4,$Y$11,$D$6,$D$2,U$3,$F$15,$F20)*U$7</f>
        <v>-10.920794190190946</v>
      </c>
      <c r="V20" s="87">
        <f ca="1">_xll.DBRW($D$1,$D$3,$D$4,$Y$11,$D$6,$D$2,V$3,$F$15,$F20)*V$7</f>
        <v>-10.74054959832716</v>
      </c>
      <c r="W20" s="87">
        <f ca="1">_xll.DBRW($D$1,$D$3,$D$4,$Y$11,$D$6,$D$2,W$3,$F$15,$F20)*W$7</f>
        <v>-3.4027943597850401</v>
      </c>
      <c r="X20" s="87">
        <f ca="1">_xll.DBRW($D$1,$D$3,$D$4,$Y$11,$D$6,$D$2,X$3,$F$15,$F20)*X$7</f>
        <v>-4.6924661437028687</v>
      </c>
      <c r="Y20" s="87" t="s">
        <v>56</v>
      </c>
      <c r="Z20" s="87"/>
      <c r="AA20" s="87">
        <f ca="1">_xll.DBRW($D$1,$D$3,$D$4,$AG$11,$D$6,$D$2,AA$3,$F$15,$F20)*AA$7</f>
        <v>-5.7749854010000004</v>
      </c>
      <c r="AB20" s="87">
        <f ca="1">_xll.DBRW($D$1,$D$3,$D$4,$AG$11,$D$6,$D$2,AB$3,$F$15,$F20)*AB$7</f>
        <v>-17.313650385432567</v>
      </c>
      <c r="AC20" s="87">
        <f ca="1">_xll.DBRW($D$1,$D$3,$D$4,$AG$11,$D$6,$D$2,AC$3,$F$15,$F20)*AC$7</f>
        <v>-10.591837660184691</v>
      </c>
      <c r="AD20" s="87">
        <f ca="1">_xll.DBRW($D$1,$D$3,$D$4,$AG$11,$D$6,$D$2,AD$3,$F$15,$F20)*AD$7</f>
        <v>-18.521587170604619</v>
      </c>
      <c r="AE20" s="87">
        <f ca="1">_xll.DBRW($D$1,$D$3,$D$4,$AG$11,$D$6,$D$2,AE$3,$F$15,$F20)*AE$7</f>
        <v>-14.958582271802319</v>
      </c>
      <c r="AF20" s="87">
        <f ca="1">_xll.DBRW($D$1,$D$3,$D$4,$AG$11,$D$6,$D$2,AF$3,$F$15,$F20)*AF$7</f>
        <v>-20.450743825768932</v>
      </c>
      <c r="AG20" s="87" t="s">
        <v>56</v>
      </c>
    </row>
    <row r="21" spans="2:33" s="222" customFormat="1" ht="15">
      <c r="B21" s="217" t="str">
        <f t="shared" ca="1" si="0"/>
        <v>LTP</v>
      </c>
      <c r="C21" s="217"/>
      <c r="D21" s="217"/>
      <c r="E21" s="217"/>
      <c r="F21" s="217" t="s">
        <v>101</v>
      </c>
      <c r="G21" s="218"/>
      <c r="H21" s="219"/>
      <c r="I21" s="477"/>
      <c r="J21" s="74" t="s">
        <v>201</v>
      </c>
      <c r="K21" s="87">
        <f ca="1">_xll.DBRW($D$1,$D$3,$D$4,$Q$11,$D$6,$D$2,K$3,$F$15,$F21)*K$7</f>
        <v>-459.27112375299993</v>
      </c>
      <c r="L21" s="87">
        <f ca="1">_xll.DBRW($D$1,$D$3,$D$4,$Q$11,$D$6,$D$2,L$3,$F$15,$F21)*L$7</f>
        <v>-577.77331373549896</v>
      </c>
      <c r="M21" s="87">
        <f ca="1">_xll.DBRW($D$1,$D$3,$D$4,$Q$11,$D$6,$D$2,M$3,$F$15,$F21)*M$7</f>
        <v>-637.11969231506305</v>
      </c>
      <c r="N21" s="87">
        <f ca="1">_xll.DBRW($D$1,$D$3,$D$4,$Q$11,$D$6,$D$2,N$3,$F$15,$F21)*N$7</f>
        <v>-566.00092165505157</v>
      </c>
      <c r="O21" s="87">
        <f ca="1">_xll.DBRW($D$1,$D$3,$D$4,$Q$11,$D$6,$D$2,O$3,$F$15,$F21)*O$7</f>
        <v>-601.77831678228347</v>
      </c>
      <c r="P21" s="87">
        <f ca="1">_xll.DBRW($D$1,$D$3,$D$4,$Q$11,$D$6,$D$2,P$3,$F$15,$F21)*P$7</f>
        <v>-605.63064108470644</v>
      </c>
      <c r="Q21" s="87" t="s">
        <v>56</v>
      </c>
      <c r="R21" s="87"/>
      <c r="S21" s="87">
        <f ca="1">_xll.DBRW($D$1,$D$3,$D$4,$Y$11,$D$6,$D$2,S$3,$F$15,$F21)*S$7</f>
        <v>-436.04250331499992</v>
      </c>
      <c r="T21" s="87">
        <f ca="1">_xll.DBRW($D$1,$D$3,$D$4,$Y$11,$D$6,$D$2,T$3,$F$15,$F21)*T$7</f>
        <v>-363.95763872944019</v>
      </c>
      <c r="U21" s="87">
        <f ca="1">_xll.DBRW($D$1,$D$3,$D$4,$Y$11,$D$6,$D$2,U$3,$F$15,$F21)*U$7</f>
        <v>-332.4976065924053</v>
      </c>
      <c r="V21" s="87">
        <f ca="1">_xll.DBRW($D$1,$D$3,$D$4,$Y$11,$D$6,$D$2,V$3,$F$15,$F21)*V$7</f>
        <v>-377.20019288163155</v>
      </c>
      <c r="W21" s="87">
        <f ca="1">_xll.DBRW($D$1,$D$3,$D$4,$Y$11,$D$6,$D$2,W$3,$F$15,$F21)*W$7</f>
        <v>-344.4737773262629</v>
      </c>
      <c r="X21" s="87">
        <f ca="1">_xll.DBRW($D$1,$D$3,$D$4,$Y$11,$D$6,$D$2,X$3,$F$15,$F21)*X$7</f>
        <v>-325.42580428228393</v>
      </c>
      <c r="Y21" s="87" t="s">
        <v>56</v>
      </c>
      <c r="Z21" s="87"/>
      <c r="AA21" s="87">
        <f ca="1">_xll.DBRW($D$1,$D$3,$D$4,$AG$11,$D$6,$D$2,AA$3,$F$15,$F21)*AA$7</f>
        <v>-23.228620438</v>
      </c>
      <c r="AB21" s="87">
        <f ca="1">_xll.DBRW($D$1,$D$3,$D$4,$AG$11,$D$6,$D$2,AB$3,$F$15,$F21)*AB$7</f>
        <v>-213.8156750060588</v>
      </c>
      <c r="AC21" s="87">
        <f ca="1">_xll.DBRW($D$1,$D$3,$D$4,$AG$11,$D$6,$D$2,AC$3,$F$15,$F21)*AC$7</f>
        <v>-304.62208572265774</v>
      </c>
      <c r="AD21" s="87">
        <f ca="1">_xll.DBRW($D$1,$D$3,$D$4,$AG$11,$D$6,$D$2,AD$3,$F$15,$F21)*AD$7</f>
        <v>-188.80072877342016</v>
      </c>
      <c r="AE21" s="87">
        <f ca="1">_xll.DBRW($D$1,$D$3,$D$4,$AG$11,$D$6,$D$2,AE$3,$F$15,$F21)*AE$7</f>
        <v>-257.30453945602056</v>
      </c>
      <c r="AF21" s="87">
        <f ca="1">_xll.DBRW($D$1,$D$3,$D$4,$AG$11,$D$6,$D$2,AF$3,$F$15,$F21)*AF$7</f>
        <v>-280.20483680242251</v>
      </c>
      <c r="AG21" s="87" t="s">
        <v>56</v>
      </c>
    </row>
    <row r="22" spans="2:33" ht="15">
      <c r="B22" s="74" t="str">
        <f t="shared" ca="1" si="0"/>
        <v>LTP</v>
      </c>
      <c r="C22" s="74"/>
      <c r="D22" s="74"/>
      <c r="E22" s="74"/>
      <c r="F22" s="74" t="s">
        <v>202</v>
      </c>
      <c r="G22" s="81"/>
      <c r="H22" s="79"/>
      <c r="I22" s="477"/>
      <c r="J22" s="74" t="s">
        <v>58</v>
      </c>
      <c r="K22" s="87">
        <f ca="1">_xll.DBRW($D$1,$D$3,$D$4,$Q$11,$D$6,$D$2,K$3,$F$15,$F22)*K$7</f>
        <v>-464.01606399899998</v>
      </c>
      <c r="L22" s="87">
        <f ca="1">_xll.DBRW($D$1,$D$3,$D$4,$Q$11,$D$6,$D$2,L$3,$F$15,$F22)*L$7</f>
        <v>-120.88804677596387</v>
      </c>
      <c r="M22" s="87">
        <f ca="1">_xll.DBRW($D$1,$D$3,$D$4,$Q$11,$D$6,$D$2,M$3,$F$15,$F22)*M$7</f>
        <v>-58.581125691467022</v>
      </c>
      <c r="N22" s="87">
        <f ca="1">_xll.DBRW($D$1,$D$3,$D$4,$Q$11,$D$6,$D$2,N$3,$F$15,$F22)*N$7</f>
        <v>-60.149258465121946</v>
      </c>
      <c r="O22" s="87">
        <f ca="1">_xll.DBRW($D$1,$D$3,$D$4,$Q$11,$D$6,$D$2,O$3,$F$15,$F22)*O$7</f>
        <v>-25.669535710019904</v>
      </c>
      <c r="P22" s="87">
        <f ca="1">_xll.DBRW($D$1,$D$3,$D$4,$Q$11,$D$6,$D$2,P$3,$F$15,$F22)*P$7</f>
        <v>-23.899620028201724</v>
      </c>
      <c r="Q22" s="87" t="s">
        <v>56</v>
      </c>
      <c r="R22" s="87"/>
      <c r="S22" s="87">
        <f ca="1">_xll.DBRW($D$1,$D$3,$D$4,$Y$11,$D$6,$D$2,S$3,$F$15,$F22)*S$7</f>
        <v>0.77486084100000596</v>
      </c>
      <c r="T22" s="87">
        <f ca="1">_xll.DBRW($D$1,$D$3,$D$4,$Y$11,$D$6,$D$2,T$3,$F$15,$F22)*T$7</f>
        <v>6.4689318181818181E-2</v>
      </c>
      <c r="U22" s="87">
        <f ca="1">_xll.DBRW($D$1,$D$3,$D$4,$Y$11,$D$6,$D$2,U$3,$F$15,$F22)*U$7</f>
        <v>-0.44527227272727271</v>
      </c>
      <c r="V22" s="87">
        <f ca="1">_xll.DBRW($D$1,$D$3,$D$4,$Y$11,$D$6,$D$2,V$3,$F$15,$F22)*V$7</f>
        <v>1.4675745454545452</v>
      </c>
      <c r="W22" s="87">
        <f ca="1">_xll.DBRW($D$1,$D$3,$D$4,$Y$11,$D$6,$D$2,W$3,$F$15,$F22)*W$7</f>
        <v>1.4779095454545454</v>
      </c>
      <c r="X22" s="87">
        <f ca="1">_xll.DBRW($D$1,$D$3,$D$4,$Y$11,$D$6,$D$2,X$3,$F$15,$F22)*X$7</f>
        <v>1.6478252272727272</v>
      </c>
      <c r="Y22" s="87" t="s">
        <v>56</v>
      </c>
      <c r="Z22" s="87"/>
      <c r="AA22" s="87">
        <f ca="1">_xll.DBRW($D$1,$D$3,$D$4,$AG$11,$D$6,$D$2,AA$3,$F$15,$F22)*AA$7</f>
        <v>-464.79092484</v>
      </c>
      <c r="AB22" s="87">
        <f ca="1">_xll.DBRW($D$1,$D$3,$D$4,$AG$11,$D$6,$D$2,AB$3,$F$15,$F22)*AB$7</f>
        <v>-120.95273609414568</v>
      </c>
      <c r="AC22" s="87">
        <f ca="1">_xll.DBRW($D$1,$D$3,$D$4,$AG$11,$D$6,$D$2,AC$3,$F$15,$F22)*AC$7</f>
        <v>-58.135853418739757</v>
      </c>
      <c r="AD22" s="87">
        <f ca="1">_xll.DBRW($D$1,$D$3,$D$4,$AG$11,$D$6,$D$2,AD$3,$F$15,$F22)*AD$7</f>
        <v>-61.616833010576492</v>
      </c>
      <c r="AE22" s="87">
        <f ca="1">_xll.DBRW($D$1,$D$3,$D$4,$AG$11,$D$6,$D$2,AE$3,$F$15,$F22)*AE$7</f>
        <v>-27.147445255474452</v>
      </c>
      <c r="AF22" s="87">
        <f ca="1">_xll.DBRW($D$1,$D$3,$D$4,$AG$11,$D$6,$D$2,AF$3,$F$15,$F22)*AF$7</f>
        <v>-25.54744525547445</v>
      </c>
      <c r="AG22" s="87" t="s">
        <v>56</v>
      </c>
    </row>
    <row r="23" spans="2:33" ht="15">
      <c r="B23" s="74" t="str">
        <f t="shared" ca="1" si="0"/>
        <v>LTP</v>
      </c>
      <c r="C23" s="74"/>
      <c r="D23" s="74"/>
      <c r="E23" s="74"/>
      <c r="F23" s="74" t="s">
        <v>203</v>
      </c>
      <c r="G23" s="81"/>
      <c r="H23" s="79"/>
      <c r="I23" s="477"/>
      <c r="J23" s="74" t="s">
        <v>59</v>
      </c>
      <c r="K23" s="87">
        <f ca="1">_xll.DBRW($D$1,$D$3,$D$4,$Q$11,$D$6,$D$2,K$3,$F$15,$F23)*K$7</f>
        <v>-539.06304842099712</v>
      </c>
      <c r="L23" s="87">
        <f ca="1">_xll.DBRW($D$1,$D$3,$D$4,$Q$11,$D$6,$D$2,L$3,$F$15,$F23)*L$7</f>
        <v>-98.376151236585102</v>
      </c>
      <c r="M23" s="87">
        <f ca="1">_xll.DBRW($D$1,$D$3,$D$4,$Q$11,$D$6,$D$2,M$3,$F$15,$F23)*M$7</f>
        <v>32.224863245515166</v>
      </c>
      <c r="N23" s="87">
        <f ca="1">_xll.DBRW($D$1,$D$3,$D$4,$Q$11,$D$6,$D$2,N$3,$F$15,$F23)*N$7</f>
        <v>187.23339718451436</v>
      </c>
      <c r="O23" s="87">
        <f ca="1">_xll.DBRW($D$1,$D$3,$D$4,$Q$11,$D$6,$D$2,O$3,$F$15,$F23)*O$7</f>
        <v>253.83960663720299</v>
      </c>
      <c r="P23" s="87">
        <f ca="1">_xll.DBRW($D$1,$D$3,$D$4,$Q$11,$D$6,$D$2,P$3,$F$15,$F23)*P$7</f>
        <v>282.67023736993877</v>
      </c>
      <c r="Q23" s="87" t="s">
        <v>56</v>
      </c>
      <c r="R23" s="87"/>
      <c r="S23" s="87">
        <f ca="1">_xll.DBRW($D$1,$D$3,$D$4,$Y$11,$D$6,$D$2,S$3,$F$15,$F23)*S$7</f>
        <v>-52.422014095997255</v>
      </c>
      <c r="T23" s="87">
        <f ca="1">_xll.DBRW($D$1,$D$3,$D$4,$Y$11,$D$6,$D$2,T$3,$F$15,$F23)*T$7</f>
        <v>171.32329161068287</v>
      </c>
      <c r="U23" s="87">
        <f ca="1">_xll.DBRW($D$1,$D$3,$D$4,$Y$11,$D$6,$D$2,U$3,$F$15,$F23)*U$7</f>
        <v>249.60336267573382</v>
      </c>
      <c r="V23" s="87">
        <f ca="1">_xll.DBRW($D$1,$D$3,$D$4,$Y$11,$D$6,$D$2,V$3,$F$15,$F23)*V$7</f>
        <v>228.31913800074992</v>
      </c>
      <c r="W23" s="87">
        <f ca="1">_xll.DBRW($D$1,$D$3,$D$4,$Y$11,$D$6,$D$2,W$3,$F$15,$F23)*W$7</f>
        <v>273.77503875030231</v>
      </c>
      <c r="X23" s="87">
        <f ca="1">_xll.DBRW($D$1,$D$3,$D$4,$Y$11,$D$6,$D$2,X$3,$F$15,$F23)*X$7</f>
        <v>290.80694754323702</v>
      </c>
      <c r="Y23" s="87" t="s">
        <v>56</v>
      </c>
      <c r="Z23" s="87"/>
      <c r="AA23" s="87">
        <f ca="1">_xll.DBRW($D$1,$D$3,$D$4,$AG$11,$D$6,$D$2,AA$3,$F$15,$F23)*AA$7</f>
        <v>-486.64103432499991</v>
      </c>
      <c r="AB23" s="87">
        <f ca="1">_xll.DBRW($D$1,$D$3,$D$4,$AG$11,$D$6,$D$2,AB$3,$F$15,$F23)*AB$7</f>
        <v>-269.69944284726796</v>
      </c>
      <c r="AC23" s="87">
        <f ca="1">_xll.DBRW($D$1,$D$3,$D$4,$AG$11,$D$6,$D$2,AC$3,$F$15,$F23)*AC$7</f>
        <v>-217.37849943021854</v>
      </c>
      <c r="AD23" s="87">
        <f ca="1">_xll.DBRW($D$1,$D$3,$D$4,$AG$11,$D$6,$D$2,AD$3,$F$15,$F23)*AD$7</f>
        <v>-41.085740816235585</v>
      </c>
      <c r="AE23" s="87">
        <f ca="1">_xll.DBRW($D$1,$D$3,$D$4,$AG$11,$D$6,$D$2,AE$3,$F$15,$F23)*AE$7</f>
        <v>-19.935432113099235</v>
      </c>
      <c r="AF23" s="87">
        <f ca="1">_xll.DBRW($D$1,$D$3,$D$4,$AG$11,$D$6,$D$2,AF$3,$F$15,$F23)*AF$7</f>
        <v>-8.1367101732978959</v>
      </c>
      <c r="AG23" s="87" t="s">
        <v>56</v>
      </c>
    </row>
    <row r="24" spans="2:33" ht="15">
      <c r="B24" s="74" t="str">
        <f t="shared" ca="1" si="0"/>
        <v>LTP</v>
      </c>
      <c r="C24" s="74"/>
      <c r="D24" s="74"/>
      <c r="E24" s="74"/>
      <c r="F24" s="74" t="s">
        <v>189</v>
      </c>
      <c r="G24" s="81"/>
      <c r="H24" s="79"/>
      <c r="I24" s="477"/>
      <c r="J24" s="74" t="s">
        <v>118</v>
      </c>
      <c r="K24" s="87">
        <f ca="1">_xll.DBRW($D$1,$D$3,$D$4,$Q$11,$D$6,$D$2,K$3,$F$15,$F24)*K$7</f>
        <v>-1896.8634405270006</v>
      </c>
      <c r="L24" s="87">
        <f ca="1">_xll.DBRW($D$1,$D$3,$D$4,$Q$11,$D$6,$D$2,L$3,$F$15,$F24)*L$7</f>
        <v>-2077.3124594048768</v>
      </c>
      <c r="M24" s="87">
        <f ca="1">_xll.DBRW($D$1,$D$3,$D$4,$Q$11,$D$6,$D$2,M$3,$F$15,$F24)*M$7</f>
        <v>-2155.8249551561162</v>
      </c>
      <c r="N24" s="87">
        <f ca="1">_xll.DBRW($D$1,$D$3,$D$4,$Q$11,$D$6,$D$2,N$3,$F$15,$F24)*N$7</f>
        <v>-2107.454042852868</v>
      </c>
      <c r="O24" s="87">
        <f ca="1">_xll.DBRW($D$1,$D$3,$D$4,$Q$11,$D$6,$D$2,O$3,$F$15,$F24)*O$7</f>
        <v>-2018.4113095514424</v>
      </c>
      <c r="P24" s="87">
        <f ca="1">_xll.DBRW($D$1,$D$3,$D$4,$Q$11,$D$6,$D$2,P$3,$F$15,$F24)*P$7</f>
        <v>-1917.1650366990805</v>
      </c>
      <c r="Q24" s="87" t="s">
        <v>56</v>
      </c>
      <c r="R24" s="87"/>
      <c r="S24" s="87">
        <f ca="1">_xll.DBRW($D$1,$D$3,$D$4,$Y$11,$D$6,$D$2,S$3,$F$15,$F24)*S$7</f>
        <v>-1375.4991704580007</v>
      </c>
      <c r="T24" s="87">
        <f ca="1">_xll.DBRW($D$1,$D$3,$D$4,$Y$11,$D$6,$D$2,T$3,$F$15,$F24)*T$7</f>
        <v>-1250.2778287879626</v>
      </c>
      <c r="U24" s="87">
        <f ca="1">_xll.DBRW($D$1,$D$3,$D$4,$Y$11,$D$6,$D$2,U$3,$F$15,$F24)*U$7</f>
        <v>-1064.3556004494144</v>
      </c>
      <c r="V24" s="87">
        <f ca="1">_xll.DBRW($D$1,$D$3,$D$4,$Y$11,$D$6,$D$2,V$3,$F$15,$F24)*V$7</f>
        <v>-921.80292631155476</v>
      </c>
      <c r="W24" s="87">
        <f ca="1">_xll.DBRW($D$1,$D$3,$D$4,$Y$11,$D$6,$D$2,W$3,$F$15,$F24)*W$7</f>
        <v>-757.4770545581689</v>
      </c>
      <c r="X24" s="87">
        <f ca="1">_xll.DBRW($D$1,$D$3,$D$4,$Y$11,$D$6,$D$2,X$3,$F$15,$F24)*X$7</f>
        <v>-591.6267065288406</v>
      </c>
      <c r="Y24" s="87" t="s">
        <v>56</v>
      </c>
      <c r="Z24" s="87"/>
      <c r="AA24" s="87">
        <f ca="1">_xll.DBRW($D$1,$D$3,$D$4,$AG$11,$D$6,$D$2,AA$3,$F$15,$F24)*AA$7</f>
        <v>-521.36427006899999</v>
      </c>
      <c r="AB24" s="87">
        <f ca="1">_xll.DBRW($D$1,$D$3,$D$4,$AG$11,$D$6,$D$2,AB$3,$F$15,$F24)*AB$7</f>
        <v>-827.03463061691446</v>
      </c>
      <c r="AC24" s="87">
        <f ca="1">_xll.DBRW($D$1,$D$3,$D$4,$AG$11,$D$6,$D$2,AC$3,$F$15,$F24)*AC$7</f>
        <v>-1091.4693547067018</v>
      </c>
      <c r="AD24" s="87">
        <f ca="1">_xll.DBRW($D$1,$D$3,$D$4,$AG$11,$D$6,$D$2,AD$3,$F$15,$F24)*AD$7</f>
        <v>-1185.6511165413135</v>
      </c>
      <c r="AE24" s="87">
        <f ca="1">_xll.DBRW($D$1,$D$3,$D$4,$AG$11,$D$6,$D$2,AE$3,$F$15,$F24)*AE$7</f>
        <v>-1260.9342549932737</v>
      </c>
      <c r="AF24" s="87">
        <f ca="1">_xll.DBRW($D$1,$D$3,$D$4,$AG$11,$D$6,$D$2,AF$3,$F$15,$F24)*AF$7</f>
        <v>-1325.5383301702398</v>
      </c>
      <c r="AG24" s="87" t="s">
        <v>56</v>
      </c>
    </row>
    <row r="25" spans="2:33" s="215" customFormat="1" ht="15">
      <c r="B25" s="212"/>
      <c r="C25" s="212"/>
      <c r="D25" s="212"/>
      <c r="E25" s="212"/>
      <c r="F25" s="212"/>
      <c r="G25" s="213"/>
      <c r="H25" s="214"/>
      <c r="I25" s="477"/>
      <c r="J25" s="212" t="s">
        <v>204</v>
      </c>
      <c r="K25" s="216">
        <f ca="1">IFERROR(K18/K16,"-")</f>
        <v>1.0024706345035543E-2</v>
      </c>
      <c r="L25" s="216">
        <f t="shared" ref="L25:O25" ca="1" si="1">IFERROR(L18/L16,"-")</f>
        <v>1.6988194496835047E-2</v>
      </c>
      <c r="M25" s="216">
        <f t="shared" ca="1" si="1"/>
        <v>2.2776071164818584E-2</v>
      </c>
      <c r="N25" s="216">
        <f t="shared" ca="1" si="1"/>
        <v>2.8870559996882126E-2</v>
      </c>
      <c r="O25" s="216">
        <f t="shared" ca="1" si="1"/>
        <v>3.3235284751038451E-2</v>
      </c>
      <c r="P25" s="216">
        <f t="shared" ref="P25" ca="1" si="2">IFERROR(P18/P16,"-")</f>
        <v>3.5836565950067199E-2</v>
      </c>
      <c r="Q25" s="216" t="s">
        <v>56</v>
      </c>
      <c r="R25" s="216"/>
      <c r="S25" s="216">
        <f ca="1">IFERROR(S18/S16,"-")</f>
        <v>1.1786235147898257E-2</v>
      </c>
      <c r="T25" s="216">
        <f t="shared" ref="T25:W25" ca="1" si="3">IFERROR(T18/T16,"-")</f>
        <v>1.7078799508713164E-2</v>
      </c>
      <c r="U25" s="216">
        <f t="shared" ca="1" si="3"/>
        <v>2.2114446375767816E-2</v>
      </c>
      <c r="V25" s="216">
        <f t="shared" ca="1" si="3"/>
        <v>2.3986350093363189E-2</v>
      </c>
      <c r="W25" s="216">
        <f t="shared" ca="1" si="3"/>
        <v>2.4988017684478291E-2</v>
      </c>
      <c r="X25" s="216">
        <f t="shared" ref="X25" ca="1" si="4">IFERROR(X18/X16,"-")</f>
        <v>2.6328320811540004E-2</v>
      </c>
      <c r="Y25" s="216" t="s">
        <v>56</v>
      </c>
      <c r="Z25" s="216"/>
      <c r="AA25" s="216">
        <f ca="1">IFERROR(AA18/AA16,"-")</f>
        <v>-4.3602230342650802E-3</v>
      </c>
      <c r="AB25" s="216">
        <f t="shared" ref="AB25:AE25" ca="1" si="5">IFERROR(AB18/AB16,"-")</f>
        <v>1.6607797420331666E-2</v>
      </c>
      <c r="AC25" s="216">
        <f t="shared" ca="1" si="5"/>
        <v>2.4937904955875351E-2</v>
      </c>
      <c r="AD25" s="216">
        <f t="shared" ca="1" si="5"/>
        <v>4.2089492615231532E-2</v>
      </c>
      <c r="AE25" s="216">
        <f t="shared" ca="1" si="5"/>
        <v>5.2363752808640807E-2</v>
      </c>
      <c r="AF25" s="216">
        <f t="shared" ref="AF25" ca="1" si="6">IFERROR(AF18/AF16,"-")</f>
        <v>5.6222012472783932E-2</v>
      </c>
      <c r="AG25" s="216" t="s">
        <v>56</v>
      </c>
    </row>
    <row r="26" spans="2:33" s="215" customFormat="1" ht="15">
      <c r="B26" s="212"/>
      <c r="C26" s="212"/>
      <c r="D26" s="212"/>
      <c r="E26" s="212"/>
      <c r="F26" s="212"/>
      <c r="G26" s="213"/>
      <c r="H26" s="214"/>
      <c r="I26" s="477"/>
      <c r="J26" s="430" t="s">
        <v>310</v>
      </c>
      <c r="K26" s="431" t="s">
        <v>56</v>
      </c>
      <c r="L26" s="431">
        <f ca="1">L69</f>
        <v>6.5027780461783966E-2</v>
      </c>
      <c r="M26" s="431">
        <f ca="1">M69</f>
        <v>8.5144673152148062E-2</v>
      </c>
      <c r="N26" s="431">
        <f ca="1">N69</f>
        <v>0.10857637252539491</v>
      </c>
      <c r="O26" s="431">
        <f ca="1">O69</f>
        <v>0.12712496952188695</v>
      </c>
      <c r="P26" s="431">
        <f ca="1">P69</f>
        <v>0</v>
      </c>
      <c r="Q26" s="431" t="s">
        <v>56</v>
      </c>
      <c r="R26" s="431"/>
      <c r="S26" s="431" t="s">
        <v>56</v>
      </c>
      <c r="T26" s="431">
        <f t="shared" ref="T26:W26" ca="1" si="7">T69</f>
        <v>7.0154722475757658E-2</v>
      </c>
      <c r="U26" s="431">
        <f t="shared" ca="1" si="7"/>
        <v>9.4662146339517736E-2</v>
      </c>
      <c r="V26" s="431">
        <f t="shared" ca="1" si="7"/>
        <v>0.1077581351455902</v>
      </c>
      <c r="W26" s="431">
        <f t="shared" ca="1" si="7"/>
        <v>0.11779600361776438</v>
      </c>
      <c r="X26" s="431">
        <f t="shared" ref="X26" ca="1" si="8">X69</f>
        <v>0</v>
      </c>
      <c r="Y26" s="431" t="s">
        <v>56</v>
      </c>
      <c r="Z26" s="431"/>
      <c r="AA26" s="431" t="s">
        <v>56</v>
      </c>
      <c r="AB26" s="431">
        <f t="shared" ref="AB26:AE26" ca="1" si="9">AB69</f>
        <v>4.9692879663330448E-2</v>
      </c>
      <c r="AC26" s="431">
        <f t="shared" ca="1" si="9"/>
        <v>6.6198434037732318E-2</v>
      </c>
      <c r="AD26" s="431">
        <f t="shared" ca="1" si="9"/>
        <v>0.10984146347263088</v>
      </c>
      <c r="AE26" s="431">
        <f t="shared" ca="1" si="9"/>
        <v>0.13913670181285906</v>
      </c>
      <c r="AF26" s="431">
        <f t="shared" ref="AF26" ca="1" si="10">AF69</f>
        <v>0</v>
      </c>
      <c r="AG26" s="431" t="s">
        <v>56</v>
      </c>
    </row>
    <row r="27" spans="2:33" ht="10.5" customHeight="1">
      <c r="B27" s="74"/>
      <c r="C27" s="74"/>
      <c r="D27" s="74"/>
      <c r="E27" s="74"/>
      <c r="F27" s="74"/>
      <c r="G27" s="82"/>
      <c r="H27" s="83"/>
      <c r="I27" s="84"/>
      <c r="J27" s="74"/>
      <c r="K27" s="85"/>
      <c r="L27" s="85"/>
      <c r="M27" s="85"/>
      <c r="N27" s="85"/>
      <c r="O27" s="85"/>
      <c r="P27" s="85"/>
      <c r="S27" s="85"/>
      <c r="T27" s="85"/>
      <c r="U27" s="85"/>
      <c r="V27" s="85"/>
      <c r="W27" s="85"/>
      <c r="X27" s="85"/>
      <c r="AA27" s="85"/>
      <c r="AB27" s="85"/>
      <c r="AC27" s="85"/>
      <c r="AD27" s="85"/>
      <c r="AE27" s="85"/>
      <c r="AF27" s="85"/>
    </row>
    <row r="28" spans="2:33" ht="30" customHeight="1">
      <c r="F28" s="78" t="str">
        <f>Current_Version</f>
        <v>LTP_2023_VC</v>
      </c>
      <c r="G28" s="76"/>
      <c r="H28" s="79"/>
      <c r="I28" s="477" t="str">
        <f>"LTP "&amp;N</f>
        <v>LTP 2023</v>
      </c>
      <c r="J28" s="228" t="str">
        <f ca="1">+J15</f>
        <v>MEUR</v>
      </c>
      <c r="K28" s="229" t="str">
        <f ca="1">_xll.DBRW("tango_core_model:TC_LTP_Version_Annee_Ouverture",$F$28,K$3,"STR_VAR1")&amp;" "&amp;RIGHT(K3,4)</f>
        <v>F2 2023</v>
      </c>
      <c r="L28" s="229" t="str">
        <f ca="1">_xll.DBRW("tango_core_model:TC_LTP_Version_Annee_Ouverture",$F$28,L$3,"STR_VAR1")&amp;" "&amp;RIGHT(L3,4)</f>
        <v>Budget 2024</v>
      </c>
      <c r="M28" s="229" t="str">
        <f ca="1">_xll.DBRW("tango_core_model:TC_LTP_Version_Annee_Ouverture",$F$28,M$3,"STR_VAR1")&amp;" "&amp;RIGHT(M3,4)</f>
        <v>LTP 2025</v>
      </c>
      <c r="N28" s="229" t="str">
        <f ca="1">_xll.DBRW("tango_core_model:TC_LTP_Version_Annee_Ouverture",$F$28,N$3,"STR_VAR1")&amp;" "&amp;RIGHT(N3,4)</f>
        <v>LTP 2026</v>
      </c>
      <c r="O28" s="229" t="str">
        <f ca="1">_xll.DBRW("tango_core_model:TC_LTP_Version_Annee_Ouverture",$F$28,O$3,"STR_VAR1")&amp;" "&amp;RIGHT(O3,4)</f>
        <v>LTP 2027</v>
      </c>
      <c r="P28" s="229" t="str">
        <f ca="1">_xll.DBRW("tango_core_model:TC_LTP_Version_Annee_Ouverture",$F$28,P$3,"STR_VAR1")&amp;" "&amp;RIGHT(P3,4)</f>
        <v>LTP 2028</v>
      </c>
      <c r="Q28" s="229" t="str">
        <f ca="1">_xll.DBRW("tango_core_model:TC_LTP_Version_Annee_Ouverture",$F$28,Q$3,"STR_VAR1")&amp;" "&amp;RIGHT(Q3,4)</f>
        <v>LTP 2029</v>
      </c>
      <c r="R28" s="80"/>
      <c r="S28" s="229" t="str">
        <f ca="1">_xll.DBRW("tango_core_model:TC_LTP_Version_Annee_Ouverture",$F$28,S$3,"STR_VAR1")&amp;" "&amp;RIGHT(S3,4)</f>
        <v>F2 2023</v>
      </c>
      <c r="T28" s="229" t="str">
        <f ca="1">_xll.DBRW("tango_core_model:TC_LTP_Version_Annee_Ouverture",$F$28,T$3,"STR_VAR1")&amp;" "&amp;RIGHT(T3,4)</f>
        <v>Budget 2024</v>
      </c>
      <c r="U28" s="229" t="str">
        <f ca="1">_xll.DBRW("tango_core_model:TC_LTP_Version_Annee_Ouverture",$F$28,U$3,"STR_VAR1")&amp;" "&amp;RIGHT(U3,4)</f>
        <v>LTP 2025</v>
      </c>
      <c r="V28" s="229" t="str">
        <f ca="1">_xll.DBRW("tango_core_model:TC_LTP_Version_Annee_Ouverture",$F$28,V$3,"STR_VAR1")&amp;" "&amp;RIGHT(V3,4)</f>
        <v>LTP 2026</v>
      </c>
      <c r="W28" s="229" t="str">
        <f ca="1">_xll.DBRW("tango_core_model:TC_LTP_Version_Annee_Ouverture",$F$28,W$3,"STR_VAR1")&amp;" "&amp;RIGHT(W3,4)</f>
        <v>LTP 2027</v>
      </c>
      <c r="X28" s="229" t="str">
        <f ca="1">_xll.DBRW("tango_core_model:TC_LTP_Version_Annee_Ouverture",$F$28,X$3,"STR_VAR1")&amp;" "&amp;RIGHT(X3,4)</f>
        <v>LTP 2028</v>
      </c>
      <c r="Y28" s="229" t="str">
        <f ca="1">_xll.DBRW("tango_core_model:TC_LTP_Version_Annee_Ouverture",$F$28,Y$3,"STR_VAR1")&amp;" "&amp;RIGHT(Y3,4)</f>
        <v>LTP 2029</v>
      </c>
      <c r="Z28" s="80"/>
      <c r="AA28" s="229" t="str">
        <f ca="1">_xll.DBRW("tango_core_model:TC_LTP_Version_Annee_Ouverture",$F$28,AA$3,"STR_VAR1")&amp;" "&amp;RIGHT(AA3,4)</f>
        <v>F2 2023</v>
      </c>
      <c r="AB28" s="229" t="str">
        <f ca="1">_xll.DBRW("tango_core_model:TC_LTP_Version_Annee_Ouverture",$F$28,AB$3,"STR_VAR1")&amp;" "&amp;RIGHT(AB3,4)</f>
        <v>Budget 2024</v>
      </c>
      <c r="AC28" s="229" t="str">
        <f ca="1">_xll.DBRW("tango_core_model:TC_LTP_Version_Annee_Ouverture",$F$28,AC$3,"STR_VAR1")&amp;" "&amp;RIGHT(AC3,4)</f>
        <v>LTP 2025</v>
      </c>
      <c r="AD28" s="229" t="str">
        <f ca="1">_xll.DBRW("tango_core_model:TC_LTP_Version_Annee_Ouverture",$F$28,AD$3,"STR_VAR1")&amp;" "&amp;RIGHT(AD3,4)</f>
        <v>LTP 2026</v>
      </c>
      <c r="AE28" s="229" t="str">
        <f ca="1">_xll.DBRW("tango_core_model:TC_LTP_Version_Annee_Ouverture",$F$28,AE$3,"STR_VAR1")&amp;" "&amp;RIGHT(AE3,4)</f>
        <v>LTP 2027</v>
      </c>
      <c r="AF28" s="229" t="str">
        <f ca="1">_xll.DBRW("tango_core_model:TC_LTP_Version_Annee_Ouverture",$F$28,AF$3,"STR_VAR1")&amp;" "&amp;RIGHT(AF3,4)</f>
        <v>LTP 2028</v>
      </c>
      <c r="AG28" s="229" t="str">
        <f ca="1">_xll.DBRW("tango_core_model:TC_LTP_Version_Annee_Ouverture",$F$28,AG$3,"STR_VAR1")&amp;" "&amp;RIGHT(AG3,4)</f>
        <v>LTP 2029</v>
      </c>
    </row>
    <row r="29" spans="2:33" ht="15">
      <c r="B29" s="74" t="str">
        <f t="shared" ref="B29:B38" ca="1" si="11">+$Q$11</f>
        <v>LTP</v>
      </c>
      <c r="D29" s="74"/>
      <c r="E29" s="74"/>
      <c r="F29" s="74" t="str">
        <f t="shared" ref="F29:F37" ca="1" si="12">F16</f>
        <v>TPL10</v>
      </c>
      <c r="G29" s="81"/>
      <c r="H29" s="79"/>
      <c r="I29" s="477"/>
      <c r="J29" s="74" t="str">
        <f t="shared" ref="J29:J38" ca="1" si="13">J16</f>
        <v>REVENUE</v>
      </c>
      <c r="K29" s="87">
        <f ca="1">_xll.DBRW($D$1,$D$3,$D$4,$Q$11,$D$5,$D$2,K$3,$F$28,$F29)*K$5</f>
        <v>0</v>
      </c>
      <c r="L29" s="87">
        <f ca="1">_xll.DBRW($D$1,$D$3,$D$4,$Q$11,$D$5,$D$2,L$3,$F$28,$F29)*L$5</f>
        <v>0</v>
      </c>
      <c r="M29" s="87">
        <f ca="1">_xll.DBRW($D$1,$D$3,$D$4,$Q$11,$D$5,$D$2,M$3,$F$28,$F29)*M$5</f>
        <v>0</v>
      </c>
      <c r="N29" s="87">
        <f ca="1">_xll.DBRW($D$1,$D$3,$D$4,$Q$11,$D$5,$D$2,N$3,$F$28,$F29)*N$5</f>
        <v>0</v>
      </c>
      <c r="O29" s="87">
        <f ca="1">_xll.DBRW($D$1,$D$3,$D$4,$Q$11,$D$5,$D$2,O$3,$F$28,$F29)*O$5</f>
        <v>0</v>
      </c>
      <c r="P29" s="87">
        <f ca="1">_xll.DBRW($D$1,$D$3,$D$4,$Q$11,$D$5,$D$2,P$3,$F$28,$F29)*P$5</f>
        <v>0</v>
      </c>
      <c r="Q29" s="87">
        <f ca="1">_xll.DBRW($D$1,$D$3,$D$4,$Q$11,$D$5,$D$2,Q$3,$F$28,$F29)*Q$5</f>
        <v>0</v>
      </c>
      <c r="R29" s="87"/>
      <c r="S29" s="87">
        <f ca="1">_xll.DBRW($D$1,$D$3,$D$4,$Y$11,$D$5,$D$2,S$3,$F$28,$F29)*S$5</f>
        <v>0</v>
      </c>
      <c r="T29" s="87">
        <f ca="1">_xll.DBRW($D$1,$D$3,$D$4,$Y$11,$D$5,$D$2,T$3,$F$28,$F29)*T$5</f>
        <v>0</v>
      </c>
      <c r="U29" s="87">
        <f ca="1">_xll.DBRW($D$1,$D$3,$D$4,$Y$11,$D$5,$D$2,U$3,$F$28,$F29)*U$5</f>
        <v>0</v>
      </c>
      <c r="V29" s="87">
        <f ca="1">_xll.DBRW($D$1,$D$3,$D$4,$Y$11,$D$5,$D$2,V$3,$F$28,$F29)*V$5</f>
        <v>0</v>
      </c>
      <c r="W29" s="87">
        <f ca="1">_xll.DBRW($D$1,$D$3,$D$4,$Y$11,$D$5,$D$2,W$3,$F$28,$F29)*W$5</f>
        <v>0</v>
      </c>
      <c r="X29" s="87">
        <f ca="1">_xll.DBRW($D$1,$D$3,$D$4,$Y$11,$D$5,$D$2,X$3,$F$28,$F29)*X$5</f>
        <v>0</v>
      </c>
      <c r="Y29" s="87">
        <f ca="1">_xll.DBRW($D$1,$D$3,$D$4,$Y$11,$D$5,$D$2,Y$3,$F$28,$F29)*Y$5</f>
        <v>0</v>
      </c>
      <c r="Z29" s="87"/>
      <c r="AA29" s="87">
        <f ca="1">_xll.DBRW($D$1,$D$3,$D$4,$AG$11,$D$5,$D$2,AA$3,$F$28,$F29)*AA$5</f>
        <v>0</v>
      </c>
      <c r="AB29" s="87">
        <f ca="1">_xll.DBRW($D$1,$D$3,$D$4,$AG$11,$D$5,$D$2,AB$3,$F$28,$F29)*AB$5</f>
        <v>0</v>
      </c>
      <c r="AC29" s="87">
        <f ca="1">_xll.DBRW($D$1,$D$3,$D$4,$AG$11,$D$5,$D$2,AC$3,$F$28,$F29)*AC$5</f>
        <v>0</v>
      </c>
      <c r="AD29" s="87">
        <f ca="1">_xll.DBRW($D$1,$D$3,$D$4,$AG$11,$D$5,$D$2,AD$3,$F$28,$F29)*AD$5</f>
        <v>0</v>
      </c>
      <c r="AE29" s="87">
        <f ca="1">_xll.DBRW($D$1,$D$3,$D$4,$AG$11,$D$5,$D$2,AE$3,$F$28,$F29)*AE$5</f>
        <v>0</v>
      </c>
      <c r="AF29" s="87">
        <f ca="1">_xll.DBRW($D$1,$D$3,$D$4,$AG$11,$D$5,$D$2,AF$3,$F$28,$F29)*AF$5</f>
        <v>0</v>
      </c>
      <c r="AG29" s="87">
        <f ca="1">_xll.DBRW($D$1,$D$3,$D$4,$AG$11,$D$5,$D$2,AG$3,$F$28,$F29)*AG$5</f>
        <v>0</v>
      </c>
    </row>
    <row r="30" spans="2:33" ht="15">
      <c r="B30" s="74" t="str">
        <f t="shared" ca="1" si="11"/>
        <v>LTP</v>
      </c>
      <c r="C30" s="74"/>
      <c r="D30" s="74"/>
      <c r="E30" s="74"/>
      <c r="F30" s="74" t="str">
        <f t="shared" ca="1" si="12"/>
        <v>CAFOP_Bef_MF</v>
      </c>
      <c r="G30" s="81"/>
      <c r="H30" s="79"/>
      <c r="I30" s="477"/>
      <c r="J30" s="74" t="str">
        <f t="shared" ca="1" si="13"/>
        <v>CAFOP Bef MF</v>
      </c>
      <c r="K30" s="87">
        <f ca="1">_xll.DBRW($D$1,$D$3,$D$4,$Q$11,$D$5,$D$2,K$3,$F$28,$F30)*K$5</f>
        <v>0</v>
      </c>
      <c r="L30" s="87">
        <f ca="1">_xll.DBRW($D$1,$D$3,$D$4,$Q$11,$D$5,$D$2,L$3,$F$28,$F30)*L$5</f>
        <v>0</v>
      </c>
      <c r="M30" s="87">
        <f ca="1">_xll.DBRW($D$1,$D$3,$D$4,$Q$11,$D$5,$D$2,M$3,$F$28,$F30)*M$5</f>
        <v>0</v>
      </c>
      <c r="N30" s="87">
        <f ca="1">_xll.DBRW($D$1,$D$3,$D$4,$Q$11,$D$5,$D$2,N$3,$F$28,$F30)*N$5</f>
        <v>0</v>
      </c>
      <c r="O30" s="87">
        <f ca="1">_xll.DBRW($D$1,$D$3,$D$4,$Q$11,$D$5,$D$2,O$3,$F$28,$F30)*O$5</f>
        <v>0</v>
      </c>
      <c r="P30" s="87">
        <f ca="1">_xll.DBRW($D$1,$D$3,$D$4,$Q$11,$D$5,$D$2,P$3,$F$28,$F30)*P$5</f>
        <v>0</v>
      </c>
      <c r="Q30" s="87">
        <f ca="1">_xll.DBRW($D$1,$D$3,$D$4,$Q$11,$D$5,$D$2,Q$3,$F$28,$F30)*Q$5</f>
        <v>0</v>
      </c>
      <c r="R30" s="87"/>
      <c r="S30" s="87">
        <f ca="1">_xll.DBRW($D$1,$D$3,$D$4,$Y$11,$D$5,$D$2,S$3,$F$28,$F30)*S$5</f>
        <v>0</v>
      </c>
      <c r="T30" s="87">
        <f ca="1">_xll.DBRW($D$1,$D$3,$D$4,$Y$11,$D$5,$D$2,T$3,$F$28,$F30)*T$5</f>
        <v>0</v>
      </c>
      <c r="U30" s="87">
        <f ca="1">_xll.DBRW($D$1,$D$3,$D$4,$Y$11,$D$5,$D$2,U$3,$F$28,$F30)*U$5</f>
        <v>0</v>
      </c>
      <c r="V30" s="87">
        <f ca="1">_xll.DBRW($D$1,$D$3,$D$4,$Y$11,$D$5,$D$2,V$3,$F$28,$F30)*V$5</f>
        <v>0</v>
      </c>
      <c r="W30" s="87">
        <f ca="1">_xll.DBRW($D$1,$D$3,$D$4,$Y$11,$D$5,$D$2,W$3,$F$28,$F30)*W$5</f>
        <v>0</v>
      </c>
      <c r="X30" s="87">
        <f ca="1">_xll.DBRW($D$1,$D$3,$D$4,$Y$11,$D$5,$D$2,X$3,$F$28,$F30)*X$5</f>
        <v>0</v>
      </c>
      <c r="Y30" s="87">
        <f ca="1">_xll.DBRW($D$1,$D$3,$D$4,$Y$11,$D$5,$D$2,Y$3,$F$28,$F30)*Y$5</f>
        <v>0</v>
      </c>
      <c r="Z30" s="87"/>
      <c r="AA30" s="87">
        <f ca="1">_xll.DBRW($D$1,$D$3,$D$4,$AG$11,$D$5,$D$2,AA$3,$F$28,$F30)*AA$5</f>
        <v>0</v>
      </c>
      <c r="AB30" s="87">
        <f ca="1">_xll.DBRW($D$1,$D$3,$D$4,$AG$11,$D$5,$D$2,AB$3,$F$28,$F30)*AB$5</f>
        <v>0</v>
      </c>
      <c r="AC30" s="87">
        <f ca="1">_xll.DBRW($D$1,$D$3,$D$4,$AG$11,$D$5,$D$2,AC$3,$F$28,$F30)*AC$5</f>
        <v>0</v>
      </c>
      <c r="AD30" s="87">
        <f ca="1">_xll.DBRW($D$1,$D$3,$D$4,$AG$11,$D$5,$D$2,AD$3,$F$28,$F30)*AD$5</f>
        <v>0</v>
      </c>
      <c r="AE30" s="87">
        <f ca="1">_xll.DBRW($D$1,$D$3,$D$4,$AG$11,$D$5,$D$2,AE$3,$F$28,$F30)*AE$5</f>
        <v>0</v>
      </c>
      <c r="AF30" s="87">
        <f ca="1">_xll.DBRW($D$1,$D$3,$D$4,$AG$11,$D$5,$D$2,AF$3,$F$28,$F30)*AF$5</f>
        <v>0</v>
      </c>
      <c r="AG30" s="87">
        <f ca="1">_xll.DBRW($D$1,$D$3,$D$4,$AG$11,$D$5,$D$2,AG$3,$F$28,$F30)*AG$5</f>
        <v>0</v>
      </c>
    </row>
    <row r="31" spans="2:33" ht="15">
      <c r="B31" s="74" t="str">
        <f t="shared" ca="1" si="11"/>
        <v>LTP</v>
      </c>
      <c r="C31" s="74"/>
      <c r="D31" s="74"/>
      <c r="E31" s="74"/>
      <c r="F31" s="74" t="str">
        <f t="shared" ca="1" si="12"/>
        <v>RESOP_Bef_MF</v>
      </c>
      <c r="G31" s="81"/>
      <c r="H31" s="79"/>
      <c r="I31" s="477"/>
      <c r="J31" s="74" t="str">
        <f t="shared" ca="1" si="13"/>
        <v>EBIT Bef Mfees</v>
      </c>
      <c r="K31" s="87">
        <f ca="1">_xll.DBRW($D$1,$D$3,$D$4,$Q$11,$D$5,$D$2,K$3,$F$28,$F31)*K$5</f>
        <v>0</v>
      </c>
      <c r="L31" s="87">
        <f ca="1">_xll.DBRW($D$1,$D$3,$D$4,$Q$11,$D$5,$D$2,L$3,$F$28,$F31)*L$5</f>
        <v>0</v>
      </c>
      <c r="M31" s="87">
        <f ca="1">_xll.DBRW($D$1,$D$3,$D$4,$Q$11,$D$5,$D$2,M$3,$F$28,$F31)*M$5</f>
        <v>0</v>
      </c>
      <c r="N31" s="87">
        <f ca="1">_xll.DBRW($D$1,$D$3,$D$4,$Q$11,$D$5,$D$2,N$3,$F$28,$F31)*N$5</f>
        <v>0</v>
      </c>
      <c r="O31" s="87">
        <f ca="1">_xll.DBRW($D$1,$D$3,$D$4,$Q$11,$D$5,$D$2,O$3,$F$28,$F31)*O$5</f>
        <v>0</v>
      </c>
      <c r="P31" s="87">
        <f ca="1">_xll.DBRW($D$1,$D$3,$D$4,$Q$11,$D$5,$D$2,P$3,$F$28,$F31)*P$5</f>
        <v>0</v>
      </c>
      <c r="Q31" s="87">
        <f ca="1">_xll.DBRW($D$1,$D$3,$D$4,$Q$11,$D$5,$D$2,Q$3,$F$28,$F31)*Q$5</f>
        <v>0</v>
      </c>
      <c r="R31" s="87"/>
      <c r="S31" s="87">
        <f ca="1">_xll.DBRW($D$1,$D$3,$D$4,$Y$11,$D$5,$D$2,S$3,$F$28,$F31)*S$5</f>
        <v>0</v>
      </c>
      <c r="T31" s="87">
        <f ca="1">_xll.DBRW($D$1,$D$3,$D$4,$Y$11,$D$5,$D$2,T$3,$F$28,$F31)*T$5</f>
        <v>0</v>
      </c>
      <c r="U31" s="87">
        <f ca="1">_xll.DBRW($D$1,$D$3,$D$4,$Y$11,$D$5,$D$2,U$3,$F$28,$F31)*U$5</f>
        <v>0</v>
      </c>
      <c r="V31" s="87">
        <f ca="1">_xll.DBRW($D$1,$D$3,$D$4,$Y$11,$D$5,$D$2,V$3,$F$28,$F31)*V$5</f>
        <v>0</v>
      </c>
      <c r="W31" s="87">
        <f ca="1">_xll.DBRW($D$1,$D$3,$D$4,$Y$11,$D$5,$D$2,W$3,$F$28,$F31)*W$5</f>
        <v>0</v>
      </c>
      <c r="X31" s="87">
        <f ca="1">_xll.DBRW($D$1,$D$3,$D$4,$Y$11,$D$5,$D$2,X$3,$F$28,$F31)*X$5</f>
        <v>0</v>
      </c>
      <c r="Y31" s="87">
        <f ca="1">_xll.DBRW($D$1,$D$3,$D$4,$Y$11,$D$5,$D$2,Y$3,$F$28,$F31)*Y$5</f>
        <v>0</v>
      </c>
      <c r="Z31" s="87"/>
      <c r="AA31" s="87">
        <f ca="1">_xll.DBRW($D$1,$D$3,$D$4,$AG$11,$D$5,$D$2,AA$3,$F$28,$F31)*AA$5</f>
        <v>0</v>
      </c>
      <c r="AB31" s="87">
        <f ca="1">_xll.DBRW($D$1,$D$3,$D$4,$AG$11,$D$5,$D$2,AB$3,$F$28,$F31)*AB$5</f>
        <v>0</v>
      </c>
      <c r="AC31" s="87">
        <f ca="1">_xll.DBRW($D$1,$D$3,$D$4,$AG$11,$D$5,$D$2,AC$3,$F$28,$F31)*AC$5</f>
        <v>0</v>
      </c>
      <c r="AD31" s="87">
        <f ca="1">_xll.DBRW($D$1,$D$3,$D$4,$AG$11,$D$5,$D$2,AD$3,$F$28,$F31)*AD$5</f>
        <v>0</v>
      </c>
      <c r="AE31" s="87">
        <f ca="1">_xll.DBRW($D$1,$D$3,$D$4,$AG$11,$D$5,$D$2,AE$3,$F$28,$F31)*AE$5</f>
        <v>0</v>
      </c>
      <c r="AF31" s="87">
        <f ca="1">_xll.DBRW($D$1,$D$3,$D$4,$AG$11,$D$5,$D$2,AF$3,$F$28,$F31)*AF$5</f>
        <v>0</v>
      </c>
      <c r="AG31" s="87">
        <f ca="1">_xll.DBRW($D$1,$D$3,$D$4,$AG$11,$D$5,$D$2,AG$3,$F$28,$F31)*AG$5</f>
        <v>0</v>
      </c>
    </row>
    <row r="32" spans="2:33" ht="15">
      <c r="B32" s="74" t="str">
        <f t="shared" ca="1" si="11"/>
        <v>LTP</v>
      </c>
      <c r="C32" s="74"/>
      <c r="D32" s="74"/>
      <c r="E32" s="74"/>
      <c r="F32" s="74" t="str">
        <f t="shared" ca="1" si="12"/>
        <v>TPL9</v>
      </c>
      <c r="G32" s="81"/>
      <c r="H32" s="79"/>
      <c r="I32" s="477"/>
      <c r="J32" s="74" t="str">
        <f t="shared" ca="1" si="13"/>
        <v>Net Result</v>
      </c>
      <c r="K32" s="87">
        <f ca="1">_xll.DBRW($D$1,$D$3,$D$4,$Q$11,$D$5,$D$2,K$3,$F$28,$F32)*K$5</f>
        <v>0</v>
      </c>
      <c r="L32" s="87">
        <f ca="1">_xll.DBRW($D$1,$D$3,$D$4,$Q$11,$D$5,$D$2,L$3,$F$28,$F32)*L$5</f>
        <v>0</v>
      </c>
      <c r="M32" s="87">
        <f ca="1">_xll.DBRW($D$1,$D$3,$D$4,$Q$11,$D$5,$D$2,M$3,$F$28,$F32)*M$5</f>
        <v>0</v>
      </c>
      <c r="N32" s="87">
        <f ca="1">_xll.DBRW($D$1,$D$3,$D$4,$Q$11,$D$5,$D$2,N$3,$F$28,$F32)*N$5</f>
        <v>0</v>
      </c>
      <c r="O32" s="87">
        <f ca="1">_xll.DBRW($D$1,$D$3,$D$4,$Q$11,$D$5,$D$2,O$3,$F$28,$F32)*O$5</f>
        <v>0</v>
      </c>
      <c r="P32" s="87">
        <f ca="1">_xll.DBRW($D$1,$D$3,$D$4,$Q$11,$D$5,$D$2,P$3,$F$28,$F32)*P$5</f>
        <v>0</v>
      </c>
      <c r="Q32" s="87">
        <f ca="1">_xll.DBRW($D$1,$D$3,$D$4,$Q$11,$D$5,$D$2,Q$3,$F$28,$F32)*Q$5</f>
        <v>0</v>
      </c>
      <c r="R32" s="87"/>
      <c r="S32" s="87">
        <f ca="1">_xll.DBRW($D$1,$D$3,$D$4,$Y$11,$D$5,$D$2,S$3,$F$28,$F32)*S$5</f>
        <v>0</v>
      </c>
      <c r="T32" s="87">
        <f ca="1">_xll.DBRW($D$1,$D$3,$D$4,$Y$11,$D$5,$D$2,T$3,$F$28,$F32)*T$5</f>
        <v>0</v>
      </c>
      <c r="U32" s="87">
        <f ca="1">_xll.DBRW($D$1,$D$3,$D$4,$Y$11,$D$5,$D$2,U$3,$F$28,$F32)*U$5</f>
        <v>0</v>
      </c>
      <c r="V32" s="87">
        <f ca="1">_xll.DBRW($D$1,$D$3,$D$4,$Y$11,$D$5,$D$2,V$3,$F$28,$F32)*V$5</f>
        <v>0</v>
      </c>
      <c r="W32" s="87">
        <f ca="1">_xll.DBRW($D$1,$D$3,$D$4,$Y$11,$D$5,$D$2,W$3,$F$28,$F32)*W$5</f>
        <v>0</v>
      </c>
      <c r="X32" s="87">
        <f ca="1">_xll.DBRW($D$1,$D$3,$D$4,$Y$11,$D$5,$D$2,X$3,$F$28,$F32)*X$5</f>
        <v>0</v>
      </c>
      <c r="Y32" s="87">
        <f ca="1">_xll.DBRW($D$1,$D$3,$D$4,$Y$11,$D$5,$D$2,Y$3,$F$28,$F32)*Y$5</f>
        <v>0</v>
      </c>
      <c r="Z32" s="87"/>
      <c r="AA32" s="87">
        <f ca="1">_xll.DBRW($D$1,$D$3,$D$4,$AG$11,$D$5,$D$2,AA$3,$F$28,$F32)*AA$5</f>
        <v>0</v>
      </c>
      <c r="AB32" s="87">
        <f ca="1">_xll.DBRW($D$1,$D$3,$D$4,$AG$11,$D$5,$D$2,AB$3,$F$28,$F32)*AB$5</f>
        <v>0</v>
      </c>
      <c r="AC32" s="87">
        <f ca="1">_xll.DBRW($D$1,$D$3,$D$4,$AG$11,$D$5,$D$2,AC$3,$F$28,$F32)*AC$5</f>
        <v>0</v>
      </c>
      <c r="AD32" s="87">
        <f ca="1">_xll.DBRW($D$1,$D$3,$D$4,$AG$11,$D$5,$D$2,AD$3,$F$28,$F32)*AD$5</f>
        <v>0</v>
      </c>
      <c r="AE32" s="87">
        <f ca="1">_xll.DBRW($D$1,$D$3,$D$4,$AG$11,$D$5,$D$2,AE$3,$F$28,$F32)*AE$5</f>
        <v>0</v>
      </c>
      <c r="AF32" s="87">
        <f ca="1">_xll.DBRW($D$1,$D$3,$D$4,$AG$11,$D$5,$D$2,AF$3,$F$28,$F32)*AF$5</f>
        <v>0</v>
      </c>
      <c r="AG32" s="87">
        <f ca="1">_xll.DBRW($D$1,$D$3,$D$4,$AG$11,$D$5,$D$2,AG$3,$F$28,$F32)*AG$5</f>
        <v>0</v>
      </c>
    </row>
    <row r="33" spans="2:33" ht="15">
      <c r="B33" s="74" t="str">
        <f t="shared" ca="1" si="11"/>
        <v>LTP</v>
      </c>
      <c r="C33" s="74"/>
      <c r="D33" s="74"/>
      <c r="E33" s="74"/>
      <c r="F33" s="74" t="str">
        <f t="shared" ca="1" si="12"/>
        <v>NFI150</v>
      </c>
      <c r="G33" s="81"/>
      <c r="H33" s="79"/>
      <c r="I33" s="477"/>
      <c r="J33" s="74" t="str">
        <f t="shared" ca="1" si="13"/>
        <v>CHANGE IN WC</v>
      </c>
      <c r="K33" s="87">
        <f ca="1">_xll.DBRW($D$1,$D$3,$D$4,$Q$11,$D$5,$D$2,K$3,$F$28,$F33)*K$5</f>
        <v>0</v>
      </c>
      <c r="L33" s="87">
        <f ca="1">_xll.DBRW($D$1,$D$3,$D$4,$Q$11,$D$5,$D$2,L$3,$F$28,$F33)*L$5</f>
        <v>0</v>
      </c>
      <c r="M33" s="87">
        <f ca="1">_xll.DBRW($D$1,$D$3,$D$4,$Q$11,$D$5,$D$2,M$3,$F$28,$F33)*M$5</f>
        <v>0</v>
      </c>
      <c r="N33" s="87">
        <f ca="1">_xll.DBRW($D$1,$D$3,$D$4,$Q$11,$D$5,$D$2,N$3,$F$28,$F33)*N$5</f>
        <v>0</v>
      </c>
      <c r="O33" s="87">
        <f ca="1">_xll.DBRW($D$1,$D$3,$D$4,$Q$11,$D$5,$D$2,O$3,$F$28,$F33)*O$5</f>
        <v>0</v>
      </c>
      <c r="P33" s="87">
        <f ca="1">_xll.DBRW($D$1,$D$3,$D$4,$Q$11,$D$5,$D$2,P$3,$F$28,$F33)*P$5</f>
        <v>0</v>
      </c>
      <c r="Q33" s="87">
        <f ca="1">_xll.DBRW($D$1,$D$3,$D$4,$Q$11,$D$5,$D$2,Q$3,$F$28,$F33)*Q$5</f>
        <v>0</v>
      </c>
      <c r="R33" s="87"/>
      <c r="S33" s="87">
        <f ca="1">_xll.DBRW($D$1,$D$3,$D$4,$Y$11,$D$5,$D$2,S$3,$F$28,$F33)*S$5</f>
        <v>0</v>
      </c>
      <c r="T33" s="87">
        <f ca="1">_xll.DBRW($D$1,$D$3,$D$4,$Y$11,$D$5,$D$2,T$3,$F$28,$F33)*T$5</f>
        <v>0</v>
      </c>
      <c r="U33" s="87">
        <f ca="1">_xll.DBRW($D$1,$D$3,$D$4,$Y$11,$D$5,$D$2,U$3,$F$28,$F33)*U$5</f>
        <v>0</v>
      </c>
      <c r="V33" s="87">
        <f ca="1">_xll.DBRW($D$1,$D$3,$D$4,$Y$11,$D$5,$D$2,V$3,$F$28,$F33)*V$5</f>
        <v>0</v>
      </c>
      <c r="W33" s="87">
        <f ca="1">_xll.DBRW($D$1,$D$3,$D$4,$Y$11,$D$5,$D$2,W$3,$F$28,$F33)*W$5</f>
        <v>0</v>
      </c>
      <c r="X33" s="87">
        <f ca="1">_xll.DBRW($D$1,$D$3,$D$4,$Y$11,$D$5,$D$2,X$3,$F$28,$F33)*X$5</f>
        <v>0</v>
      </c>
      <c r="Y33" s="87">
        <f ca="1">_xll.DBRW($D$1,$D$3,$D$4,$Y$11,$D$5,$D$2,Y$3,$F$28,$F33)*Y$5</f>
        <v>0</v>
      </c>
      <c r="Z33" s="87"/>
      <c r="AA33" s="87">
        <f ca="1">_xll.DBRW($D$1,$D$3,$D$4,$AG$11,$D$5,$D$2,AA$3,$F$28,$F33)*AA$5</f>
        <v>0</v>
      </c>
      <c r="AB33" s="87">
        <f ca="1">_xll.DBRW($D$1,$D$3,$D$4,$AG$11,$D$5,$D$2,AB$3,$F$28,$F33)*AB$5</f>
        <v>0</v>
      </c>
      <c r="AC33" s="87">
        <f ca="1">_xll.DBRW($D$1,$D$3,$D$4,$AG$11,$D$5,$D$2,AC$3,$F$28,$F33)*AC$5</f>
        <v>0</v>
      </c>
      <c r="AD33" s="87">
        <f ca="1">_xll.DBRW($D$1,$D$3,$D$4,$AG$11,$D$5,$D$2,AD$3,$F$28,$F33)*AD$5</f>
        <v>0</v>
      </c>
      <c r="AE33" s="87">
        <f ca="1">_xll.DBRW($D$1,$D$3,$D$4,$AG$11,$D$5,$D$2,AE$3,$F$28,$F33)*AE$5</f>
        <v>0</v>
      </c>
      <c r="AF33" s="87">
        <f ca="1">_xll.DBRW($D$1,$D$3,$D$4,$AG$11,$D$5,$D$2,AF$3,$F$28,$F33)*AF$5</f>
        <v>0</v>
      </c>
      <c r="AG33" s="87">
        <f ca="1">_xll.DBRW($D$1,$D$3,$D$4,$AG$11,$D$5,$D$2,AG$3,$F$28,$F33)*AG$5</f>
        <v>0</v>
      </c>
    </row>
    <row r="34" spans="2:33" s="222" customFormat="1" ht="15">
      <c r="B34" s="217" t="str">
        <f t="shared" ca="1" si="11"/>
        <v>LTP</v>
      </c>
      <c r="C34" s="217"/>
      <c r="D34" s="217"/>
      <c r="E34" s="217"/>
      <c r="F34" s="217" t="str">
        <f t="shared" ca="1" si="12"/>
        <v>Net CAPEX</v>
      </c>
      <c r="G34" s="218"/>
      <c r="H34" s="219"/>
      <c r="I34" s="477"/>
      <c r="J34" s="74" t="str">
        <f t="shared" ca="1" si="13"/>
        <v>Net INDUS CAPEX</v>
      </c>
      <c r="K34" s="87">
        <f ca="1">_xll.DBRW($D$1,$D$3,$D$4,$Q$11,$D$5,$D$2,K$3,$F$28,$F34)*K$5</f>
        <v>0</v>
      </c>
      <c r="L34" s="87">
        <f ca="1">_xll.DBRW($D$1,$D$3,$D$4,$Q$11,$D$5,$D$2,L$3,$F$28,$F34)*L$5</f>
        <v>0</v>
      </c>
      <c r="M34" s="87">
        <f ca="1">_xll.DBRW($D$1,$D$3,$D$4,$Q$11,$D$5,$D$2,M$3,$F$28,$F34)*M$5</f>
        <v>0</v>
      </c>
      <c r="N34" s="87">
        <f ca="1">_xll.DBRW($D$1,$D$3,$D$4,$Q$11,$D$5,$D$2,N$3,$F$28,$F34)*N$5</f>
        <v>0</v>
      </c>
      <c r="O34" s="87">
        <f ca="1">_xll.DBRW($D$1,$D$3,$D$4,$Q$11,$D$5,$D$2,O$3,$F$28,$F34)*O$5</f>
        <v>0</v>
      </c>
      <c r="P34" s="87">
        <f ca="1">_xll.DBRW($D$1,$D$3,$D$4,$Q$11,$D$5,$D$2,P$3,$F$28,$F34)*P$5</f>
        <v>0</v>
      </c>
      <c r="Q34" s="87">
        <f ca="1">_xll.DBRW($D$1,$D$3,$D$4,$Q$11,$D$5,$D$2,Q$3,$F$28,$F34)*Q$5</f>
        <v>0</v>
      </c>
      <c r="R34" s="87"/>
      <c r="S34" s="87">
        <f ca="1">_xll.DBRW($D$1,$D$3,$D$4,$Y$11,$D$5,$D$2,S$3,$F$28,$F34)*S$5</f>
        <v>0</v>
      </c>
      <c r="T34" s="87">
        <f ca="1">_xll.DBRW($D$1,$D$3,$D$4,$Y$11,$D$5,$D$2,T$3,$F$28,$F34)*T$5</f>
        <v>0</v>
      </c>
      <c r="U34" s="87">
        <f ca="1">_xll.DBRW($D$1,$D$3,$D$4,$Y$11,$D$5,$D$2,U$3,$F$28,$F34)*U$5</f>
        <v>0</v>
      </c>
      <c r="V34" s="87">
        <f ca="1">_xll.DBRW($D$1,$D$3,$D$4,$Y$11,$D$5,$D$2,V$3,$F$28,$F34)*V$5</f>
        <v>0</v>
      </c>
      <c r="W34" s="87">
        <f ca="1">_xll.DBRW($D$1,$D$3,$D$4,$Y$11,$D$5,$D$2,W$3,$F$28,$F34)*W$5</f>
        <v>0</v>
      </c>
      <c r="X34" s="87">
        <f ca="1">_xll.DBRW($D$1,$D$3,$D$4,$Y$11,$D$5,$D$2,X$3,$F$28,$F34)*X$5</f>
        <v>0</v>
      </c>
      <c r="Y34" s="87">
        <f ca="1">_xll.DBRW($D$1,$D$3,$D$4,$Y$11,$D$5,$D$2,Y$3,$F$28,$F34)*Y$5</f>
        <v>0</v>
      </c>
      <c r="Z34" s="87"/>
      <c r="AA34" s="87">
        <f ca="1">_xll.DBRW($D$1,$D$3,$D$4,$AG$11,$D$5,$D$2,AA$3,$F$28,$F34)*AA$5</f>
        <v>0</v>
      </c>
      <c r="AB34" s="87">
        <f ca="1">_xll.DBRW($D$1,$D$3,$D$4,$AG$11,$D$5,$D$2,AB$3,$F$28,$F34)*AB$5</f>
        <v>0</v>
      </c>
      <c r="AC34" s="87">
        <f ca="1">_xll.DBRW($D$1,$D$3,$D$4,$AG$11,$D$5,$D$2,AC$3,$F$28,$F34)*AC$5</f>
        <v>0</v>
      </c>
      <c r="AD34" s="87">
        <f ca="1">_xll.DBRW($D$1,$D$3,$D$4,$AG$11,$D$5,$D$2,AD$3,$F$28,$F34)*AD$5</f>
        <v>0</v>
      </c>
      <c r="AE34" s="87">
        <f ca="1">_xll.DBRW($D$1,$D$3,$D$4,$AG$11,$D$5,$D$2,AE$3,$F$28,$F34)*AE$5</f>
        <v>0</v>
      </c>
      <c r="AF34" s="87">
        <f ca="1">_xll.DBRW($D$1,$D$3,$D$4,$AG$11,$D$5,$D$2,AF$3,$F$28,$F34)*AF$5</f>
        <v>0</v>
      </c>
      <c r="AG34" s="87">
        <f ca="1">_xll.DBRW($D$1,$D$3,$D$4,$AG$11,$D$5,$D$2,AG$3,$F$28,$F34)*AG$5</f>
        <v>0</v>
      </c>
    </row>
    <row r="35" spans="2:33" ht="15">
      <c r="B35" s="74" t="str">
        <f t="shared" ca="1" si="11"/>
        <v>LTP</v>
      </c>
      <c r="C35" s="74"/>
      <c r="D35" s="74"/>
      <c r="E35" s="74"/>
      <c r="F35" s="74" t="str">
        <f t="shared" ca="1" si="12"/>
        <v>Net_Fi_CAPEX</v>
      </c>
      <c r="G35" s="81"/>
      <c r="H35" s="79"/>
      <c r="I35" s="477"/>
      <c r="J35" s="74" t="str">
        <f t="shared" ca="1" si="13"/>
        <v>Net FINAN CAPEX</v>
      </c>
      <c r="K35" s="87">
        <f ca="1">_xll.DBRW($D$1,$D$3,$D$4,$Q$11,$D$5,$D$2,K$3,$F$28,$F35)*K$5</f>
        <v>0</v>
      </c>
      <c r="L35" s="87">
        <f ca="1">_xll.DBRW($D$1,$D$3,$D$4,$Q$11,$D$5,$D$2,L$3,$F$28,$F35)*L$5</f>
        <v>0</v>
      </c>
      <c r="M35" s="87">
        <f ca="1">_xll.DBRW($D$1,$D$3,$D$4,$Q$11,$D$5,$D$2,M$3,$F$28,$F35)*M$5</f>
        <v>0</v>
      </c>
      <c r="N35" s="87">
        <f ca="1">_xll.DBRW($D$1,$D$3,$D$4,$Q$11,$D$5,$D$2,N$3,$F$28,$F35)*N$5</f>
        <v>0</v>
      </c>
      <c r="O35" s="87">
        <f ca="1">_xll.DBRW($D$1,$D$3,$D$4,$Q$11,$D$5,$D$2,O$3,$F$28,$F35)*O$5</f>
        <v>0</v>
      </c>
      <c r="P35" s="87">
        <f ca="1">_xll.DBRW($D$1,$D$3,$D$4,$Q$11,$D$5,$D$2,P$3,$F$28,$F35)*P$5</f>
        <v>0</v>
      </c>
      <c r="Q35" s="87">
        <f ca="1">_xll.DBRW($D$1,$D$3,$D$4,$Q$11,$D$5,$D$2,Q$3,$F$28,$F35)*Q$5</f>
        <v>0</v>
      </c>
      <c r="R35" s="87"/>
      <c r="S35" s="87">
        <f ca="1">_xll.DBRW($D$1,$D$3,$D$4,$Y$11,$D$5,$D$2,S$3,$F$28,$F35)*S$5</f>
        <v>0</v>
      </c>
      <c r="T35" s="87">
        <f ca="1">_xll.DBRW($D$1,$D$3,$D$4,$Y$11,$D$5,$D$2,T$3,$F$28,$F35)*T$5</f>
        <v>0</v>
      </c>
      <c r="U35" s="87">
        <f ca="1">_xll.DBRW($D$1,$D$3,$D$4,$Y$11,$D$5,$D$2,U$3,$F$28,$F35)*U$5</f>
        <v>0</v>
      </c>
      <c r="V35" s="87">
        <f ca="1">_xll.DBRW($D$1,$D$3,$D$4,$Y$11,$D$5,$D$2,V$3,$F$28,$F35)*V$5</f>
        <v>0</v>
      </c>
      <c r="W35" s="87">
        <f ca="1">_xll.DBRW($D$1,$D$3,$D$4,$Y$11,$D$5,$D$2,W$3,$F$28,$F35)*W$5</f>
        <v>0</v>
      </c>
      <c r="X35" s="87">
        <f ca="1">_xll.DBRW($D$1,$D$3,$D$4,$Y$11,$D$5,$D$2,X$3,$F$28,$F35)*X$5</f>
        <v>0</v>
      </c>
      <c r="Y35" s="87">
        <f ca="1">_xll.DBRW($D$1,$D$3,$D$4,$Y$11,$D$5,$D$2,Y$3,$F$28,$F35)*Y$5</f>
        <v>0</v>
      </c>
      <c r="Z35" s="87"/>
      <c r="AA35" s="87">
        <f ca="1">_xll.DBRW($D$1,$D$3,$D$4,$AG$11,$D$5,$D$2,AA$3,$F$28,$F35)*AA$5</f>
        <v>0</v>
      </c>
      <c r="AB35" s="87">
        <f ca="1">_xll.DBRW($D$1,$D$3,$D$4,$AG$11,$D$5,$D$2,AB$3,$F$28,$F35)*AB$5</f>
        <v>0</v>
      </c>
      <c r="AC35" s="87">
        <f ca="1">_xll.DBRW($D$1,$D$3,$D$4,$AG$11,$D$5,$D$2,AC$3,$F$28,$F35)*AC$5</f>
        <v>0</v>
      </c>
      <c r="AD35" s="87">
        <f ca="1">_xll.DBRW($D$1,$D$3,$D$4,$AG$11,$D$5,$D$2,AD$3,$F$28,$F35)*AD$5</f>
        <v>0</v>
      </c>
      <c r="AE35" s="87">
        <f ca="1">_xll.DBRW($D$1,$D$3,$D$4,$AG$11,$D$5,$D$2,AE$3,$F$28,$F35)*AE$5</f>
        <v>0</v>
      </c>
      <c r="AF35" s="87">
        <f ca="1">_xll.DBRW($D$1,$D$3,$D$4,$AG$11,$D$5,$D$2,AF$3,$F$28,$F35)*AF$5</f>
        <v>0</v>
      </c>
      <c r="AG35" s="87">
        <f ca="1">_xll.DBRW($D$1,$D$3,$D$4,$AG$11,$D$5,$D$2,AG$3,$F$28,$F35)*AG$5</f>
        <v>0</v>
      </c>
    </row>
    <row r="36" spans="2:33" ht="15">
      <c r="B36" s="74" t="str">
        <f t="shared" ca="1" si="11"/>
        <v>LTP</v>
      </c>
      <c r="C36" s="74"/>
      <c r="D36" s="74"/>
      <c r="E36" s="74"/>
      <c r="F36" s="74" t="str">
        <f t="shared" ca="1" si="12"/>
        <v>NFI400</v>
      </c>
      <c r="G36" s="81"/>
      <c r="H36" s="79"/>
      <c r="I36" s="477"/>
      <c r="J36" s="74" t="str">
        <f t="shared" ca="1" si="13"/>
        <v>Operating  FCF</v>
      </c>
      <c r="K36" s="87">
        <f ca="1">_xll.DBRW($D$1,$D$3,$D$4,$Q$11,$D$5,$D$2,K$3,$F$28,$F36)*K$5</f>
        <v>0</v>
      </c>
      <c r="L36" s="87">
        <f ca="1">_xll.DBRW($D$1,$D$3,$D$4,$Q$11,$D$5,$D$2,L$3,$F$28,$F36)*L$5</f>
        <v>0</v>
      </c>
      <c r="M36" s="87">
        <f ca="1">_xll.DBRW($D$1,$D$3,$D$4,$Q$11,$D$5,$D$2,M$3,$F$28,$F36)*M$5</f>
        <v>0</v>
      </c>
      <c r="N36" s="87">
        <f ca="1">_xll.DBRW($D$1,$D$3,$D$4,$Q$11,$D$5,$D$2,N$3,$F$28,$F36)*N$5</f>
        <v>0</v>
      </c>
      <c r="O36" s="87">
        <f ca="1">_xll.DBRW($D$1,$D$3,$D$4,$Q$11,$D$5,$D$2,O$3,$F$28,$F36)*O$5</f>
        <v>0</v>
      </c>
      <c r="P36" s="87">
        <f ca="1">_xll.DBRW($D$1,$D$3,$D$4,$Q$11,$D$5,$D$2,P$3,$F$28,$F36)*P$5</f>
        <v>0</v>
      </c>
      <c r="Q36" s="87">
        <f ca="1">_xll.DBRW($D$1,$D$3,$D$4,$Q$11,$D$5,$D$2,Q$3,$F$28,$F36)*Q$5</f>
        <v>0</v>
      </c>
      <c r="R36" s="87"/>
      <c r="S36" s="87">
        <f ca="1">_xll.DBRW($D$1,$D$3,$D$4,$Y$11,$D$5,$D$2,S$3,$F$28,$F36)*S$5</f>
        <v>0</v>
      </c>
      <c r="T36" s="87">
        <f ca="1">_xll.DBRW($D$1,$D$3,$D$4,$Y$11,$D$5,$D$2,T$3,$F$28,$F36)*T$5</f>
        <v>0</v>
      </c>
      <c r="U36" s="87">
        <f ca="1">_xll.DBRW($D$1,$D$3,$D$4,$Y$11,$D$5,$D$2,U$3,$F$28,$F36)*U$5</f>
        <v>0</v>
      </c>
      <c r="V36" s="87">
        <f ca="1">_xll.DBRW($D$1,$D$3,$D$4,$Y$11,$D$5,$D$2,V$3,$F$28,$F36)*V$5</f>
        <v>0</v>
      </c>
      <c r="W36" s="87">
        <f ca="1">_xll.DBRW($D$1,$D$3,$D$4,$Y$11,$D$5,$D$2,W$3,$F$28,$F36)*W$5</f>
        <v>0</v>
      </c>
      <c r="X36" s="87">
        <f ca="1">_xll.DBRW($D$1,$D$3,$D$4,$Y$11,$D$5,$D$2,X$3,$F$28,$F36)*X$5</f>
        <v>0</v>
      </c>
      <c r="Y36" s="87">
        <f ca="1">_xll.DBRW($D$1,$D$3,$D$4,$Y$11,$D$5,$D$2,Y$3,$F$28,$F36)*Y$5</f>
        <v>0</v>
      </c>
      <c r="Z36" s="87"/>
      <c r="AA36" s="87">
        <f ca="1">_xll.DBRW($D$1,$D$3,$D$4,$AG$11,$D$5,$D$2,AA$3,$F$28,$F36)*AA$5</f>
        <v>0</v>
      </c>
      <c r="AB36" s="87">
        <f ca="1">_xll.DBRW($D$1,$D$3,$D$4,$AG$11,$D$5,$D$2,AB$3,$F$28,$F36)*AB$5</f>
        <v>0</v>
      </c>
      <c r="AC36" s="87">
        <f ca="1">_xll.DBRW($D$1,$D$3,$D$4,$AG$11,$D$5,$D$2,AC$3,$F$28,$F36)*AC$5</f>
        <v>0</v>
      </c>
      <c r="AD36" s="87">
        <f ca="1">_xll.DBRW($D$1,$D$3,$D$4,$AG$11,$D$5,$D$2,AD$3,$F$28,$F36)*AD$5</f>
        <v>0</v>
      </c>
      <c r="AE36" s="87">
        <f ca="1">_xll.DBRW($D$1,$D$3,$D$4,$AG$11,$D$5,$D$2,AE$3,$F$28,$F36)*AE$5</f>
        <v>0</v>
      </c>
      <c r="AF36" s="87">
        <f ca="1">_xll.DBRW($D$1,$D$3,$D$4,$AG$11,$D$5,$D$2,AF$3,$F$28,$F36)*AF$5</f>
        <v>0</v>
      </c>
      <c r="AG36" s="87">
        <f ca="1">_xll.DBRW($D$1,$D$3,$D$4,$AG$11,$D$5,$D$2,AG$3,$F$28,$F36)*AG$5</f>
        <v>0</v>
      </c>
    </row>
    <row r="37" spans="2:33" ht="15">
      <c r="B37" s="74" t="str">
        <f t="shared" ca="1" si="11"/>
        <v>LTP</v>
      </c>
      <c r="C37" s="74"/>
      <c r="D37" s="74"/>
      <c r="E37" s="74"/>
      <c r="F37" s="74" t="str">
        <f t="shared" ca="1" si="12"/>
        <v>TCI2</v>
      </c>
      <c r="G37" s="81"/>
      <c r="H37" s="79"/>
      <c r="I37" s="477"/>
      <c r="J37" s="74" t="str">
        <f t="shared" ca="1" si="13"/>
        <v>NFD (- = net debt)</v>
      </c>
      <c r="K37" s="87">
        <f ca="1">_xll.DBRW($D$1,$D$3,$D$4,$Q$11,$D$5,$D$2,K$3,$F$28,$F37)*K$5</f>
        <v>0</v>
      </c>
      <c r="L37" s="87">
        <f ca="1">_xll.DBRW($D$1,$D$3,$D$4,$Q$11,$D$5,$D$2,L$3,$F$28,$F37)*L$5</f>
        <v>0</v>
      </c>
      <c r="M37" s="87">
        <f ca="1">_xll.DBRW($D$1,$D$3,$D$4,$Q$11,$D$5,$D$2,M$3,$F$28,$F37)*M$5</f>
        <v>0</v>
      </c>
      <c r="N37" s="87">
        <f ca="1">_xll.DBRW($D$1,$D$3,$D$4,$Q$11,$D$5,$D$2,N$3,$F$28,$F37)*N$5</f>
        <v>0</v>
      </c>
      <c r="O37" s="87">
        <f ca="1">_xll.DBRW($D$1,$D$3,$D$4,$Q$11,$D$5,$D$2,O$3,$F$28,$F37)*O$5</f>
        <v>0</v>
      </c>
      <c r="P37" s="87">
        <f ca="1">_xll.DBRW($D$1,$D$3,$D$4,$Q$11,$D$5,$D$2,P$3,$F$28,$F37)*P$5</f>
        <v>0</v>
      </c>
      <c r="Q37" s="87">
        <f ca="1">_xll.DBRW($D$1,$D$3,$D$4,$Q$11,$D$5,$D$2,Q$3,$F$28,$F37)*Q$5</f>
        <v>0</v>
      </c>
      <c r="R37" s="87"/>
      <c r="S37" s="87">
        <f ca="1">_xll.DBRW($D$1,$D$3,$D$4,$Y$11,$D$5,$D$2,S$3,$F$28,$F37)*S$5</f>
        <v>0</v>
      </c>
      <c r="T37" s="87">
        <f ca="1">_xll.DBRW($D$1,$D$3,$D$4,$Y$11,$D$5,$D$2,T$3,$F$28,$F37)*T$5</f>
        <v>0</v>
      </c>
      <c r="U37" s="87">
        <f ca="1">_xll.DBRW($D$1,$D$3,$D$4,$Y$11,$D$5,$D$2,U$3,$F$28,$F37)*U$5</f>
        <v>0</v>
      </c>
      <c r="V37" s="87">
        <f ca="1">_xll.DBRW($D$1,$D$3,$D$4,$Y$11,$D$5,$D$2,V$3,$F$28,$F37)*V$5</f>
        <v>0</v>
      </c>
      <c r="W37" s="87">
        <f ca="1">_xll.DBRW($D$1,$D$3,$D$4,$Y$11,$D$5,$D$2,W$3,$F$28,$F37)*W$5</f>
        <v>0</v>
      </c>
      <c r="X37" s="87">
        <f ca="1">_xll.DBRW($D$1,$D$3,$D$4,$Y$11,$D$5,$D$2,X$3,$F$28,$F37)*X$5</f>
        <v>0</v>
      </c>
      <c r="Y37" s="87">
        <f ca="1">_xll.DBRW($D$1,$D$3,$D$4,$Y$11,$D$5,$D$2,Y$3,$F$28,$F37)*Y$5</f>
        <v>0</v>
      </c>
      <c r="Z37" s="87"/>
      <c r="AA37" s="87">
        <f ca="1">_xll.DBRW($D$1,$D$3,$D$4,$AG$11,$D$5,$D$2,AA$3,$F$28,$F37)*AA$5</f>
        <v>0</v>
      </c>
      <c r="AB37" s="87">
        <f ca="1">_xll.DBRW($D$1,$D$3,$D$4,$AG$11,$D$5,$D$2,AB$3,$F$28,$F37)*AB$5</f>
        <v>0</v>
      </c>
      <c r="AC37" s="87">
        <f ca="1">_xll.DBRW($D$1,$D$3,$D$4,$AG$11,$D$5,$D$2,AC$3,$F$28,$F37)*AC$5</f>
        <v>0</v>
      </c>
      <c r="AD37" s="87">
        <f ca="1">_xll.DBRW($D$1,$D$3,$D$4,$AG$11,$D$5,$D$2,AD$3,$F$28,$F37)*AD$5</f>
        <v>0</v>
      </c>
      <c r="AE37" s="87">
        <f ca="1">_xll.DBRW($D$1,$D$3,$D$4,$AG$11,$D$5,$D$2,AE$3,$F$28,$F37)*AE$5</f>
        <v>0</v>
      </c>
      <c r="AF37" s="87">
        <f ca="1">_xll.DBRW($D$1,$D$3,$D$4,$AG$11,$D$5,$D$2,AF$3,$F$28,$F37)*AF$5</f>
        <v>0</v>
      </c>
      <c r="AG37" s="87">
        <f ca="1">_xll.DBRW($D$1,$D$3,$D$4,$AG$11,$D$5,$D$2,AG$3,$F$28,$F37)*AG$5</f>
        <v>0</v>
      </c>
    </row>
    <row r="38" spans="2:33" s="215" customFormat="1" ht="15">
      <c r="B38" s="212" t="str">
        <f t="shared" ca="1" si="11"/>
        <v>LTP</v>
      </c>
      <c r="C38" s="212"/>
      <c r="D38" s="212"/>
      <c r="E38" s="212"/>
      <c r="F38" s="212"/>
      <c r="G38" s="213"/>
      <c r="H38" s="214"/>
      <c r="I38" s="477"/>
      <c r="J38" s="212" t="str">
        <f t="shared" ca="1" si="13"/>
        <v>EBIT margin</v>
      </c>
      <c r="K38" s="216" t="str">
        <f ca="1">IFERROR(K31/K29,"-")</f>
        <v>-</v>
      </c>
      <c r="L38" s="216" t="str">
        <f t="shared" ref="L38:Q38" ca="1" si="14">IFERROR(L31/L29,"-")</f>
        <v>-</v>
      </c>
      <c r="M38" s="216" t="str">
        <f t="shared" ca="1" si="14"/>
        <v>-</v>
      </c>
      <c r="N38" s="216" t="str">
        <f t="shared" ca="1" si="14"/>
        <v>-</v>
      </c>
      <c r="O38" s="216" t="str">
        <f t="shared" ca="1" si="14"/>
        <v>-</v>
      </c>
      <c r="P38" s="216" t="str">
        <f t="shared" ca="1" si="14"/>
        <v>-</v>
      </c>
      <c r="Q38" s="216" t="str">
        <f t="shared" ca="1" si="14"/>
        <v>-</v>
      </c>
      <c r="R38" s="216"/>
      <c r="S38" s="216" t="str">
        <f ca="1">IFERROR(S31/S29,"-")</f>
        <v>-</v>
      </c>
      <c r="T38" s="216" t="str">
        <f t="shared" ref="T38:Y38" ca="1" si="15">IFERROR(T31/T29,"-")</f>
        <v>-</v>
      </c>
      <c r="U38" s="216" t="str">
        <f t="shared" ca="1" si="15"/>
        <v>-</v>
      </c>
      <c r="V38" s="216" t="str">
        <f t="shared" ca="1" si="15"/>
        <v>-</v>
      </c>
      <c r="W38" s="216" t="str">
        <f t="shared" ca="1" si="15"/>
        <v>-</v>
      </c>
      <c r="X38" s="216" t="str">
        <f t="shared" ca="1" si="15"/>
        <v>-</v>
      </c>
      <c r="Y38" s="216" t="str">
        <f t="shared" ca="1" si="15"/>
        <v>-</v>
      </c>
      <c r="Z38" s="216"/>
      <c r="AA38" s="216" t="str">
        <f ca="1">IFERROR(AA31/AA29,"-")</f>
        <v>-</v>
      </c>
      <c r="AB38" s="216" t="str">
        <f t="shared" ref="AB38:AG38" ca="1" si="16">IFERROR(AB31/AB29,"-")</f>
        <v>-</v>
      </c>
      <c r="AC38" s="216" t="str">
        <f t="shared" ca="1" si="16"/>
        <v>-</v>
      </c>
      <c r="AD38" s="216" t="str">
        <f t="shared" ca="1" si="16"/>
        <v>-</v>
      </c>
      <c r="AE38" s="216" t="str">
        <f t="shared" ca="1" si="16"/>
        <v>-</v>
      </c>
      <c r="AF38" s="216" t="str">
        <f t="shared" ca="1" si="16"/>
        <v>-</v>
      </c>
      <c r="AG38" s="216" t="str">
        <f t="shared" ca="1" si="16"/>
        <v>-</v>
      </c>
    </row>
    <row r="39" spans="2:33" s="215" customFormat="1" ht="15">
      <c r="B39" s="212"/>
      <c r="C39" s="212"/>
      <c r="D39" s="212"/>
      <c r="E39" s="212"/>
      <c r="F39" s="212"/>
      <c r="G39" s="213"/>
      <c r="H39" s="214"/>
      <c r="I39" s="477"/>
      <c r="J39" s="430" t="s">
        <v>310</v>
      </c>
      <c r="K39" s="431" t="s">
        <v>56</v>
      </c>
      <c r="L39" s="431" t="str">
        <f ca="1">L82</f>
        <v>n/a</v>
      </c>
      <c r="M39" s="431" t="str">
        <f t="shared" ref="M39:Q39" ca="1" si="17">M82</f>
        <v>n/a</v>
      </c>
      <c r="N39" s="431" t="str">
        <f t="shared" ca="1" si="17"/>
        <v>n/a</v>
      </c>
      <c r="O39" s="431" t="str">
        <f t="shared" ca="1" si="17"/>
        <v>n/a</v>
      </c>
      <c r="P39" s="431" t="str">
        <f t="shared" ca="1" si="17"/>
        <v>n/a</v>
      </c>
      <c r="Q39" s="431" t="str">
        <f t="shared" ca="1" si="17"/>
        <v>n/a</v>
      </c>
      <c r="R39" s="216"/>
      <c r="S39" s="431" t="s">
        <v>56</v>
      </c>
      <c r="T39" s="431" t="str">
        <f ca="1">T82</f>
        <v>n/a</v>
      </c>
      <c r="U39" s="431" t="str">
        <f t="shared" ref="U39:Y39" ca="1" si="18">U82</f>
        <v>n/a</v>
      </c>
      <c r="V39" s="431" t="str">
        <f t="shared" ca="1" si="18"/>
        <v>n/a</v>
      </c>
      <c r="W39" s="431" t="str">
        <f t="shared" ca="1" si="18"/>
        <v>n/a</v>
      </c>
      <c r="X39" s="431" t="str">
        <f t="shared" ca="1" si="18"/>
        <v>n/a</v>
      </c>
      <c r="Y39" s="431" t="str">
        <f t="shared" ca="1" si="18"/>
        <v>n/a</v>
      </c>
      <c r="Z39" s="216"/>
      <c r="AA39" s="431" t="s">
        <v>56</v>
      </c>
      <c r="AB39" s="431" t="str">
        <f ca="1">AB82</f>
        <v>n/a</v>
      </c>
      <c r="AC39" s="431" t="str">
        <f t="shared" ref="AC39:AG39" ca="1" si="19">AC82</f>
        <v>n/a</v>
      </c>
      <c r="AD39" s="431" t="str">
        <f t="shared" ca="1" si="19"/>
        <v>n/a</v>
      </c>
      <c r="AE39" s="431" t="str">
        <f t="shared" ca="1" si="19"/>
        <v>n/a</v>
      </c>
      <c r="AF39" s="431" t="str">
        <f t="shared" ca="1" si="19"/>
        <v>n/a</v>
      </c>
      <c r="AG39" s="431" t="str">
        <f t="shared" ca="1" si="19"/>
        <v>n/a</v>
      </c>
    </row>
    <row r="40" spans="2:33" ht="10.5" customHeight="1">
      <c r="B40" s="74"/>
      <c r="C40" s="74"/>
      <c r="D40" s="74"/>
      <c r="E40" s="74"/>
      <c r="F40" s="74"/>
      <c r="G40" s="82"/>
      <c r="H40" s="83"/>
      <c r="I40" s="84"/>
      <c r="J40" s="74"/>
      <c r="K40" s="85"/>
      <c r="L40" s="85"/>
      <c r="M40" s="85"/>
      <c r="N40" s="85"/>
      <c r="O40" s="85"/>
      <c r="P40" s="85"/>
      <c r="S40" s="85"/>
      <c r="T40" s="85"/>
      <c r="U40" s="85"/>
      <c r="V40" s="85"/>
      <c r="W40" s="85"/>
      <c r="X40" s="85"/>
      <c r="AA40" s="85"/>
      <c r="AB40" s="85"/>
      <c r="AC40" s="85"/>
      <c r="AD40" s="85"/>
      <c r="AE40" s="85"/>
      <c r="AF40" s="85"/>
    </row>
    <row r="41" spans="2:33" ht="28.5" customHeight="1">
      <c r="F41" s="78"/>
      <c r="G41" s="76"/>
      <c r="H41" s="79"/>
      <c r="I41" s="477" t="s">
        <v>61</v>
      </c>
      <c r="J41" s="228" t="str">
        <f ca="1">+J15</f>
        <v>MEUR</v>
      </c>
      <c r="K41" s="229" t="str">
        <f t="shared" ref="K41:Q41" ca="1" si="20">RIGHT(K3,4)</f>
        <v>2023</v>
      </c>
      <c r="L41" s="229" t="str">
        <f t="shared" ca="1" si="20"/>
        <v>2024</v>
      </c>
      <c r="M41" s="229" t="str">
        <f t="shared" ca="1" si="20"/>
        <v>2025</v>
      </c>
      <c r="N41" s="229" t="str">
        <f t="shared" ca="1" si="20"/>
        <v>2026</v>
      </c>
      <c r="O41" s="229" t="str">
        <f t="shared" ca="1" si="20"/>
        <v>2027</v>
      </c>
      <c r="P41" s="229" t="str">
        <f t="shared" ca="1" si="20"/>
        <v>2028</v>
      </c>
      <c r="Q41" s="229" t="str">
        <f t="shared" ca="1" si="20"/>
        <v>2029</v>
      </c>
      <c r="R41" s="80"/>
      <c r="S41" s="229" t="str">
        <f t="shared" ref="S41:Y41" ca="1" si="21">RIGHT(S3,4)</f>
        <v>2023</v>
      </c>
      <c r="T41" s="229" t="str">
        <f t="shared" ca="1" si="21"/>
        <v>2024</v>
      </c>
      <c r="U41" s="229" t="str">
        <f t="shared" ca="1" si="21"/>
        <v>2025</v>
      </c>
      <c r="V41" s="229" t="str">
        <f t="shared" ca="1" si="21"/>
        <v>2026</v>
      </c>
      <c r="W41" s="229" t="str">
        <f t="shared" ca="1" si="21"/>
        <v>2027</v>
      </c>
      <c r="X41" s="229" t="str">
        <f t="shared" ca="1" si="21"/>
        <v>2028</v>
      </c>
      <c r="Y41" s="229" t="str">
        <f t="shared" ca="1" si="21"/>
        <v>2029</v>
      </c>
      <c r="Z41" s="80"/>
      <c r="AA41" s="229" t="str">
        <f t="shared" ref="AA41:AG41" ca="1" si="22">RIGHT(AA3,4)</f>
        <v>2023</v>
      </c>
      <c r="AB41" s="229" t="str">
        <f t="shared" ca="1" si="22"/>
        <v>2024</v>
      </c>
      <c r="AC41" s="229" t="str">
        <f t="shared" ca="1" si="22"/>
        <v>2025</v>
      </c>
      <c r="AD41" s="229" t="str">
        <f t="shared" ca="1" si="22"/>
        <v>2026</v>
      </c>
      <c r="AE41" s="229" t="str">
        <f t="shared" ca="1" si="22"/>
        <v>2027</v>
      </c>
      <c r="AF41" s="229" t="str">
        <f t="shared" ca="1" si="22"/>
        <v>2028</v>
      </c>
      <c r="AG41" s="229" t="str">
        <f t="shared" ca="1" si="22"/>
        <v>2029</v>
      </c>
    </row>
    <row r="42" spans="2:33" ht="15">
      <c r="B42" s="74"/>
      <c r="D42" s="74"/>
      <c r="E42" s="74"/>
      <c r="F42" s="74"/>
      <c r="G42" s="81"/>
      <c r="H42" s="79"/>
      <c r="I42" s="477"/>
      <c r="J42" s="74" t="str">
        <f t="shared" ref="J42:J52" ca="1" si="23">J29</f>
        <v>REVENUE</v>
      </c>
      <c r="K42" s="87">
        <f t="shared" ref="K42:Q52" ca="1" si="24">IFERROR(K29-K16,"-")</f>
        <v>-9336.3567091770001</v>
      </c>
      <c r="L42" s="87">
        <f t="shared" ca="1" si="24"/>
        <v>-10007.033025344426</v>
      </c>
      <c r="M42" s="87">
        <f t="shared" ca="1" si="24"/>
        <v>-10565.535610686065</v>
      </c>
      <c r="N42" s="87">
        <f t="shared" ca="1" si="24"/>
        <v>-11087.858940855507</v>
      </c>
      <c r="O42" s="87">
        <f t="shared" ca="1" si="24"/>
        <v>-11489.43699757781</v>
      </c>
      <c r="P42" s="87">
        <f t="shared" ca="1" si="24"/>
        <v>-11890.13256652376</v>
      </c>
      <c r="Q42" s="87" t="str">
        <f t="shared" ca="1" si="24"/>
        <v>-</v>
      </c>
      <c r="R42" s="194"/>
      <c r="S42" s="87">
        <f t="shared" ref="S42:Y52" ca="1" si="25">IFERROR(S29-S16,"-")</f>
        <v>-8317.7889792469996</v>
      </c>
      <c r="T42" s="87">
        <f t="shared" ca="1" si="25"/>
        <v>-8082.0153481580792</v>
      </c>
      <c r="U42" s="87">
        <f t="shared" ca="1" si="25"/>
        <v>-8089.6996558471737</v>
      </c>
      <c r="V42" s="87">
        <f t="shared" ca="1" si="25"/>
        <v>-8096.3655919892353</v>
      </c>
      <c r="W42" s="87">
        <f t="shared" ca="1" si="25"/>
        <v>-8028.1069206438433</v>
      </c>
      <c r="X42" s="87">
        <f t="shared" ca="1" si="25"/>
        <v>-8108.254555161775</v>
      </c>
      <c r="Y42" s="87" t="str">
        <f t="shared" ca="1" si="25"/>
        <v>-</v>
      </c>
      <c r="Z42" s="194"/>
      <c r="AA42" s="87">
        <f t="shared" ref="AA42:AG52" ca="1" si="26">IFERROR(AA29-AA16,"-")</f>
        <v>-1018.56772993</v>
      </c>
      <c r="AB42" s="87">
        <f t="shared" ca="1" si="26"/>
        <v>-1925.0176771863478</v>
      </c>
      <c r="AC42" s="87">
        <f t="shared" ca="1" si="26"/>
        <v>-2475.8359548388935</v>
      </c>
      <c r="AD42" s="87">
        <f t="shared" ca="1" si="26"/>
        <v>-2991.4933488662746</v>
      </c>
      <c r="AE42" s="87">
        <f t="shared" ca="1" si="26"/>
        <v>-3461.3300769339662</v>
      </c>
      <c r="AF42" s="87">
        <f t="shared" ca="1" si="26"/>
        <v>-3781.8780113619841</v>
      </c>
      <c r="AG42" s="87" t="str">
        <f t="shared" ca="1" si="26"/>
        <v>-</v>
      </c>
    </row>
    <row r="43" spans="2:33" ht="15">
      <c r="B43" s="74"/>
      <c r="C43" s="74"/>
      <c r="D43" s="74"/>
      <c r="E43" s="74"/>
      <c r="F43" s="74"/>
      <c r="G43" s="81"/>
      <c r="H43" s="79"/>
      <c r="I43" s="477"/>
      <c r="J43" s="74" t="str">
        <f t="shared" ca="1" si="23"/>
        <v>CAFOP Bef MF</v>
      </c>
      <c r="K43" s="87">
        <f t="shared" ca="1" si="24"/>
        <v>-562.52262646500196</v>
      </c>
      <c r="L43" s="87">
        <f t="shared" ca="1" si="24"/>
        <v>-668.30367387082219</v>
      </c>
      <c r="M43" s="87">
        <f t="shared" ca="1" si="24"/>
        <v>-778.91206281664427</v>
      </c>
      <c r="N43" s="87">
        <f t="shared" ca="1" si="24"/>
        <v>-894.61140201473427</v>
      </c>
      <c r="O43" s="87">
        <f t="shared" ca="1" si="24"/>
        <v>-974.81142007699373</v>
      </c>
      <c r="P43" s="87">
        <f t="shared" ca="1" si="24"/>
        <v>-1024.9100446380048</v>
      </c>
      <c r="Q43" s="87" t="str">
        <f t="shared" ca="1" si="24"/>
        <v>-</v>
      </c>
      <c r="R43" s="194"/>
      <c r="S43" s="87">
        <f t="shared" ca="1" si="25"/>
        <v>-554.80118850500185</v>
      </c>
      <c r="T43" s="87">
        <f t="shared" ca="1" si="25"/>
        <v>-585.01196235861414</v>
      </c>
      <c r="U43" s="87">
        <f t="shared" ca="1" si="25"/>
        <v>-621.50291509785143</v>
      </c>
      <c r="V43" s="87">
        <f t="shared" ca="1" si="25"/>
        <v>-650.07580496242417</v>
      </c>
      <c r="W43" s="87">
        <f t="shared" ca="1" si="25"/>
        <v>-658.94621426882884</v>
      </c>
      <c r="X43" s="87">
        <f t="shared" ca="1" si="25"/>
        <v>-662.02030021855376</v>
      </c>
      <c r="Y43" s="87" t="str">
        <f t="shared" ca="1" si="25"/>
        <v>-</v>
      </c>
      <c r="Z43" s="194"/>
      <c r="AA43" s="87">
        <f t="shared" ca="1" si="26"/>
        <v>-7.7214379600001166</v>
      </c>
      <c r="AB43" s="87">
        <f t="shared" ca="1" si="26"/>
        <v>-83.291711512208394</v>
      </c>
      <c r="AC43" s="87">
        <f t="shared" ca="1" si="26"/>
        <v>-157.40914771879284</v>
      </c>
      <c r="AD43" s="87">
        <f t="shared" ca="1" si="26"/>
        <v>-244.53559705230987</v>
      </c>
      <c r="AE43" s="87">
        <f t="shared" ca="1" si="26"/>
        <v>-315.86520580816477</v>
      </c>
      <c r="AF43" s="87">
        <f t="shared" ca="1" si="26"/>
        <v>-362.88974441945106</v>
      </c>
      <c r="AG43" s="87" t="str">
        <f t="shared" ca="1" si="26"/>
        <v>-</v>
      </c>
    </row>
    <row r="44" spans="2:33" ht="15">
      <c r="B44" s="74"/>
      <c r="C44" s="74"/>
      <c r="D44" s="74"/>
      <c r="E44" s="74"/>
      <c r="F44" s="74"/>
      <c r="G44" s="81"/>
      <c r="H44" s="79"/>
      <c r="I44" s="477"/>
      <c r="J44" s="74" t="str">
        <f t="shared" ca="1" si="23"/>
        <v>EBIT Bef Mfees</v>
      </c>
      <c r="K44" s="87">
        <f t="shared" ca="1" si="24"/>
        <v>-93.59423434200184</v>
      </c>
      <c r="L44" s="87">
        <f t="shared" ca="1" si="24"/>
        <v>-170.00142337080277</v>
      </c>
      <c r="M44" s="87">
        <f t="shared" ca="1" si="24"/>
        <v>-240.6413909634108</v>
      </c>
      <c r="N44" s="87">
        <f t="shared" ca="1" si="24"/>
        <v>-320.11269678893484</v>
      </c>
      <c r="O44" s="87">
        <f t="shared" ca="1" si="24"/>
        <v>-381.85471024361482</v>
      </c>
      <c r="P44" s="87">
        <f t="shared" ca="1" si="24"/>
        <v>-426.10151987527053</v>
      </c>
      <c r="Q44" s="87" t="str">
        <f t="shared" ca="1" si="24"/>
        <v>-</v>
      </c>
      <c r="R44" s="194"/>
      <c r="S44" s="87">
        <f t="shared" ca="1" si="25"/>
        <v>-98.035416820001757</v>
      </c>
      <c r="T44" s="87">
        <f t="shared" ca="1" si="25"/>
        <v>-138.03111975753444</v>
      </c>
      <c r="U44" s="87">
        <f t="shared" ca="1" si="25"/>
        <v>-178.89922923529969</v>
      </c>
      <c r="V44" s="87">
        <f t="shared" ca="1" si="25"/>
        <v>-194.20225957331351</v>
      </c>
      <c r="W44" s="87">
        <f t="shared" ca="1" si="25"/>
        <v>-200.60647770593093</v>
      </c>
      <c r="X44" s="87">
        <f t="shared" ca="1" si="25"/>
        <v>-213.47672714992979</v>
      </c>
      <c r="Y44" s="87" t="str">
        <f t="shared" ca="1" si="25"/>
        <v>-</v>
      </c>
      <c r="Z44" s="194"/>
      <c r="AA44" s="87">
        <f t="shared" ca="1" si="26"/>
        <v>4.4411824779998792</v>
      </c>
      <c r="AB44" s="87">
        <f t="shared" ca="1" si="26"/>
        <v>-31.970303613268282</v>
      </c>
      <c r="AC44" s="87">
        <f t="shared" ca="1" si="26"/>
        <v>-61.742161728111228</v>
      </c>
      <c r="AD44" s="87">
        <f t="shared" ca="1" si="26"/>
        <v>-125.9104372156213</v>
      </c>
      <c r="AE44" s="87">
        <f t="shared" ca="1" si="26"/>
        <v>-181.24823253768386</v>
      </c>
      <c r="AF44" s="87">
        <f t="shared" ca="1" si="26"/>
        <v>-212.62479272534077</v>
      </c>
      <c r="AG44" s="87" t="str">
        <f t="shared" ca="1" si="26"/>
        <v>-</v>
      </c>
    </row>
    <row r="45" spans="2:33" ht="15">
      <c r="B45" s="74"/>
      <c r="C45" s="74"/>
      <c r="D45" s="74"/>
      <c r="E45" s="74"/>
      <c r="F45" s="74"/>
      <c r="G45" s="81"/>
      <c r="H45" s="79"/>
      <c r="I45" s="477"/>
      <c r="J45" s="74" t="str">
        <f t="shared" ca="1" si="23"/>
        <v>Net Result</v>
      </c>
      <c r="K45" s="87">
        <f t="shared" ca="1" si="24"/>
        <v>-1.0176601200017175</v>
      </c>
      <c r="L45" s="87">
        <f t="shared" ca="1" si="24"/>
        <v>-46.028738526082101</v>
      </c>
      <c r="M45" s="87">
        <f t="shared" ca="1" si="24"/>
        <v>-100.93013107971051</v>
      </c>
      <c r="N45" s="87">
        <f t="shared" ca="1" si="24"/>
        <v>-158.66565317150256</v>
      </c>
      <c r="O45" s="87">
        <f t="shared" ca="1" si="24"/>
        <v>-200.91473071568603</v>
      </c>
      <c r="P45" s="87">
        <f t="shared" ca="1" si="24"/>
        <v>-237.95550767304218</v>
      </c>
      <c r="Q45" s="87" t="str">
        <f t="shared" ca="1" si="24"/>
        <v>-</v>
      </c>
      <c r="R45" s="194"/>
      <c r="S45" s="87">
        <f t="shared" ca="1" si="25"/>
        <v>-29.47778420400163</v>
      </c>
      <c r="T45" s="87">
        <f t="shared" ca="1" si="25"/>
        <v>-58.217746706537362</v>
      </c>
      <c r="U45" s="87">
        <f t="shared" ca="1" si="25"/>
        <v>-93.660190944276749</v>
      </c>
      <c r="V45" s="87">
        <f t="shared" ca="1" si="25"/>
        <v>-106.40392629822075</v>
      </c>
      <c r="W45" s="87">
        <f t="shared" ca="1" si="25"/>
        <v>-116.06216261403048</v>
      </c>
      <c r="X45" s="87">
        <f t="shared" ca="1" si="25"/>
        <v>-131.83228485173217</v>
      </c>
      <c r="Y45" s="87" t="str">
        <f t="shared" ca="1" si="25"/>
        <v>-</v>
      </c>
      <c r="Z45" s="194"/>
      <c r="AA45" s="87">
        <f t="shared" ca="1" si="26"/>
        <v>28.460124083999922</v>
      </c>
      <c r="AB45" s="87">
        <f t="shared" ca="1" si="26"/>
        <v>12.189008180455247</v>
      </c>
      <c r="AC45" s="87">
        <f t="shared" ca="1" si="26"/>
        <v>-7.2699401354337123</v>
      </c>
      <c r="AD45" s="87">
        <f t="shared" ca="1" si="26"/>
        <v>-52.261726873282008</v>
      </c>
      <c r="AE45" s="87">
        <f t="shared" ca="1" si="26"/>
        <v>-84.852568101655748</v>
      </c>
      <c r="AF45" s="87">
        <f t="shared" ca="1" si="26"/>
        <v>-106.12322282131005</v>
      </c>
      <c r="AG45" s="87" t="str">
        <f t="shared" ca="1" si="26"/>
        <v>-</v>
      </c>
    </row>
    <row r="46" spans="2:33" ht="15">
      <c r="B46" s="74"/>
      <c r="C46" s="74"/>
      <c r="D46" s="74"/>
      <c r="E46" s="74"/>
      <c r="F46" s="74"/>
      <c r="G46" s="81"/>
      <c r="H46" s="79"/>
      <c r="I46" s="477"/>
      <c r="J46" s="74" t="str">
        <f t="shared" ca="1" si="23"/>
        <v>CHANGE IN WC</v>
      </c>
      <c r="K46" s="87">
        <f t="shared" ca="1" si="24"/>
        <v>164.27666008599994</v>
      </c>
      <c r="L46" s="87">
        <f t="shared" ca="1" si="24"/>
        <v>49.059005375290305</v>
      </c>
      <c r="M46" s="87">
        <f t="shared" ca="1" si="24"/>
        <v>21.512631850375634</v>
      </c>
      <c r="N46" s="87">
        <f t="shared" ca="1" si="24"/>
        <v>29.262136768931775</v>
      </c>
      <c r="O46" s="87">
        <f t="shared" ca="1" si="24"/>
        <v>18.361376631587362</v>
      </c>
      <c r="P46" s="87">
        <f t="shared" ca="1" si="24"/>
        <v>25.143209969471801</v>
      </c>
      <c r="Q46" s="87" t="str">
        <f t="shared" ca="1" si="24"/>
        <v>-</v>
      </c>
      <c r="R46" s="194"/>
      <c r="S46" s="87">
        <f t="shared" ca="1" si="25"/>
        <v>158.50167468499993</v>
      </c>
      <c r="T46" s="87">
        <f t="shared" ca="1" si="25"/>
        <v>31.745354989857741</v>
      </c>
      <c r="U46" s="87">
        <f t="shared" ca="1" si="25"/>
        <v>10.920794190190946</v>
      </c>
      <c r="V46" s="87">
        <f t="shared" ca="1" si="25"/>
        <v>10.74054959832716</v>
      </c>
      <c r="W46" s="87">
        <f t="shared" ca="1" si="25"/>
        <v>3.4027943597850401</v>
      </c>
      <c r="X46" s="87">
        <f t="shared" ca="1" si="25"/>
        <v>4.6924661437028687</v>
      </c>
      <c r="Y46" s="87" t="str">
        <f t="shared" ca="1" si="25"/>
        <v>-</v>
      </c>
      <c r="Z46" s="194"/>
      <c r="AA46" s="87">
        <f t="shared" ca="1" si="26"/>
        <v>5.7749854010000004</v>
      </c>
      <c r="AB46" s="87">
        <f t="shared" ca="1" si="26"/>
        <v>17.313650385432567</v>
      </c>
      <c r="AC46" s="87">
        <f t="shared" ca="1" si="26"/>
        <v>10.591837660184691</v>
      </c>
      <c r="AD46" s="87">
        <f t="shared" ca="1" si="26"/>
        <v>18.521587170604619</v>
      </c>
      <c r="AE46" s="87">
        <f t="shared" ca="1" si="26"/>
        <v>14.958582271802319</v>
      </c>
      <c r="AF46" s="87">
        <f t="shared" ca="1" si="26"/>
        <v>20.450743825768932</v>
      </c>
      <c r="AG46" s="87" t="str">
        <f t="shared" ca="1" si="26"/>
        <v>-</v>
      </c>
    </row>
    <row r="47" spans="2:33" s="222" customFormat="1" ht="15">
      <c r="B47" s="217"/>
      <c r="C47" s="217"/>
      <c r="D47" s="217"/>
      <c r="E47" s="217"/>
      <c r="F47" s="217"/>
      <c r="G47" s="218"/>
      <c r="H47" s="219"/>
      <c r="I47" s="477"/>
      <c r="J47" s="74" t="str">
        <f t="shared" ca="1" si="23"/>
        <v>Net INDUS CAPEX</v>
      </c>
      <c r="K47" s="87">
        <f t="shared" ca="1" si="24"/>
        <v>459.27112375299993</v>
      </c>
      <c r="L47" s="87">
        <f t="shared" ca="1" si="24"/>
        <v>577.77331373549896</v>
      </c>
      <c r="M47" s="87">
        <f t="shared" ca="1" si="24"/>
        <v>637.11969231506305</v>
      </c>
      <c r="N47" s="87">
        <f t="shared" ca="1" si="24"/>
        <v>566.00092165505157</v>
      </c>
      <c r="O47" s="87">
        <f t="shared" ca="1" si="24"/>
        <v>601.77831678228347</v>
      </c>
      <c r="P47" s="87">
        <f t="shared" ca="1" si="24"/>
        <v>605.63064108470644</v>
      </c>
      <c r="Q47" s="87" t="str">
        <f t="shared" ca="1" si="24"/>
        <v>-</v>
      </c>
      <c r="R47" s="87"/>
      <c r="S47" s="87">
        <f t="shared" ca="1" si="25"/>
        <v>436.04250331499992</v>
      </c>
      <c r="T47" s="87">
        <f t="shared" ca="1" si="25"/>
        <v>363.95763872944019</v>
      </c>
      <c r="U47" s="87">
        <f t="shared" ca="1" si="25"/>
        <v>332.4976065924053</v>
      </c>
      <c r="V47" s="87">
        <f t="shared" ca="1" si="25"/>
        <v>377.20019288163155</v>
      </c>
      <c r="W47" s="87">
        <f t="shared" ca="1" si="25"/>
        <v>344.4737773262629</v>
      </c>
      <c r="X47" s="87">
        <f t="shared" ca="1" si="25"/>
        <v>325.42580428228393</v>
      </c>
      <c r="Y47" s="87" t="str">
        <f t="shared" ca="1" si="25"/>
        <v>-</v>
      </c>
      <c r="Z47" s="87"/>
      <c r="AA47" s="87">
        <f t="shared" ca="1" si="26"/>
        <v>23.228620438</v>
      </c>
      <c r="AB47" s="87">
        <f t="shared" ca="1" si="26"/>
        <v>213.8156750060588</v>
      </c>
      <c r="AC47" s="87">
        <f t="shared" ca="1" si="26"/>
        <v>304.62208572265774</v>
      </c>
      <c r="AD47" s="87">
        <f t="shared" ca="1" si="26"/>
        <v>188.80072877342016</v>
      </c>
      <c r="AE47" s="87">
        <f t="shared" ca="1" si="26"/>
        <v>257.30453945602056</v>
      </c>
      <c r="AF47" s="87">
        <f t="shared" ca="1" si="26"/>
        <v>280.20483680242251</v>
      </c>
      <c r="AG47" s="87" t="str">
        <f t="shared" ca="1" si="26"/>
        <v>-</v>
      </c>
    </row>
    <row r="48" spans="2:33" ht="15">
      <c r="B48" s="74"/>
      <c r="C48" s="74"/>
      <c r="D48" s="74"/>
      <c r="E48" s="74"/>
      <c r="F48" s="74"/>
      <c r="G48" s="81"/>
      <c r="H48" s="79"/>
      <c r="I48" s="477"/>
      <c r="J48" s="74" t="str">
        <f t="shared" ca="1" si="23"/>
        <v>Net FINAN CAPEX</v>
      </c>
      <c r="K48" s="87">
        <f t="shared" ca="1" si="24"/>
        <v>464.01606399899998</v>
      </c>
      <c r="L48" s="87">
        <f t="shared" ca="1" si="24"/>
        <v>120.88804677596387</v>
      </c>
      <c r="M48" s="87">
        <f t="shared" ca="1" si="24"/>
        <v>58.581125691467022</v>
      </c>
      <c r="N48" s="87">
        <f t="shared" ca="1" si="24"/>
        <v>60.149258465121946</v>
      </c>
      <c r="O48" s="87">
        <f t="shared" ca="1" si="24"/>
        <v>25.669535710019904</v>
      </c>
      <c r="P48" s="87">
        <f t="shared" ca="1" si="24"/>
        <v>23.899620028201724</v>
      </c>
      <c r="Q48" s="87" t="str">
        <f t="shared" ca="1" si="24"/>
        <v>-</v>
      </c>
      <c r="R48" s="194"/>
      <c r="S48" s="87">
        <f t="shared" ca="1" si="25"/>
        <v>-0.77486084100000596</v>
      </c>
      <c r="T48" s="87">
        <f t="shared" ca="1" si="25"/>
        <v>-6.4689318181818181E-2</v>
      </c>
      <c r="U48" s="87">
        <f t="shared" ca="1" si="25"/>
        <v>0.44527227272727271</v>
      </c>
      <c r="V48" s="87">
        <f t="shared" ca="1" si="25"/>
        <v>-1.4675745454545452</v>
      </c>
      <c r="W48" s="87">
        <f t="shared" ca="1" si="25"/>
        <v>-1.4779095454545454</v>
      </c>
      <c r="X48" s="87">
        <f t="shared" ca="1" si="25"/>
        <v>-1.6478252272727272</v>
      </c>
      <c r="Y48" s="87" t="str">
        <f t="shared" ca="1" si="25"/>
        <v>-</v>
      </c>
      <c r="Z48" s="194"/>
      <c r="AA48" s="87">
        <f t="shared" ca="1" si="26"/>
        <v>464.79092484</v>
      </c>
      <c r="AB48" s="87">
        <f t="shared" ca="1" si="26"/>
        <v>120.95273609414568</v>
      </c>
      <c r="AC48" s="87">
        <f t="shared" ca="1" si="26"/>
        <v>58.135853418739757</v>
      </c>
      <c r="AD48" s="87">
        <f t="shared" ca="1" si="26"/>
        <v>61.616833010576492</v>
      </c>
      <c r="AE48" s="87">
        <f t="shared" ca="1" si="26"/>
        <v>27.147445255474452</v>
      </c>
      <c r="AF48" s="87">
        <f t="shared" ca="1" si="26"/>
        <v>25.54744525547445</v>
      </c>
      <c r="AG48" s="87" t="str">
        <f t="shared" ca="1" si="26"/>
        <v>-</v>
      </c>
    </row>
    <row r="49" spans="2:33" ht="15">
      <c r="B49" s="74"/>
      <c r="C49" s="74"/>
      <c r="D49" s="74"/>
      <c r="E49" s="74"/>
      <c r="F49" s="74"/>
      <c r="G49" s="81"/>
      <c r="H49" s="79"/>
      <c r="I49" s="477"/>
      <c r="J49" s="74" t="str">
        <f t="shared" ca="1" si="23"/>
        <v>Operating  FCF</v>
      </c>
      <c r="K49" s="87">
        <f t="shared" ca="1" si="24"/>
        <v>539.06304842099712</v>
      </c>
      <c r="L49" s="87">
        <f t="shared" ca="1" si="24"/>
        <v>98.376151236585102</v>
      </c>
      <c r="M49" s="87">
        <f t="shared" ca="1" si="24"/>
        <v>-32.224863245515166</v>
      </c>
      <c r="N49" s="87">
        <f t="shared" ca="1" si="24"/>
        <v>-187.23339718451436</v>
      </c>
      <c r="O49" s="87">
        <f t="shared" ca="1" si="24"/>
        <v>-253.83960663720299</v>
      </c>
      <c r="P49" s="87">
        <f t="shared" ca="1" si="24"/>
        <v>-282.67023736993877</v>
      </c>
      <c r="Q49" s="87" t="str">
        <f t="shared" ca="1" si="24"/>
        <v>-</v>
      </c>
      <c r="R49" s="194"/>
      <c r="S49" s="87">
        <f t="shared" ca="1" si="25"/>
        <v>52.422014095997255</v>
      </c>
      <c r="T49" s="87">
        <f t="shared" ca="1" si="25"/>
        <v>-171.32329161068287</v>
      </c>
      <c r="U49" s="87">
        <f t="shared" ca="1" si="25"/>
        <v>-249.60336267573382</v>
      </c>
      <c r="V49" s="87">
        <f t="shared" ca="1" si="25"/>
        <v>-228.31913800074992</v>
      </c>
      <c r="W49" s="87">
        <f t="shared" ca="1" si="25"/>
        <v>-273.77503875030231</v>
      </c>
      <c r="X49" s="87">
        <f t="shared" ca="1" si="25"/>
        <v>-290.80694754323702</v>
      </c>
      <c r="Y49" s="87" t="str">
        <f t="shared" ca="1" si="25"/>
        <v>-</v>
      </c>
      <c r="Z49" s="194"/>
      <c r="AA49" s="87">
        <f t="shared" ca="1" si="26"/>
        <v>486.64103432499991</v>
      </c>
      <c r="AB49" s="87">
        <f t="shared" ca="1" si="26"/>
        <v>269.69944284726796</v>
      </c>
      <c r="AC49" s="87">
        <f t="shared" ca="1" si="26"/>
        <v>217.37849943021854</v>
      </c>
      <c r="AD49" s="87">
        <f t="shared" ca="1" si="26"/>
        <v>41.085740816235585</v>
      </c>
      <c r="AE49" s="87">
        <f t="shared" ca="1" si="26"/>
        <v>19.935432113099235</v>
      </c>
      <c r="AF49" s="87">
        <f t="shared" ca="1" si="26"/>
        <v>8.1367101732978959</v>
      </c>
      <c r="AG49" s="87" t="str">
        <f t="shared" ca="1" si="26"/>
        <v>-</v>
      </c>
    </row>
    <row r="50" spans="2:33" ht="15">
      <c r="B50" s="74"/>
      <c r="C50" s="74"/>
      <c r="D50" s="74"/>
      <c r="E50" s="74"/>
      <c r="F50" s="74"/>
      <c r="G50" s="81"/>
      <c r="H50" s="79"/>
      <c r="I50" s="477"/>
      <c r="J50" s="74" t="str">
        <f t="shared" ca="1" si="23"/>
        <v>NFD (- = net debt)</v>
      </c>
      <c r="K50" s="87">
        <f t="shared" ca="1" si="24"/>
        <v>1896.8634405270006</v>
      </c>
      <c r="L50" s="87">
        <f t="shared" ca="1" si="24"/>
        <v>2077.3124594048768</v>
      </c>
      <c r="M50" s="87">
        <f t="shared" ca="1" si="24"/>
        <v>2155.8249551561162</v>
      </c>
      <c r="N50" s="87">
        <f t="shared" ca="1" si="24"/>
        <v>2107.454042852868</v>
      </c>
      <c r="O50" s="87">
        <f t="shared" ca="1" si="24"/>
        <v>2018.4113095514424</v>
      </c>
      <c r="P50" s="87">
        <f t="shared" ca="1" si="24"/>
        <v>1917.1650366990805</v>
      </c>
      <c r="Q50" s="87" t="str">
        <f t="shared" ca="1" si="24"/>
        <v>-</v>
      </c>
      <c r="R50" s="194"/>
      <c r="S50" s="87">
        <f t="shared" ca="1" si="25"/>
        <v>1375.4991704580007</v>
      </c>
      <c r="T50" s="87">
        <f t="shared" ca="1" si="25"/>
        <v>1250.2778287879626</v>
      </c>
      <c r="U50" s="87">
        <f t="shared" ca="1" si="25"/>
        <v>1064.3556004494144</v>
      </c>
      <c r="V50" s="87">
        <f t="shared" ca="1" si="25"/>
        <v>921.80292631155476</v>
      </c>
      <c r="W50" s="87">
        <f t="shared" ca="1" si="25"/>
        <v>757.4770545581689</v>
      </c>
      <c r="X50" s="87">
        <f t="shared" ca="1" si="25"/>
        <v>591.6267065288406</v>
      </c>
      <c r="Y50" s="87" t="str">
        <f t="shared" ca="1" si="25"/>
        <v>-</v>
      </c>
      <c r="Z50" s="194"/>
      <c r="AA50" s="87">
        <f t="shared" ca="1" si="26"/>
        <v>521.36427006899999</v>
      </c>
      <c r="AB50" s="87">
        <f t="shared" ca="1" si="26"/>
        <v>827.03463061691446</v>
      </c>
      <c r="AC50" s="87">
        <f t="shared" ca="1" si="26"/>
        <v>1091.4693547067018</v>
      </c>
      <c r="AD50" s="87">
        <f t="shared" ca="1" si="26"/>
        <v>1185.6511165413135</v>
      </c>
      <c r="AE50" s="87">
        <f t="shared" ca="1" si="26"/>
        <v>1260.9342549932737</v>
      </c>
      <c r="AF50" s="87">
        <f t="shared" ca="1" si="26"/>
        <v>1325.5383301702398</v>
      </c>
      <c r="AG50" s="87" t="str">
        <f t="shared" ca="1" si="26"/>
        <v>-</v>
      </c>
    </row>
    <row r="51" spans="2:33" s="215" customFormat="1" ht="15">
      <c r="B51" s="212"/>
      <c r="C51" s="212"/>
      <c r="D51" s="212"/>
      <c r="E51" s="212"/>
      <c r="F51" s="212"/>
      <c r="G51" s="213"/>
      <c r="H51" s="214"/>
      <c r="I51" s="477"/>
      <c r="J51" s="212" t="str">
        <f t="shared" ca="1" si="23"/>
        <v>EBIT margin</v>
      </c>
      <c r="K51" s="216" t="str">
        <f t="shared" ca="1" si="24"/>
        <v>-</v>
      </c>
      <c r="L51" s="216" t="str">
        <f t="shared" ca="1" si="24"/>
        <v>-</v>
      </c>
      <c r="M51" s="216" t="str">
        <f t="shared" ca="1" si="24"/>
        <v>-</v>
      </c>
      <c r="N51" s="216" t="str">
        <f t="shared" ca="1" si="24"/>
        <v>-</v>
      </c>
      <c r="O51" s="216" t="str">
        <f t="shared" ca="1" si="24"/>
        <v>-</v>
      </c>
      <c r="P51" s="216" t="str">
        <f t="shared" ca="1" si="24"/>
        <v>-</v>
      </c>
      <c r="Q51" s="216" t="str">
        <f t="shared" ca="1" si="24"/>
        <v>-</v>
      </c>
      <c r="S51" s="216" t="str">
        <f t="shared" ca="1" si="25"/>
        <v>-</v>
      </c>
      <c r="T51" s="216" t="str">
        <f t="shared" ca="1" si="25"/>
        <v>-</v>
      </c>
      <c r="U51" s="216" t="str">
        <f t="shared" ca="1" si="25"/>
        <v>-</v>
      </c>
      <c r="V51" s="216" t="str">
        <f t="shared" ca="1" si="25"/>
        <v>-</v>
      </c>
      <c r="W51" s="216" t="str">
        <f t="shared" ca="1" si="25"/>
        <v>-</v>
      </c>
      <c r="X51" s="216" t="str">
        <f t="shared" ca="1" si="25"/>
        <v>-</v>
      </c>
      <c r="Y51" s="216" t="str">
        <f t="shared" ca="1" si="25"/>
        <v>-</v>
      </c>
      <c r="AA51" s="216" t="str">
        <f t="shared" ca="1" si="26"/>
        <v>-</v>
      </c>
      <c r="AB51" s="216" t="str">
        <f t="shared" ca="1" si="26"/>
        <v>-</v>
      </c>
      <c r="AC51" s="216" t="str">
        <f t="shared" ca="1" si="26"/>
        <v>-</v>
      </c>
      <c r="AD51" s="216" t="str">
        <f t="shared" ca="1" si="26"/>
        <v>-</v>
      </c>
      <c r="AE51" s="216" t="str">
        <f t="shared" ca="1" si="26"/>
        <v>-</v>
      </c>
      <c r="AF51" s="216" t="str">
        <f t="shared" ca="1" si="26"/>
        <v>-</v>
      </c>
      <c r="AG51" s="216" t="str">
        <f t="shared" ca="1" si="26"/>
        <v>-</v>
      </c>
    </row>
    <row r="52" spans="2:33" s="215" customFormat="1" ht="15">
      <c r="B52" s="212"/>
      <c r="C52" s="212"/>
      <c r="D52" s="212"/>
      <c r="E52" s="212"/>
      <c r="F52" s="212"/>
      <c r="G52" s="213"/>
      <c r="H52" s="214"/>
      <c r="I52" s="477"/>
      <c r="J52" s="430" t="str">
        <f t="shared" ca="1" si="23"/>
        <v>ROCE*</v>
      </c>
      <c r="K52" s="431" t="str">
        <f t="shared" ca="1" si="24"/>
        <v>-</v>
      </c>
      <c r="L52" s="431" t="str">
        <f t="shared" ca="1" si="24"/>
        <v>-</v>
      </c>
      <c r="M52" s="431" t="str">
        <f t="shared" ca="1" si="24"/>
        <v>-</v>
      </c>
      <c r="N52" s="431" t="str">
        <f t="shared" ca="1" si="24"/>
        <v>-</v>
      </c>
      <c r="O52" s="431" t="str">
        <f t="shared" ca="1" si="24"/>
        <v>-</v>
      </c>
      <c r="P52" s="431" t="str">
        <f t="shared" ca="1" si="24"/>
        <v>-</v>
      </c>
      <c r="Q52" s="431" t="str">
        <f t="shared" ca="1" si="24"/>
        <v>-</v>
      </c>
      <c r="R52" s="216"/>
      <c r="S52" s="431" t="str">
        <f t="shared" ca="1" si="25"/>
        <v>-</v>
      </c>
      <c r="T52" s="431" t="str">
        <f t="shared" ca="1" si="25"/>
        <v>-</v>
      </c>
      <c r="U52" s="431" t="str">
        <f t="shared" ca="1" si="25"/>
        <v>-</v>
      </c>
      <c r="V52" s="431" t="str">
        <f t="shared" ca="1" si="25"/>
        <v>-</v>
      </c>
      <c r="W52" s="431" t="str">
        <f t="shared" ca="1" si="25"/>
        <v>-</v>
      </c>
      <c r="X52" s="431" t="str">
        <f t="shared" ca="1" si="25"/>
        <v>-</v>
      </c>
      <c r="Y52" s="431" t="str">
        <f t="shared" ca="1" si="25"/>
        <v>-</v>
      </c>
      <c r="Z52" s="216"/>
      <c r="AA52" s="431" t="str">
        <f t="shared" ca="1" si="26"/>
        <v>-</v>
      </c>
      <c r="AB52" s="431" t="str">
        <f t="shared" ca="1" si="26"/>
        <v>-</v>
      </c>
      <c r="AC52" s="431" t="str">
        <f t="shared" ca="1" si="26"/>
        <v>-</v>
      </c>
      <c r="AD52" s="431" t="str">
        <f t="shared" ca="1" si="26"/>
        <v>-</v>
      </c>
      <c r="AE52" s="431" t="str">
        <f t="shared" ca="1" si="26"/>
        <v>-</v>
      </c>
      <c r="AF52" s="431" t="str">
        <f t="shared" ca="1" si="26"/>
        <v>-</v>
      </c>
      <c r="AG52" s="431" t="str">
        <f t="shared" ca="1" si="26"/>
        <v>-</v>
      </c>
    </row>
    <row r="53" spans="2:33" ht="5.25" customHeight="1"/>
    <row r="54" spans="2:33" s="433" customFormat="1" ht="15">
      <c r="B54" s="428"/>
      <c r="C54" s="428"/>
      <c r="D54" s="428"/>
      <c r="E54" s="428"/>
      <c r="F54" s="428"/>
      <c r="G54" s="434"/>
      <c r="H54" s="435"/>
      <c r="I54" s="71"/>
      <c r="J54" s="436" t="str">
        <f ca="1">"*ROCE Post "&amp;J77&amp;" "&amp;J79&amp;" Excl IFRIC12"</f>
        <v>*ROCE Post Theoritical MF @ 0,8% Theoritical Tax @ 0% Excl IFRIC12</v>
      </c>
      <c r="K54" s="429"/>
      <c r="L54" s="429"/>
      <c r="M54" s="429"/>
      <c r="N54" s="429"/>
      <c r="O54" s="429"/>
      <c r="P54" s="429"/>
      <c r="Q54" s="429"/>
      <c r="R54" s="429"/>
      <c r="S54" s="429"/>
      <c r="T54" s="429"/>
      <c r="U54" s="429"/>
      <c r="V54" s="429"/>
      <c r="W54" s="429"/>
      <c r="X54" s="429"/>
      <c r="Y54" s="429"/>
      <c r="Z54" s="429"/>
      <c r="AA54" s="429"/>
      <c r="AB54" s="429"/>
      <c r="AC54" s="429"/>
      <c r="AD54" s="429"/>
      <c r="AE54" s="429"/>
      <c r="AF54" s="429"/>
      <c r="AG54" s="429"/>
    </row>
    <row r="57" spans="2:33" ht="20.100000000000001" hidden="1" customHeight="1" outlineLevel="1">
      <c r="B57" s="432" t="s">
        <v>311</v>
      </c>
      <c r="C57" s="432"/>
      <c r="D57" s="432"/>
      <c r="E57" s="432"/>
      <c r="F57" s="432"/>
      <c r="G57" s="432"/>
      <c r="H57" s="432"/>
      <c r="I57" s="432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</row>
    <row r="58" spans="2:33" ht="20.100000000000001" hidden="1" customHeight="1" outlineLevel="1"/>
    <row r="59" spans="2:33" s="225" customFormat="1" ht="30.75" hidden="1" customHeight="1" outlineLevel="1">
      <c r="F59" s="409" t="str">
        <f ca="1">F15</f>
        <v>LTP_2022_V6</v>
      </c>
      <c r="G59" s="410"/>
      <c r="H59" s="411"/>
      <c r="I59" s="476" t="str">
        <f>"LTP "&amp;N-1</f>
        <v>LTP 2022</v>
      </c>
      <c r="J59" s="412" t="str">
        <f>"M"&amp;Currency</f>
        <v>MEUR</v>
      </c>
      <c r="K59" s="243" t="str">
        <f t="shared" ref="K59:Q59" ca="1" si="27">K15</f>
        <v>BUDGET 2023</v>
      </c>
      <c r="L59" s="243" t="str">
        <f t="shared" ca="1" si="27"/>
        <v>LTP 2024</v>
      </c>
      <c r="M59" s="243" t="str">
        <f t="shared" ca="1" si="27"/>
        <v>LTP 2025</v>
      </c>
      <c r="N59" s="243" t="str">
        <f t="shared" ca="1" si="27"/>
        <v>LTP 2026</v>
      </c>
      <c r="O59" s="243" t="str">
        <f t="shared" ca="1" si="27"/>
        <v>LTP 2027</v>
      </c>
      <c r="P59" s="243" t="str">
        <f t="shared" ca="1" si="27"/>
        <v>LTP 2028</v>
      </c>
      <c r="Q59" s="243" t="str">
        <f t="shared" ca="1" si="27"/>
        <v xml:space="preserve"> 2029</v>
      </c>
      <c r="R59" s="80"/>
      <c r="S59" s="243" t="str">
        <f t="shared" ref="S59:Y59" ca="1" si="28">S15</f>
        <v>BUDGET 2023</v>
      </c>
      <c r="T59" s="243" t="str">
        <f t="shared" ca="1" si="28"/>
        <v>LTP 2024</v>
      </c>
      <c r="U59" s="243" t="str">
        <f t="shared" ca="1" si="28"/>
        <v>LTP 2025</v>
      </c>
      <c r="V59" s="243" t="str">
        <f t="shared" ca="1" si="28"/>
        <v>LTP 2026</v>
      </c>
      <c r="W59" s="243" t="str">
        <f t="shared" ca="1" si="28"/>
        <v>LTP 2027</v>
      </c>
      <c r="X59" s="243" t="str">
        <f t="shared" ca="1" si="28"/>
        <v>LTP 2028</v>
      </c>
      <c r="Y59" s="243" t="str">
        <f t="shared" ca="1" si="28"/>
        <v xml:space="preserve"> 2029</v>
      </c>
      <c r="Z59" s="80"/>
      <c r="AA59" s="243" t="str">
        <f t="shared" ref="AA59:AG59" ca="1" si="29">AA15</f>
        <v>BUDGET 2023</v>
      </c>
      <c r="AB59" s="243" t="str">
        <f t="shared" ca="1" si="29"/>
        <v>LTP 2024</v>
      </c>
      <c r="AC59" s="243" t="str">
        <f t="shared" ca="1" si="29"/>
        <v>LTP 2025</v>
      </c>
      <c r="AD59" s="243" t="str">
        <f t="shared" ca="1" si="29"/>
        <v>LTP 2026</v>
      </c>
      <c r="AE59" s="243" t="str">
        <f t="shared" ca="1" si="29"/>
        <v>LTP 2027</v>
      </c>
      <c r="AF59" s="243" t="str">
        <f t="shared" ca="1" si="29"/>
        <v>LTP 2028</v>
      </c>
      <c r="AG59" s="243" t="str">
        <f t="shared" ca="1" si="29"/>
        <v xml:space="preserve"> 2029</v>
      </c>
    </row>
    <row r="60" spans="2:33" s="225" customFormat="1" ht="20.100000000000001" hidden="1" customHeight="1" outlineLevel="1">
      <c r="B60" s="413"/>
      <c r="E60" s="413"/>
      <c r="F60" s="413" t="s">
        <v>225</v>
      </c>
      <c r="G60" s="411"/>
      <c r="H60" s="411"/>
      <c r="I60" s="476"/>
      <c r="J60" s="413" t="s">
        <v>303</v>
      </c>
      <c r="K60" s="415">
        <f ca="1">_xll.DBRW($D$1,$D$3,$D$4,$Q$11,$D$6,$D$2,K$3,$F$15,$F60)*K$7</f>
        <v>6.3188533509999996</v>
      </c>
      <c r="L60" s="415">
        <f ca="1">_xll.DBRW($D$1,$D$3,$D$4,$Q$11,$D$6,$D$2,L$3,$F$15,$F60)*L$7</f>
        <v>3.0316469798657715</v>
      </c>
      <c r="M60" s="415">
        <f ca="1">_xll.DBRW($D$1,$D$3,$D$4,$Q$11,$D$6,$D$2,M$3,$F$15,$F60)*M$7</f>
        <v>3.1425597315436238</v>
      </c>
      <c r="N60" s="415">
        <f ca="1">_xll.DBRW($D$1,$D$3,$D$4,$Q$11,$D$6,$D$2,N$3,$F$15,$F60)*N$7</f>
        <v>3.2222456375838924</v>
      </c>
      <c r="O60" s="415">
        <f ca="1">_xll.DBRW($D$1,$D$3,$D$4,$Q$11,$D$6,$D$2,O$3,$F$15,$F60)*O$7</f>
        <v>3.0302127516778521</v>
      </c>
      <c r="P60" s="415" t="s">
        <v>56</v>
      </c>
      <c r="Q60" s="415" t="s">
        <v>56</v>
      </c>
      <c r="R60" s="415"/>
      <c r="S60" s="415">
        <f ca="1">_xll.DBRW($D$1,$D$3,$D$4,$Y$11,$D$6,$D$2,S$3,$F$15,$F60)*S$7</f>
        <v>6.3188533509999996</v>
      </c>
      <c r="T60" s="415">
        <f ca="1">_xll.DBRW($D$1,$D$3,$D$4,$Y$11,$D$6,$D$2,T$3,$F$15,$F60)*T$7</f>
        <v>3.0316469798657715</v>
      </c>
      <c r="U60" s="415">
        <f ca="1">_xll.DBRW($D$1,$D$3,$D$4,$Y$11,$D$6,$D$2,U$3,$F$15,$F60)*U$7</f>
        <v>3.1425597315436238</v>
      </c>
      <c r="V60" s="415">
        <f ca="1">_xll.DBRW($D$1,$D$3,$D$4,$Y$11,$D$6,$D$2,V$3,$F$15,$F60)*V$7</f>
        <v>3.2222456375838924</v>
      </c>
      <c r="W60" s="415">
        <f ca="1">_xll.DBRW($D$1,$D$3,$D$4,$Y$11,$D$6,$D$2,W$3,$F$15,$F60)*W$7</f>
        <v>3.0302127516778521</v>
      </c>
      <c r="X60" s="415" t="s">
        <v>56</v>
      </c>
      <c r="Y60" s="415" t="s">
        <v>56</v>
      </c>
      <c r="Z60" s="415"/>
      <c r="AA60" s="415">
        <f ca="1">_xll.DBRW($D$1,$D$3,$D$4,$AG$11,$D$6,$D$2,AA$3,$F$15,$F60)*AA$7</f>
        <v>0</v>
      </c>
      <c r="AB60" s="415">
        <f ca="1">_xll.DBRW($D$1,$D$3,$D$4,$AG$11,$D$6,$D$2,AB$3,$F$15,$F60)*AB$7</f>
        <v>0</v>
      </c>
      <c r="AC60" s="415">
        <f ca="1">_xll.DBRW($D$1,$D$3,$D$4,$AG$11,$D$6,$D$2,AC$3,$F$15,$F60)*AC$7</f>
        <v>0</v>
      </c>
      <c r="AD60" s="415">
        <f ca="1">_xll.DBRW($D$1,$D$3,$D$4,$AG$11,$D$6,$D$2,AD$3,$F$15,$F60)*AD$7</f>
        <v>0</v>
      </c>
      <c r="AE60" s="415">
        <f ca="1">_xll.DBRW($D$1,$D$3,$D$4,$AG$11,$D$6,$D$2,AE$3,$F$15,$F60)*AE$7</f>
        <v>0</v>
      </c>
      <c r="AF60" s="415" t="s">
        <v>56</v>
      </c>
      <c r="AG60" s="415" t="s">
        <v>56</v>
      </c>
    </row>
    <row r="61" spans="2:33" s="225" customFormat="1" ht="19.5" hidden="1" customHeight="1" outlineLevel="1">
      <c r="B61" s="413"/>
      <c r="E61" s="413"/>
      <c r="F61" s="413" t="s">
        <v>192</v>
      </c>
      <c r="G61" s="411"/>
      <c r="H61" s="411"/>
      <c r="I61" s="476"/>
      <c r="J61" s="413" t="s">
        <v>205</v>
      </c>
      <c r="K61" s="415">
        <f ca="1">_xll.DBRW($D$1,$D$3,$D$4,$Q$11,$D$6,$D$2,K$3,$F$15,$F61)*K$7</f>
        <v>93.59423434200184</v>
      </c>
      <c r="L61" s="415">
        <f ca="1">_xll.DBRW($D$1,$D$3,$D$4,$Q$11,$D$6,$D$2,L$3,$F$15,$F61)*L$7</f>
        <v>170.00142337080277</v>
      </c>
      <c r="M61" s="415">
        <f ca="1">_xll.DBRW($D$1,$D$3,$D$4,$Q$11,$D$6,$D$2,M$3,$F$15,$F61)*M$7</f>
        <v>240.6413909634108</v>
      </c>
      <c r="N61" s="415">
        <f ca="1">_xll.DBRW($D$1,$D$3,$D$4,$Q$11,$D$6,$D$2,N$3,$F$15,$F61)*N$7</f>
        <v>320.11269678893484</v>
      </c>
      <c r="O61" s="415">
        <f ca="1">_xll.DBRW($D$1,$D$3,$D$4,$Q$11,$D$6,$D$2,O$3,$F$15,$F61)*O$7</f>
        <v>381.85471024361482</v>
      </c>
      <c r="P61" s="415" t="s">
        <v>56</v>
      </c>
      <c r="Q61" s="415" t="s">
        <v>56</v>
      </c>
      <c r="R61" s="415"/>
      <c r="S61" s="415">
        <f ca="1">_xll.DBRW($D$1,$D$3,$D$4,$Y$11,$D$6,$D$2,S$3,$F$15,$F61)*S$7</f>
        <v>98.035416820001757</v>
      </c>
      <c r="T61" s="415">
        <f ca="1">_xll.DBRW($D$1,$D$3,$D$4,$Y$11,$D$6,$D$2,T$3,$F$15,$F61)*T$7</f>
        <v>138.03111975753444</v>
      </c>
      <c r="U61" s="415">
        <f ca="1">_xll.DBRW($D$1,$D$3,$D$4,$Y$11,$D$6,$D$2,U$3,$F$15,$F61)*U$7</f>
        <v>178.89922923529969</v>
      </c>
      <c r="V61" s="415">
        <f ca="1">_xll.DBRW($D$1,$D$3,$D$4,$Y$11,$D$6,$D$2,V$3,$F$15,$F61)*V$7</f>
        <v>194.20225957331351</v>
      </c>
      <c r="W61" s="415">
        <f ca="1">_xll.DBRW($D$1,$D$3,$D$4,$Y$11,$D$6,$D$2,W$3,$F$15,$F61)*W$7</f>
        <v>200.60647770593093</v>
      </c>
      <c r="X61" s="415" t="s">
        <v>56</v>
      </c>
      <c r="Y61" s="415" t="s">
        <v>56</v>
      </c>
      <c r="Z61" s="415"/>
      <c r="AA61" s="415">
        <f ca="1">_xll.DBRW($D$1,$D$3,$D$4,$AG$11,$D$6,$D$2,AA$3,$F$15,$F61)*AA$7</f>
        <v>-4.4411824779998792</v>
      </c>
      <c r="AB61" s="415">
        <f ca="1">_xll.DBRW($D$1,$D$3,$D$4,$AG$11,$D$6,$D$2,AB$3,$F$15,$F61)*AB$7</f>
        <v>31.970303613268282</v>
      </c>
      <c r="AC61" s="415">
        <f ca="1">_xll.DBRW($D$1,$D$3,$D$4,$AG$11,$D$6,$D$2,AC$3,$F$15,$F61)*AC$7</f>
        <v>61.742161728111228</v>
      </c>
      <c r="AD61" s="415">
        <f ca="1">_xll.DBRW($D$1,$D$3,$D$4,$AG$11,$D$6,$D$2,AD$3,$F$15,$F61)*AD$7</f>
        <v>125.9104372156213</v>
      </c>
      <c r="AE61" s="415">
        <f ca="1">_xll.DBRW($D$1,$D$3,$D$4,$AG$11,$D$6,$D$2,AE$3,$F$15,$F61)*AE$7</f>
        <v>181.24823253768386</v>
      </c>
      <c r="AF61" s="415" t="s">
        <v>56</v>
      </c>
      <c r="AG61" s="415" t="s">
        <v>56</v>
      </c>
    </row>
    <row r="62" spans="2:33" s="225" customFormat="1" ht="20.100000000000001" hidden="1" customHeight="1" outlineLevel="1">
      <c r="B62" s="413"/>
      <c r="E62" s="413"/>
      <c r="F62" s="413" t="s">
        <v>224</v>
      </c>
      <c r="G62" s="411"/>
      <c r="H62" s="411"/>
      <c r="I62" s="476"/>
      <c r="J62" s="413" t="s">
        <v>309</v>
      </c>
      <c r="K62" s="415">
        <f ca="1">_xll.DBRW($D$1,$D$3,$D$4,$Q$11,$D$6,$D$2,K$3,$F$15,$F62)*K$7</f>
        <v>9330.0378558259999</v>
      </c>
      <c r="L62" s="415">
        <f ca="1">_xll.DBRW($D$1,$D$3,$D$4,$Q$11,$D$6,$D$2,L$3,$F$15,$F62)*L$7</f>
        <v>10004.001378364561</v>
      </c>
      <c r="M62" s="415">
        <f ca="1">_xll.DBRW($D$1,$D$3,$D$4,$Q$11,$D$6,$D$2,M$3,$F$15,$F62)*M$7</f>
        <v>10562.393050954523</v>
      </c>
      <c r="N62" s="415">
        <f ca="1">_xll.DBRW($D$1,$D$3,$D$4,$Q$11,$D$6,$D$2,N$3,$F$15,$F62)*N$7</f>
        <v>11084.636695217925</v>
      </c>
      <c r="O62" s="415">
        <f ca="1">_xll.DBRW($D$1,$D$3,$D$4,$Q$11,$D$6,$D$2,O$3,$F$15,$F62)*O$7</f>
        <v>11486.406784826133</v>
      </c>
      <c r="P62" s="415" t="s">
        <v>56</v>
      </c>
      <c r="Q62" s="415" t="s">
        <v>56</v>
      </c>
      <c r="R62" s="415"/>
      <c r="S62" s="415">
        <f ca="1">_xll.DBRW($D$1,$D$3,$D$4,$Y$11,$D$6,$D$2,S$3,$F$15,$F62)*S$7</f>
        <v>8311.4701258959994</v>
      </c>
      <c r="T62" s="415">
        <f ca="1">_xll.DBRW($D$1,$D$3,$D$4,$Y$11,$D$6,$D$2,T$3,$F$15,$F62)*T$7</f>
        <v>8078.9837011782138</v>
      </c>
      <c r="U62" s="415">
        <f ca="1">_xll.DBRW($D$1,$D$3,$D$4,$Y$11,$D$6,$D$2,U$3,$F$15,$F62)*U$7</f>
        <v>8086.55709611563</v>
      </c>
      <c r="V62" s="415">
        <f ca="1">_xll.DBRW($D$1,$D$3,$D$4,$Y$11,$D$6,$D$2,V$3,$F$15,$F62)*V$7</f>
        <v>8093.1433463516514</v>
      </c>
      <c r="W62" s="415">
        <f ca="1">_xll.DBRW($D$1,$D$3,$D$4,$Y$11,$D$6,$D$2,W$3,$F$15,$F62)*W$7</f>
        <v>8025.0767078921663</v>
      </c>
      <c r="X62" s="415" t="s">
        <v>56</v>
      </c>
      <c r="Y62" s="415" t="s">
        <v>56</v>
      </c>
      <c r="Z62" s="415"/>
      <c r="AA62" s="415">
        <f ca="1">_xll.DBRW($D$1,$D$3,$D$4,$AG$11,$D$6,$D$2,AA$3,$F$15,$F62)*AA$7</f>
        <v>1018.56772993</v>
      </c>
      <c r="AB62" s="415">
        <f ca="1">_xll.DBRW($D$1,$D$3,$D$4,$AG$11,$D$6,$D$2,AB$3,$F$15,$F62)*AB$7</f>
        <v>1925.0176771863478</v>
      </c>
      <c r="AC62" s="415">
        <f ca="1">_xll.DBRW($D$1,$D$3,$D$4,$AG$11,$D$6,$D$2,AC$3,$F$15,$F62)*AC$7</f>
        <v>2475.8359548388935</v>
      </c>
      <c r="AD62" s="415">
        <f ca="1">_xll.DBRW($D$1,$D$3,$D$4,$AG$11,$D$6,$D$2,AD$3,$F$15,$F62)*AD$7</f>
        <v>2991.4933488662746</v>
      </c>
      <c r="AE62" s="415">
        <f ca="1">_xll.DBRW($D$1,$D$3,$D$4,$AG$11,$D$6,$D$2,AE$3,$F$15,$F62)*AE$7</f>
        <v>3461.3300769339662</v>
      </c>
      <c r="AF62" s="415" t="s">
        <v>56</v>
      </c>
      <c r="AG62" s="415" t="s">
        <v>56</v>
      </c>
    </row>
    <row r="63" spans="2:33" s="225" customFormat="1" ht="20.100000000000001" hidden="1" customHeight="1" outlineLevel="1">
      <c r="B63" s="413"/>
      <c r="C63" s="413"/>
      <c r="D63" s="413"/>
      <c r="E63" s="413"/>
      <c r="F63" s="413"/>
      <c r="G63" s="411"/>
      <c r="H63" s="411"/>
      <c r="I63" s="476"/>
      <c r="J63" s="413" t="s">
        <v>298</v>
      </c>
      <c r="K63" s="415">
        <f t="shared" ref="K63:Q63" ca="1" si="30">IFERROR(K61-K60,"n/a")</f>
        <v>87.275380991001839</v>
      </c>
      <c r="L63" s="415">
        <f t="shared" ca="1" si="30"/>
        <v>166.969776390937</v>
      </c>
      <c r="M63" s="415">
        <f t="shared" ca="1" si="30"/>
        <v>237.49883123186717</v>
      </c>
      <c r="N63" s="415">
        <f t="shared" ca="1" si="30"/>
        <v>316.89045115135093</v>
      </c>
      <c r="O63" s="415">
        <f t="shared" ca="1" si="30"/>
        <v>378.82449749193694</v>
      </c>
      <c r="P63" s="415" t="str">
        <f t="shared" ca="1" si="30"/>
        <v>n/a</v>
      </c>
      <c r="Q63" s="415" t="str">
        <f t="shared" ca="1" si="30"/>
        <v>n/a</v>
      </c>
      <c r="R63" s="418"/>
      <c r="S63" s="415">
        <f t="shared" ref="S63:Y63" ca="1" si="31">IFERROR(S61-S60,"n/a")</f>
        <v>91.716563469001755</v>
      </c>
      <c r="T63" s="415">
        <f t="shared" ca="1" si="31"/>
        <v>134.99947277766867</v>
      </c>
      <c r="U63" s="415">
        <f t="shared" ca="1" si="31"/>
        <v>175.75666950375606</v>
      </c>
      <c r="V63" s="415">
        <f t="shared" ca="1" si="31"/>
        <v>190.98001393572963</v>
      </c>
      <c r="W63" s="415">
        <f t="shared" ca="1" si="31"/>
        <v>197.57626495425308</v>
      </c>
      <c r="X63" s="415" t="str">
        <f t="shared" ca="1" si="31"/>
        <v>n/a</v>
      </c>
      <c r="Y63" s="415" t="str">
        <f t="shared" ca="1" si="31"/>
        <v>n/a</v>
      </c>
      <c r="Z63" s="418"/>
      <c r="AA63" s="415">
        <f t="shared" ref="AA63:AG63" ca="1" si="32">IFERROR(AA61-AA60,"n/a")</f>
        <v>-4.4411824779998792</v>
      </c>
      <c r="AB63" s="415">
        <f t="shared" ca="1" si="32"/>
        <v>31.970303613268282</v>
      </c>
      <c r="AC63" s="415">
        <f t="shared" ca="1" si="32"/>
        <v>61.742161728111228</v>
      </c>
      <c r="AD63" s="415">
        <f t="shared" ca="1" si="32"/>
        <v>125.9104372156213</v>
      </c>
      <c r="AE63" s="415">
        <f t="shared" ca="1" si="32"/>
        <v>181.24823253768386</v>
      </c>
      <c r="AF63" s="415" t="str">
        <f t="shared" ca="1" si="32"/>
        <v>n/a</v>
      </c>
      <c r="AG63" s="415" t="str">
        <f t="shared" ca="1" si="32"/>
        <v>n/a</v>
      </c>
    </row>
    <row r="64" spans="2:33" s="225" customFormat="1" ht="20.100000000000001" hidden="1" customHeight="1" outlineLevel="1">
      <c r="B64" s="413"/>
      <c r="C64" s="413"/>
      <c r="D64" s="413"/>
      <c r="E64" s="413"/>
      <c r="F64" s="414" t="str">
        <f ca="1">IF(_xll.DBRW(xServer&amp;":}ElementAttributes_Legal_Organization",Legal_organization,"Country_Entity")="","Corporate",_xll.DBRW(xServer&amp;":}ElementAttributes_Legal_Organization",Legal_organization,"Country_Entity"))</f>
        <v>Corporate</v>
      </c>
      <c r="G64" s="414" t="str">
        <f ca="1">IF(MID(F59,5,4)&gt;"2019",F59,"LTP_2021_VC")</f>
        <v>LTP_2022_V6</v>
      </c>
      <c r="H64" s="411"/>
      <c r="I64" s="476"/>
      <c r="J64" s="413" t="str">
        <f ca="1">"Theoritical MF @ "&amp;G66*100&amp;"%"</f>
        <v>Theoritical MF @ 0,9%</v>
      </c>
      <c r="K64" s="415">
        <f t="shared" ref="K64:Q64" ca="1" si="33">IFERROR(IF($F$64="Corporate",0,-$G$66*K62),"n/a")</f>
        <v>0</v>
      </c>
      <c r="L64" s="415">
        <f t="shared" ca="1" si="33"/>
        <v>0</v>
      </c>
      <c r="M64" s="415">
        <f t="shared" ca="1" si="33"/>
        <v>0</v>
      </c>
      <c r="N64" s="415">
        <f t="shared" ca="1" si="33"/>
        <v>0</v>
      </c>
      <c r="O64" s="415">
        <f t="shared" ca="1" si="33"/>
        <v>0</v>
      </c>
      <c r="P64" s="415">
        <f t="shared" ca="1" si="33"/>
        <v>0</v>
      </c>
      <c r="Q64" s="415">
        <f t="shared" ca="1" si="33"/>
        <v>0</v>
      </c>
      <c r="R64" s="418"/>
      <c r="S64" s="415">
        <f t="shared" ref="S64:Y64" ca="1" si="34">IFERROR(IF($F$64="Corporate",0,-$G$66*S62),"n/a")</f>
        <v>0</v>
      </c>
      <c r="T64" s="415">
        <f t="shared" ca="1" si="34"/>
        <v>0</v>
      </c>
      <c r="U64" s="415">
        <f t="shared" ca="1" si="34"/>
        <v>0</v>
      </c>
      <c r="V64" s="415">
        <f t="shared" ca="1" si="34"/>
        <v>0</v>
      </c>
      <c r="W64" s="415">
        <f t="shared" ca="1" si="34"/>
        <v>0</v>
      </c>
      <c r="X64" s="415">
        <f t="shared" ca="1" si="34"/>
        <v>0</v>
      </c>
      <c r="Y64" s="415">
        <f t="shared" ca="1" si="34"/>
        <v>0</v>
      </c>
      <c r="Z64" s="418"/>
      <c r="AA64" s="415">
        <f t="shared" ref="AA64:AG64" ca="1" si="35">IFERROR(IF($F$64="Corporate",0,-$G$66*AA62),"n/a")</f>
        <v>0</v>
      </c>
      <c r="AB64" s="415">
        <f t="shared" ca="1" si="35"/>
        <v>0</v>
      </c>
      <c r="AC64" s="415">
        <f t="shared" ca="1" si="35"/>
        <v>0</v>
      </c>
      <c r="AD64" s="415">
        <f t="shared" ca="1" si="35"/>
        <v>0</v>
      </c>
      <c r="AE64" s="415">
        <f t="shared" ca="1" si="35"/>
        <v>0</v>
      </c>
      <c r="AF64" s="415">
        <f t="shared" ca="1" si="35"/>
        <v>0</v>
      </c>
      <c r="AG64" s="415">
        <f t="shared" ca="1" si="35"/>
        <v>0</v>
      </c>
    </row>
    <row r="65" spans="2:33" s="419" customFormat="1" ht="20.100000000000001" hidden="1" customHeight="1" outlineLevel="1">
      <c r="B65" s="413"/>
      <c r="C65" s="420"/>
      <c r="D65" s="420"/>
      <c r="E65" s="420"/>
      <c r="F65" s="416" t="s">
        <v>296</v>
      </c>
      <c r="G65" s="417">
        <f ca="1">_xll.DBR("tango_core_model:ST_LTP_TAXES_INTERESTS_RATES",$G$64,$Q$3,$F$64,"Theoretical_tax_rate")</f>
        <v>0</v>
      </c>
      <c r="H65" s="421"/>
      <c r="I65" s="476"/>
      <c r="J65" s="420" t="s">
        <v>299</v>
      </c>
      <c r="K65" s="415">
        <f t="shared" ref="K65:Q65" ca="1" si="36">IFERROR(SUM(K63:K64),"n/a")</f>
        <v>87.275380991001839</v>
      </c>
      <c r="L65" s="415">
        <f t="shared" ca="1" si="36"/>
        <v>166.969776390937</v>
      </c>
      <c r="M65" s="415">
        <f t="shared" ca="1" si="36"/>
        <v>237.49883123186717</v>
      </c>
      <c r="N65" s="415">
        <f t="shared" ca="1" si="36"/>
        <v>316.89045115135093</v>
      </c>
      <c r="O65" s="415">
        <f t="shared" ca="1" si="36"/>
        <v>378.82449749193694</v>
      </c>
      <c r="P65" s="415">
        <f t="shared" ca="1" si="36"/>
        <v>0</v>
      </c>
      <c r="Q65" s="415">
        <f t="shared" ca="1" si="36"/>
        <v>0</v>
      </c>
      <c r="R65" s="418"/>
      <c r="S65" s="415">
        <f t="shared" ref="S65:Y65" ca="1" si="37">IFERROR(SUM(S63:S64),"n/a")</f>
        <v>91.716563469001755</v>
      </c>
      <c r="T65" s="415">
        <f t="shared" ca="1" si="37"/>
        <v>134.99947277766867</v>
      </c>
      <c r="U65" s="415">
        <f t="shared" ca="1" si="37"/>
        <v>175.75666950375606</v>
      </c>
      <c r="V65" s="415">
        <f t="shared" ca="1" si="37"/>
        <v>190.98001393572963</v>
      </c>
      <c r="W65" s="415">
        <f t="shared" ca="1" si="37"/>
        <v>197.57626495425308</v>
      </c>
      <c r="X65" s="415">
        <f t="shared" ca="1" si="37"/>
        <v>0</v>
      </c>
      <c r="Y65" s="415">
        <f t="shared" ca="1" si="37"/>
        <v>0</v>
      </c>
      <c r="Z65" s="422"/>
      <c r="AA65" s="415">
        <f t="shared" ref="AA65:AG65" ca="1" si="38">IFERROR(SUM(AA63:AA64),"n/a")</f>
        <v>-4.4411824779998792</v>
      </c>
      <c r="AB65" s="415">
        <f t="shared" ca="1" si="38"/>
        <v>31.970303613268282</v>
      </c>
      <c r="AC65" s="415">
        <f t="shared" ca="1" si="38"/>
        <v>61.742161728111228</v>
      </c>
      <c r="AD65" s="415">
        <f t="shared" ca="1" si="38"/>
        <v>125.9104372156213</v>
      </c>
      <c r="AE65" s="415">
        <f t="shared" ca="1" si="38"/>
        <v>181.24823253768386</v>
      </c>
      <c r="AF65" s="415">
        <f t="shared" ca="1" si="38"/>
        <v>0</v>
      </c>
      <c r="AG65" s="415">
        <f t="shared" ca="1" si="38"/>
        <v>0</v>
      </c>
    </row>
    <row r="66" spans="2:33" s="225" customFormat="1" ht="20.100000000000001" hidden="1" customHeight="1" outlineLevel="1">
      <c r="B66" s="413"/>
      <c r="C66" s="413"/>
      <c r="D66" s="413"/>
      <c r="E66" s="413"/>
      <c r="F66" s="416" t="s">
        <v>297</v>
      </c>
      <c r="G66" s="417">
        <v>8.9999999999999993E-3</v>
      </c>
      <c r="H66" s="411"/>
      <c r="I66" s="476"/>
      <c r="J66" s="413" t="str">
        <f ca="1">"Theoritical Tax @ "&amp;G65*100&amp;"%"</f>
        <v>Theoritical Tax @ 0%</v>
      </c>
      <c r="K66" s="415">
        <f t="shared" ref="K66:Q66" ca="1" si="39">IFERROR(K65*-$G$65,"n/a")</f>
        <v>0</v>
      </c>
      <c r="L66" s="415">
        <f t="shared" ca="1" si="39"/>
        <v>0</v>
      </c>
      <c r="M66" s="415">
        <f t="shared" ca="1" si="39"/>
        <v>0</v>
      </c>
      <c r="N66" s="415">
        <f t="shared" ca="1" si="39"/>
        <v>0</v>
      </c>
      <c r="O66" s="415">
        <f t="shared" ca="1" si="39"/>
        <v>0</v>
      </c>
      <c r="P66" s="415">
        <f t="shared" ca="1" si="39"/>
        <v>0</v>
      </c>
      <c r="Q66" s="415">
        <f t="shared" ca="1" si="39"/>
        <v>0</v>
      </c>
      <c r="R66" s="418"/>
      <c r="S66" s="415">
        <f t="shared" ref="S66:Y66" ca="1" si="40">IFERROR(S65*-$G$65,"n/a")</f>
        <v>0</v>
      </c>
      <c r="T66" s="415">
        <f t="shared" ca="1" si="40"/>
        <v>0</v>
      </c>
      <c r="U66" s="415">
        <f t="shared" ca="1" si="40"/>
        <v>0</v>
      </c>
      <c r="V66" s="415">
        <f t="shared" ca="1" si="40"/>
        <v>0</v>
      </c>
      <c r="W66" s="415">
        <f t="shared" ca="1" si="40"/>
        <v>0</v>
      </c>
      <c r="X66" s="415">
        <f t="shared" ca="1" si="40"/>
        <v>0</v>
      </c>
      <c r="Y66" s="415">
        <f t="shared" ca="1" si="40"/>
        <v>0</v>
      </c>
      <c r="Z66" s="418"/>
      <c r="AA66" s="415">
        <f t="shared" ref="AA66:AG66" ca="1" si="41">IFERROR(AA65*-$G$65,"n/a")</f>
        <v>0</v>
      </c>
      <c r="AB66" s="415">
        <f t="shared" ca="1" si="41"/>
        <v>0</v>
      </c>
      <c r="AC66" s="415">
        <f t="shared" ca="1" si="41"/>
        <v>0</v>
      </c>
      <c r="AD66" s="415">
        <f t="shared" ca="1" si="41"/>
        <v>0</v>
      </c>
      <c r="AE66" s="415">
        <f t="shared" ca="1" si="41"/>
        <v>0</v>
      </c>
      <c r="AF66" s="415">
        <f t="shared" ca="1" si="41"/>
        <v>0</v>
      </c>
      <c r="AG66" s="415">
        <f t="shared" ca="1" si="41"/>
        <v>0</v>
      </c>
    </row>
    <row r="67" spans="2:33" s="225" customFormat="1" ht="20.100000000000001" hidden="1" customHeight="1" outlineLevel="1">
      <c r="B67" s="413"/>
      <c r="C67" s="413"/>
      <c r="D67" s="413"/>
      <c r="E67" s="413"/>
      <c r="F67" s="413"/>
      <c r="G67" s="411"/>
      <c r="H67" s="411"/>
      <c r="I67" s="476"/>
      <c r="J67" s="413" t="s">
        <v>300</v>
      </c>
      <c r="K67" s="415">
        <f t="shared" ref="K67:Q67" ca="1" si="42">IFERROR(SUM(K65:K66),"n/a")</f>
        <v>87.275380991001839</v>
      </c>
      <c r="L67" s="415">
        <f t="shared" ca="1" si="42"/>
        <v>166.969776390937</v>
      </c>
      <c r="M67" s="415">
        <f t="shared" ca="1" si="42"/>
        <v>237.49883123186717</v>
      </c>
      <c r="N67" s="415">
        <f t="shared" ca="1" si="42"/>
        <v>316.89045115135093</v>
      </c>
      <c r="O67" s="415">
        <f t="shared" ca="1" si="42"/>
        <v>378.82449749193694</v>
      </c>
      <c r="P67" s="415">
        <f t="shared" ca="1" si="42"/>
        <v>0</v>
      </c>
      <c r="Q67" s="415">
        <f t="shared" ca="1" si="42"/>
        <v>0</v>
      </c>
      <c r="R67" s="418"/>
      <c r="S67" s="415">
        <f t="shared" ref="S67:Y67" ca="1" si="43">IFERROR(SUM(S65:S66),"n/a")</f>
        <v>91.716563469001755</v>
      </c>
      <c r="T67" s="415">
        <f t="shared" ca="1" si="43"/>
        <v>134.99947277766867</v>
      </c>
      <c r="U67" s="415">
        <f t="shared" ca="1" si="43"/>
        <v>175.75666950375606</v>
      </c>
      <c r="V67" s="415">
        <f t="shared" ca="1" si="43"/>
        <v>190.98001393572963</v>
      </c>
      <c r="W67" s="415">
        <f t="shared" ca="1" si="43"/>
        <v>197.57626495425308</v>
      </c>
      <c r="X67" s="415">
        <f t="shared" ca="1" si="43"/>
        <v>0</v>
      </c>
      <c r="Y67" s="415">
        <f t="shared" ca="1" si="43"/>
        <v>0</v>
      </c>
      <c r="Z67" s="418"/>
      <c r="AA67" s="415">
        <f t="shared" ref="AA67:AG67" ca="1" si="44">IFERROR(SUM(AA65:AA66),"n/a")</f>
        <v>-4.4411824779998792</v>
      </c>
      <c r="AB67" s="415">
        <f t="shared" ca="1" si="44"/>
        <v>31.970303613268282</v>
      </c>
      <c r="AC67" s="415">
        <f t="shared" ca="1" si="44"/>
        <v>61.742161728111228</v>
      </c>
      <c r="AD67" s="415">
        <f t="shared" ca="1" si="44"/>
        <v>125.9104372156213</v>
      </c>
      <c r="AE67" s="415">
        <f t="shared" ca="1" si="44"/>
        <v>181.24823253768386</v>
      </c>
      <c r="AF67" s="415">
        <f t="shared" ca="1" si="44"/>
        <v>0</v>
      </c>
      <c r="AG67" s="415">
        <f t="shared" ca="1" si="44"/>
        <v>0</v>
      </c>
    </row>
    <row r="68" spans="2:33" s="225" customFormat="1" ht="20.100000000000001" hidden="1" customHeight="1" outlineLevel="1">
      <c r="B68" s="413"/>
      <c r="C68" s="413"/>
      <c r="D68" s="413"/>
      <c r="E68" s="413"/>
      <c r="F68" s="413" t="s">
        <v>278</v>
      </c>
      <c r="G68" s="411"/>
      <c r="H68" s="411"/>
      <c r="I68" s="476"/>
      <c r="J68" s="413" t="s">
        <v>304</v>
      </c>
      <c r="K68" s="415">
        <f ca="1">_xll.DBRW($D$1,$D$3,$D$4,$Q$11,$D$6,$D$2,K$3,$F$15,$F68)*K$7</f>
        <v>2438.7149187540003</v>
      </c>
      <c r="L68" s="415">
        <f ca="1">_xll.DBRW($D$1,$D$3,$D$4,$Q$11,$D$6,$D$2,L$3,$F$15,$F68)*L$7</f>
        <v>2696.6218620873237</v>
      </c>
      <c r="M68" s="415">
        <f ca="1">_xll.DBRW($D$1,$D$3,$D$4,$Q$11,$D$6,$D$2,M$3,$F$15,$F68)*M$7</f>
        <v>2882.0907558464373</v>
      </c>
      <c r="N68" s="415">
        <f ca="1">_xll.DBRW($D$1,$D$3,$D$4,$Q$11,$D$6,$D$2,N$3,$F$15,$F68)*N$7</f>
        <v>2955.099118538682</v>
      </c>
      <c r="O68" s="415">
        <f ca="1">_xll.DBRW($D$1,$D$3,$D$4,$Q$11,$D$6,$D$2,O$3,$F$15,$F68)*O$7</f>
        <v>3004.7764105046522</v>
      </c>
      <c r="P68" s="415" t="s">
        <v>56</v>
      </c>
      <c r="Q68" s="415" t="s">
        <v>56</v>
      </c>
      <c r="R68" s="415"/>
      <c r="S68" s="415">
        <f ca="1">_xll.DBRW($D$1,$D$3,$D$4,$Y$11,$D$6,$D$2,S$3,$F$15,$F68)*S$7</f>
        <v>1945.8107727690003</v>
      </c>
      <c r="T68" s="415">
        <f ca="1">_xll.DBRW($D$1,$D$3,$D$4,$Y$11,$D$6,$D$2,T$3,$F$15,$F68)*T$7</f>
        <v>1902.8103325120717</v>
      </c>
      <c r="U68" s="415">
        <f ca="1">_xll.DBRW($D$1,$D$3,$D$4,$Y$11,$D$6,$D$2,U$3,$F$15,$F68)*U$7</f>
        <v>1810.536053558292</v>
      </c>
      <c r="V68" s="415">
        <f ca="1">_xll.DBRW($D$1,$D$3,$D$4,$Y$11,$D$6,$D$2,V$3,$F$15,$F68)*V$7</f>
        <v>1734.0689765436071</v>
      </c>
      <c r="W68" s="415">
        <f ca="1">_xll.DBRW($D$1,$D$3,$D$4,$Y$11,$D$6,$D$2,W$3,$F$15,$F68)*W$7</f>
        <v>1620.4805648036061</v>
      </c>
      <c r="X68" s="415" t="s">
        <v>56</v>
      </c>
      <c r="Y68" s="415" t="s">
        <v>56</v>
      </c>
      <c r="Z68" s="415"/>
      <c r="AA68" s="415">
        <f ca="1">_xll.DBRW($D$1,$D$3,$D$4,$AG$11,$D$6,$D$2,AA$3,$F$15,$F68)*AA$7</f>
        <v>492.90414598500001</v>
      </c>
      <c r="AB68" s="415">
        <f ca="1">_xll.DBRW($D$1,$D$3,$D$4,$AG$11,$D$6,$D$2,AB$3,$F$15,$F68)*AB$7</f>
        <v>793.81152957525228</v>
      </c>
      <c r="AC68" s="415">
        <f ca="1">_xll.DBRW($D$1,$D$3,$D$4,$AG$11,$D$6,$D$2,AC$3,$F$15,$F68)*AC$7</f>
        <v>1071.554702288146</v>
      </c>
      <c r="AD68" s="415">
        <f ca="1">_xll.DBRW($D$1,$D$3,$D$4,$AG$11,$D$6,$D$2,AD$3,$F$15,$F68)*AD$7</f>
        <v>1221.0301419950749</v>
      </c>
      <c r="AE68" s="415">
        <f ca="1">_xll.DBRW($D$1,$D$3,$D$4,$AG$11,$D$6,$D$2,AE$3,$F$15,$F68)*AE$7</f>
        <v>1384.2958457010461</v>
      </c>
      <c r="AF68" s="415" t="s">
        <v>56</v>
      </c>
      <c r="AG68" s="415" t="s">
        <v>56</v>
      </c>
    </row>
    <row r="69" spans="2:33" s="423" customFormat="1" ht="20.100000000000001" hidden="1" customHeight="1" outlineLevel="1">
      <c r="G69" s="424"/>
      <c r="H69" s="424"/>
      <c r="I69" s="476"/>
      <c r="J69" s="423" t="str">
        <f ca="1">"ROCE post"&amp;J64&amp;" "&amp;J66</f>
        <v>ROCE postTheoritical MF @ 0,9% Theoritical Tax @ 0%</v>
      </c>
      <c r="K69" s="425"/>
      <c r="L69" s="426">
        <f ca="1">IFERROR(L67/AVERAGE(K68:L68),"n/a")</f>
        <v>6.5027780461783966E-2</v>
      </c>
      <c r="M69" s="426">
        <f t="shared" ref="M69:Q69" ca="1" si="45">IFERROR(M67/AVERAGE(L68:M68),"n/a")</f>
        <v>8.5144673152148062E-2</v>
      </c>
      <c r="N69" s="426">
        <f t="shared" ca="1" si="45"/>
        <v>0.10857637252539491</v>
      </c>
      <c r="O69" s="426">
        <f t="shared" ca="1" si="45"/>
        <v>0.12712496952188695</v>
      </c>
      <c r="P69" s="426">
        <f t="shared" ca="1" si="45"/>
        <v>0</v>
      </c>
      <c r="Q69" s="426" t="str">
        <f t="shared" ca="1" si="45"/>
        <v>n/a</v>
      </c>
      <c r="R69" s="427"/>
      <c r="S69" s="425"/>
      <c r="T69" s="426">
        <f ca="1">IFERROR(T67/AVERAGE(S68:T68),"n/a")</f>
        <v>7.0154722475757658E-2</v>
      </c>
      <c r="U69" s="426">
        <f t="shared" ref="U69" ca="1" si="46">IFERROR(U67/AVERAGE(T68:U68),"n/a")</f>
        <v>9.4662146339517736E-2</v>
      </c>
      <c r="V69" s="426">
        <f t="shared" ref="V69" ca="1" si="47">IFERROR(V67/AVERAGE(U68:V68),"n/a")</f>
        <v>0.1077581351455902</v>
      </c>
      <c r="W69" s="426">
        <f t="shared" ref="W69" ca="1" si="48">IFERROR(W67/AVERAGE(V68:W68),"n/a")</f>
        <v>0.11779600361776438</v>
      </c>
      <c r="X69" s="426">
        <f t="shared" ref="X69" ca="1" si="49">IFERROR(X67/AVERAGE(W68:X68),"n/a")</f>
        <v>0</v>
      </c>
      <c r="Y69" s="426" t="str">
        <f t="shared" ref="Y69" ca="1" si="50">IFERROR(Y67/AVERAGE(X68:Y68),"n/a")</f>
        <v>n/a</v>
      </c>
      <c r="Z69" s="427"/>
      <c r="AA69" s="425"/>
      <c r="AB69" s="426">
        <f ca="1">IFERROR(AB67/AVERAGE(AA68:AB68),"n/a")</f>
        <v>4.9692879663330448E-2</v>
      </c>
      <c r="AC69" s="426">
        <f t="shared" ref="AC69" ca="1" si="51">IFERROR(AC67/AVERAGE(AB68:AC68),"n/a")</f>
        <v>6.6198434037732318E-2</v>
      </c>
      <c r="AD69" s="426">
        <f t="shared" ref="AD69" ca="1" si="52">IFERROR(AD67/AVERAGE(AC68:AD68),"n/a")</f>
        <v>0.10984146347263088</v>
      </c>
      <c r="AE69" s="426">
        <f t="shared" ref="AE69" ca="1" si="53">IFERROR(AE67/AVERAGE(AD68:AE68),"n/a")</f>
        <v>0.13913670181285906</v>
      </c>
      <c r="AF69" s="426">
        <f t="shared" ref="AF69" ca="1" si="54">IFERROR(AF67/AVERAGE(AE68:AF68),"n/a")</f>
        <v>0</v>
      </c>
      <c r="AG69" s="426" t="str">
        <f t="shared" ref="AG69" ca="1" si="55">IFERROR(AG67/AVERAGE(AF68:AG68),"n/a")</f>
        <v>n/a</v>
      </c>
    </row>
    <row r="70" spans="2:33" ht="20.100000000000001" hidden="1" customHeight="1" outlineLevel="1"/>
    <row r="71" spans="2:33" ht="20.100000000000001" hidden="1" customHeight="1" outlineLevel="1"/>
    <row r="72" spans="2:33" s="225" customFormat="1" ht="30.75" hidden="1" customHeight="1" outlineLevel="1">
      <c r="F72" s="409" t="str">
        <f ca="1">F28</f>
        <v>LTP_2023_VC</v>
      </c>
      <c r="G72" s="410"/>
      <c r="H72" s="411"/>
      <c r="I72" s="476" t="str">
        <f ca="1">I28</f>
        <v>LTP 2023</v>
      </c>
      <c r="J72" s="412" t="str">
        <f>"M"&amp;Currency</f>
        <v>MEUR</v>
      </c>
      <c r="K72" s="243" t="str">
        <f t="shared" ref="K72:Q72" ca="1" si="56">K28</f>
        <v>F2 2023</v>
      </c>
      <c r="L72" s="243" t="str">
        <f t="shared" ca="1" si="56"/>
        <v>Budget 2024</v>
      </c>
      <c r="M72" s="243" t="str">
        <f t="shared" ca="1" si="56"/>
        <v>LTP 2025</v>
      </c>
      <c r="N72" s="243" t="str">
        <f t="shared" ca="1" si="56"/>
        <v>LTP 2026</v>
      </c>
      <c r="O72" s="243" t="str">
        <f t="shared" ca="1" si="56"/>
        <v>LTP 2027</v>
      </c>
      <c r="P72" s="243" t="str">
        <f t="shared" ca="1" si="56"/>
        <v>LTP 2028</v>
      </c>
      <c r="Q72" s="243" t="str">
        <f t="shared" ca="1" si="56"/>
        <v>LTP 2029</v>
      </c>
      <c r="R72" s="80"/>
      <c r="S72" s="243" t="str">
        <f t="shared" ref="S72:Y72" ca="1" si="57">S28</f>
        <v>F2 2023</v>
      </c>
      <c r="T72" s="243" t="str">
        <f t="shared" ca="1" si="57"/>
        <v>Budget 2024</v>
      </c>
      <c r="U72" s="243" t="str">
        <f t="shared" ca="1" si="57"/>
        <v>LTP 2025</v>
      </c>
      <c r="V72" s="243" t="str">
        <f t="shared" ca="1" si="57"/>
        <v>LTP 2026</v>
      </c>
      <c r="W72" s="243" t="str">
        <f t="shared" ca="1" si="57"/>
        <v>LTP 2027</v>
      </c>
      <c r="X72" s="243" t="str">
        <f t="shared" ca="1" si="57"/>
        <v>LTP 2028</v>
      </c>
      <c r="Y72" s="243" t="str">
        <f t="shared" ca="1" si="57"/>
        <v>LTP 2029</v>
      </c>
      <c r="Z72" s="80"/>
      <c r="AA72" s="243" t="str">
        <f t="shared" ref="AA72:AG72" ca="1" si="58">AA28</f>
        <v>F2 2023</v>
      </c>
      <c r="AB72" s="243" t="str">
        <f t="shared" ca="1" si="58"/>
        <v>Budget 2024</v>
      </c>
      <c r="AC72" s="243" t="str">
        <f t="shared" ca="1" si="58"/>
        <v>LTP 2025</v>
      </c>
      <c r="AD72" s="243" t="str">
        <f t="shared" ca="1" si="58"/>
        <v>LTP 2026</v>
      </c>
      <c r="AE72" s="243" t="str">
        <f t="shared" ca="1" si="58"/>
        <v>LTP 2027</v>
      </c>
      <c r="AF72" s="243" t="str">
        <f t="shared" ca="1" si="58"/>
        <v>LTP 2028</v>
      </c>
      <c r="AG72" s="243" t="str">
        <f t="shared" ca="1" si="58"/>
        <v>LTP 2029</v>
      </c>
    </row>
    <row r="73" spans="2:33" s="225" customFormat="1" ht="20.100000000000001" hidden="1" customHeight="1" outlineLevel="1">
      <c r="B73" s="413"/>
      <c r="E73" s="413"/>
      <c r="F73" s="413" t="s">
        <v>225</v>
      </c>
      <c r="G73" s="411"/>
      <c r="H73" s="411"/>
      <c r="I73" s="476"/>
      <c r="J73" s="413" t="s">
        <v>303</v>
      </c>
      <c r="K73" s="87">
        <f ca="1">_xll.DBRW($D$1,$D$3,$D$4,$Q$11,$D$5,$D$2,K$3,$F$28,$F73)*K$5</f>
        <v>0</v>
      </c>
      <c r="L73" s="87">
        <f ca="1">_xll.DBRW($D$1,$D$3,$D$4,$Q$11,$D$5,$D$2,L$3,$F$28,$F73)*L$5</f>
        <v>0</v>
      </c>
      <c r="M73" s="87">
        <f ca="1">_xll.DBRW($D$1,$D$3,$D$4,$Q$11,$D$5,$D$2,M$3,$F$28,$F73)*M$5</f>
        <v>0</v>
      </c>
      <c r="N73" s="87">
        <f ca="1">_xll.DBRW($D$1,$D$3,$D$4,$Q$11,$D$5,$D$2,N$3,$F$28,$F73)*N$5</f>
        <v>0</v>
      </c>
      <c r="O73" s="87">
        <f ca="1">_xll.DBRW($D$1,$D$3,$D$4,$Q$11,$D$5,$D$2,O$3,$F$28,$F73)*O$5</f>
        <v>0</v>
      </c>
      <c r="P73" s="87">
        <f ca="1">_xll.DBRW($D$1,$D$3,$D$4,$Q$11,$D$5,$D$2,P$3,$F$28,$F73)*P$5</f>
        <v>0</v>
      </c>
      <c r="Q73" s="87">
        <f ca="1">_xll.DBRW($D$1,$D$3,$D$4,$Q$11,$D$5,$D$2,Q$3,$F$28,$F73)*Q$5</f>
        <v>0</v>
      </c>
      <c r="R73" s="87"/>
      <c r="S73" s="87">
        <f ca="1">_xll.DBRW($D$1,$D$3,$D$4,$Y$11,$D$5,$D$2,S$3,$F$28,$F73)*S$5</f>
        <v>0</v>
      </c>
      <c r="T73" s="87">
        <f ca="1">_xll.DBRW($D$1,$D$3,$D$4,$Y$11,$D$5,$D$2,T$3,$F$28,$F73)*T$5</f>
        <v>0</v>
      </c>
      <c r="U73" s="87">
        <f ca="1">_xll.DBRW($D$1,$D$3,$D$4,$Y$11,$D$5,$D$2,U$3,$F$28,$F73)*U$5</f>
        <v>0</v>
      </c>
      <c r="V73" s="87">
        <f ca="1">_xll.DBRW($D$1,$D$3,$D$4,$Y$11,$D$5,$D$2,V$3,$F$28,$F73)*V$5</f>
        <v>0</v>
      </c>
      <c r="W73" s="87">
        <f ca="1">_xll.DBRW($D$1,$D$3,$D$4,$Y$11,$D$5,$D$2,W$3,$F$28,$F73)*W$5</f>
        <v>0</v>
      </c>
      <c r="X73" s="87">
        <f ca="1">_xll.DBRW($D$1,$D$3,$D$4,$Y$11,$D$5,$D$2,X$3,$F$28,$F73)*X$5</f>
        <v>0</v>
      </c>
      <c r="Y73" s="87">
        <f ca="1">_xll.DBRW($D$1,$D$3,$D$4,$Y$11,$D$5,$D$2,Y$3,$F$28,$F73)*Y$5</f>
        <v>0</v>
      </c>
      <c r="Z73" s="87"/>
      <c r="AA73" s="87">
        <f ca="1">_xll.DBRW($D$1,$D$3,$D$4,$AG$11,$D$5,$D$2,AA$3,$F$28,$F73)*AA$5</f>
        <v>0</v>
      </c>
      <c r="AB73" s="87">
        <f ca="1">_xll.DBRW($D$1,$D$3,$D$4,$AG$11,$D$5,$D$2,AB$3,$F$28,$F73)*AB$5</f>
        <v>0</v>
      </c>
      <c r="AC73" s="87">
        <f ca="1">_xll.DBRW($D$1,$D$3,$D$4,$AG$11,$D$5,$D$2,AC$3,$F$28,$F73)*AC$5</f>
        <v>0</v>
      </c>
      <c r="AD73" s="87">
        <f ca="1">_xll.DBRW($D$1,$D$3,$D$4,$AG$11,$D$5,$D$2,AD$3,$F$28,$F73)*AD$5</f>
        <v>0</v>
      </c>
      <c r="AE73" s="87">
        <f ca="1">_xll.DBRW($D$1,$D$3,$D$4,$AG$11,$D$5,$D$2,AE$3,$F$28,$F73)*AE$5</f>
        <v>0</v>
      </c>
      <c r="AF73" s="87">
        <f ca="1">_xll.DBRW($D$1,$D$3,$D$4,$AG$11,$D$5,$D$2,AF$3,$F$28,$F73)*AF$5</f>
        <v>0</v>
      </c>
      <c r="AG73" s="87">
        <f ca="1">_xll.DBRW($D$1,$D$3,$D$4,$AG$11,$D$5,$D$2,AG$3,$F$28,$F73)*AG$5</f>
        <v>0</v>
      </c>
    </row>
    <row r="74" spans="2:33" s="225" customFormat="1" ht="19.5" hidden="1" customHeight="1" outlineLevel="1">
      <c r="B74" s="413"/>
      <c r="E74" s="413"/>
      <c r="F74" s="413" t="s">
        <v>192</v>
      </c>
      <c r="G74" s="411"/>
      <c r="H74" s="411"/>
      <c r="I74" s="476"/>
      <c r="J74" s="413" t="s">
        <v>205</v>
      </c>
      <c r="K74" s="87">
        <f ca="1">_xll.DBRW($D$1,$D$3,$D$4,$Q$11,$D$5,$D$2,K$3,$F$28,$F74)*K$5</f>
        <v>0</v>
      </c>
      <c r="L74" s="87">
        <f ca="1">_xll.DBRW($D$1,$D$3,$D$4,$Q$11,$D$5,$D$2,L$3,$F$28,$F74)*L$5</f>
        <v>0</v>
      </c>
      <c r="M74" s="87">
        <f ca="1">_xll.DBRW($D$1,$D$3,$D$4,$Q$11,$D$5,$D$2,M$3,$F$28,$F74)*M$5</f>
        <v>0</v>
      </c>
      <c r="N74" s="87">
        <f ca="1">_xll.DBRW($D$1,$D$3,$D$4,$Q$11,$D$5,$D$2,N$3,$F$28,$F74)*N$5</f>
        <v>0</v>
      </c>
      <c r="O74" s="87">
        <f ca="1">_xll.DBRW($D$1,$D$3,$D$4,$Q$11,$D$5,$D$2,O$3,$F$28,$F74)*O$5</f>
        <v>0</v>
      </c>
      <c r="P74" s="87">
        <f ca="1">_xll.DBRW($D$1,$D$3,$D$4,$Q$11,$D$5,$D$2,P$3,$F$28,$F74)*P$5</f>
        <v>0</v>
      </c>
      <c r="Q74" s="87">
        <f ca="1">_xll.DBRW($D$1,$D$3,$D$4,$Q$11,$D$5,$D$2,Q$3,$F$28,$F74)*Q$5</f>
        <v>0</v>
      </c>
      <c r="R74" s="87"/>
      <c r="S74" s="87">
        <f ca="1">_xll.DBRW($D$1,$D$3,$D$4,$Y$11,$D$5,$D$2,S$3,$F$28,$F74)*S$5</f>
        <v>0</v>
      </c>
      <c r="T74" s="87">
        <f ca="1">_xll.DBRW($D$1,$D$3,$D$4,$Y$11,$D$5,$D$2,T$3,$F$28,$F74)*T$5</f>
        <v>0</v>
      </c>
      <c r="U74" s="87">
        <f ca="1">_xll.DBRW($D$1,$D$3,$D$4,$Y$11,$D$5,$D$2,U$3,$F$28,$F74)*U$5</f>
        <v>0</v>
      </c>
      <c r="V74" s="87">
        <f ca="1">_xll.DBRW($D$1,$D$3,$D$4,$Y$11,$D$5,$D$2,V$3,$F$28,$F74)*V$5</f>
        <v>0</v>
      </c>
      <c r="W74" s="87">
        <f ca="1">_xll.DBRW($D$1,$D$3,$D$4,$Y$11,$D$5,$D$2,W$3,$F$28,$F74)*W$5</f>
        <v>0</v>
      </c>
      <c r="X74" s="87">
        <f ca="1">_xll.DBRW($D$1,$D$3,$D$4,$Y$11,$D$5,$D$2,X$3,$F$28,$F74)*X$5</f>
        <v>0</v>
      </c>
      <c r="Y74" s="87">
        <f ca="1">_xll.DBRW($D$1,$D$3,$D$4,$Y$11,$D$5,$D$2,Y$3,$F$28,$F74)*Y$5</f>
        <v>0</v>
      </c>
      <c r="Z74" s="87"/>
      <c r="AA74" s="87">
        <f ca="1">_xll.DBRW($D$1,$D$3,$D$4,$AG$11,$D$5,$D$2,AA$3,$F$28,$F74)*AA$5</f>
        <v>0</v>
      </c>
      <c r="AB74" s="87">
        <f ca="1">_xll.DBRW($D$1,$D$3,$D$4,$AG$11,$D$5,$D$2,AB$3,$F$28,$F74)*AB$5</f>
        <v>0</v>
      </c>
      <c r="AC74" s="87">
        <f ca="1">_xll.DBRW($D$1,$D$3,$D$4,$AG$11,$D$5,$D$2,AC$3,$F$28,$F74)*AC$5</f>
        <v>0</v>
      </c>
      <c r="AD74" s="87">
        <f ca="1">_xll.DBRW($D$1,$D$3,$D$4,$AG$11,$D$5,$D$2,AD$3,$F$28,$F74)*AD$5</f>
        <v>0</v>
      </c>
      <c r="AE74" s="87">
        <f ca="1">_xll.DBRW($D$1,$D$3,$D$4,$AG$11,$D$5,$D$2,AE$3,$F$28,$F74)*AE$5</f>
        <v>0</v>
      </c>
      <c r="AF74" s="87">
        <f ca="1">_xll.DBRW($D$1,$D$3,$D$4,$AG$11,$D$5,$D$2,AF$3,$F$28,$F74)*AF$5</f>
        <v>0</v>
      </c>
      <c r="AG74" s="87">
        <f ca="1">_xll.DBRW($D$1,$D$3,$D$4,$AG$11,$D$5,$D$2,AG$3,$F$28,$F74)*AG$5</f>
        <v>0</v>
      </c>
    </row>
    <row r="75" spans="2:33" s="225" customFormat="1" ht="20.100000000000001" hidden="1" customHeight="1" outlineLevel="1">
      <c r="B75" s="413"/>
      <c r="E75" s="413"/>
      <c r="F75" s="413" t="s">
        <v>224</v>
      </c>
      <c r="G75" s="411"/>
      <c r="H75" s="411"/>
      <c r="I75" s="476"/>
      <c r="J75" s="413" t="s">
        <v>309</v>
      </c>
      <c r="K75" s="87">
        <f ca="1">_xll.DBRW($D$1,$D$3,$D$4,$Q$11,$D$5,$D$2,K$3,$F$28,$F75)*K$5</f>
        <v>0</v>
      </c>
      <c r="L75" s="87">
        <f ca="1">_xll.DBRW($D$1,$D$3,$D$4,$Q$11,$D$5,$D$2,L$3,$F$28,$F75)*L$5</f>
        <v>0</v>
      </c>
      <c r="M75" s="87">
        <f ca="1">_xll.DBRW($D$1,$D$3,$D$4,$Q$11,$D$5,$D$2,M$3,$F$28,$F75)*M$5</f>
        <v>0</v>
      </c>
      <c r="N75" s="87">
        <f ca="1">_xll.DBRW($D$1,$D$3,$D$4,$Q$11,$D$5,$D$2,N$3,$F$28,$F75)*N$5</f>
        <v>0</v>
      </c>
      <c r="O75" s="87">
        <f ca="1">_xll.DBRW($D$1,$D$3,$D$4,$Q$11,$D$5,$D$2,O$3,$F$28,$F75)*O$5</f>
        <v>0</v>
      </c>
      <c r="P75" s="87">
        <f ca="1">_xll.DBRW($D$1,$D$3,$D$4,$Q$11,$D$5,$D$2,P$3,$F$28,$F75)*P$5</f>
        <v>0</v>
      </c>
      <c r="Q75" s="87">
        <f ca="1">_xll.DBRW($D$1,$D$3,$D$4,$Q$11,$D$5,$D$2,Q$3,$F$28,$F75)*Q$5</f>
        <v>0</v>
      </c>
      <c r="R75" s="87"/>
      <c r="S75" s="87">
        <f ca="1">_xll.DBRW($D$1,$D$3,$D$4,$Y$11,$D$5,$D$2,S$3,$F$28,$F75)*S$5</f>
        <v>0</v>
      </c>
      <c r="T75" s="87">
        <f ca="1">_xll.DBRW($D$1,$D$3,$D$4,$Y$11,$D$5,$D$2,T$3,$F$28,$F75)*T$5</f>
        <v>0</v>
      </c>
      <c r="U75" s="87">
        <f ca="1">_xll.DBRW($D$1,$D$3,$D$4,$Y$11,$D$5,$D$2,U$3,$F$28,$F75)*U$5</f>
        <v>0</v>
      </c>
      <c r="V75" s="87">
        <f ca="1">_xll.DBRW($D$1,$D$3,$D$4,$Y$11,$D$5,$D$2,V$3,$F$28,$F75)*V$5</f>
        <v>0</v>
      </c>
      <c r="W75" s="87">
        <f ca="1">_xll.DBRW($D$1,$D$3,$D$4,$Y$11,$D$5,$D$2,W$3,$F$28,$F75)*W$5</f>
        <v>0</v>
      </c>
      <c r="X75" s="87">
        <f ca="1">_xll.DBRW($D$1,$D$3,$D$4,$Y$11,$D$5,$D$2,X$3,$F$28,$F75)*X$5</f>
        <v>0</v>
      </c>
      <c r="Y75" s="87">
        <f ca="1">_xll.DBRW($D$1,$D$3,$D$4,$Y$11,$D$5,$D$2,Y$3,$F$28,$F75)*Y$5</f>
        <v>0</v>
      </c>
      <c r="Z75" s="87"/>
      <c r="AA75" s="87">
        <f ca="1">_xll.DBRW($D$1,$D$3,$D$4,$AG$11,$D$5,$D$2,AA$3,$F$28,$F75)*AA$5</f>
        <v>0</v>
      </c>
      <c r="AB75" s="87">
        <f ca="1">_xll.DBRW($D$1,$D$3,$D$4,$AG$11,$D$5,$D$2,AB$3,$F$28,$F75)*AB$5</f>
        <v>0</v>
      </c>
      <c r="AC75" s="87">
        <f ca="1">_xll.DBRW($D$1,$D$3,$D$4,$AG$11,$D$5,$D$2,AC$3,$F$28,$F75)*AC$5</f>
        <v>0</v>
      </c>
      <c r="AD75" s="87">
        <f ca="1">_xll.DBRW($D$1,$D$3,$D$4,$AG$11,$D$5,$D$2,AD$3,$F$28,$F75)*AD$5</f>
        <v>0</v>
      </c>
      <c r="AE75" s="87">
        <f ca="1">_xll.DBRW($D$1,$D$3,$D$4,$AG$11,$D$5,$D$2,AE$3,$F$28,$F75)*AE$5</f>
        <v>0</v>
      </c>
      <c r="AF75" s="87">
        <f ca="1">_xll.DBRW($D$1,$D$3,$D$4,$AG$11,$D$5,$D$2,AF$3,$F$28,$F75)*AF$5</f>
        <v>0</v>
      </c>
      <c r="AG75" s="87">
        <f ca="1">_xll.DBRW($D$1,$D$3,$D$4,$AG$11,$D$5,$D$2,AG$3,$F$28,$F75)*AG$5</f>
        <v>0</v>
      </c>
    </row>
    <row r="76" spans="2:33" s="225" customFormat="1" ht="20.100000000000001" hidden="1" customHeight="1" outlineLevel="1">
      <c r="B76" s="413"/>
      <c r="C76" s="413"/>
      <c r="D76" s="413"/>
      <c r="E76" s="413"/>
      <c r="F76" s="413"/>
      <c r="G76" s="411"/>
      <c r="H76" s="411"/>
      <c r="I76" s="476"/>
      <c r="J76" s="413" t="s">
        <v>298</v>
      </c>
      <c r="K76" s="415">
        <f ca="1">IFERROR(K74-K73,"n/a")</f>
        <v>0</v>
      </c>
      <c r="L76" s="415">
        <f t="shared" ref="K76:Q76" ca="1" si="59">IFERROR(L74-L73,"n/a")</f>
        <v>0</v>
      </c>
      <c r="M76" s="415">
        <f t="shared" ca="1" si="59"/>
        <v>0</v>
      </c>
      <c r="N76" s="415">
        <f t="shared" ca="1" si="59"/>
        <v>0</v>
      </c>
      <c r="O76" s="415">
        <f t="shared" ca="1" si="59"/>
        <v>0</v>
      </c>
      <c r="P76" s="415">
        <f t="shared" ca="1" si="59"/>
        <v>0</v>
      </c>
      <c r="Q76" s="415">
        <f t="shared" ca="1" si="59"/>
        <v>0</v>
      </c>
      <c r="R76" s="418"/>
      <c r="S76" s="415">
        <f t="shared" ref="S76:Y76" ca="1" si="60">IFERROR(S74-S73,"n/a")</f>
        <v>0</v>
      </c>
      <c r="T76" s="415">
        <f t="shared" ca="1" si="60"/>
        <v>0</v>
      </c>
      <c r="U76" s="415">
        <f t="shared" ca="1" si="60"/>
        <v>0</v>
      </c>
      <c r="V76" s="415">
        <f t="shared" ca="1" si="60"/>
        <v>0</v>
      </c>
      <c r="W76" s="415">
        <f t="shared" ca="1" si="60"/>
        <v>0</v>
      </c>
      <c r="X76" s="415">
        <f t="shared" ca="1" si="60"/>
        <v>0</v>
      </c>
      <c r="Y76" s="415">
        <f t="shared" ca="1" si="60"/>
        <v>0</v>
      </c>
      <c r="Z76" s="418"/>
      <c r="AA76" s="415">
        <f t="shared" ref="AA76:AG76" ca="1" si="61">IFERROR(AA74-AA73,"n/a")</f>
        <v>0</v>
      </c>
      <c r="AB76" s="415">
        <f t="shared" ca="1" si="61"/>
        <v>0</v>
      </c>
      <c r="AC76" s="415">
        <f t="shared" ca="1" si="61"/>
        <v>0</v>
      </c>
      <c r="AD76" s="415">
        <f t="shared" ca="1" si="61"/>
        <v>0</v>
      </c>
      <c r="AE76" s="415">
        <f t="shared" ca="1" si="61"/>
        <v>0</v>
      </c>
      <c r="AF76" s="415">
        <f t="shared" ca="1" si="61"/>
        <v>0</v>
      </c>
      <c r="AG76" s="415">
        <f t="shared" ca="1" si="61"/>
        <v>0</v>
      </c>
    </row>
    <row r="77" spans="2:33" s="225" customFormat="1" ht="20.100000000000001" hidden="1" customHeight="1" outlineLevel="1">
      <c r="B77" s="413"/>
      <c r="C77" s="413"/>
      <c r="D77" s="413"/>
      <c r="E77" s="413"/>
      <c r="F77" s="414" t="str">
        <f ca="1">IF(_xll.DBRW(xServer&amp;":}ElementAttributes_Legal_Organization",Legal_organization,"Country_Entity")="","Corporate",_xll.DBRW(xServer&amp;":}ElementAttributes_Legal_Organization",Legal_organization,"Country_Entity"))</f>
        <v>Corporate</v>
      </c>
      <c r="G77" s="414" t="str">
        <f ca="1">IF(MID(F72,5,4)&gt;"2019",F72,"LTP_2021_VC")</f>
        <v>LTP_2023_VC</v>
      </c>
      <c r="H77" s="411"/>
      <c r="I77" s="476"/>
      <c r="J77" s="413" t="str">
        <f ca="1">"Theoritical MF @ "&amp;G79*100&amp;"%"</f>
        <v>Theoritical MF @ 0,8%</v>
      </c>
      <c r="K77" s="415">
        <f ca="1">IFERROR(IF($F$77="Corporate",0,-$G$79*K75),"n/a")</f>
        <v>0</v>
      </c>
      <c r="L77" s="415">
        <f ca="1">IFERROR(IF($F$77="Corporate",0,-$G$79*L75),"n/a")</f>
        <v>0</v>
      </c>
      <c r="M77" s="415">
        <f t="shared" ref="M77:Q77" ca="1" si="62">IFERROR(IF($F$77="Corporate",0,-$G$79*M75),"n/a")</f>
        <v>0</v>
      </c>
      <c r="N77" s="415">
        <f t="shared" ca="1" si="62"/>
        <v>0</v>
      </c>
      <c r="O77" s="415">
        <f t="shared" ca="1" si="62"/>
        <v>0</v>
      </c>
      <c r="P77" s="415">
        <f t="shared" ca="1" si="62"/>
        <v>0</v>
      </c>
      <c r="Q77" s="415">
        <f t="shared" ca="1" si="62"/>
        <v>0</v>
      </c>
      <c r="R77" s="418"/>
      <c r="S77" s="415">
        <f t="shared" ref="S77:Y77" ca="1" si="63">IFERROR(IF($F$64="Corporate",0,-$G$66*S75),"n/a")</f>
        <v>0</v>
      </c>
      <c r="T77" s="415">
        <f t="shared" ca="1" si="63"/>
        <v>0</v>
      </c>
      <c r="U77" s="415">
        <f t="shared" ca="1" si="63"/>
        <v>0</v>
      </c>
      <c r="V77" s="415">
        <f t="shared" ca="1" si="63"/>
        <v>0</v>
      </c>
      <c r="W77" s="415">
        <f t="shared" ca="1" si="63"/>
        <v>0</v>
      </c>
      <c r="X77" s="415">
        <f t="shared" ca="1" si="63"/>
        <v>0</v>
      </c>
      <c r="Y77" s="415">
        <f t="shared" ca="1" si="63"/>
        <v>0</v>
      </c>
      <c r="Z77" s="418"/>
      <c r="AA77" s="415">
        <f t="shared" ref="AA77:AG77" ca="1" si="64">IFERROR(IF($F$64="Corporate",0,-$G$66*AA75),"n/a")</f>
        <v>0</v>
      </c>
      <c r="AB77" s="415">
        <f t="shared" ca="1" si="64"/>
        <v>0</v>
      </c>
      <c r="AC77" s="415">
        <f t="shared" ca="1" si="64"/>
        <v>0</v>
      </c>
      <c r="AD77" s="415">
        <f t="shared" ca="1" si="64"/>
        <v>0</v>
      </c>
      <c r="AE77" s="415">
        <f t="shared" ca="1" si="64"/>
        <v>0</v>
      </c>
      <c r="AF77" s="415">
        <f t="shared" ca="1" si="64"/>
        <v>0</v>
      </c>
      <c r="AG77" s="415">
        <f t="shared" ca="1" si="64"/>
        <v>0</v>
      </c>
    </row>
    <row r="78" spans="2:33" s="419" customFormat="1" ht="20.100000000000001" hidden="1" customHeight="1" outlineLevel="1">
      <c r="B78" s="413"/>
      <c r="C78" s="420"/>
      <c r="D78" s="420"/>
      <c r="E78" s="420"/>
      <c r="F78" s="416" t="s">
        <v>296</v>
      </c>
      <c r="G78" s="417">
        <f ca="1">_xll.DBR("tango_core_model:ST_LTP_TAXES_INTERESTS_RATES",$G$77,$Q$3,$F$77,"Theoretical_tax_rate")</f>
        <v>0</v>
      </c>
      <c r="H78" s="421"/>
      <c r="I78" s="476"/>
      <c r="J78" s="420" t="s">
        <v>299</v>
      </c>
      <c r="K78" s="415">
        <f ca="1">IFERROR(SUM(K76:K77),"n/a")</f>
        <v>0</v>
      </c>
      <c r="L78" s="415">
        <f t="shared" ref="K78:Q78" ca="1" si="65">IFERROR(SUM(L76:L77),"n/a")</f>
        <v>0</v>
      </c>
      <c r="M78" s="415">
        <f t="shared" ca="1" si="65"/>
        <v>0</v>
      </c>
      <c r="N78" s="415">
        <f t="shared" ca="1" si="65"/>
        <v>0</v>
      </c>
      <c r="O78" s="415">
        <f t="shared" ca="1" si="65"/>
        <v>0</v>
      </c>
      <c r="P78" s="415">
        <f t="shared" ca="1" si="65"/>
        <v>0</v>
      </c>
      <c r="Q78" s="415">
        <f t="shared" ca="1" si="65"/>
        <v>0</v>
      </c>
      <c r="R78" s="418"/>
      <c r="S78" s="415">
        <f t="shared" ref="S78:Y78" ca="1" si="66">IFERROR(SUM(S76:S77),"n/a")</f>
        <v>0</v>
      </c>
      <c r="T78" s="415">
        <f t="shared" ca="1" si="66"/>
        <v>0</v>
      </c>
      <c r="U78" s="415">
        <f t="shared" ca="1" si="66"/>
        <v>0</v>
      </c>
      <c r="V78" s="415">
        <f t="shared" ca="1" si="66"/>
        <v>0</v>
      </c>
      <c r="W78" s="415">
        <f t="shared" ca="1" si="66"/>
        <v>0</v>
      </c>
      <c r="X78" s="415">
        <f t="shared" ca="1" si="66"/>
        <v>0</v>
      </c>
      <c r="Y78" s="415">
        <f t="shared" ca="1" si="66"/>
        <v>0</v>
      </c>
      <c r="Z78" s="422"/>
      <c r="AA78" s="415">
        <f t="shared" ref="AA78:AG78" ca="1" si="67">IFERROR(SUM(AA76:AA77),"n/a")</f>
        <v>0</v>
      </c>
      <c r="AB78" s="415">
        <f t="shared" ca="1" si="67"/>
        <v>0</v>
      </c>
      <c r="AC78" s="415">
        <f t="shared" ca="1" si="67"/>
        <v>0</v>
      </c>
      <c r="AD78" s="415">
        <f t="shared" ca="1" si="67"/>
        <v>0</v>
      </c>
      <c r="AE78" s="415">
        <f t="shared" ca="1" si="67"/>
        <v>0</v>
      </c>
      <c r="AF78" s="415">
        <f t="shared" ca="1" si="67"/>
        <v>0</v>
      </c>
      <c r="AG78" s="415">
        <f t="shared" ca="1" si="67"/>
        <v>0</v>
      </c>
    </row>
    <row r="79" spans="2:33" s="225" customFormat="1" ht="20.100000000000001" hidden="1" customHeight="1" outlineLevel="1">
      <c r="B79" s="413"/>
      <c r="C79" s="413"/>
      <c r="D79" s="413"/>
      <c r="E79" s="413"/>
      <c r="F79" s="416" t="s">
        <v>297</v>
      </c>
      <c r="G79" s="417">
        <v>8.0000000000000002E-3</v>
      </c>
      <c r="H79" s="411"/>
      <c r="I79" s="476"/>
      <c r="J79" s="413" t="str">
        <f ca="1">"Theoritical Tax @ "&amp;G78*100&amp;"%"</f>
        <v>Theoritical Tax @ 0%</v>
      </c>
      <c r="K79" s="415">
        <f ca="1">IFERROR(K78*-$G$65,"n/a")</f>
        <v>0</v>
      </c>
      <c r="L79" s="415">
        <f t="shared" ref="K79:Q79" ca="1" si="68">IFERROR(L78*-$G$65,"n/a")</f>
        <v>0</v>
      </c>
      <c r="M79" s="415">
        <f t="shared" ca="1" si="68"/>
        <v>0</v>
      </c>
      <c r="N79" s="415">
        <f t="shared" ca="1" si="68"/>
        <v>0</v>
      </c>
      <c r="O79" s="415">
        <f t="shared" ca="1" si="68"/>
        <v>0</v>
      </c>
      <c r="P79" s="415">
        <f t="shared" ca="1" si="68"/>
        <v>0</v>
      </c>
      <c r="Q79" s="415">
        <f t="shared" ca="1" si="68"/>
        <v>0</v>
      </c>
      <c r="R79" s="418"/>
      <c r="S79" s="415">
        <f t="shared" ref="S79:Y79" ca="1" si="69">IFERROR(S78*-$G$65,"n/a")</f>
        <v>0</v>
      </c>
      <c r="T79" s="415">
        <f t="shared" ca="1" si="69"/>
        <v>0</v>
      </c>
      <c r="U79" s="415">
        <f t="shared" ca="1" si="69"/>
        <v>0</v>
      </c>
      <c r="V79" s="415">
        <f t="shared" ca="1" si="69"/>
        <v>0</v>
      </c>
      <c r="W79" s="415">
        <f t="shared" ca="1" si="69"/>
        <v>0</v>
      </c>
      <c r="X79" s="415">
        <f t="shared" ca="1" si="69"/>
        <v>0</v>
      </c>
      <c r="Y79" s="415">
        <f t="shared" ca="1" si="69"/>
        <v>0</v>
      </c>
      <c r="Z79" s="418"/>
      <c r="AA79" s="415">
        <f t="shared" ref="AA79:AG79" ca="1" si="70">IFERROR(AA78*-$G$65,"n/a")</f>
        <v>0</v>
      </c>
      <c r="AB79" s="415">
        <f t="shared" ca="1" si="70"/>
        <v>0</v>
      </c>
      <c r="AC79" s="415">
        <f t="shared" ca="1" si="70"/>
        <v>0</v>
      </c>
      <c r="AD79" s="415">
        <f t="shared" ca="1" si="70"/>
        <v>0</v>
      </c>
      <c r="AE79" s="415">
        <f t="shared" ca="1" si="70"/>
        <v>0</v>
      </c>
      <c r="AF79" s="415">
        <f t="shared" ca="1" si="70"/>
        <v>0</v>
      </c>
      <c r="AG79" s="415">
        <f t="shared" ca="1" si="70"/>
        <v>0</v>
      </c>
    </row>
    <row r="80" spans="2:33" s="225" customFormat="1" ht="20.100000000000001" hidden="1" customHeight="1" outlineLevel="1">
      <c r="B80" s="413"/>
      <c r="C80" s="413"/>
      <c r="D80" s="413"/>
      <c r="E80" s="413"/>
      <c r="F80" s="413"/>
      <c r="G80" s="411"/>
      <c r="H80" s="411"/>
      <c r="I80" s="476"/>
      <c r="J80" s="413" t="s">
        <v>300</v>
      </c>
      <c r="K80" s="415">
        <f ca="1">IFERROR(SUM(K78:K79),"n/a")</f>
        <v>0</v>
      </c>
      <c r="L80" s="415">
        <f t="shared" ref="K80:Q80" ca="1" si="71">IFERROR(SUM(L78:L79),"n/a")</f>
        <v>0</v>
      </c>
      <c r="M80" s="415">
        <f t="shared" ca="1" si="71"/>
        <v>0</v>
      </c>
      <c r="N80" s="415">
        <f t="shared" ca="1" si="71"/>
        <v>0</v>
      </c>
      <c r="O80" s="415">
        <f t="shared" ca="1" si="71"/>
        <v>0</v>
      </c>
      <c r="P80" s="415">
        <f t="shared" ca="1" si="71"/>
        <v>0</v>
      </c>
      <c r="Q80" s="415">
        <f t="shared" ca="1" si="71"/>
        <v>0</v>
      </c>
      <c r="R80" s="418"/>
      <c r="S80" s="415">
        <f t="shared" ref="S80:Y80" ca="1" si="72">IFERROR(SUM(S78:S79),"n/a")</f>
        <v>0</v>
      </c>
      <c r="T80" s="415">
        <f t="shared" ca="1" si="72"/>
        <v>0</v>
      </c>
      <c r="U80" s="415">
        <f t="shared" ca="1" si="72"/>
        <v>0</v>
      </c>
      <c r="V80" s="415">
        <f t="shared" ca="1" si="72"/>
        <v>0</v>
      </c>
      <c r="W80" s="415">
        <f t="shared" ca="1" si="72"/>
        <v>0</v>
      </c>
      <c r="X80" s="415">
        <f t="shared" ca="1" si="72"/>
        <v>0</v>
      </c>
      <c r="Y80" s="415">
        <f t="shared" ca="1" si="72"/>
        <v>0</v>
      </c>
      <c r="Z80" s="418"/>
      <c r="AA80" s="415">
        <f t="shared" ref="AA80:AG80" ca="1" si="73">IFERROR(SUM(AA78:AA79),"n/a")</f>
        <v>0</v>
      </c>
      <c r="AB80" s="415">
        <f t="shared" ca="1" si="73"/>
        <v>0</v>
      </c>
      <c r="AC80" s="415">
        <f t="shared" ca="1" si="73"/>
        <v>0</v>
      </c>
      <c r="AD80" s="415">
        <f t="shared" ca="1" si="73"/>
        <v>0</v>
      </c>
      <c r="AE80" s="415">
        <f t="shared" ca="1" si="73"/>
        <v>0</v>
      </c>
      <c r="AF80" s="415">
        <f t="shared" ca="1" si="73"/>
        <v>0</v>
      </c>
      <c r="AG80" s="415">
        <f t="shared" ca="1" si="73"/>
        <v>0</v>
      </c>
    </row>
    <row r="81" spans="2:33" s="225" customFormat="1" ht="20.100000000000001" hidden="1" customHeight="1" outlineLevel="1">
      <c r="B81" s="413"/>
      <c r="C81" s="413"/>
      <c r="D81" s="413"/>
      <c r="E81" s="413"/>
      <c r="F81" s="413" t="s">
        <v>278</v>
      </c>
      <c r="G81" s="411"/>
      <c r="H81" s="411"/>
      <c r="I81" s="476"/>
      <c r="J81" s="413" t="s">
        <v>304</v>
      </c>
      <c r="K81" s="87">
        <f ca="1">_xll.DBRW($D$1,$D$3,$D$4,$Q$11,$D$5,$D$2,K$3,$F$28,$F81)*K$5</f>
        <v>0</v>
      </c>
      <c r="L81" s="87">
        <f ca="1">_xll.DBRW($D$1,$D$3,$D$4,$Q$11,$D$5,$D$2,L$3,$F$28,$F81)*L$5</f>
        <v>0</v>
      </c>
      <c r="M81" s="87">
        <f ca="1">_xll.DBRW($D$1,$D$3,$D$4,$Q$11,$D$5,$D$2,M$3,$F$28,$F81)*M$5</f>
        <v>0</v>
      </c>
      <c r="N81" s="87">
        <f ca="1">_xll.DBRW($D$1,$D$3,$D$4,$Q$11,$D$5,$D$2,N$3,$F$28,$F81)*N$5</f>
        <v>0</v>
      </c>
      <c r="O81" s="87">
        <f ca="1">_xll.DBRW($D$1,$D$3,$D$4,$Q$11,$D$5,$D$2,O$3,$F$28,$F81)*O$5</f>
        <v>0</v>
      </c>
      <c r="P81" s="87">
        <f ca="1">_xll.DBRW($D$1,$D$3,$D$4,$Q$11,$D$5,$D$2,P$3,$F$28,$F81)*P$5</f>
        <v>0</v>
      </c>
      <c r="Q81" s="87">
        <f ca="1">_xll.DBRW($D$1,$D$3,$D$4,$Q$11,$D$5,$D$2,Q$3,$F$28,$F81)*Q$5</f>
        <v>0</v>
      </c>
      <c r="R81" s="87"/>
      <c r="S81" s="87">
        <f ca="1">_xll.DBRW($D$1,$D$3,$D$4,$Y$11,$D$5,$D$2,S$3,$F$28,$F81)*S$5</f>
        <v>0</v>
      </c>
      <c r="T81" s="87">
        <f ca="1">_xll.DBRW($D$1,$D$3,$D$4,$Y$11,$D$5,$D$2,T$3,$F$28,$F81)*T$5</f>
        <v>0</v>
      </c>
      <c r="U81" s="87">
        <f ca="1">_xll.DBRW($D$1,$D$3,$D$4,$Y$11,$D$5,$D$2,U$3,$F$28,$F81)*U$5</f>
        <v>0</v>
      </c>
      <c r="V81" s="87">
        <f ca="1">_xll.DBRW($D$1,$D$3,$D$4,$Y$11,$D$5,$D$2,V$3,$F$28,$F81)*V$5</f>
        <v>0</v>
      </c>
      <c r="W81" s="87">
        <f ca="1">_xll.DBRW($D$1,$D$3,$D$4,$Y$11,$D$5,$D$2,W$3,$F$28,$F81)*W$5</f>
        <v>0</v>
      </c>
      <c r="X81" s="87">
        <f ca="1">_xll.DBRW($D$1,$D$3,$D$4,$Y$11,$D$5,$D$2,X$3,$F$28,$F81)*X$5</f>
        <v>0</v>
      </c>
      <c r="Y81" s="87">
        <f ca="1">_xll.DBRW($D$1,$D$3,$D$4,$Y$11,$D$5,$D$2,Y$3,$F$28,$F81)*Y$5</f>
        <v>0</v>
      </c>
      <c r="Z81" s="87"/>
      <c r="AA81" s="87">
        <f ca="1">_xll.DBRW($D$1,$D$3,$D$4,$AG$11,$D$5,$D$2,AA$3,$F$28,$F81)*AA$5</f>
        <v>0</v>
      </c>
      <c r="AB81" s="87">
        <f ca="1">_xll.DBRW($D$1,$D$3,$D$4,$AG$11,$D$5,$D$2,AB$3,$F$28,$F81)*AB$5</f>
        <v>0</v>
      </c>
      <c r="AC81" s="87">
        <f ca="1">_xll.DBRW($D$1,$D$3,$D$4,$AG$11,$D$5,$D$2,AC$3,$F$28,$F81)*AC$5</f>
        <v>0</v>
      </c>
      <c r="AD81" s="87">
        <f ca="1">_xll.DBRW($D$1,$D$3,$D$4,$AG$11,$D$5,$D$2,AD$3,$F$28,$F81)*AD$5</f>
        <v>0</v>
      </c>
      <c r="AE81" s="87">
        <f ca="1">_xll.DBRW($D$1,$D$3,$D$4,$AG$11,$D$5,$D$2,AE$3,$F$28,$F81)*AE$5</f>
        <v>0</v>
      </c>
      <c r="AF81" s="87">
        <f ca="1">_xll.DBRW($D$1,$D$3,$D$4,$AG$11,$D$5,$D$2,AF$3,$F$28,$F81)*AF$5</f>
        <v>0</v>
      </c>
      <c r="AG81" s="87">
        <f ca="1">_xll.DBRW($D$1,$D$3,$D$4,$AG$11,$D$5,$D$2,AG$3,$F$28,$F81)*AG$5</f>
        <v>0</v>
      </c>
    </row>
    <row r="82" spans="2:33" s="423" customFormat="1" ht="20.100000000000001" hidden="1" customHeight="1" outlineLevel="1">
      <c r="G82" s="424"/>
      <c r="H82" s="424"/>
      <c r="I82" s="476"/>
      <c r="J82" s="423" t="str">
        <f ca="1">"ROCE post"&amp;J77&amp;" "&amp;J79</f>
        <v>ROCE postTheoritical MF @ 0,8% Theoritical Tax @ 0%</v>
      </c>
      <c r="K82" s="425"/>
      <c r="L82" s="426" t="str">
        <f ca="1">IFERROR(L80/AVERAGE(K81:L81),"n/a")</f>
        <v>n/a</v>
      </c>
      <c r="M82" s="426" t="str">
        <f t="shared" ref="M82" ca="1" si="74">IFERROR(M80/AVERAGE(L81:M81),"n/a")</f>
        <v>n/a</v>
      </c>
      <c r="N82" s="426" t="str">
        <f t="shared" ref="N82" ca="1" si="75">IFERROR(N80/AVERAGE(M81:N81),"n/a")</f>
        <v>n/a</v>
      </c>
      <c r="O82" s="426" t="str">
        <f t="shared" ref="O82" ca="1" si="76">IFERROR(O80/AVERAGE(N81:O81),"n/a")</f>
        <v>n/a</v>
      </c>
      <c r="P82" s="426" t="str">
        <f t="shared" ref="P82" ca="1" si="77">IFERROR(P80/AVERAGE(O81:P81),"n/a")</f>
        <v>n/a</v>
      </c>
      <c r="Q82" s="426" t="str">
        <f t="shared" ref="Q82" ca="1" si="78">IFERROR(Q80/AVERAGE(P81:Q81),"n/a")</f>
        <v>n/a</v>
      </c>
      <c r="R82" s="427"/>
      <c r="S82" s="425"/>
      <c r="T82" s="426" t="str">
        <f ca="1">IFERROR(T80/AVERAGE(S81:T81),"n/a")</f>
        <v>n/a</v>
      </c>
      <c r="U82" s="426" t="str">
        <f t="shared" ref="U82" ca="1" si="79">IFERROR(U80/AVERAGE(T81:U81),"n/a")</f>
        <v>n/a</v>
      </c>
      <c r="V82" s="426" t="str">
        <f t="shared" ref="V82" ca="1" si="80">IFERROR(V80/AVERAGE(U81:V81),"n/a")</f>
        <v>n/a</v>
      </c>
      <c r="W82" s="426" t="str">
        <f t="shared" ref="W82" ca="1" si="81">IFERROR(W80/AVERAGE(V81:W81),"n/a")</f>
        <v>n/a</v>
      </c>
      <c r="X82" s="426" t="str">
        <f t="shared" ref="X82" ca="1" si="82">IFERROR(X80/AVERAGE(W81:X81),"n/a")</f>
        <v>n/a</v>
      </c>
      <c r="Y82" s="426" t="str">
        <f t="shared" ref="Y82" ca="1" si="83">IFERROR(Y80/AVERAGE(X81:Y81),"n/a")</f>
        <v>n/a</v>
      </c>
      <c r="Z82" s="427"/>
      <c r="AA82" s="425"/>
      <c r="AB82" s="426" t="str">
        <f ca="1">IFERROR(AB80/AVERAGE(AA81:AB81),"n/a")</f>
        <v>n/a</v>
      </c>
      <c r="AC82" s="426" t="str">
        <f t="shared" ref="AC82" ca="1" si="84">IFERROR(AC80/AVERAGE(AB81:AC81),"n/a")</f>
        <v>n/a</v>
      </c>
      <c r="AD82" s="426" t="str">
        <f t="shared" ref="AD82" ca="1" si="85">IFERROR(AD80/AVERAGE(AC81:AD81),"n/a")</f>
        <v>n/a</v>
      </c>
      <c r="AE82" s="426" t="str">
        <f t="shared" ref="AE82" ca="1" si="86">IFERROR(AE80/AVERAGE(AD81:AE81),"n/a")</f>
        <v>n/a</v>
      </c>
      <c r="AF82" s="426" t="str">
        <f t="shared" ref="AF82" ca="1" si="87">IFERROR(AF80/AVERAGE(AE81:AF81),"n/a")</f>
        <v>n/a</v>
      </c>
      <c r="AG82" s="426" t="str">
        <f t="shared" ref="AG82" ca="1" si="88">IFERROR(AG80/AVERAGE(AF81:AG81),"n/a")</f>
        <v>n/a</v>
      </c>
    </row>
    <row r="83" spans="2:33" ht="20.100000000000001" hidden="1" customHeight="1" outlineLevel="1"/>
    <row r="84" spans="2:33" ht="20.100000000000001" hidden="1" customHeight="1" outlineLevel="1"/>
    <row r="85" spans="2:33" ht="20.100000000000001" customHeight="1" collapsed="1"/>
  </sheetData>
  <dataConsolidate/>
  <mergeCells count="5">
    <mergeCell ref="I59:I69"/>
    <mergeCell ref="I72:I82"/>
    <mergeCell ref="I28:I39"/>
    <mergeCell ref="I41:I52"/>
    <mergeCell ref="I15:I26"/>
  </mergeCells>
  <pageMargins left="0.43307086614173229" right="0.23622047244094491" top="0.55118110236220474" bottom="0.55118110236220474" header="0.31496062992125984" footer="0.31496062992125984"/>
  <pageSetup paperSize="9" scale="3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4" tint="0.79998168889431442"/>
    <pageSetUpPr fitToPage="1"/>
  </sheetPr>
  <dimension ref="A1:AJ86"/>
  <sheetViews>
    <sheetView showGridLines="0" topLeftCell="F5" zoomScale="70" zoomScaleNormal="70" zoomScaleSheetLayoutView="71" workbookViewId="0">
      <selection activeCell="J57" sqref="J57"/>
    </sheetView>
  </sheetViews>
  <sheetFormatPr baseColWidth="10" defaultRowHeight="20.100000000000001" customHeight="1" outlineLevelRow="1" outlineLevelCol="1"/>
  <cols>
    <col min="1" max="2" width="13.42578125" style="71" customWidth="1" outlineLevel="1"/>
    <col min="3" max="6" width="18.7109375" style="71" customWidth="1" outlineLevel="1"/>
    <col min="7" max="7" width="8.85546875" style="72" customWidth="1" outlineLevel="1"/>
    <col min="8" max="8" width="15.140625" style="71" customWidth="1" outlineLevel="1"/>
    <col min="9" max="9" width="8.42578125" style="71" customWidth="1"/>
    <col min="10" max="10" width="44.42578125" style="73" customWidth="1"/>
    <col min="11" max="16" width="9.42578125" style="71" customWidth="1"/>
    <col min="17" max="17" width="11.42578125" style="71"/>
    <col min="18" max="18" width="2.42578125" style="71" customWidth="1"/>
    <col min="19" max="24" width="9.42578125" style="71" customWidth="1"/>
    <col min="25" max="25" width="11.42578125" style="71"/>
    <col min="26" max="26" width="5.7109375" style="71" customWidth="1"/>
    <col min="27" max="32" width="9.42578125" style="71" customWidth="1"/>
    <col min="33" max="16384" width="11.42578125" style="71"/>
  </cols>
  <sheetData>
    <row r="1" spans="2:33" ht="20.100000000000001" customHeight="1" outlineLevel="1">
      <c r="B1" s="116" t="s">
        <v>41</v>
      </c>
      <c r="C1" s="116"/>
      <c r="D1" s="116" t="str">
        <f ca="1">_xll.VIEW("tango_core_model:Rp_LTP",$K$11,$D$4,"!",$D$5,$D$2,"!",$F$17,"!")</f>
        <v>tango_core_model:Rp_LTP</v>
      </c>
      <c r="E1" s="116"/>
    </row>
    <row r="2" spans="2:33" ht="20.100000000000001" customHeight="1" outlineLevel="1">
      <c r="B2" s="116" t="s">
        <v>55</v>
      </c>
      <c r="C2" s="116"/>
      <c r="D2" s="116" t="str">
        <f ca="1">+Legal_organization</f>
        <v>TRANSDEV All</v>
      </c>
      <c r="E2" s="116"/>
    </row>
    <row r="3" spans="2:33" ht="29.25" customHeight="1" outlineLevel="1">
      <c r="E3" s="116"/>
      <c r="I3" s="2"/>
      <c r="J3" s="125">
        <f>N</f>
        <v>2023</v>
      </c>
      <c r="K3" s="125" t="str">
        <f>"F_year_"&amp;N</f>
        <v>F_year_2023</v>
      </c>
      <c r="L3" s="125" t="str">
        <f>"F_year_"&amp;N+1</f>
        <v>F_year_2024</v>
      </c>
      <c r="M3" s="125" t="str">
        <f>"F_year_"&amp;N+2</f>
        <v>F_year_2025</v>
      </c>
      <c r="N3" s="125" t="str">
        <f>"F_year_"&amp;N+3</f>
        <v>F_year_2026</v>
      </c>
      <c r="O3" s="125" t="str">
        <f>"F_year_"&amp;N+4</f>
        <v>F_year_2027</v>
      </c>
      <c r="P3" s="125" t="str">
        <f>"F_year_"&amp;N+5</f>
        <v>F_year_2028</v>
      </c>
      <c r="Q3" s="125" t="str">
        <f>"F_year_"&amp;N+6</f>
        <v>F_year_2029</v>
      </c>
      <c r="S3" s="125" t="str">
        <f>"F_year_"&amp;N</f>
        <v>F_year_2023</v>
      </c>
      <c r="T3" s="125" t="str">
        <f>"F_year_"&amp;N+1</f>
        <v>F_year_2024</v>
      </c>
      <c r="U3" s="125" t="str">
        <f>"F_year_"&amp;N+2</f>
        <v>F_year_2025</v>
      </c>
      <c r="V3" s="125" t="str">
        <f>"F_year_"&amp;N+3</f>
        <v>F_year_2026</v>
      </c>
      <c r="W3" s="125" t="str">
        <f>"F_year_"&amp;N+4</f>
        <v>F_year_2027</v>
      </c>
      <c r="X3" s="125" t="str">
        <f>"F_year_"&amp;N+5</f>
        <v>F_year_2028</v>
      </c>
      <c r="Y3" s="125" t="str">
        <f>"F_year_"&amp;N+6</f>
        <v>F_year_2029</v>
      </c>
      <c r="AA3" s="125" t="str">
        <f>"F_year_"&amp;N</f>
        <v>F_year_2023</v>
      </c>
      <c r="AB3" s="125" t="str">
        <f>"F_year_"&amp;N+1</f>
        <v>F_year_2024</v>
      </c>
      <c r="AC3" s="125" t="str">
        <f>"F_year_"&amp;N+2</f>
        <v>F_year_2025</v>
      </c>
      <c r="AD3" s="125" t="str">
        <f>"F_year_"&amp;N+3</f>
        <v>F_year_2026</v>
      </c>
      <c r="AE3" s="125" t="str">
        <f>"F_year_"&amp;N+4</f>
        <v>F_year_2027</v>
      </c>
      <c r="AF3" s="125" t="str">
        <f>"F_year_"&amp;N+5</f>
        <v>F_year_2028</v>
      </c>
      <c r="AG3" s="125" t="str">
        <f>"F_year_"&amp;N+6</f>
        <v>F_year_2029</v>
      </c>
    </row>
    <row r="4" spans="2:33" ht="20.100000000000001" customHeight="1" outlineLevel="1">
      <c r="B4" s="116" t="s">
        <v>0</v>
      </c>
      <c r="C4" s="116"/>
      <c r="D4" s="116" t="str">
        <f ca="1">_xll.SUBNM("tango_core_model:Currency","","MEUR")</f>
        <v>MEUR</v>
      </c>
      <c r="E4" s="116"/>
      <c r="H4" s="121" t="str">
        <f>Current_Version</f>
        <v>LTP_2023_VC</v>
      </c>
      <c r="I4" s="121"/>
      <c r="J4" s="121" t="s">
        <v>39</v>
      </c>
      <c r="K4" s="122">
        <f ca="1">_xll.DBRW("tango_core_model:ST_Currency",K$3,$H$4,Currency,"EUR",$J4)</f>
        <v>1</v>
      </c>
      <c r="L4" s="122">
        <f ca="1">_xll.DBRW("tango_core_model:ST_Currency",L$3,$H$4,Currency,"EUR",$J4)</f>
        <v>1</v>
      </c>
      <c r="M4" s="122">
        <f ca="1">_xll.DBRW("tango_core_model:ST_Currency",M$3,$H$4,Currency,"EUR",$J4)</f>
        <v>1</v>
      </c>
      <c r="N4" s="122">
        <f ca="1">_xll.DBRW("tango_core_model:ST_Currency",N$3,$H$4,Currency,"EUR",$J4)</f>
        <v>1</v>
      </c>
      <c r="O4" s="122">
        <f ca="1">_xll.DBRW("tango_core_model:ST_Currency",O$3,$H$4,Currency,"EUR",$J4)</f>
        <v>1</v>
      </c>
      <c r="P4" s="122">
        <f ca="1">_xll.DBRW("tango_core_model:ST_Currency",P$3,$H$4,Currency,"EUR",$J4)</f>
        <v>1</v>
      </c>
      <c r="Q4" s="122">
        <f ca="1">_xll.DBRW("tango_core_model:ST_Currency",Q$3,$H$4,Currency,"EUR",$J4)</f>
        <v>1</v>
      </c>
      <c r="S4" s="122">
        <f ca="1">_xll.DBRW("tango_core_model:ST_Currency",S$3,$H$4,Currency,"EUR",$J4)</f>
        <v>1</v>
      </c>
      <c r="T4" s="122">
        <f ca="1">_xll.DBRW("tango_core_model:ST_Currency",T$3,$H$4,Currency,"EUR",$J4)</f>
        <v>1</v>
      </c>
      <c r="U4" s="122">
        <f ca="1">_xll.DBRW("tango_core_model:ST_Currency",U$3,$H$4,Currency,"EUR",$J4)</f>
        <v>1</v>
      </c>
      <c r="V4" s="122">
        <f ca="1">_xll.DBRW("tango_core_model:ST_Currency",V$3,$H$4,Currency,"EUR",$J4)</f>
        <v>1</v>
      </c>
      <c r="W4" s="122">
        <f ca="1">_xll.DBRW("tango_core_model:ST_Currency",W$3,$H$4,Currency,"EUR",$J4)</f>
        <v>1</v>
      </c>
      <c r="X4" s="122">
        <f ca="1">_xll.DBRW("tango_core_model:ST_Currency",X$3,$H$4,Currency,"EUR",$J4)</f>
        <v>1</v>
      </c>
      <c r="Y4" s="122">
        <f ca="1">_xll.DBRW("tango_core_model:ST_Currency",Y$3,$H$4,Currency,"EUR",$J4)</f>
        <v>1</v>
      </c>
      <c r="AA4" s="122">
        <f ca="1">_xll.DBRW("tango_core_model:ST_Currency",AA$3,$H$4,Currency,"EUR",$J4)</f>
        <v>1</v>
      </c>
      <c r="AB4" s="122">
        <f ca="1">_xll.DBRW("tango_core_model:ST_Currency",AB$3,$H$4,Currency,"EUR",$J4)</f>
        <v>1</v>
      </c>
      <c r="AC4" s="122">
        <f ca="1">_xll.DBRW("tango_core_model:ST_Currency",AC$3,$H$4,Currency,"EUR",$J4)</f>
        <v>1</v>
      </c>
      <c r="AD4" s="122">
        <f ca="1">_xll.DBRW("tango_core_model:ST_Currency",AD$3,$H$4,Currency,"EUR",$J4)</f>
        <v>1</v>
      </c>
      <c r="AE4" s="122">
        <f ca="1">_xll.DBRW("tango_core_model:ST_Currency",AE$3,$H$4,Currency,"EUR",$J4)</f>
        <v>1</v>
      </c>
      <c r="AF4" s="122">
        <f ca="1">_xll.DBRW("tango_core_model:ST_Currency",AF$3,$H$4,Currency,"EUR",$J4)</f>
        <v>1</v>
      </c>
      <c r="AG4" s="122">
        <f ca="1">_xll.DBRW("tango_core_model:ST_Currency",AG$3,$H$4,Currency,"EUR",$J4)</f>
        <v>1</v>
      </c>
    </row>
    <row r="5" spans="2:33" ht="20.100000000000001" customHeight="1" outlineLevel="1">
      <c r="B5" s="408" t="s">
        <v>307</v>
      </c>
      <c r="C5" s="116"/>
      <c r="D5" s="116" t="str">
        <f ca="1">IF(MID(F30,5,4)&gt;"2020",_xll.SUBNM("tango_core_model:Weighting","","W_APP"),_xll.SUBNM("tango_core_model:Weighting","","W_NO_APP"))</f>
        <v>W_APP</v>
      </c>
      <c r="E5" s="116"/>
      <c r="H5" s="121"/>
      <c r="I5" s="121"/>
      <c r="J5" s="123" t="s">
        <v>40</v>
      </c>
      <c r="K5" s="124">
        <f ca="1">_xll.DBRW("tango_core_model:ST_Currency",K$3,$H$4,Currency,"EUR",$J5)</f>
        <v>1</v>
      </c>
      <c r="L5" s="124">
        <f ca="1">_xll.DBRW("tango_core_model:ST_Currency",L$3,$H$4,Currency,"EUR",$J5)</f>
        <v>1</v>
      </c>
      <c r="M5" s="124">
        <f ca="1">_xll.DBRW("tango_core_model:ST_Currency",M$3,$H$4,Currency,"EUR",$J5)</f>
        <v>1</v>
      </c>
      <c r="N5" s="124">
        <f ca="1">_xll.DBRW("tango_core_model:ST_Currency",N$3,$H$4,Currency,"EUR",$J5)</f>
        <v>1</v>
      </c>
      <c r="O5" s="124">
        <f ca="1">_xll.DBRW("tango_core_model:ST_Currency",O$3,$H$4,Currency,"EUR",$J5)</f>
        <v>1</v>
      </c>
      <c r="P5" s="124">
        <f ca="1">_xll.DBRW("tango_core_model:ST_Currency",P$3,$H$4,Currency,"EUR",$J5)</f>
        <v>1</v>
      </c>
      <c r="Q5" s="124">
        <f ca="1">_xll.DBRW("tango_core_model:ST_Currency",Q$3,$H$4,Currency,"EUR",$J5)</f>
        <v>1</v>
      </c>
      <c r="S5" s="124">
        <f ca="1">_xll.DBRW("tango_core_model:ST_Currency",S$3,$H$4,Currency,"EUR",$J5)</f>
        <v>1</v>
      </c>
      <c r="T5" s="124">
        <f ca="1">_xll.DBRW("tango_core_model:ST_Currency",T$3,$H$4,Currency,"EUR",$J5)</f>
        <v>1</v>
      </c>
      <c r="U5" s="124">
        <f ca="1">_xll.DBRW("tango_core_model:ST_Currency",U$3,$H$4,Currency,"EUR",$J5)</f>
        <v>1</v>
      </c>
      <c r="V5" s="124">
        <f ca="1">_xll.DBRW("tango_core_model:ST_Currency",V$3,$H$4,Currency,"EUR",$J5)</f>
        <v>1</v>
      </c>
      <c r="W5" s="124">
        <f ca="1">_xll.DBRW("tango_core_model:ST_Currency",W$3,$H$4,Currency,"EUR",$J5)</f>
        <v>1</v>
      </c>
      <c r="X5" s="124">
        <f ca="1">_xll.DBRW("tango_core_model:ST_Currency",X$3,$H$4,Currency,"EUR",$J5)</f>
        <v>1</v>
      </c>
      <c r="Y5" s="124">
        <f ca="1">_xll.DBRW("tango_core_model:ST_Currency",Y$3,$H$4,Currency,"EUR",$J5)</f>
        <v>1</v>
      </c>
      <c r="AA5" s="124">
        <f ca="1">_xll.DBRW("tango_core_model:ST_Currency",AA$3,$H$4,Currency,"EUR",$J5)</f>
        <v>1</v>
      </c>
      <c r="AB5" s="124">
        <f ca="1">_xll.DBRW("tango_core_model:ST_Currency",AB$3,$H$4,Currency,"EUR",$J5)</f>
        <v>1</v>
      </c>
      <c r="AC5" s="124">
        <f ca="1">_xll.DBRW("tango_core_model:ST_Currency",AC$3,$H$4,Currency,"EUR",$J5)</f>
        <v>1</v>
      </c>
      <c r="AD5" s="124">
        <f ca="1">_xll.DBRW("tango_core_model:ST_Currency",AD$3,$H$4,Currency,"EUR",$J5)</f>
        <v>1</v>
      </c>
      <c r="AE5" s="124">
        <f ca="1">_xll.DBRW("tango_core_model:ST_Currency",AE$3,$H$4,Currency,"EUR",$J5)</f>
        <v>1</v>
      </c>
      <c r="AF5" s="124">
        <f ca="1">_xll.DBRW("tango_core_model:ST_Currency",AF$3,$H$4,Currency,"EUR",$J5)</f>
        <v>1</v>
      </c>
      <c r="AG5" s="124">
        <f ca="1">_xll.DBRW("tango_core_model:ST_Currency",AG$3,$H$4,Currency,"EUR",$J5)</f>
        <v>1</v>
      </c>
    </row>
    <row r="6" spans="2:33" ht="20.100000000000001" customHeight="1" outlineLevel="1">
      <c r="B6" s="408" t="s">
        <v>308</v>
      </c>
      <c r="C6" s="116"/>
      <c r="D6" s="116" t="str">
        <f ca="1">IF(MID(F17,5,4)&gt;"2020",_xll.SUBNM("tango_core_model:Weighting","","W_APP"),_xll.SUBNM("tango_core_model:Weighting","","W_NO_APP"))</f>
        <v>W_APP</v>
      </c>
      <c r="H6" s="117" t="str">
        <f>LEFT(LY_Version,11)</f>
        <v>LTP_2022_V6</v>
      </c>
      <c r="I6" s="117"/>
      <c r="J6" s="117" t="s">
        <v>39</v>
      </c>
      <c r="K6" s="118">
        <f ca="1">_xll.DBRW("tango_core_model:ST_Currency",K$3,$H$6,Currency,"EUR",$J6)</f>
        <v>1</v>
      </c>
      <c r="L6" s="118">
        <f ca="1">_xll.DBRW("tango_core_model:ST_Currency",L$3,$H$6,Currency,"EUR",$J6)</f>
        <v>1</v>
      </c>
      <c r="M6" s="118">
        <f ca="1">_xll.DBRW("tango_core_model:ST_Currency",M$3,$H$6,Currency,"EUR",$J6)</f>
        <v>1</v>
      </c>
      <c r="N6" s="118">
        <f ca="1">_xll.DBRW("tango_core_model:ST_Currency",N$3,$H$6,Currency,"EUR",$J6)</f>
        <v>1</v>
      </c>
      <c r="O6" s="118">
        <f ca="1">_xll.DBRW("tango_core_model:ST_Currency",O$3,$H$6,Currency,"EUR",$J6)</f>
        <v>1</v>
      </c>
      <c r="P6" s="118">
        <f ca="1">_xll.DBRW("tango_core_model:ST_Currency",P$3,$H$6,Currency,"EUR",$J6)</f>
        <v>1</v>
      </c>
      <c r="Q6" s="118">
        <f ca="1">_xll.DBRW("tango_core_model:ST_Currency",Q$3,$H$6,Currency,"EUR",$J6)</f>
        <v>1</v>
      </c>
      <c r="S6" s="118">
        <f ca="1">_xll.DBRW("tango_core_model:ST_Currency",S$3,$H$6,Currency,"EUR",$J6)</f>
        <v>1</v>
      </c>
      <c r="T6" s="118">
        <f ca="1">_xll.DBRW("tango_core_model:ST_Currency",T$3,$H$6,Currency,"EUR",$J6)</f>
        <v>1</v>
      </c>
      <c r="U6" s="118">
        <f ca="1">_xll.DBRW("tango_core_model:ST_Currency",U$3,$H$6,Currency,"EUR",$J6)</f>
        <v>1</v>
      </c>
      <c r="V6" s="118">
        <f ca="1">_xll.DBRW("tango_core_model:ST_Currency",V$3,$H$6,Currency,"EUR",$J6)</f>
        <v>1</v>
      </c>
      <c r="W6" s="118">
        <f ca="1">_xll.DBRW("tango_core_model:ST_Currency",W$3,$H$6,Currency,"EUR",$J6)</f>
        <v>1</v>
      </c>
      <c r="X6" s="118">
        <f ca="1">_xll.DBRW("tango_core_model:ST_Currency",X$3,$H$6,Currency,"EUR",$J6)</f>
        <v>1</v>
      </c>
      <c r="Y6" s="118">
        <f ca="1">_xll.DBRW("tango_core_model:ST_Currency",Y$3,$H$6,Currency,"EUR",$J6)</f>
        <v>1</v>
      </c>
      <c r="AA6" s="118">
        <f ca="1">_xll.DBRW("tango_core_model:ST_Currency",AA$3,$H$6,Currency,"EUR",$J6)</f>
        <v>1</v>
      </c>
      <c r="AB6" s="118">
        <f ca="1">_xll.DBRW("tango_core_model:ST_Currency",AB$3,$H$6,Currency,"EUR",$J6)</f>
        <v>1</v>
      </c>
      <c r="AC6" s="118">
        <f ca="1">_xll.DBRW("tango_core_model:ST_Currency",AC$3,$H$6,Currency,"EUR",$J6)</f>
        <v>1</v>
      </c>
      <c r="AD6" s="118">
        <f ca="1">_xll.DBRW("tango_core_model:ST_Currency",AD$3,$H$6,Currency,"EUR",$J6)</f>
        <v>1</v>
      </c>
      <c r="AE6" s="118">
        <f ca="1">_xll.DBRW("tango_core_model:ST_Currency",AE$3,$H$6,Currency,"EUR",$J6)</f>
        <v>1</v>
      </c>
      <c r="AF6" s="118">
        <f ca="1">_xll.DBRW("tango_core_model:ST_Currency",AF$3,$H$6,Currency,"EUR",$J6)</f>
        <v>1</v>
      </c>
      <c r="AG6" s="118">
        <f ca="1">_xll.DBRW("tango_core_model:ST_Currency",AG$3,$H$6,Currency,"EUR",$J6)</f>
        <v>1</v>
      </c>
    </row>
    <row r="7" spans="2:33" ht="20.100000000000001" customHeight="1" outlineLevel="1">
      <c r="H7" s="117"/>
      <c r="I7" s="117"/>
      <c r="J7" s="119" t="s">
        <v>40</v>
      </c>
      <c r="K7" s="120">
        <f ca="1">_xll.DBRW("tango_core_model:ST_Currency",K$3,$H$6,Currency,"EUR",$J7)</f>
        <v>1</v>
      </c>
      <c r="L7" s="120">
        <f ca="1">_xll.DBRW("tango_core_model:ST_Currency",L$3,$H$6,Currency,"EUR",$J7)</f>
        <v>1</v>
      </c>
      <c r="M7" s="120">
        <f ca="1">_xll.DBRW("tango_core_model:ST_Currency",M$3,$H$6,Currency,"EUR",$J7)</f>
        <v>1</v>
      </c>
      <c r="N7" s="120">
        <f ca="1">_xll.DBRW("tango_core_model:ST_Currency",N$3,$H$6,Currency,"EUR",$J7)</f>
        <v>1</v>
      </c>
      <c r="O7" s="120">
        <f ca="1">_xll.DBRW("tango_core_model:ST_Currency",O$3,$H$6,Currency,"EUR",$J7)</f>
        <v>1</v>
      </c>
      <c r="P7" s="120">
        <f ca="1">_xll.DBRW("tango_core_model:ST_Currency",P$3,$H$6,Currency,"EUR",$J7)</f>
        <v>1</v>
      </c>
      <c r="Q7" s="120">
        <f ca="1">_xll.DBRW("tango_core_model:ST_Currency",Q$3,$H$6,Currency,"EUR",$J7)</f>
        <v>1</v>
      </c>
      <c r="S7" s="120">
        <f ca="1">_xll.DBRW("tango_core_model:ST_Currency",S$3,$H$6,Currency,"EUR",$J7)</f>
        <v>1</v>
      </c>
      <c r="T7" s="120">
        <f ca="1">_xll.DBRW("tango_core_model:ST_Currency",T$3,$H$6,Currency,"EUR",$J7)</f>
        <v>1</v>
      </c>
      <c r="U7" s="120">
        <f ca="1">_xll.DBRW("tango_core_model:ST_Currency",U$3,$H$6,Currency,"EUR",$J7)</f>
        <v>1</v>
      </c>
      <c r="V7" s="120">
        <f ca="1">_xll.DBRW("tango_core_model:ST_Currency",V$3,$H$6,Currency,"EUR",$J7)</f>
        <v>1</v>
      </c>
      <c r="W7" s="120">
        <f ca="1">_xll.DBRW("tango_core_model:ST_Currency",W$3,$H$6,Currency,"EUR",$J7)</f>
        <v>1</v>
      </c>
      <c r="X7" s="120">
        <f ca="1">_xll.DBRW("tango_core_model:ST_Currency",X$3,$H$6,Currency,"EUR",$J7)</f>
        <v>1</v>
      </c>
      <c r="Y7" s="120">
        <f ca="1">_xll.DBRW("tango_core_model:ST_Currency",Y$3,$H$6,Currency,"EUR",$J7)</f>
        <v>1</v>
      </c>
      <c r="AA7" s="120">
        <f ca="1">_xll.DBRW("tango_core_model:ST_Currency",AA$3,$H$6,Currency,"EUR",$J7)</f>
        <v>1</v>
      </c>
      <c r="AB7" s="120">
        <f ca="1">_xll.DBRW("tango_core_model:ST_Currency",AB$3,$H$6,Currency,"EUR",$J7)</f>
        <v>1</v>
      </c>
      <c r="AC7" s="120">
        <f ca="1">_xll.DBRW("tango_core_model:ST_Currency",AC$3,$H$6,Currency,"EUR",$J7)</f>
        <v>1</v>
      </c>
      <c r="AD7" s="120">
        <f ca="1">_xll.DBRW("tango_core_model:ST_Currency",AD$3,$H$6,Currency,"EUR",$J7)</f>
        <v>1</v>
      </c>
      <c r="AE7" s="120">
        <f ca="1">_xll.DBRW("tango_core_model:ST_Currency",AE$3,$H$6,Currency,"EUR",$J7)</f>
        <v>1</v>
      </c>
      <c r="AF7" s="120">
        <f ca="1">_xll.DBRW("tango_core_model:ST_Currency",AF$3,$H$6,Currency,"EUR",$J7)</f>
        <v>1</v>
      </c>
      <c r="AG7" s="120">
        <f ca="1">_xll.DBRW("tango_core_model:ST_Currency",AG$3,$H$6,Currency,"EUR",$J7)</f>
        <v>1</v>
      </c>
    </row>
    <row r="8" spans="2:33" ht="20.100000000000001" customHeight="1" outlineLevel="1"/>
    <row r="9" spans="2:33" ht="20.100000000000001" customHeight="1" outlineLevel="1"/>
    <row r="10" spans="2:33" ht="9.75" customHeight="1" thickBot="1"/>
    <row r="11" spans="2:33" ht="20.100000000000001" customHeight="1" thickBot="1">
      <c r="E11" s="72"/>
      <c r="F11" s="72"/>
      <c r="J11" s="249" t="s">
        <v>195</v>
      </c>
      <c r="K11" s="478" t="str">
        <f ca="1">_xll.SUBNM("tango_core_model:Activity","","Tot_act","English")</f>
        <v>All activity</v>
      </c>
      <c r="L11" s="479"/>
    </row>
    <row r="12" spans="2:33" ht="7.5" customHeight="1">
      <c r="E12" s="72"/>
      <c r="F12" s="72"/>
      <c r="I12" s="72"/>
      <c r="J12" s="72"/>
      <c r="K12" s="72"/>
      <c r="L12" s="72"/>
    </row>
    <row r="13" spans="2:33" s="72" customFormat="1" ht="24" customHeight="1">
      <c r="I13" s="232" t="str">
        <f ca="1">+Legal_organization</f>
        <v>TRANSDEV All</v>
      </c>
      <c r="J13" s="232"/>
      <c r="K13" s="232"/>
      <c r="L13" s="233"/>
      <c r="M13" s="233"/>
      <c r="N13" s="233"/>
      <c r="O13" s="233"/>
      <c r="P13" s="233"/>
      <c r="Q13" s="234" t="str">
        <f ca="1">_xll.SUBNM("tango_core_model:LTP_components","","LTP")</f>
        <v>LTP</v>
      </c>
      <c r="S13" s="232"/>
      <c r="T13" s="233"/>
      <c r="U13" s="233"/>
      <c r="V13" s="233"/>
      <c r="W13" s="233"/>
      <c r="X13" s="233"/>
      <c r="Y13" s="234" t="str">
        <f ca="1">_xll.SUBNM("tango_core_model:LTP_components","","ZGP&amp;DispCountry_Plans")</f>
        <v>ZGP&amp;DispCountry_Plans</v>
      </c>
      <c r="AA13" s="232"/>
      <c r="AB13" s="233"/>
      <c r="AC13" s="233"/>
      <c r="AD13" s="233"/>
      <c r="AE13" s="233"/>
      <c r="AF13" s="233"/>
      <c r="AG13" s="234" t="str">
        <f ca="1">_xll.SUBNM("tango_core_model:LTP_components","","Growth_Plan")</f>
        <v>Growth_Plan</v>
      </c>
    </row>
    <row r="14" spans="2:33" ht="4.5" customHeight="1">
      <c r="E14" s="72"/>
      <c r="F14" s="72"/>
    </row>
    <row r="15" spans="2:33" ht="20.100000000000001" customHeight="1">
      <c r="E15" s="72"/>
      <c r="F15" s="72"/>
      <c r="I15" s="75" t="str">
        <f>+"LONG TERM PLAN COMPARISON - "&amp;N&amp;" vs "&amp;N-1</f>
        <v>LONG TERM PLAN COMPARISON - 2023 vs 2022</v>
      </c>
    </row>
    <row r="16" spans="2:33" ht="6" customHeight="1">
      <c r="G16" s="76"/>
      <c r="H16" s="77"/>
    </row>
    <row r="17" spans="2:36" ht="30.75" customHeight="1">
      <c r="F17" s="78" t="str">
        <f>LY_Version</f>
        <v>LTP_2022_V6</v>
      </c>
      <c r="G17" s="76"/>
      <c r="H17" s="79"/>
      <c r="I17" s="477" t="str">
        <f>"LTP "&amp;N-1</f>
        <v>LTP 2022</v>
      </c>
      <c r="J17" s="228" t="str">
        <f>"M"&amp;Currency</f>
        <v>MEUR</v>
      </c>
      <c r="K17" s="229" t="str">
        <f>"Plan "&amp;RIGHT(K3,4)</f>
        <v>Plan 2023</v>
      </c>
      <c r="L17" s="229" t="str">
        <f t="shared" ref="L17:Q17" si="0">"Plan "&amp;RIGHT(L3,4)</f>
        <v>Plan 2024</v>
      </c>
      <c r="M17" s="229" t="str">
        <f t="shared" si="0"/>
        <v>Plan 2025</v>
      </c>
      <c r="N17" s="229" t="str">
        <f t="shared" si="0"/>
        <v>Plan 2026</v>
      </c>
      <c r="O17" s="229" t="str">
        <f t="shared" si="0"/>
        <v>Plan 2027</v>
      </c>
      <c r="P17" s="229" t="str">
        <f t="shared" si="0"/>
        <v>Plan 2028</v>
      </c>
      <c r="Q17" s="229" t="str">
        <f t="shared" si="0"/>
        <v>Plan 2029</v>
      </c>
      <c r="R17" s="80"/>
      <c r="S17" s="229" t="str">
        <f>"Plan "&amp;RIGHT(S3,4)</f>
        <v>Plan 2023</v>
      </c>
      <c r="T17" s="229" t="str">
        <f t="shared" ref="T17:Y17" si="1">"Plan "&amp;RIGHT(T3,4)</f>
        <v>Plan 2024</v>
      </c>
      <c r="U17" s="229" t="str">
        <f t="shared" si="1"/>
        <v>Plan 2025</v>
      </c>
      <c r="V17" s="229" t="str">
        <f t="shared" si="1"/>
        <v>Plan 2026</v>
      </c>
      <c r="W17" s="229" t="str">
        <f t="shared" si="1"/>
        <v>Plan 2027</v>
      </c>
      <c r="X17" s="229" t="str">
        <f t="shared" si="1"/>
        <v>Plan 2028</v>
      </c>
      <c r="Y17" s="229" t="str">
        <f t="shared" si="1"/>
        <v>Plan 2029</v>
      </c>
      <c r="Z17" s="80"/>
      <c r="AA17" s="229" t="str">
        <f>"Plan "&amp;RIGHT(AA3,4)</f>
        <v>Plan 2023</v>
      </c>
      <c r="AB17" s="229" t="str">
        <f t="shared" ref="AB17:AG17" si="2">"Plan "&amp;RIGHT(AB3,4)</f>
        <v>Plan 2024</v>
      </c>
      <c r="AC17" s="229" t="str">
        <f t="shared" si="2"/>
        <v>Plan 2025</v>
      </c>
      <c r="AD17" s="229" t="str">
        <f t="shared" si="2"/>
        <v>Plan 2026</v>
      </c>
      <c r="AE17" s="229" t="str">
        <f t="shared" si="2"/>
        <v>Plan 2027</v>
      </c>
      <c r="AF17" s="229" t="str">
        <f t="shared" si="2"/>
        <v>Plan 2028</v>
      </c>
      <c r="AG17" s="229" t="str">
        <f t="shared" si="2"/>
        <v>Plan 2029</v>
      </c>
    </row>
    <row r="18" spans="2:36" ht="20.100000000000001" customHeight="1">
      <c r="B18" s="74" t="str">
        <f t="shared" ref="B18:B26" ca="1" si="3">+$Q$13</f>
        <v>LTP</v>
      </c>
      <c r="D18" s="74"/>
      <c r="E18" s="74"/>
      <c r="F18" s="74" t="s">
        <v>17</v>
      </c>
      <c r="G18" s="81"/>
      <c r="H18" s="79"/>
      <c r="I18" s="477"/>
      <c r="J18" s="74" t="s">
        <v>82</v>
      </c>
      <c r="K18" s="194">
        <f ca="1">_xll.DBRW($D$1,$K$11,$D$4,$Q$13,$D$6,$D$2,K$3,$F$17,$F18)*K$7</f>
        <v>9336.3567091770001</v>
      </c>
      <c r="L18" s="194">
        <f ca="1">_xll.DBRW($D$1,$K$11,$D$4,$Q$13,$D$6,$D$2,L$3,$F$17,$F18)*L$7</f>
        <v>10007.033025344426</v>
      </c>
      <c r="M18" s="194">
        <f ca="1">_xll.DBRW($D$1,$K$11,$D$4,$Q$13,$D$6,$D$2,M$3,$F$17,$F18)*M$7</f>
        <v>10565.535610686065</v>
      </c>
      <c r="N18" s="194">
        <f ca="1">_xll.DBRW($D$1,$K$11,$D$4,$Q$13,$D$6,$D$2,N$3,$F$17,$F18)*N$7</f>
        <v>11087.858940855507</v>
      </c>
      <c r="O18" s="194">
        <f ca="1">_xll.DBRW($D$1,$K$11,$D$4,$Q$13,$D$6,$D$2,O$3,$F$17,$F18)*O$7</f>
        <v>11489.43699757781</v>
      </c>
      <c r="P18" s="194">
        <f ca="1">_xll.DBRW($D$1,$K$11,$D$4,$Q$13,$D$6,$D$2,P$3,$F$17,$F18)*P$7</f>
        <v>11890.13256652376</v>
      </c>
      <c r="Q18" s="87" t="s">
        <v>56</v>
      </c>
      <c r="R18" s="194"/>
      <c r="S18" s="194">
        <f ca="1">_xll.DBRW($D$1,$K$11,$D$4,$Y$13,$D$6,$D$2,S$3,$F$17,$F18)*S$7</f>
        <v>8317.7889792469996</v>
      </c>
      <c r="T18" s="194">
        <f ca="1">_xll.DBRW($D$1,$K$11,$D$4,$Y$13,$D$6,$D$2,T$3,$F$17,$F18)*T$7</f>
        <v>8082.0153481580792</v>
      </c>
      <c r="U18" s="194">
        <f ca="1">_xll.DBRW($D$1,$K$11,$D$4,$Y$13,$D$6,$D$2,U$3,$F$17,$F18)*U$7</f>
        <v>8089.6996558471737</v>
      </c>
      <c r="V18" s="194">
        <f ca="1">_xll.DBRW($D$1,$K$11,$D$4,$Y$13,$D$6,$D$2,V$3,$F$17,$F18)*V$7</f>
        <v>8096.3655919892353</v>
      </c>
      <c r="W18" s="194">
        <f ca="1">_xll.DBRW($D$1,$K$11,$D$4,$Y$13,$D$6,$D$2,W$3,$F$17,$F18)*W$7</f>
        <v>8028.1069206438433</v>
      </c>
      <c r="X18" s="194">
        <f ca="1">_xll.DBRW($D$1,$K$11,$D$4,$Y$13,$D$6,$D$2,X$3,$F$17,$F18)*X$7</f>
        <v>8108.254555161775</v>
      </c>
      <c r="Y18" s="87" t="s">
        <v>56</v>
      </c>
      <c r="Z18" s="194"/>
      <c r="AA18" s="194">
        <f ca="1">_xll.DBRW($D$1,$K$11,$D$4,$AG$13,$D$6,$D$2,AA$3,$F$17,$F18)*AA$7</f>
        <v>1018.56772993</v>
      </c>
      <c r="AB18" s="194">
        <f ca="1">_xll.DBRW($D$1,$K$11,$D$4,$AG$13,$D$6,$D$2,AB$3,$F$17,$F18)*AB$7</f>
        <v>1925.0176771863478</v>
      </c>
      <c r="AC18" s="194">
        <f ca="1">_xll.DBRW($D$1,$K$11,$D$4,$AG$13,$D$6,$D$2,AC$3,$F$17,$F18)*AC$7</f>
        <v>2475.8359548388935</v>
      </c>
      <c r="AD18" s="194">
        <f ca="1">_xll.DBRW($D$1,$K$11,$D$4,$AG$13,$D$6,$D$2,AD$3,$F$17,$F18)*AD$7</f>
        <v>2991.4933488662746</v>
      </c>
      <c r="AE18" s="194">
        <f ca="1">_xll.DBRW($D$1,$K$11,$D$4,$AG$13,$D$6,$D$2,AE$3,$F$17,$F18)*AE$7</f>
        <v>3461.3300769339662</v>
      </c>
      <c r="AF18" s="194">
        <f ca="1">_xll.DBRW($D$1,$K$11,$D$4,$AG$13,$D$6,$D$2,AF$3,$F$17,$F18)*AF$7</f>
        <v>3781.8780113619841</v>
      </c>
      <c r="AG18" s="87" t="s">
        <v>56</v>
      </c>
    </row>
    <row r="19" spans="2:36" ht="19.5" customHeight="1">
      <c r="B19" s="74" t="str">
        <f t="shared" ca="1" si="3"/>
        <v>LTP</v>
      </c>
      <c r="C19" s="74"/>
      <c r="D19" s="74"/>
      <c r="E19" s="74"/>
      <c r="F19" s="74" t="s">
        <v>197</v>
      </c>
      <c r="G19" s="81"/>
      <c r="H19" s="79"/>
      <c r="I19" s="477"/>
      <c r="J19" s="74" t="s">
        <v>62</v>
      </c>
      <c r="K19" s="194">
        <f ca="1">_xll.DBRW($D$1,$K$11,$D$4,$Q$13,$D$6,$D$2,K$3,$F$17,$F19)*K$7</f>
        <v>562.52262646500196</v>
      </c>
      <c r="L19" s="194">
        <f ca="1">_xll.DBRW($D$1,$K$11,$D$4,$Q$13,$D$6,$D$2,L$3,$F$17,$F19)*L$7</f>
        <v>668.30367387082219</v>
      </c>
      <c r="M19" s="194">
        <f ca="1">_xll.DBRW($D$1,$K$11,$D$4,$Q$13,$D$6,$D$2,M$3,$F$17,$F19)*M$7</f>
        <v>778.91206281664427</v>
      </c>
      <c r="N19" s="194">
        <f ca="1">_xll.DBRW($D$1,$K$11,$D$4,$Q$13,$D$6,$D$2,N$3,$F$17,$F19)*N$7</f>
        <v>894.61140201473427</v>
      </c>
      <c r="O19" s="194">
        <f ca="1">_xll.DBRW($D$1,$K$11,$D$4,$Q$13,$D$6,$D$2,O$3,$F$17,$F19)*O$7</f>
        <v>974.81142007699373</v>
      </c>
      <c r="P19" s="194">
        <f ca="1">_xll.DBRW($D$1,$K$11,$D$4,$Q$13,$D$6,$D$2,P$3,$F$17,$F19)*P$7</f>
        <v>1024.9100446380048</v>
      </c>
      <c r="Q19" s="87" t="s">
        <v>56</v>
      </c>
      <c r="R19" s="194"/>
      <c r="S19" s="194">
        <f ca="1">_xll.DBRW($D$1,$K$11,$D$4,$Y$13,$D$6,$D$2,S$3,$F$17,$F19)*S$7</f>
        <v>554.80118850500185</v>
      </c>
      <c r="T19" s="194">
        <f ca="1">_xll.DBRW($D$1,$K$11,$D$4,$Y$13,$D$6,$D$2,T$3,$F$17,$F19)*T$7</f>
        <v>585.01196235861414</v>
      </c>
      <c r="U19" s="194">
        <f ca="1">_xll.DBRW($D$1,$K$11,$D$4,$Y$13,$D$6,$D$2,U$3,$F$17,$F19)*U$7</f>
        <v>621.50291509785143</v>
      </c>
      <c r="V19" s="194">
        <f ca="1">_xll.DBRW($D$1,$K$11,$D$4,$Y$13,$D$6,$D$2,V$3,$F$17,$F19)*V$7</f>
        <v>650.07580496242417</v>
      </c>
      <c r="W19" s="194">
        <f ca="1">_xll.DBRW($D$1,$K$11,$D$4,$Y$13,$D$6,$D$2,W$3,$F$17,$F19)*W$7</f>
        <v>658.94621426882884</v>
      </c>
      <c r="X19" s="194">
        <f ca="1">_xll.DBRW($D$1,$K$11,$D$4,$Y$13,$D$6,$D$2,X$3,$F$17,$F19)*X$7</f>
        <v>662.02030021855376</v>
      </c>
      <c r="Y19" s="87" t="s">
        <v>56</v>
      </c>
      <c r="Z19" s="194"/>
      <c r="AA19" s="194">
        <f ca="1">_xll.DBRW($D$1,$K$11,$D$4,$AG$13,$D$6,$D$2,AA$3,$F$17,$F19)*AA$7</f>
        <v>7.7214379600001166</v>
      </c>
      <c r="AB19" s="194">
        <f ca="1">_xll.DBRW($D$1,$K$11,$D$4,$AG$13,$D$6,$D$2,AB$3,$F$17,$F19)*AB$7</f>
        <v>83.291711512208394</v>
      </c>
      <c r="AC19" s="194">
        <f ca="1">_xll.DBRW($D$1,$K$11,$D$4,$AG$13,$D$6,$D$2,AC$3,$F$17,$F19)*AC$7</f>
        <v>157.40914771879284</v>
      </c>
      <c r="AD19" s="194">
        <f ca="1">_xll.DBRW($D$1,$K$11,$D$4,$AG$13,$D$6,$D$2,AD$3,$F$17,$F19)*AD$7</f>
        <v>244.53559705230987</v>
      </c>
      <c r="AE19" s="194">
        <f ca="1">_xll.DBRW($D$1,$K$11,$D$4,$AG$13,$D$6,$D$2,AE$3,$F$17,$F19)*AE$7</f>
        <v>315.86520580816477</v>
      </c>
      <c r="AF19" s="194">
        <f ca="1">_xll.DBRW($D$1,$K$11,$D$4,$AG$13,$D$6,$D$2,AF$3,$F$17,$F19)*AF$7</f>
        <v>362.88974441945106</v>
      </c>
      <c r="AG19" s="87" t="s">
        <v>56</v>
      </c>
    </row>
    <row r="20" spans="2:36" ht="20.100000000000001" customHeight="1">
      <c r="B20" s="74" t="str">
        <f t="shared" ca="1" si="3"/>
        <v>LTP</v>
      </c>
      <c r="C20" s="74"/>
      <c r="D20" s="74"/>
      <c r="E20" s="74"/>
      <c r="F20" s="74" t="s">
        <v>192</v>
      </c>
      <c r="G20" s="81"/>
      <c r="H20" s="79"/>
      <c r="I20" s="477"/>
      <c r="J20" s="74" t="s">
        <v>205</v>
      </c>
      <c r="K20" s="194">
        <f ca="1">_xll.DBRW($D$1,$K$11,$D$4,$Q$13,$D$6,$D$2,K$3,$F$17,$F20)*K$7</f>
        <v>93.59423434200184</v>
      </c>
      <c r="L20" s="194">
        <f ca="1">_xll.DBRW($D$1,$K$11,$D$4,$Q$13,$D$6,$D$2,L$3,$F$17,$F20)*L$7</f>
        <v>170.00142337080277</v>
      </c>
      <c r="M20" s="194">
        <f ca="1">_xll.DBRW($D$1,$K$11,$D$4,$Q$13,$D$6,$D$2,M$3,$F$17,$F20)*M$7</f>
        <v>240.6413909634108</v>
      </c>
      <c r="N20" s="194">
        <f ca="1">_xll.DBRW($D$1,$K$11,$D$4,$Q$13,$D$6,$D$2,N$3,$F$17,$F20)*N$7</f>
        <v>320.11269678893484</v>
      </c>
      <c r="O20" s="194">
        <f ca="1">_xll.DBRW($D$1,$K$11,$D$4,$Q$13,$D$6,$D$2,O$3,$F$17,$F20)*O$7</f>
        <v>381.85471024361482</v>
      </c>
      <c r="P20" s="194">
        <f ca="1">_xll.DBRW($D$1,$K$11,$D$4,$Q$13,$D$6,$D$2,P$3,$F$17,$F20)*P$7</f>
        <v>426.10151987527053</v>
      </c>
      <c r="Q20" s="87" t="s">
        <v>56</v>
      </c>
      <c r="R20" s="194"/>
      <c r="S20" s="194">
        <f ca="1">_xll.DBRW($D$1,$K$11,$D$4,$Y$13,$D$6,$D$2,S$3,$F$17,$F20)*S$7</f>
        <v>98.035416820001757</v>
      </c>
      <c r="T20" s="194">
        <f ca="1">_xll.DBRW($D$1,$K$11,$D$4,$Y$13,$D$6,$D$2,T$3,$F$17,$F20)*T$7</f>
        <v>138.03111975753444</v>
      </c>
      <c r="U20" s="194">
        <f ca="1">_xll.DBRW($D$1,$K$11,$D$4,$Y$13,$D$6,$D$2,U$3,$F$17,$F20)*U$7</f>
        <v>178.89922923529969</v>
      </c>
      <c r="V20" s="194">
        <f ca="1">_xll.DBRW($D$1,$K$11,$D$4,$Y$13,$D$6,$D$2,V$3,$F$17,$F20)*V$7</f>
        <v>194.20225957331351</v>
      </c>
      <c r="W20" s="194">
        <f ca="1">_xll.DBRW($D$1,$K$11,$D$4,$Y$13,$D$6,$D$2,W$3,$F$17,$F20)*W$7</f>
        <v>200.60647770593093</v>
      </c>
      <c r="X20" s="194">
        <f ca="1">_xll.DBRW($D$1,$K$11,$D$4,$Y$13,$D$6,$D$2,X$3,$F$17,$F20)*X$7</f>
        <v>213.47672714992979</v>
      </c>
      <c r="Y20" s="87" t="s">
        <v>56</v>
      </c>
      <c r="Z20" s="194"/>
      <c r="AA20" s="194">
        <f ca="1">_xll.DBRW($D$1,$K$11,$D$4,$AG$13,$D$6,$D$2,AA$3,$F$17,$F20)*AA$7</f>
        <v>-4.4411824779998792</v>
      </c>
      <c r="AB20" s="194">
        <f ca="1">_xll.DBRW($D$1,$K$11,$D$4,$AG$13,$D$6,$D$2,AB$3,$F$17,$F20)*AB$7</f>
        <v>31.970303613268282</v>
      </c>
      <c r="AC20" s="194">
        <f ca="1">_xll.DBRW($D$1,$K$11,$D$4,$AG$13,$D$6,$D$2,AC$3,$F$17,$F20)*AC$7</f>
        <v>61.742161728111228</v>
      </c>
      <c r="AD20" s="194">
        <f ca="1">_xll.DBRW($D$1,$K$11,$D$4,$AG$13,$D$6,$D$2,AD$3,$F$17,$F20)*AD$7</f>
        <v>125.9104372156213</v>
      </c>
      <c r="AE20" s="194">
        <f ca="1">_xll.DBRW($D$1,$K$11,$D$4,$AG$13,$D$6,$D$2,AE$3,$F$17,$F20)*AE$7</f>
        <v>181.24823253768386</v>
      </c>
      <c r="AF20" s="194">
        <f ca="1">_xll.DBRW($D$1,$K$11,$D$4,$AG$13,$D$6,$D$2,AF$3,$F$17,$F20)*AF$7</f>
        <v>212.62479272534077</v>
      </c>
      <c r="AG20" s="87" t="s">
        <v>56</v>
      </c>
    </row>
    <row r="21" spans="2:36" ht="20.100000000000001" customHeight="1">
      <c r="B21" s="74" t="str">
        <f t="shared" ca="1" si="3"/>
        <v>LTP</v>
      </c>
      <c r="C21" s="74"/>
      <c r="D21" s="74"/>
      <c r="E21" s="74"/>
      <c r="F21" s="74" t="s">
        <v>23</v>
      </c>
      <c r="G21" s="81"/>
      <c r="H21" s="79"/>
      <c r="I21" s="477"/>
      <c r="J21" s="74" t="s">
        <v>200</v>
      </c>
      <c r="K21" s="194">
        <f ca="1">_xll.DBRW($D$1,$K$11,$D$4,$Q$13,$D$6,$D$2,K$3,$F$17,$F21)*K$7</f>
        <v>1.0176601200017175</v>
      </c>
      <c r="L21" s="194">
        <f ca="1">_xll.DBRW($D$1,$K$11,$D$4,$Q$13,$D$6,$D$2,L$3,$F$17,$F21)*L$7</f>
        <v>46.028738526082101</v>
      </c>
      <c r="M21" s="194">
        <f ca="1">_xll.DBRW($D$1,$K$11,$D$4,$Q$13,$D$6,$D$2,M$3,$F$17,$F21)*M$7</f>
        <v>100.93013107971051</v>
      </c>
      <c r="N21" s="194">
        <f ca="1">_xll.DBRW($D$1,$K$11,$D$4,$Q$13,$D$6,$D$2,N$3,$F$17,$F21)*N$7</f>
        <v>158.66565317150256</v>
      </c>
      <c r="O21" s="194">
        <f ca="1">_xll.DBRW($D$1,$K$11,$D$4,$Q$13,$D$6,$D$2,O$3,$F$17,$F21)*O$7</f>
        <v>200.91473071568603</v>
      </c>
      <c r="P21" s="194">
        <f ca="1">_xll.DBRW($D$1,$K$11,$D$4,$Q$13,$D$6,$D$2,P$3,$F$17,$F21)*P$7</f>
        <v>237.95550767304218</v>
      </c>
      <c r="Q21" s="87" t="s">
        <v>56</v>
      </c>
      <c r="R21" s="194"/>
      <c r="S21" s="194">
        <f ca="1">_xll.DBRW($D$1,$K$11,$D$4,$Y$13,$D$6,$D$2,S$3,$F$17,$F21)*S$7</f>
        <v>29.47778420400163</v>
      </c>
      <c r="T21" s="194">
        <f ca="1">_xll.DBRW($D$1,$K$11,$D$4,$Y$13,$D$6,$D$2,T$3,$F$17,$F21)*T$7</f>
        <v>58.217746706537362</v>
      </c>
      <c r="U21" s="194">
        <f ca="1">_xll.DBRW($D$1,$K$11,$D$4,$Y$13,$D$6,$D$2,U$3,$F$17,$F21)*U$7</f>
        <v>93.660190944276749</v>
      </c>
      <c r="V21" s="194">
        <f ca="1">_xll.DBRW($D$1,$K$11,$D$4,$Y$13,$D$6,$D$2,V$3,$F$17,$F21)*V$7</f>
        <v>106.40392629822075</v>
      </c>
      <c r="W21" s="194">
        <f ca="1">_xll.DBRW($D$1,$K$11,$D$4,$Y$13,$D$6,$D$2,W$3,$F$17,$F21)*W$7</f>
        <v>116.06216261403048</v>
      </c>
      <c r="X21" s="194">
        <f ca="1">_xll.DBRW($D$1,$K$11,$D$4,$Y$13,$D$6,$D$2,X$3,$F$17,$F21)*X$7</f>
        <v>131.83228485173217</v>
      </c>
      <c r="Y21" s="87" t="s">
        <v>56</v>
      </c>
      <c r="Z21" s="194"/>
      <c r="AA21" s="194">
        <f ca="1">_xll.DBRW($D$1,$K$11,$D$4,$AG$13,$D$6,$D$2,AA$3,$F$17,$F21)*AA$7</f>
        <v>-28.460124083999922</v>
      </c>
      <c r="AB21" s="194">
        <f ca="1">_xll.DBRW($D$1,$K$11,$D$4,$AG$13,$D$6,$D$2,AB$3,$F$17,$F21)*AB$7</f>
        <v>-12.189008180455247</v>
      </c>
      <c r="AC21" s="194">
        <f ca="1">_xll.DBRW($D$1,$K$11,$D$4,$AG$13,$D$6,$D$2,AC$3,$F$17,$F21)*AC$7</f>
        <v>7.2699401354337123</v>
      </c>
      <c r="AD21" s="194">
        <f ca="1">_xll.DBRW($D$1,$K$11,$D$4,$AG$13,$D$6,$D$2,AD$3,$F$17,$F21)*AD$7</f>
        <v>52.261726873282008</v>
      </c>
      <c r="AE21" s="194">
        <f ca="1">_xll.DBRW($D$1,$K$11,$D$4,$AG$13,$D$6,$D$2,AE$3,$F$17,$F21)*AE$7</f>
        <v>84.852568101655748</v>
      </c>
      <c r="AF21" s="194">
        <f ca="1">_xll.DBRW($D$1,$K$11,$D$4,$AG$13,$D$6,$D$2,AF$3,$F$17,$F21)*AF$7</f>
        <v>106.12322282131005</v>
      </c>
      <c r="AG21" s="87" t="s">
        <v>56</v>
      </c>
    </row>
    <row r="22" spans="2:36" ht="20.100000000000001" customHeight="1">
      <c r="B22" s="74" t="str">
        <f t="shared" ca="1" si="3"/>
        <v>LTP</v>
      </c>
      <c r="C22" s="74"/>
      <c r="D22" s="74"/>
      <c r="E22" s="74"/>
      <c r="F22" s="74" t="s">
        <v>15</v>
      </c>
      <c r="G22" s="81"/>
      <c r="H22" s="79"/>
      <c r="I22" s="477"/>
      <c r="J22" s="74" t="s">
        <v>57</v>
      </c>
      <c r="K22" s="194">
        <f ca="1">_xll.DBRW($D$1,$K$11,$D$4,$Q$13,$D$6,$D$2,K$3,$F$17,$F22)*K$7</f>
        <v>-164.27666008599994</v>
      </c>
      <c r="L22" s="194">
        <f ca="1">_xll.DBRW($D$1,$K$11,$D$4,$Q$13,$D$6,$D$2,L$3,$F$17,$F22)*L$7</f>
        <v>-49.059005375290305</v>
      </c>
      <c r="M22" s="194">
        <f ca="1">_xll.DBRW($D$1,$K$11,$D$4,$Q$13,$D$6,$D$2,M$3,$F$17,$F22)*M$7</f>
        <v>-21.512631850375634</v>
      </c>
      <c r="N22" s="194">
        <f ca="1">_xll.DBRW($D$1,$K$11,$D$4,$Q$13,$D$6,$D$2,N$3,$F$17,$F22)*N$7</f>
        <v>-29.262136768931775</v>
      </c>
      <c r="O22" s="194">
        <f ca="1">_xll.DBRW($D$1,$K$11,$D$4,$Q$13,$D$6,$D$2,O$3,$F$17,$F22)*O$7</f>
        <v>-18.361376631587362</v>
      </c>
      <c r="P22" s="194">
        <f ca="1">_xll.DBRW($D$1,$K$11,$D$4,$Q$13,$D$6,$D$2,P$3,$F$17,$F22)*P$7</f>
        <v>-25.143209969471801</v>
      </c>
      <c r="Q22" s="87" t="s">
        <v>56</v>
      </c>
      <c r="R22" s="194"/>
      <c r="S22" s="194">
        <f ca="1">_xll.DBRW($D$1,$K$11,$D$4,$Y$13,$D$6,$D$2,S$3,$F$17,$F22)*S$7</f>
        <v>-158.50167468499993</v>
      </c>
      <c r="T22" s="194">
        <f ca="1">_xll.DBRW($D$1,$K$11,$D$4,$Y$13,$D$6,$D$2,T$3,$F$17,$F22)*T$7</f>
        <v>-31.745354989857741</v>
      </c>
      <c r="U22" s="194">
        <f ca="1">_xll.DBRW($D$1,$K$11,$D$4,$Y$13,$D$6,$D$2,U$3,$F$17,$F22)*U$7</f>
        <v>-10.920794190190946</v>
      </c>
      <c r="V22" s="194">
        <f ca="1">_xll.DBRW($D$1,$K$11,$D$4,$Y$13,$D$6,$D$2,V$3,$F$17,$F22)*V$7</f>
        <v>-10.74054959832716</v>
      </c>
      <c r="W22" s="194">
        <f ca="1">_xll.DBRW($D$1,$K$11,$D$4,$Y$13,$D$6,$D$2,W$3,$F$17,$F22)*W$7</f>
        <v>-3.4027943597850401</v>
      </c>
      <c r="X22" s="194">
        <f ca="1">_xll.DBRW($D$1,$K$11,$D$4,$Y$13,$D$6,$D$2,X$3,$F$17,$F22)*X$7</f>
        <v>-4.6924661437028687</v>
      </c>
      <c r="Y22" s="87" t="s">
        <v>56</v>
      </c>
      <c r="Z22" s="194"/>
      <c r="AA22" s="194">
        <f ca="1">_xll.DBRW($D$1,$K$11,$D$4,$AG$13,$D$6,$D$2,AA$3,$F$17,$F22)*AA$7</f>
        <v>-5.7749854010000004</v>
      </c>
      <c r="AB22" s="194">
        <f ca="1">_xll.DBRW($D$1,$K$11,$D$4,$AG$13,$D$6,$D$2,AB$3,$F$17,$F22)*AB$7</f>
        <v>-17.313650385432567</v>
      </c>
      <c r="AC22" s="194">
        <f ca="1">_xll.DBRW($D$1,$K$11,$D$4,$AG$13,$D$6,$D$2,AC$3,$F$17,$F22)*AC$7</f>
        <v>-10.591837660184691</v>
      </c>
      <c r="AD22" s="194">
        <f ca="1">_xll.DBRW($D$1,$K$11,$D$4,$AG$13,$D$6,$D$2,AD$3,$F$17,$F22)*AD$7</f>
        <v>-18.521587170604619</v>
      </c>
      <c r="AE22" s="194">
        <f ca="1">_xll.DBRW($D$1,$K$11,$D$4,$AG$13,$D$6,$D$2,AE$3,$F$17,$F22)*AE$7</f>
        <v>-14.958582271802319</v>
      </c>
      <c r="AF22" s="194">
        <f ca="1">_xll.DBRW($D$1,$K$11,$D$4,$AG$13,$D$6,$D$2,AF$3,$F$17,$F22)*AF$7</f>
        <v>-20.450743825768932</v>
      </c>
      <c r="AG22" s="87" t="s">
        <v>56</v>
      </c>
    </row>
    <row r="23" spans="2:36" s="222" customFormat="1" ht="20.100000000000001" customHeight="1">
      <c r="B23" s="217" t="str">
        <f t="shared" ca="1" si="3"/>
        <v>LTP</v>
      </c>
      <c r="C23" s="217"/>
      <c r="D23" s="217"/>
      <c r="E23" s="217"/>
      <c r="F23" s="217" t="s">
        <v>101</v>
      </c>
      <c r="G23" s="218"/>
      <c r="H23" s="219"/>
      <c r="I23" s="477"/>
      <c r="J23" s="217" t="s">
        <v>201</v>
      </c>
      <c r="K23" s="194">
        <f ca="1">_xll.DBRW($D$1,$K$11,$D$4,$Q$13,$D$6,$D$2,K$3,$F$17,$F23)*K$7</f>
        <v>-459.27112375299993</v>
      </c>
      <c r="L23" s="194">
        <f ca="1">_xll.DBRW($D$1,$K$11,$D$4,$Q$13,$D$6,$D$2,L$3,$F$17,$F23)*L$7</f>
        <v>-577.77331373549896</v>
      </c>
      <c r="M23" s="194">
        <f ca="1">_xll.DBRW($D$1,$K$11,$D$4,$Q$13,$D$6,$D$2,M$3,$F$17,$F23)*M$7</f>
        <v>-637.11969231506305</v>
      </c>
      <c r="N23" s="194">
        <f ca="1">_xll.DBRW($D$1,$K$11,$D$4,$Q$13,$D$6,$D$2,N$3,$F$17,$F23)*N$7</f>
        <v>-566.00092165505157</v>
      </c>
      <c r="O23" s="194">
        <f ca="1">_xll.DBRW($D$1,$K$11,$D$4,$Q$13,$D$6,$D$2,O$3,$F$17,$F23)*O$7</f>
        <v>-601.77831678228347</v>
      </c>
      <c r="P23" s="194">
        <f ca="1">_xll.DBRW($D$1,$K$11,$D$4,$Q$13,$D$6,$D$2,P$3,$F$17,$F23)*P$7</f>
        <v>-605.63064108470644</v>
      </c>
      <c r="Q23" s="221" t="s">
        <v>56</v>
      </c>
      <c r="R23" s="220"/>
      <c r="S23" s="194">
        <f ca="1">_xll.DBRW($D$1,$K$11,$D$4,$Y$13,$D$6,$D$2,S$3,$F$17,$F23)*S$7</f>
        <v>-436.04250331499992</v>
      </c>
      <c r="T23" s="194">
        <f ca="1">_xll.DBRW($D$1,$K$11,$D$4,$Y$13,$D$6,$D$2,T$3,$F$17,$F23)*T$7</f>
        <v>-363.95763872944019</v>
      </c>
      <c r="U23" s="194">
        <f ca="1">_xll.DBRW($D$1,$K$11,$D$4,$Y$13,$D$6,$D$2,U$3,$F$17,$F23)*U$7</f>
        <v>-332.4976065924053</v>
      </c>
      <c r="V23" s="194">
        <f ca="1">_xll.DBRW($D$1,$K$11,$D$4,$Y$13,$D$6,$D$2,V$3,$F$17,$F23)*V$7</f>
        <v>-377.20019288163155</v>
      </c>
      <c r="W23" s="194">
        <f ca="1">_xll.DBRW($D$1,$K$11,$D$4,$Y$13,$D$6,$D$2,W$3,$F$17,$F23)*W$7</f>
        <v>-344.4737773262629</v>
      </c>
      <c r="X23" s="194">
        <f ca="1">_xll.DBRW($D$1,$K$11,$D$4,$Y$13,$D$6,$D$2,X$3,$F$17,$F23)*X$7</f>
        <v>-325.42580428228393</v>
      </c>
      <c r="Y23" s="221" t="s">
        <v>56</v>
      </c>
      <c r="Z23" s="220"/>
      <c r="AA23" s="194">
        <f ca="1">_xll.DBRW($D$1,$K$11,$D$4,$AG$13,$D$6,$D$2,AA$3,$F$17,$F23)*AA$7</f>
        <v>-23.228620438</v>
      </c>
      <c r="AB23" s="194">
        <f ca="1">_xll.DBRW($D$1,$K$11,$D$4,$AG$13,$D$6,$D$2,AB$3,$F$17,$F23)*AB$7</f>
        <v>-213.8156750060588</v>
      </c>
      <c r="AC23" s="194">
        <f ca="1">_xll.DBRW($D$1,$K$11,$D$4,$AG$13,$D$6,$D$2,AC$3,$F$17,$F23)*AC$7</f>
        <v>-304.62208572265774</v>
      </c>
      <c r="AD23" s="194">
        <f ca="1">_xll.DBRW($D$1,$K$11,$D$4,$AG$13,$D$6,$D$2,AD$3,$F$17,$F23)*AD$7</f>
        <v>-188.80072877342016</v>
      </c>
      <c r="AE23" s="194">
        <f ca="1">_xll.DBRW($D$1,$K$11,$D$4,$AG$13,$D$6,$D$2,AE$3,$F$17,$F23)*AE$7</f>
        <v>-257.30453945602056</v>
      </c>
      <c r="AF23" s="194">
        <f ca="1">_xll.DBRW($D$1,$K$11,$D$4,$AG$13,$D$6,$D$2,AF$3,$F$17,$F23)*AF$7</f>
        <v>-280.20483680242251</v>
      </c>
      <c r="AG23" s="221" t="s">
        <v>56</v>
      </c>
    </row>
    <row r="24" spans="2:36" ht="20.100000000000001" customHeight="1">
      <c r="B24" s="74" t="str">
        <f t="shared" ca="1" si="3"/>
        <v>LTP</v>
      </c>
      <c r="C24" s="74"/>
      <c r="D24" s="74"/>
      <c r="E24" s="74"/>
      <c r="F24" s="74" t="s">
        <v>202</v>
      </c>
      <c r="G24" s="81"/>
      <c r="H24" s="79"/>
      <c r="I24" s="477"/>
      <c r="J24" s="74" t="s">
        <v>58</v>
      </c>
      <c r="K24" s="194">
        <f ca="1">_xll.DBRW($D$1,$K$11,$D$4,$Q$13,$D$6,$D$2,K$3,$F$17,$F24)*K$7</f>
        <v>-464.01606399899998</v>
      </c>
      <c r="L24" s="194">
        <f ca="1">_xll.DBRW($D$1,$K$11,$D$4,$Q$13,$D$6,$D$2,L$3,$F$17,$F24)*L$7</f>
        <v>-120.88804677596387</v>
      </c>
      <c r="M24" s="194">
        <f ca="1">_xll.DBRW($D$1,$K$11,$D$4,$Q$13,$D$6,$D$2,M$3,$F$17,$F24)*M$7</f>
        <v>-58.581125691467022</v>
      </c>
      <c r="N24" s="194">
        <f ca="1">_xll.DBRW($D$1,$K$11,$D$4,$Q$13,$D$6,$D$2,N$3,$F$17,$F24)*N$7</f>
        <v>-60.149258465121946</v>
      </c>
      <c r="O24" s="194">
        <f ca="1">_xll.DBRW($D$1,$K$11,$D$4,$Q$13,$D$6,$D$2,O$3,$F$17,$F24)*O$7</f>
        <v>-25.669535710019904</v>
      </c>
      <c r="P24" s="194">
        <f ca="1">_xll.DBRW($D$1,$K$11,$D$4,$Q$13,$D$6,$D$2,P$3,$F$17,$F24)*P$7</f>
        <v>-23.899620028201724</v>
      </c>
      <c r="Q24" s="87" t="s">
        <v>56</v>
      </c>
      <c r="R24" s="194"/>
      <c r="S24" s="194">
        <f ca="1">_xll.DBRW($D$1,$K$11,$D$4,$Y$13,$D$6,$D$2,S$3,$F$17,$F24)*S$7</f>
        <v>0.77486084100000596</v>
      </c>
      <c r="T24" s="194">
        <f ca="1">_xll.DBRW($D$1,$K$11,$D$4,$Y$13,$D$6,$D$2,T$3,$F$17,$F24)*T$7</f>
        <v>6.4689318181818181E-2</v>
      </c>
      <c r="U24" s="194">
        <f ca="1">_xll.DBRW($D$1,$K$11,$D$4,$Y$13,$D$6,$D$2,U$3,$F$17,$F24)*U$7</f>
        <v>-0.44527227272727271</v>
      </c>
      <c r="V24" s="194">
        <f ca="1">_xll.DBRW($D$1,$K$11,$D$4,$Y$13,$D$6,$D$2,V$3,$F$17,$F24)*V$7</f>
        <v>1.4675745454545452</v>
      </c>
      <c r="W24" s="194">
        <f ca="1">_xll.DBRW($D$1,$K$11,$D$4,$Y$13,$D$6,$D$2,W$3,$F$17,$F24)*W$7</f>
        <v>1.4779095454545454</v>
      </c>
      <c r="X24" s="194">
        <f ca="1">_xll.DBRW($D$1,$K$11,$D$4,$Y$13,$D$6,$D$2,X$3,$F$17,$F24)*X$7</f>
        <v>1.6478252272727272</v>
      </c>
      <c r="Y24" s="87" t="s">
        <v>56</v>
      </c>
      <c r="Z24" s="194"/>
      <c r="AA24" s="194">
        <f ca="1">_xll.DBRW($D$1,$K$11,$D$4,$AG$13,$D$6,$D$2,AA$3,$F$17,$F24)*AA$7</f>
        <v>-464.79092484</v>
      </c>
      <c r="AB24" s="194">
        <f ca="1">_xll.DBRW($D$1,$K$11,$D$4,$AG$13,$D$6,$D$2,AB$3,$F$17,$F24)*AB$7</f>
        <v>-120.95273609414568</v>
      </c>
      <c r="AC24" s="194">
        <f ca="1">_xll.DBRW($D$1,$K$11,$D$4,$AG$13,$D$6,$D$2,AC$3,$F$17,$F24)*AC$7</f>
        <v>-58.135853418739757</v>
      </c>
      <c r="AD24" s="194">
        <f ca="1">_xll.DBRW($D$1,$K$11,$D$4,$AG$13,$D$6,$D$2,AD$3,$F$17,$F24)*AD$7</f>
        <v>-61.616833010576492</v>
      </c>
      <c r="AE24" s="194">
        <f ca="1">_xll.DBRW($D$1,$K$11,$D$4,$AG$13,$D$6,$D$2,AE$3,$F$17,$F24)*AE$7</f>
        <v>-27.147445255474452</v>
      </c>
      <c r="AF24" s="194">
        <f ca="1">_xll.DBRW($D$1,$K$11,$D$4,$AG$13,$D$6,$D$2,AF$3,$F$17,$F24)*AF$7</f>
        <v>-25.54744525547445</v>
      </c>
      <c r="AG24" s="87" t="s">
        <v>56</v>
      </c>
    </row>
    <row r="25" spans="2:36" ht="20.100000000000001" customHeight="1">
      <c r="B25" s="74" t="str">
        <f t="shared" ca="1" si="3"/>
        <v>LTP</v>
      </c>
      <c r="C25" s="74"/>
      <c r="D25" s="74"/>
      <c r="E25" s="74"/>
      <c r="F25" s="74" t="s">
        <v>203</v>
      </c>
      <c r="G25" s="81"/>
      <c r="H25" s="79"/>
      <c r="I25" s="477"/>
      <c r="J25" s="74" t="s">
        <v>59</v>
      </c>
      <c r="K25" s="194">
        <f ca="1">_xll.DBRW($D$1,$K$11,$D$4,$Q$13,$D$6,$D$2,K$3,$F$17,$F25)*K$7</f>
        <v>-539.06304842099712</v>
      </c>
      <c r="L25" s="194">
        <f ca="1">_xll.DBRW($D$1,$K$11,$D$4,$Q$13,$D$6,$D$2,L$3,$F$17,$F25)*L$7</f>
        <v>-98.376151236585102</v>
      </c>
      <c r="M25" s="194">
        <f ca="1">_xll.DBRW($D$1,$K$11,$D$4,$Q$13,$D$6,$D$2,M$3,$F$17,$F25)*M$7</f>
        <v>32.224863245515166</v>
      </c>
      <c r="N25" s="194">
        <f ca="1">_xll.DBRW($D$1,$K$11,$D$4,$Q$13,$D$6,$D$2,N$3,$F$17,$F25)*N$7</f>
        <v>187.23339718451436</v>
      </c>
      <c r="O25" s="194">
        <f ca="1">_xll.DBRW($D$1,$K$11,$D$4,$Q$13,$D$6,$D$2,O$3,$F$17,$F25)*O$7</f>
        <v>253.83960663720299</v>
      </c>
      <c r="P25" s="194">
        <f ca="1">_xll.DBRW($D$1,$K$11,$D$4,$Q$13,$D$6,$D$2,P$3,$F$17,$F25)*P$7</f>
        <v>282.67023736993877</v>
      </c>
      <c r="Q25" s="87" t="s">
        <v>56</v>
      </c>
      <c r="R25" s="194"/>
      <c r="S25" s="194">
        <f ca="1">_xll.DBRW($D$1,$K$11,$D$4,$Y$13,$D$6,$D$2,S$3,$F$17,$F25)*S$7</f>
        <v>-52.422014095997255</v>
      </c>
      <c r="T25" s="194">
        <f ca="1">_xll.DBRW($D$1,$K$11,$D$4,$Y$13,$D$6,$D$2,T$3,$F$17,$F25)*T$7</f>
        <v>171.32329161068287</v>
      </c>
      <c r="U25" s="194">
        <f ca="1">_xll.DBRW($D$1,$K$11,$D$4,$Y$13,$D$6,$D$2,U$3,$F$17,$F25)*U$7</f>
        <v>249.60336267573382</v>
      </c>
      <c r="V25" s="194">
        <f ca="1">_xll.DBRW($D$1,$K$11,$D$4,$Y$13,$D$6,$D$2,V$3,$F$17,$F25)*V$7</f>
        <v>228.31913800074992</v>
      </c>
      <c r="W25" s="194">
        <f ca="1">_xll.DBRW($D$1,$K$11,$D$4,$Y$13,$D$6,$D$2,W$3,$F$17,$F25)*W$7</f>
        <v>273.77503875030231</v>
      </c>
      <c r="X25" s="194">
        <f ca="1">_xll.DBRW($D$1,$K$11,$D$4,$Y$13,$D$6,$D$2,X$3,$F$17,$F25)*X$7</f>
        <v>290.80694754323702</v>
      </c>
      <c r="Y25" s="87" t="s">
        <v>56</v>
      </c>
      <c r="Z25" s="194"/>
      <c r="AA25" s="194">
        <f ca="1">_xll.DBRW($D$1,$K$11,$D$4,$AG$13,$D$6,$D$2,AA$3,$F$17,$F25)*AA$7</f>
        <v>-486.64103432499991</v>
      </c>
      <c r="AB25" s="194">
        <f ca="1">_xll.DBRW($D$1,$K$11,$D$4,$AG$13,$D$6,$D$2,AB$3,$F$17,$F25)*AB$7</f>
        <v>-269.69944284726796</v>
      </c>
      <c r="AC25" s="194">
        <f ca="1">_xll.DBRW($D$1,$K$11,$D$4,$AG$13,$D$6,$D$2,AC$3,$F$17,$F25)*AC$7</f>
        <v>-217.37849943021854</v>
      </c>
      <c r="AD25" s="194">
        <f ca="1">_xll.DBRW($D$1,$K$11,$D$4,$AG$13,$D$6,$D$2,AD$3,$F$17,$F25)*AD$7</f>
        <v>-41.085740816235585</v>
      </c>
      <c r="AE25" s="194">
        <f ca="1">_xll.DBRW($D$1,$K$11,$D$4,$AG$13,$D$6,$D$2,AE$3,$F$17,$F25)*AE$7</f>
        <v>-19.935432113099235</v>
      </c>
      <c r="AF25" s="194">
        <f ca="1">_xll.DBRW($D$1,$K$11,$D$4,$AG$13,$D$6,$D$2,AF$3,$F$17,$F25)*AF$7</f>
        <v>-8.1367101732978959</v>
      </c>
      <c r="AG25" s="87" t="s">
        <v>56</v>
      </c>
      <c r="AJ25" s="225"/>
    </row>
    <row r="26" spans="2:36" ht="20.100000000000001" customHeight="1">
      <c r="B26" s="74" t="str">
        <f t="shared" ca="1" si="3"/>
        <v>LTP</v>
      </c>
      <c r="C26" s="74"/>
      <c r="D26" s="74"/>
      <c r="E26" s="74"/>
      <c r="F26" s="74" t="s">
        <v>189</v>
      </c>
      <c r="G26" s="81"/>
      <c r="H26" s="79"/>
      <c r="I26" s="477"/>
      <c r="J26" s="74" t="s">
        <v>118</v>
      </c>
      <c r="K26" s="194">
        <f ca="1">_xll.DBRW($D$1,$K$11,$D$4,$Q$13,$D$6,$D$2,K$3,$F$17,$F26)*K$7</f>
        <v>-1896.8634405270006</v>
      </c>
      <c r="L26" s="194">
        <f ca="1">_xll.DBRW($D$1,$K$11,$D$4,$Q$13,$D$6,$D$2,L$3,$F$17,$F26)*L$7</f>
        <v>-2077.3124594048768</v>
      </c>
      <c r="M26" s="194">
        <f ca="1">_xll.DBRW($D$1,$K$11,$D$4,$Q$13,$D$6,$D$2,M$3,$F$17,$F26)*M$7</f>
        <v>-2155.8249551561162</v>
      </c>
      <c r="N26" s="194">
        <f ca="1">_xll.DBRW($D$1,$K$11,$D$4,$Q$13,$D$6,$D$2,N$3,$F$17,$F26)*N$7</f>
        <v>-2107.454042852868</v>
      </c>
      <c r="O26" s="194">
        <f ca="1">_xll.DBRW($D$1,$K$11,$D$4,$Q$13,$D$6,$D$2,O$3,$F$17,$F26)*O$7</f>
        <v>-2018.4113095514424</v>
      </c>
      <c r="P26" s="194">
        <f ca="1">_xll.DBRW($D$1,$K$11,$D$4,$Q$13,$D$6,$D$2,P$3,$F$17,$F26)*P$7</f>
        <v>-1917.1650366990805</v>
      </c>
      <c r="Q26" s="87" t="s">
        <v>56</v>
      </c>
      <c r="R26" s="194"/>
      <c r="S26" s="194">
        <f ca="1">_xll.DBRW($D$1,$K$11,$D$4,$Y$13,$D$6,$D$2,S$3,$F$17,$F26)*S$7</f>
        <v>-1375.4991704580007</v>
      </c>
      <c r="T26" s="194">
        <f ca="1">_xll.DBRW($D$1,$K$11,$D$4,$Y$13,$D$6,$D$2,T$3,$F$17,$F26)*T$7</f>
        <v>-1250.2778287879626</v>
      </c>
      <c r="U26" s="194">
        <f ca="1">_xll.DBRW($D$1,$K$11,$D$4,$Y$13,$D$6,$D$2,U$3,$F$17,$F26)*U$7</f>
        <v>-1064.3556004494144</v>
      </c>
      <c r="V26" s="194">
        <f ca="1">_xll.DBRW($D$1,$K$11,$D$4,$Y$13,$D$6,$D$2,V$3,$F$17,$F26)*V$7</f>
        <v>-921.80292631155476</v>
      </c>
      <c r="W26" s="194">
        <f ca="1">_xll.DBRW($D$1,$K$11,$D$4,$Y$13,$D$6,$D$2,W$3,$F$17,$F26)*W$7</f>
        <v>-757.4770545581689</v>
      </c>
      <c r="X26" s="194">
        <f ca="1">_xll.DBRW($D$1,$K$11,$D$4,$Y$13,$D$6,$D$2,X$3,$F$17,$F26)*X$7</f>
        <v>-591.6267065288406</v>
      </c>
      <c r="Y26" s="87" t="s">
        <v>56</v>
      </c>
      <c r="Z26" s="194"/>
      <c r="AA26" s="194">
        <f ca="1">_xll.DBRW($D$1,$K$11,$D$4,$AG$13,$D$6,$D$2,AA$3,$F$17,$F26)*AA$7</f>
        <v>-521.36427006899999</v>
      </c>
      <c r="AB26" s="194">
        <f ca="1">_xll.DBRW($D$1,$K$11,$D$4,$AG$13,$D$6,$D$2,AB$3,$F$17,$F26)*AB$7</f>
        <v>-827.03463061691446</v>
      </c>
      <c r="AC26" s="194">
        <f ca="1">_xll.DBRW($D$1,$K$11,$D$4,$AG$13,$D$6,$D$2,AC$3,$F$17,$F26)*AC$7</f>
        <v>-1091.4693547067018</v>
      </c>
      <c r="AD26" s="194">
        <f ca="1">_xll.DBRW($D$1,$K$11,$D$4,$AG$13,$D$6,$D$2,AD$3,$F$17,$F26)*AD$7</f>
        <v>-1185.6511165413135</v>
      </c>
      <c r="AE26" s="194">
        <f ca="1">_xll.DBRW($D$1,$K$11,$D$4,$AG$13,$D$6,$D$2,AE$3,$F$17,$F26)*AE$7</f>
        <v>-1260.9342549932737</v>
      </c>
      <c r="AF26" s="194">
        <f ca="1">_xll.DBRW($D$1,$K$11,$D$4,$AG$13,$D$6,$D$2,AF$3,$F$17,$F26)*AF$7</f>
        <v>-1325.5383301702398</v>
      </c>
      <c r="AG26" s="87" t="s">
        <v>56</v>
      </c>
    </row>
    <row r="27" spans="2:36" s="215" customFormat="1" ht="20.100000000000001" customHeight="1">
      <c r="B27" s="212"/>
      <c r="C27" s="212"/>
      <c r="D27" s="212"/>
      <c r="E27" s="212"/>
      <c r="F27" s="212"/>
      <c r="G27" s="213"/>
      <c r="H27" s="214"/>
      <c r="I27" s="477"/>
      <c r="J27" s="212" t="s">
        <v>204</v>
      </c>
      <c r="K27" s="215">
        <f ca="1">IFERROR(K20/K18,"-")</f>
        <v>1.0024706345035543E-2</v>
      </c>
      <c r="L27" s="215">
        <f t="shared" ref="L27:AE27" ca="1" si="4">IFERROR(L20/L18,"-")</f>
        <v>1.6988194496835047E-2</v>
      </c>
      <c r="M27" s="215">
        <f t="shared" ca="1" si="4"/>
        <v>2.2776071164818584E-2</v>
      </c>
      <c r="N27" s="215">
        <f t="shared" ca="1" si="4"/>
        <v>2.8870559996882126E-2</v>
      </c>
      <c r="O27" s="215">
        <f t="shared" ca="1" si="4"/>
        <v>3.3235284751038451E-2</v>
      </c>
      <c r="P27" s="215">
        <f t="shared" ref="P27" ca="1" si="5">IFERROR(P20/P18,"-")</f>
        <v>3.5836565950067199E-2</v>
      </c>
      <c r="Q27" s="87" t="s">
        <v>56</v>
      </c>
      <c r="S27" s="215">
        <f t="shared" ca="1" si="4"/>
        <v>1.1786235147898257E-2</v>
      </c>
      <c r="T27" s="215">
        <f t="shared" ca="1" si="4"/>
        <v>1.7078799508713164E-2</v>
      </c>
      <c r="U27" s="215">
        <f t="shared" ca="1" si="4"/>
        <v>2.2114446375767816E-2</v>
      </c>
      <c r="V27" s="215">
        <f t="shared" ca="1" si="4"/>
        <v>2.3986350093363189E-2</v>
      </c>
      <c r="W27" s="215">
        <f t="shared" ca="1" si="4"/>
        <v>2.4988017684478291E-2</v>
      </c>
      <c r="X27" s="215">
        <f t="shared" ref="X27" ca="1" si="6">IFERROR(X20/X18,"-")</f>
        <v>2.6328320811540004E-2</v>
      </c>
      <c r="Y27" s="87" t="s">
        <v>56</v>
      </c>
      <c r="AA27" s="215">
        <f t="shared" ca="1" si="4"/>
        <v>-4.3602230342650802E-3</v>
      </c>
      <c r="AB27" s="215">
        <f t="shared" ca="1" si="4"/>
        <v>1.6607797420331666E-2</v>
      </c>
      <c r="AC27" s="215">
        <f t="shared" ca="1" si="4"/>
        <v>2.4937904955875351E-2</v>
      </c>
      <c r="AD27" s="215">
        <f t="shared" ca="1" si="4"/>
        <v>4.2089492615231532E-2</v>
      </c>
      <c r="AE27" s="215">
        <f t="shared" ca="1" si="4"/>
        <v>5.2363752808640807E-2</v>
      </c>
      <c r="AF27" s="215">
        <f t="shared" ref="AF27" ca="1" si="7">IFERROR(AF20/AF18,"-")</f>
        <v>5.6222012472783932E-2</v>
      </c>
      <c r="AG27" s="87" t="s">
        <v>56</v>
      </c>
    </row>
    <row r="28" spans="2:36" s="215" customFormat="1" ht="20.100000000000001" customHeight="1">
      <c r="B28" s="212"/>
      <c r="C28" s="212"/>
      <c r="D28" s="212"/>
      <c r="E28" s="212"/>
      <c r="F28" s="212"/>
      <c r="G28" s="213"/>
      <c r="H28" s="214"/>
      <c r="I28" s="407"/>
      <c r="J28" s="430" t="s">
        <v>310</v>
      </c>
      <c r="K28" s="431" t="s">
        <v>56</v>
      </c>
      <c r="L28" s="431">
        <f ca="1">L71</f>
        <v>6.5027780461783966E-2</v>
      </c>
      <c r="M28" s="431">
        <f ca="1">M71</f>
        <v>8.5144673152148062E-2</v>
      </c>
      <c r="N28" s="431">
        <f ca="1">N71</f>
        <v>0.10857637252539491</v>
      </c>
      <c r="O28" s="431">
        <f ca="1">O71</f>
        <v>0.12712496952188695</v>
      </c>
      <c r="P28" s="431">
        <f ca="1">P71</f>
        <v>0</v>
      </c>
      <c r="Q28" s="431" t="s">
        <v>56</v>
      </c>
      <c r="R28" s="431"/>
      <c r="S28" s="431" t="s">
        <v>56</v>
      </c>
      <c r="T28" s="431">
        <f t="shared" ref="T28:W28" ca="1" si="8">T71</f>
        <v>7.0154722475757658E-2</v>
      </c>
      <c r="U28" s="431">
        <f t="shared" ca="1" si="8"/>
        <v>9.4662146339517736E-2</v>
      </c>
      <c r="V28" s="431">
        <f t="shared" ca="1" si="8"/>
        <v>0.1077581351455902</v>
      </c>
      <c r="W28" s="431">
        <f t="shared" ca="1" si="8"/>
        <v>0.11779600361776438</v>
      </c>
      <c r="X28" s="431">
        <f t="shared" ref="X28" ca="1" si="9">X71</f>
        <v>0</v>
      </c>
      <c r="Y28" s="431" t="s">
        <v>56</v>
      </c>
      <c r="Z28" s="431"/>
      <c r="AA28" s="431" t="s">
        <v>56</v>
      </c>
      <c r="AB28" s="431">
        <f t="shared" ref="AB28:AE28" ca="1" si="10">AB71</f>
        <v>4.9692879663330448E-2</v>
      </c>
      <c r="AC28" s="431">
        <f t="shared" ca="1" si="10"/>
        <v>6.6198434037732318E-2</v>
      </c>
      <c r="AD28" s="431">
        <f t="shared" ca="1" si="10"/>
        <v>0.10984146347263088</v>
      </c>
      <c r="AE28" s="431">
        <f t="shared" ca="1" si="10"/>
        <v>0.13913670181285906</v>
      </c>
      <c r="AF28" s="431">
        <f t="shared" ref="AF28" ca="1" si="11">AF71</f>
        <v>0</v>
      </c>
      <c r="AG28" s="431" t="s">
        <v>56</v>
      </c>
    </row>
    <row r="29" spans="2:36" ht="9.9499999999999993" customHeight="1">
      <c r="B29" s="74"/>
      <c r="C29" s="74"/>
      <c r="D29" s="74"/>
      <c r="E29" s="74"/>
      <c r="F29" s="74"/>
      <c r="G29" s="82"/>
      <c r="H29" s="83"/>
      <c r="I29" s="84"/>
      <c r="J29" s="74"/>
      <c r="K29" s="85"/>
      <c r="L29" s="85"/>
      <c r="M29" s="85"/>
      <c r="N29" s="85"/>
      <c r="O29" s="85"/>
      <c r="P29" s="85"/>
      <c r="S29" s="85"/>
      <c r="T29" s="85"/>
      <c r="U29" s="85"/>
      <c r="V29" s="85"/>
      <c r="W29" s="85"/>
      <c r="X29" s="85"/>
      <c r="AA29" s="85"/>
      <c r="AB29" s="85"/>
      <c r="AC29" s="85"/>
      <c r="AD29" s="85"/>
      <c r="AE29" s="85"/>
      <c r="AF29" s="85"/>
    </row>
    <row r="30" spans="2:36" ht="28.5" customHeight="1">
      <c r="C30" s="78"/>
      <c r="D30" s="74"/>
      <c r="E30" s="74"/>
      <c r="F30" s="78" t="str">
        <f>Current_Version</f>
        <v>LTP_2023_VC</v>
      </c>
      <c r="G30" s="76"/>
      <c r="H30" s="79"/>
      <c r="I30" s="477" t="str">
        <f>"LTP "&amp;N</f>
        <v>LTP 2023</v>
      </c>
      <c r="J30" s="228" t="str">
        <f>+J17</f>
        <v>MEUR</v>
      </c>
      <c r="K30" s="229" t="str">
        <f>"FC1 "&amp;RIGHT(K3,4)</f>
        <v>FC1 2023</v>
      </c>
      <c r="L30" s="229" t="str">
        <f t="shared" ref="L30:Q30" si="12">"Plan "&amp;RIGHT(L3,4)</f>
        <v>Plan 2024</v>
      </c>
      <c r="M30" s="229" t="str">
        <f t="shared" si="12"/>
        <v>Plan 2025</v>
      </c>
      <c r="N30" s="229" t="str">
        <f t="shared" si="12"/>
        <v>Plan 2026</v>
      </c>
      <c r="O30" s="229" t="str">
        <f t="shared" si="12"/>
        <v>Plan 2027</v>
      </c>
      <c r="P30" s="229" t="str">
        <f t="shared" si="12"/>
        <v>Plan 2028</v>
      </c>
      <c r="Q30" s="229" t="str">
        <f t="shared" si="12"/>
        <v>Plan 2029</v>
      </c>
      <c r="R30" s="80"/>
      <c r="S30" s="229" t="str">
        <f>"FC1 "&amp;RIGHT(S3,4)</f>
        <v>FC1 2023</v>
      </c>
      <c r="T30" s="229" t="str">
        <f t="shared" ref="T30:Y30" si="13">"Plan "&amp;RIGHT(T3,4)</f>
        <v>Plan 2024</v>
      </c>
      <c r="U30" s="229" t="str">
        <f t="shared" si="13"/>
        <v>Plan 2025</v>
      </c>
      <c r="V30" s="229" t="str">
        <f t="shared" si="13"/>
        <v>Plan 2026</v>
      </c>
      <c r="W30" s="229" t="str">
        <f t="shared" si="13"/>
        <v>Plan 2027</v>
      </c>
      <c r="X30" s="229" t="str">
        <f t="shared" si="13"/>
        <v>Plan 2028</v>
      </c>
      <c r="Y30" s="229" t="str">
        <f t="shared" si="13"/>
        <v>Plan 2029</v>
      </c>
      <c r="Z30" s="80"/>
      <c r="AA30" s="229" t="str">
        <f>"FC1 "&amp;RIGHT(AA3,4)</f>
        <v>FC1 2023</v>
      </c>
      <c r="AB30" s="229" t="str">
        <f t="shared" ref="AB30:AG30" si="14">"Plan "&amp;RIGHT(AB3,4)</f>
        <v>Plan 2024</v>
      </c>
      <c r="AC30" s="229" t="str">
        <f t="shared" si="14"/>
        <v>Plan 2025</v>
      </c>
      <c r="AD30" s="229" t="str">
        <f t="shared" si="14"/>
        <v>Plan 2026</v>
      </c>
      <c r="AE30" s="229" t="str">
        <f t="shared" si="14"/>
        <v>Plan 2027</v>
      </c>
      <c r="AF30" s="229" t="str">
        <f t="shared" si="14"/>
        <v>Plan 2028</v>
      </c>
      <c r="AG30" s="229" t="str">
        <f t="shared" si="14"/>
        <v>Plan 2029</v>
      </c>
    </row>
    <row r="31" spans="2:36" ht="20.100000000000001" customHeight="1">
      <c r="B31" s="74" t="str">
        <f t="shared" ref="B31:B40" ca="1" si="15">+$Q$13</f>
        <v>LTP</v>
      </c>
      <c r="C31" s="74"/>
      <c r="D31" s="74"/>
      <c r="E31" s="74"/>
      <c r="F31" s="74" t="s">
        <v>17</v>
      </c>
      <c r="G31" s="81"/>
      <c r="H31" s="79"/>
      <c r="I31" s="477"/>
      <c r="J31" s="74" t="s">
        <v>82</v>
      </c>
      <c r="K31" s="194">
        <f ca="1">_xll.DBRW($D$1,$K$11,$D$4,$Q$13,$D$5,$D$2,K$3,$F$30,$F31)*K$5</f>
        <v>0</v>
      </c>
      <c r="L31" s="194">
        <f ca="1">_xll.DBRW($D$1,$K$11,$D$4,$Q$13,$D$5,$D$2,L$3,$F$30,$F31)*L$5</f>
        <v>0</v>
      </c>
      <c r="M31" s="194">
        <f ca="1">_xll.DBRW($D$1,$K$11,$D$4,$Q$13,$D$5,$D$2,M$3,$F$30,$F31)*M$5</f>
        <v>0</v>
      </c>
      <c r="N31" s="194">
        <f ca="1">_xll.DBRW($D$1,$K$11,$D$4,$Q$13,$D$5,$D$2,N$3,$F$30,$F31)*N$5</f>
        <v>0</v>
      </c>
      <c r="O31" s="194">
        <f ca="1">_xll.DBRW($D$1,$K$11,$D$4,$Q$13,$D$5,$D$2,O$3,$F$30,$F31)*O$5</f>
        <v>0</v>
      </c>
      <c r="P31" s="194">
        <f ca="1">_xll.DBRW($D$1,$K$11,$D$4,$Q$13,$D$5,$D$2,P$3,$F$30,$F31)*P$5</f>
        <v>0</v>
      </c>
      <c r="Q31" s="194">
        <f ca="1">_xll.DBRW($D$1,$K$11,$D$4,$Q$13,$D$5,$D$2,Q$3,$F$30,$F31)*Q$5</f>
        <v>0</v>
      </c>
      <c r="R31" s="194"/>
      <c r="S31" s="194">
        <f ca="1">_xll.DBRW($D$1,$K$11,$D$4,$Y$13,$D$5,$D$2,S$3,$F$30,$F31)*S$5</f>
        <v>0</v>
      </c>
      <c r="T31" s="194">
        <f ca="1">_xll.DBRW($D$1,$K$11,$D$4,$Y$13,$D$5,$D$2,T$3,$F$30,$F31)*T$5</f>
        <v>0</v>
      </c>
      <c r="U31" s="194">
        <f ca="1">_xll.DBRW($D$1,$K$11,$D$4,$Y$13,$D$5,$D$2,U$3,$F$30,$F31)*U$5</f>
        <v>0</v>
      </c>
      <c r="V31" s="194">
        <f ca="1">_xll.DBRW($D$1,$K$11,$D$4,$Y$13,$D$5,$D$2,V$3,$F$30,$F31)*V$5</f>
        <v>0</v>
      </c>
      <c r="W31" s="194">
        <f ca="1">_xll.DBRW($D$1,$K$11,$D$4,$Y$13,$D$5,$D$2,W$3,$F$30,$F31)*W$5</f>
        <v>0</v>
      </c>
      <c r="X31" s="194">
        <f ca="1">_xll.DBRW($D$1,$K$11,$D$4,$Y$13,$D$5,$D$2,X$3,$F$30,$F31)*X$5</f>
        <v>0</v>
      </c>
      <c r="Y31" s="194">
        <f ca="1">_xll.DBRW($D$1,$K$11,$D$4,$Y$13,$D$5,$D$2,Y$3,$F$30,$F31)*Y$5</f>
        <v>0</v>
      </c>
      <c r="Z31" s="194"/>
      <c r="AA31" s="194">
        <f ca="1">_xll.DBRW($D$1,$K$11,$D$4,$AG$13,$D$5,$D$2,AA$3,$F$30,$F31)*AA$5</f>
        <v>0</v>
      </c>
      <c r="AB31" s="194">
        <f ca="1">_xll.DBRW($D$1,$K$11,$D$4,$AG$13,$D$5,$D$2,AB$3,$F$30,$F31)*AB$5</f>
        <v>0</v>
      </c>
      <c r="AC31" s="194">
        <f ca="1">_xll.DBRW($D$1,$K$11,$D$4,$AG$13,$D$5,$D$2,AC$3,$F$30,$F31)*AC$5</f>
        <v>0</v>
      </c>
      <c r="AD31" s="194">
        <f ca="1">_xll.DBRW($D$1,$K$11,$D$4,$AG$13,$D$5,$D$2,AD$3,$F$30,$F31)*AD$5</f>
        <v>0</v>
      </c>
      <c r="AE31" s="194">
        <f ca="1">_xll.DBRW($D$1,$K$11,$D$4,$AG$13,$D$5,$D$2,AE$3,$F$30,$F31)*AE$5</f>
        <v>0</v>
      </c>
      <c r="AF31" s="194">
        <f ca="1">_xll.DBRW($D$1,$K$11,$D$4,$AG$13,$D$5,$D$2,AF$3,$F$30,$F31)*AF$5</f>
        <v>0</v>
      </c>
      <c r="AG31" s="194">
        <f ca="1">_xll.DBRW($D$1,$K$11,$D$4,$AG$13,$D$5,$D$2,AG$3,$F$30,$F31)*AG$5</f>
        <v>0</v>
      </c>
    </row>
    <row r="32" spans="2:36" ht="20.100000000000001" customHeight="1">
      <c r="B32" s="74" t="str">
        <f t="shared" ca="1" si="15"/>
        <v>LTP</v>
      </c>
      <c r="C32" s="74"/>
      <c r="D32" s="74"/>
      <c r="E32" s="74"/>
      <c r="F32" s="74" t="s">
        <v>197</v>
      </c>
      <c r="G32" s="81"/>
      <c r="H32" s="79"/>
      <c r="I32" s="477"/>
      <c r="J32" s="74" t="s">
        <v>62</v>
      </c>
      <c r="K32" s="194">
        <f ca="1">_xll.DBRW($D$1,$K$11,$D$4,$Q$13,$D$5,$D$2,K$3,$F$30,$F32)*K$5</f>
        <v>0</v>
      </c>
      <c r="L32" s="194">
        <f ca="1">_xll.DBRW($D$1,$K$11,$D$4,$Q$13,$D$5,$D$2,L$3,$F$30,$F32)*L$5</f>
        <v>0</v>
      </c>
      <c r="M32" s="194">
        <f ca="1">_xll.DBRW($D$1,$K$11,$D$4,$Q$13,$D$5,$D$2,M$3,$F$30,$F32)*M$5</f>
        <v>0</v>
      </c>
      <c r="N32" s="194">
        <f ca="1">_xll.DBRW($D$1,$K$11,$D$4,$Q$13,$D$5,$D$2,N$3,$F$30,$F32)*N$5</f>
        <v>0</v>
      </c>
      <c r="O32" s="194">
        <f ca="1">_xll.DBRW($D$1,$K$11,$D$4,$Q$13,$D$5,$D$2,O$3,$F$30,$F32)*O$5</f>
        <v>0</v>
      </c>
      <c r="P32" s="194">
        <f ca="1">_xll.DBRW($D$1,$K$11,$D$4,$Q$13,$D$5,$D$2,P$3,$F$30,$F32)*P$5</f>
        <v>0</v>
      </c>
      <c r="Q32" s="194">
        <f ca="1">_xll.DBRW($D$1,$K$11,$D$4,$Q$13,$D$5,$D$2,Q$3,$F$30,$F32)*Q$5</f>
        <v>0</v>
      </c>
      <c r="R32" s="194"/>
      <c r="S32" s="194">
        <f ca="1">_xll.DBRW($D$1,$K$11,$D$4,$Y$13,$D$5,$D$2,S$3,$F$30,$F32)*S$5</f>
        <v>0</v>
      </c>
      <c r="T32" s="194">
        <f ca="1">_xll.DBRW($D$1,$K$11,$D$4,$Y$13,$D$5,$D$2,T$3,$F$30,$F32)*T$5</f>
        <v>0</v>
      </c>
      <c r="U32" s="194">
        <f ca="1">_xll.DBRW($D$1,$K$11,$D$4,$Y$13,$D$5,$D$2,U$3,$F$30,$F32)*U$5</f>
        <v>0</v>
      </c>
      <c r="V32" s="194">
        <f ca="1">_xll.DBRW($D$1,$K$11,$D$4,$Y$13,$D$5,$D$2,V$3,$F$30,$F32)*V$5</f>
        <v>0</v>
      </c>
      <c r="W32" s="194">
        <f ca="1">_xll.DBRW($D$1,$K$11,$D$4,$Y$13,$D$5,$D$2,W$3,$F$30,$F32)*W$5</f>
        <v>0</v>
      </c>
      <c r="X32" s="194">
        <f ca="1">_xll.DBRW($D$1,$K$11,$D$4,$Y$13,$D$5,$D$2,X$3,$F$30,$F32)*X$5</f>
        <v>0</v>
      </c>
      <c r="Y32" s="194">
        <f ca="1">_xll.DBRW($D$1,$K$11,$D$4,$Y$13,$D$5,$D$2,Y$3,$F$30,$F32)*Y$5</f>
        <v>0</v>
      </c>
      <c r="Z32" s="194"/>
      <c r="AA32" s="194">
        <f ca="1">_xll.DBRW($D$1,$K$11,$D$4,$AG$13,$D$5,$D$2,AA$3,$F$30,$F32)*AA$5</f>
        <v>0</v>
      </c>
      <c r="AB32" s="194">
        <f ca="1">_xll.DBRW($D$1,$K$11,$D$4,$AG$13,$D$5,$D$2,AB$3,$F$30,$F32)*AB$5</f>
        <v>0</v>
      </c>
      <c r="AC32" s="194">
        <f ca="1">_xll.DBRW($D$1,$K$11,$D$4,$AG$13,$D$5,$D$2,AC$3,$F$30,$F32)*AC$5</f>
        <v>0</v>
      </c>
      <c r="AD32" s="194">
        <f ca="1">_xll.DBRW($D$1,$K$11,$D$4,$AG$13,$D$5,$D$2,AD$3,$F$30,$F32)*AD$5</f>
        <v>0</v>
      </c>
      <c r="AE32" s="194">
        <f ca="1">_xll.DBRW($D$1,$K$11,$D$4,$AG$13,$D$5,$D$2,AE$3,$F$30,$F32)*AE$5</f>
        <v>0</v>
      </c>
      <c r="AF32" s="194">
        <f ca="1">_xll.DBRW($D$1,$K$11,$D$4,$AG$13,$D$5,$D$2,AF$3,$F$30,$F32)*AF$5</f>
        <v>0</v>
      </c>
      <c r="AG32" s="194">
        <f ca="1">_xll.DBRW($D$1,$K$11,$D$4,$AG$13,$D$5,$D$2,AG$3,$F$30,$F32)*AG$5</f>
        <v>0</v>
      </c>
    </row>
    <row r="33" spans="2:33" ht="20.100000000000001" customHeight="1">
      <c r="B33" s="74" t="str">
        <f t="shared" ca="1" si="15"/>
        <v>LTP</v>
      </c>
      <c r="C33" s="74"/>
      <c r="D33" s="74"/>
      <c r="E33" s="74"/>
      <c r="F33" s="74" t="s">
        <v>192</v>
      </c>
      <c r="G33" s="81"/>
      <c r="H33" s="79"/>
      <c r="I33" s="477"/>
      <c r="J33" s="74" t="s">
        <v>205</v>
      </c>
      <c r="K33" s="194">
        <f ca="1">_xll.DBRW($D$1,$K$11,$D$4,$Q$13,$D$5,$D$2,K$3,$F$30,$F33)*K$5</f>
        <v>0</v>
      </c>
      <c r="L33" s="194">
        <f ca="1">_xll.DBRW($D$1,$K$11,$D$4,$Q$13,$D$5,$D$2,L$3,$F$30,$F33)*L$5</f>
        <v>0</v>
      </c>
      <c r="M33" s="194">
        <f ca="1">_xll.DBRW($D$1,$K$11,$D$4,$Q$13,$D$5,$D$2,M$3,$F$30,$F33)*M$5</f>
        <v>0</v>
      </c>
      <c r="N33" s="194">
        <f ca="1">_xll.DBRW($D$1,$K$11,$D$4,$Q$13,$D$5,$D$2,N$3,$F$30,$F33)*N$5</f>
        <v>0</v>
      </c>
      <c r="O33" s="194">
        <f ca="1">_xll.DBRW($D$1,$K$11,$D$4,$Q$13,$D$5,$D$2,O$3,$F$30,$F33)*O$5</f>
        <v>0</v>
      </c>
      <c r="P33" s="194">
        <f ca="1">_xll.DBRW($D$1,$K$11,$D$4,$Q$13,$D$5,$D$2,P$3,$F$30,$F33)*P$5</f>
        <v>0</v>
      </c>
      <c r="Q33" s="194">
        <f ca="1">_xll.DBRW($D$1,$K$11,$D$4,$Q$13,$D$5,$D$2,Q$3,$F$30,$F33)*Q$5</f>
        <v>0</v>
      </c>
      <c r="R33" s="194"/>
      <c r="S33" s="194">
        <f ca="1">_xll.DBRW($D$1,$K$11,$D$4,$Y$13,$D$5,$D$2,S$3,$F$30,$F33)*S$5</f>
        <v>0</v>
      </c>
      <c r="T33" s="194">
        <f ca="1">_xll.DBRW($D$1,$K$11,$D$4,$Y$13,$D$5,$D$2,T$3,$F$30,$F33)*T$5</f>
        <v>0</v>
      </c>
      <c r="U33" s="194">
        <f ca="1">_xll.DBRW($D$1,$K$11,$D$4,$Y$13,$D$5,$D$2,U$3,$F$30,$F33)*U$5</f>
        <v>0</v>
      </c>
      <c r="V33" s="194">
        <f ca="1">_xll.DBRW($D$1,$K$11,$D$4,$Y$13,$D$5,$D$2,V$3,$F$30,$F33)*V$5</f>
        <v>0</v>
      </c>
      <c r="W33" s="194">
        <f ca="1">_xll.DBRW($D$1,$K$11,$D$4,$Y$13,$D$5,$D$2,W$3,$F$30,$F33)*W$5</f>
        <v>0</v>
      </c>
      <c r="X33" s="194">
        <f ca="1">_xll.DBRW($D$1,$K$11,$D$4,$Y$13,$D$5,$D$2,X$3,$F$30,$F33)*X$5</f>
        <v>0</v>
      </c>
      <c r="Y33" s="194">
        <f ca="1">_xll.DBRW($D$1,$K$11,$D$4,$Y$13,$D$5,$D$2,Y$3,$F$30,$F33)*Y$5</f>
        <v>0</v>
      </c>
      <c r="Z33" s="194"/>
      <c r="AA33" s="194">
        <f ca="1">_xll.DBRW($D$1,$K$11,$D$4,$AG$13,$D$5,$D$2,AA$3,$F$30,$F33)*AA$5</f>
        <v>0</v>
      </c>
      <c r="AB33" s="194">
        <f ca="1">_xll.DBRW($D$1,$K$11,$D$4,$AG$13,$D$5,$D$2,AB$3,$F$30,$F33)*AB$5</f>
        <v>0</v>
      </c>
      <c r="AC33" s="194">
        <f ca="1">_xll.DBRW($D$1,$K$11,$D$4,$AG$13,$D$5,$D$2,AC$3,$F$30,$F33)*AC$5</f>
        <v>0</v>
      </c>
      <c r="AD33" s="194">
        <f ca="1">_xll.DBRW($D$1,$K$11,$D$4,$AG$13,$D$5,$D$2,AD$3,$F$30,$F33)*AD$5</f>
        <v>0</v>
      </c>
      <c r="AE33" s="194">
        <f ca="1">_xll.DBRW($D$1,$K$11,$D$4,$AG$13,$D$5,$D$2,AE$3,$F$30,$F33)*AE$5</f>
        <v>0</v>
      </c>
      <c r="AF33" s="194">
        <f ca="1">_xll.DBRW($D$1,$K$11,$D$4,$AG$13,$D$5,$D$2,AF$3,$F$30,$F33)*AF$5</f>
        <v>0</v>
      </c>
      <c r="AG33" s="194">
        <f ca="1">_xll.DBRW($D$1,$K$11,$D$4,$AG$13,$D$5,$D$2,AG$3,$F$30,$F33)*AG$5</f>
        <v>0</v>
      </c>
    </row>
    <row r="34" spans="2:33" ht="20.100000000000001" customHeight="1">
      <c r="B34" s="74" t="str">
        <f t="shared" ca="1" si="15"/>
        <v>LTP</v>
      </c>
      <c r="C34" s="74"/>
      <c r="D34" s="74"/>
      <c r="E34" s="74"/>
      <c r="F34" s="217" t="s">
        <v>23</v>
      </c>
      <c r="G34" s="81"/>
      <c r="H34" s="79"/>
      <c r="I34" s="477"/>
      <c r="J34" s="74" t="s">
        <v>200</v>
      </c>
      <c r="K34" s="194">
        <f ca="1">_xll.DBRW($D$1,$K$11,$D$4,$Q$13,$D$5,$D$2,K$3,$F$30,$F34)*K$5</f>
        <v>0</v>
      </c>
      <c r="L34" s="194">
        <f ca="1">_xll.DBRW($D$1,$K$11,$D$4,$Q$13,$D$5,$D$2,L$3,$F$30,$F34)*L$5</f>
        <v>0</v>
      </c>
      <c r="M34" s="194">
        <f ca="1">_xll.DBRW($D$1,$K$11,$D$4,$Q$13,$D$5,$D$2,M$3,$F$30,$F34)*M$5</f>
        <v>0</v>
      </c>
      <c r="N34" s="194">
        <f ca="1">_xll.DBRW($D$1,$K$11,$D$4,$Q$13,$D$5,$D$2,N$3,$F$30,$F34)*N$5</f>
        <v>0</v>
      </c>
      <c r="O34" s="194">
        <f ca="1">_xll.DBRW($D$1,$K$11,$D$4,$Q$13,$D$5,$D$2,O$3,$F$30,$F34)*O$5</f>
        <v>0</v>
      </c>
      <c r="P34" s="194">
        <f ca="1">_xll.DBRW($D$1,$K$11,$D$4,$Q$13,$D$5,$D$2,P$3,$F$30,$F34)*P$5</f>
        <v>0</v>
      </c>
      <c r="Q34" s="194">
        <f ca="1">_xll.DBRW($D$1,$K$11,$D$4,$Q$13,$D$5,$D$2,Q$3,$F$30,$F34)*Q$5</f>
        <v>0</v>
      </c>
      <c r="R34" s="194"/>
      <c r="S34" s="194">
        <f ca="1">_xll.DBRW($D$1,$K$11,$D$4,$Y$13,$D$5,$D$2,S$3,$F$30,$F34)*S$5</f>
        <v>0</v>
      </c>
      <c r="T34" s="194">
        <f ca="1">_xll.DBRW($D$1,$K$11,$D$4,$Y$13,$D$5,$D$2,T$3,$F$30,$F34)*T$5</f>
        <v>0</v>
      </c>
      <c r="U34" s="194">
        <f ca="1">_xll.DBRW($D$1,$K$11,$D$4,$Y$13,$D$5,$D$2,U$3,$F$30,$F34)*U$5</f>
        <v>0</v>
      </c>
      <c r="V34" s="194">
        <f ca="1">_xll.DBRW($D$1,$K$11,$D$4,$Y$13,$D$5,$D$2,V$3,$F$30,$F34)*V$5</f>
        <v>0</v>
      </c>
      <c r="W34" s="194">
        <f ca="1">_xll.DBRW($D$1,$K$11,$D$4,$Y$13,$D$5,$D$2,W$3,$F$30,$F34)*W$5</f>
        <v>0</v>
      </c>
      <c r="X34" s="194">
        <f ca="1">_xll.DBRW($D$1,$K$11,$D$4,$Y$13,$D$5,$D$2,X$3,$F$30,$F34)*X$5</f>
        <v>0</v>
      </c>
      <c r="Y34" s="194">
        <f ca="1">_xll.DBRW($D$1,$K$11,$D$4,$Y$13,$D$5,$D$2,Y$3,$F$30,$F34)*Y$5</f>
        <v>0</v>
      </c>
      <c r="Z34" s="194"/>
      <c r="AA34" s="194">
        <f ca="1">_xll.DBRW($D$1,$K$11,$D$4,$AG$13,$D$5,$D$2,AA$3,$F$30,$F34)*AA$5</f>
        <v>0</v>
      </c>
      <c r="AB34" s="194">
        <f ca="1">_xll.DBRW($D$1,$K$11,$D$4,$AG$13,$D$5,$D$2,AB$3,$F$30,$F34)*AB$5</f>
        <v>0</v>
      </c>
      <c r="AC34" s="194">
        <f ca="1">_xll.DBRW($D$1,$K$11,$D$4,$AG$13,$D$5,$D$2,AC$3,$F$30,$F34)*AC$5</f>
        <v>0</v>
      </c>
      <c r="AD34" s="194">
        <f ca="1">_xll.DBRW($D$1,$K$11,$D$4,$AG$13,$D$5,$D$2,AD$3,$F$30,$F34)*AD$5</f>
        <v>0</v>
      </c>
      <c r="AE34" s="194">
        <f ca="1">_xll.DBRW($D$1,$K$11,$D$4,$AG$13,$D$5,$D$2,AE$3,$F$30,$F34)*AE$5</f>
        <v>0</v>
      </c>
      <c r="AF34" s="194">
        <f ca="1">_xll.DBRW($D$1,$K$11,$D$4,$AG$13,$D$5,$D$2,AF$3,$F$30,$F34)*AF$5</f>
        <v>0</v>
      </c>
      <c r="AG34" s="194">
        <f ca="1">_xll.DBRW($D$1,$K$11,$D$4,$AG$13,$D$5,$D$2,AG$3,$F$30,$F34)*AG$5</f>
        <v>0</v>
      </c>
    </row>
    <row r="35" spans="2:33" ht="20.100000000000001" customHeight="1">
      <c r="B35" s="74" t="str">
        <f t="shared" ca="1" si="15"/>
        <v>LTP</v>
      </c>
      <c r="C35" s="74"/>
      <c r="D35" s="74"/>
      <c r="E35" s="74"/>
      <c r="F35" s="74" t="s">
        <v>15</v>
      </c>
      <c r="G35" s="81"/>
      <c r="H35" s="79"/>
      <c r="I35" s="477"/>
      <c r="J35" s="74" t="s">
        <v>57</v>
      </c>
      <c r="K35" s="194">
        <f ca="1">_xll.DBRW($D$1,$K$11,$D$4,$Q$13,$D$5,$D$2,K$3,$F$30,$F35)*K$5</f>
        <v>0</v>
      </c>
      <c r="L35" s="194">
        <f ca="1">_xll.DBRW($D$1,$K$11,$D$4,$Q$13,$D$5,$D$2,L$3,$F$30,$F35)*L$5</f>
        <v>0</v>
      </c>
      <c r="M35" s="194">
        <f ca="1">_xll.DBRW($D$1,$K$11,$D$4,$Q$13,$D$5,$D$2,M$3,$F$30,$F35)*M$5</f>
        <v>0</v>
      </c>
      <c r="N35" s="194">
        <f ca="1">_xll.DBRW($D$1,$K$11,$D$4,$Q$13,$D$5,$D$2,N$3,$F$30,$F35)*N$5</f>
        <v>0</v>
      </c>
      <c r="O35" s="194">
        <f ca="1">_xll.DBRW($D$1,$K$11,$D$4,$Q$13,$D$5,$D$2,O$3,$F$30,$F35)*O$5</f>
        <v>0</v>
      </c>
      <c r="P35" s="194">
        <f ca="1">_xll.DBRW($D$1,$K$11,$D$4,$Q$13,$D$5,$D$2,P$3,$F$30,$F35)*P$5</f>
        <v>0</v>
      </c>
      <c r="Q35" s="194">
        <f ca="1">_xll.DBRW($D$1,$K$11,$D$4,$Q$13,$D$5,$D$2,Q$3,$F$30,$F35)*Q$5</f>
        <v>0</v>
      </c>
      <c r="R35" s="194"/>
      <c r="S35" s="194">
        <f ca="1">_xll.DBRW($D$1,$K$11,$D$4,$Y$13,$D$5,$D$2,S$3,$F$30,$F35)*S$5</f>
        <v>0</v>
      </c>
      <c r="T35" s="194">
        <f ca="1">_xll.DBRW($D$1,$K$11,$D$4,$Y$13,$D$5,$D$2,T$3,$F$30,$F35)*T$5</f>
        <v>0</v>
      </c>
      <c r="U35" s="194">
        <f ca="1">_xll.DBRW($D$1,$K$11,$D$4,$Y$13,$D$5,$D$2,U$3,$F$30,$F35)*U$5</f>
        <v>0</v>
      </c>
      <c r="V35" s="194">
        <f ca="1">_xll.DBRW($D$1,$K$11,$D$4,$Y$13,$D$5,$D$2,V$3,$F$30,$F35)*V$5</f>
        <v>0</v>
      </c>
      <c r="W35" s="194">
        <f ca="1">_xll.DBRW($D$1,$K$11,$D$4,$Y$13,$D$5,$D$2,W$3,$F$30,$F35)*W$5</f>
        <v>0</v>
      </c>
      <c r="X35" s="194">
        <f ca="1">_xll.DBRW($D$1,$K$11,$D$4,$Y$13,$D$5,$D$2,X$3,$F$30,$F35)*X$5</f>
        <v>0</v>
      </c>
      <c r="Y35" s="194">
        <f ca="1">_xll.DBRW($D$1,$K$11,$D$4,$Y$13,$D$5,$D$2,Y$3,$F$30,$F35)*Y$5</f>
        <v>0</v>
      </c>
      <c r="Z35" s="194"/>
      <c r="AA35" s="194">
        <f ca="1">_xll.DBRW($D$1,$K$11,$D$4,$AG$13,$D$5,$D$2,AA$3,$F$30,$F35)*AA$5</f>
        <v>0</v>
      </c>
      <c r="AB35" s="194">
        <f ca="1">_xll.DBRW($D$1,$K$11,$D$4,$AG$13,$D$5,$D$2,AB$3,$F$30,$F35)*AB$5</f>
        <v>0</v>
      </c>
      <c r="AC35" s="194">
        <f ca="1">_xll.DBRW($D$1,$K$11,$D$4,$AG$13,$D$5,$D$2,AC$3,$F$30,$F35)*AC$5</f>
        <v>0</v>
      </c>
      <c r="AD35" s="194">
        <f ca="1">_xll.DBRW($D$1,$K$11,$D$4,$AG$13,$D$5,$D$2,AD$3,$F$30,$F35)*AD$5</f>
        <v>0</v>
      </c>
      <c r="AE35" s="194">
        <f ca="1">_xll.DBRW($D$1,$K$11,$D$4,$AG$13,$D$5,$D$2,AE$3,$F$30,$F35)*AE$5</f>
        <v>0</v>
      </c>
      <c r="AF35" s="194">
        <f ca="1">_xll.DBRW($D$1,$K$11,$D$4,$AG$13,$D$5,$D$2,AF$3,$F$30,$F35)*AF$5</f>
        <v>0</v>
      </c>
      <c r="AG35" s="194">
        <f ca="1">_xll.DBRW($D$1,$K$11,$D$4,$AG$13,$D$5,$D$2,AG$3,$F$30,$F35)*AG$5</f>
        <v>0</v>
      </c>
    </row>
    <row r="36" spans="2:33" ht="20.100000000000001" customHeight="1">
      <c r="B36" s="74" t="str">
        <f t="shared" ca="1" si="15"/>
        <v>LTP</v>
      </c>
      <c r="C36" s="74"/>
      <c r="D36" s="74"/>
      <c r="E36" s="74"/>
      <c r="F36" s="217" t="s">
        <v>101</v>
      </c>
      <c r="G36" s="81"/>
      <c r="H36" s="79"/>
      <c r="I36" s="477"/>
      <c r="J36" s="217" t="s">
        <v>201</v>
      </c>
      <c r="K36" s="194">
        <f ca="1">_xll.DBRW($D$1,$K$11,$D$4,$Q$13,$D$5,$D$2,K$3,$F$30,$F36)*K$5</f>
        <v>0</v>
      </c>
      <c r="L36" s="194">
        <f ca="1">_xll.DBRW($D$1,$K$11,$D$4,$Q$13,$D$5,$D$2,L$3,$F$30,$F36)*L$5</f>
        <v>0</v>
      </c>
      <c r="M36" s="194">
        <f ca="1">_xll.DBRW($D$1,$K$11,$D$4,$Q$13,$D$5,$D$2,M$3,$F$30,$F36)*M$5</f>
        <v>0</v>
      </c>
      <c r="N36" s="194">
        <f ca="1">_xll.DBRW($D$1,$K$11,$D$4,$Q$13,$D$5,$D$2,N$3,$F$30,$F36)*N$5</f>
        <v>0</v>
      </c>
      <c r="O36" s="194">
        <f ca="1">_xll.DBRW($D$1,$K$11,$D$4,$Q$13,$D$5,$D$2,O$3,$F$30,$F36)*O$5</f>
        <v>0</v>
      </c>
      <c r="P36" s="194">
        <f ca="1">_xll.DBRW($D$1,$K$11,$D$4,$Q$13,$D$5,$D$2,P$3,$F$30,$F36)*P$5</f>
        <v>0</v>
      </c>
      <c r="Q36" s="194">
        <f ca="1">_xll.DBRW($D$1,$K$11,$D$4,$Q$13,$D$5,$D$2,Q$3,$F$30,$F36)*Q$5</f>
        <v>0</v>
      </c>
      <c r="R36" s="194"/>
      <c r="S36" s="194">
        <f ca="1">_xll.DBRW($D$1,$K$11,$D$4,$Y$13,$D$5,$D$2,S$3,$F$30,$F36)*S$5</f>
        <v>0</v>
      </c>
      <c r="T36" s="194">
        <f ca="1">_xll.DBRW($D$1,$K$11,$D$4,$Y$13,$D$5,$D$2,T$3,$F$30,$F36)*T$5</f>
        <v>0</v>
      </c>
      <c r="U36" s="194">
        <f ca="1">_xll.DBRW($D$1,$K$11,$D$4,$Y$13,$D$5,$D$2,U$3,$F$30,$F36)*U$5</f>
        <v>0</v>
      </c>
      <c r="V36" s="194">
        <f ca="1">_xll.DBRW($D$1,$K$11,$D$4,$Y$13,$D$5,$D$2,V$3,$F$30,$F36)*V$5</f>
        <v>0</v>
      </c>
      <c r="W36" s="194">
        <f ca="1">_xll.DBRW($D$1,$K$11,$D$4,$Y$13,$D$5,$D$2,W$3,$F$30,$F36)*W$5</f>
        <v>0</v>
      </c>
      <c r="X36" s="194">
        <f ca="1">_xll.DBRW($D$1,$K$11,$D$4,$Y$13,$D$5,$D$2,X$3,$F$30,$F36)*X$5</f>
        <v>0</v>
      </c>
      <c r="Y36" s="194">
        <f ca="1">_xll.DBRW($D$1,$K$11,$D$4,$Y$13,$D$5,$D$2,Y$3,$F$30,$F36)*Y$5</f>
        <v>0</v>
      </c>
      <c r="Z36" s="194"/>
      <c r="AA36" s="194">
        <f ca="1">_xll.DBRW($D$1,$K$11,$D$4,$AG$13,$D$5,$D$2,AA$3,$F$30,$F36)*AA$5</f>
        <v>0</v>
      </c>
      <c r="AB36" s="194">
        <f ca="1">_xll.DBRW($D$1,$K$11,$D$4,$AG$13,$D$5,$D$2,AB$3,$F$30,$F36)*AB$5</f>
        <v>0</v>
      </c>
      <c r="AC36" s="194">
        <f ca="1">_xll.DBRW($D$1,$K$11,$D$4,$AG$13,$D$5,$D$2,AC$3,$F$30,$F36)*AC$5</f>
        <v>0</v>
      </c>
      <c r="AD36" s="194">
        <f ca="1">_xll.DBRW($D$1,$K$11,$D$4,$AG$13,$D$5,$D$2,AD$3,$F$30,$F36)*AD$5</f>
        <v>0</v>
      </c>
      <c r="AE36" s="194">
        <f ca="1">_xll.DBRW($D$1,$K$11,$D$4,$AG$13,$D$5,$D$2,AE$3,$F$30,$F36)*AE$5</f>
        <v>0</v>
      </c>
      <c r="AF36" s="194">
        <f ca="1">_xll.DBRW($D$1,$K$11,$D$4,$AG$13,$D$5,$D$2,AF$3,$F$30,$F36)*AF$5</f>
        <v>0</v>
      </c>
      <c r="AG36" s="194">
        <f ca="1">_xll.DBRW($D$1,$K$11,$D$4,$AG$13,$D$5,$D$2,AG$3,$F$30,$F36)*AG$5</f>
        <v>0</v>
      </c>
    </row>
    <row r="37" spans="2:33" ht="20.100000000000001" customHeight="1">
      <c r="B37" s="74" t="str">
        <f t="shared" ca="1" si="15"/>
        <v>LTP</v>
      </c>
      <c r="C37" s="74"/>
      <c r="D37" s="74"/>
      <c r="E37" s="74"/>
      <c r="F37" s="74" t="s">
        <v>202</v>
      </c>
      <c r="G37" s="81"/>
      <c r="H37" s="79"/>
      <c r="I37" s="477"/>
      <c r="J37" s="74" t="s">
        <v>58</v>
      </c>
      <c r="K37" s="194">
        <f ca="1">_xll.DBRW($D$1,$K$11,$D$4,$Q$13,$D$5,$D$2,K$3,$F$30,$F37)*K$5</f>
        <v>0</v>
      </c>
      <c r="L37" s="194">
        <f ca="1">_xll.DBRW($D$1,$K$11,$D$4,$Q$13,$D$5,$D$2,L$3,$F$30,$F37)*L$5</f>
        <v>0</v>
      </c>
      <c r="M37" s="194">
        <f ca="1">_xll.DBRW($D$1,$K$11,$D$4,$Q$13,$D$5,$D$2,M$3,$F$30,$F37)*M$5</f>
        <v>0</v>
      </c>
      <c r="N37" s="194">
        <f ca="1">_xll.DBRW($D$1,$K$11,$D$4,$Q$13,$D$5,$D$2,N$3,$F$30,$F37)*N$5</f>
        <v>0</v>
      </c>
      <c r="O37" s="194">
        <f ca="1">_xll.DBRW($D$1,$K$11,$D$4,$Q$13,$D$5,$D$2,O$3,$F$30,$F37)*O$5</f>
        <v>0</v>
      </c>
      <c r="P37" s="194">
        <f ca="1">_xll.DBRW($D$1,$K$11,$D$4,$Q$13,$D$5,$D$2,P$3,$F$30,$F37)*P$5</f>
        <v>0</v>
      </c>
      <c r="Q37" s="194">
        <f ca="1">_xll.DBRW($D$1,$K$11,$D$4,$Q$13,$D$5,$D$2,Q$3,$F$30,$F37)*Q$5</f>
        <v>0</v>
      </c>
      <c r="R37" s="194"/>
      <c r="S37" s="194">
        <f ca="1">_xll.DBRW($D$1,$K$11,$D$4,$Y$13,$D$5,$D$2,S$3,$F$30,$F37)*S$5</f>
        <v>0</v>
      </c>
      <c r="T37" s="194">
        <f ca="1">_xll.DBRW($D$1,$K$11,$D$4,$Y$13,$D$5,$D$2,T$3,$F$30,$F37)*T$5</f>
        <v>0</v>
      </c>
      <c r="U37" s="194">
        <f ca="1">_xll.DBRW($D$1,$K$11,$D$4,$Y$13,$D$5,$D$2,U$3,$F$30,$F37)*U$5</f>
        <v>0</v>
      </c>
      <c r="V37" s="194">
        <f ca="1">_xll.DBRW($D$1,$K$11,$D$4,$Y$13,$D$5,$D$2,V$3,$F$30,$F37)*V$5</f>
        <v>0</v>
      </c>
      <c r="W37" s="194">
        <f ca="1">_xll.DBRW($D$1,$K$11,$D$4,$Y$13,$D$5,$D$2,W$3,$F$30,$F37)*W$5</f>
        <v>0</v>
      </c>
      <c r="X37" s="194">
        <f ca="1">_xll.DBRW($D$1,$K$11,$D$4,$Y$13,$D$5,$D$2,X$3,$F$30,$F37)*X$5</f>
        <v>0</v>
      </c>
      <c r="Y37" s="194">
        <f ca="1">_xll.DBRW($D$1,$K$11,$D$4,$Y$13,$D$5,$D$2,Y$3,$F$30,$F37)*Y$5</f>
        <v>0</v>
      </c>
      <c r="Z37" s="194"/>
      <c r="AA37" s="194">
        <f ca="1">_xll.DBRW($D$1,$K$11,$D$4,$AG$13,$D$5,$D$2,AA$3,$F$30,$F37)*AA$5</f>
        <v>0</v>
      </c>
      <c r="AB37" s="194">
        <f ca="1">_xll.DBRW($D$1,$K$11,$D$4,$AG$13,$D$5,$D$2,AB$3,$F$30,$F37)*AB$5</f>
        <v>0</v>
      </c>
      <c r="AC37" s="194">
        <f ca="1">_xll.DBRW($D$1,$K$11,$D$4,$AG$13,$D$5,$D$2,AC$3,$F$30,$F37)*AC$5</f>
        <v>0</v>
      </c>
      <c r="AD37" s="194">
        <f ca="1">_xll.DBRW($D$1,$K$11,$D$4,$AG$13,$D$5,$D$2,AD$3,$F$30,$F37)*AD$5</f>
        <v>0</v>
      </c>
      <c r="AE37" s="194">
        <f ca="1">_xll.DBRW($D$1,$K$11,$D$4,$AG$13,$D$5,$D$2,AE$3,$F$30,$F37)*AE$5</f>
        <v>0</v>
      </c>
      <c r="AF37" s="194">
        <f ca="1">_xll.DBRW($D$1,$K$11,$D$4,$AG$13,$D$5,$D$2,AF$3,$F$30,$F37)*AF$5</f>
        <v>0</v>
      </c>
      <c r="AG37" s="194">
        <f ca="1">_xll.DBRW($D$1,$K$11,$D$4,$AG$13,$D$5,$D$2,AG$3,$F$30,$F37)*AG$5</f>
        <v>0</v>
      </c>
    </row>
    <row r="38" spans="2:33" ht="19.5" customHeight="1">
      <c r="B38" s="74" t="str">
        <f t="shared" ca="1" si="15"/>
        <v>LTP</v>
      </c>
      <c r="C38" s="74"/>
      <c r="D38" s="74"/>
      <c r="E38" s="74"/>
      <c r="F38" s="74" t="s">
        <v>203</v>
      </c>
      <c r="G38" s="81"/>
      <c r="H38" s="79"/>
      <c r="I38" s="477"/>
      <c r="J38" s="74" t="s">
        <v>59</v>
      </c>
      <c r="K38" s="194">
        <f ca="1">_xll.DBRW($D$1,$K$11,$D$4,$Q$13,$D$5,$D$2,K$3,$F$30,$F38)*K$5</f>
        <v>0</v>
      </c>
      <c r="L38" s="194">
        <f ca="1">_xll.DBRW($D$1,$K$11,$D$4,$Q$13,$D$5,$D$2,L$3,$F$30,$F38)*L$5</f>
        <v>0</v>
      </c>
      <c r="M38" s="194">
        <f ca="1">_xll.DBRW($D$1,$K$11,$D$4,$Q$13,$D$5,$D$2,M$3,$F$30,$F38)*M$5</f>
        <v>0</v>
      </c>
      <c r="N38" s="194">
        <f ca="1">_xll.DBRW($D$1,$K$11,$D$4,$Q$13,$D$5,$D$2,N$3,$F$30,$F38)*N$5</f>
        <v>0</v>
      </c>
      <c r="O38" s="194">
        <f ca="1">_xll.DBRW($D$1,$K$11,$D$4,$Q$13,$D$5,$D$2,O$3,$F$30,$F38)*O$5</f>
        <v>0</v>
      </c>
      <c r="P38" s="194">
        <f ca="1">_xll.DBRW($D$1,$K$11,$D$4,$Q$13,$D$5,$D$2,P$3,$F$30,$F38)*P$5</f>
        <v>0</v>
      </c>
      <c r="Q38" s="194">
        <f ca="1">_xll.DBRW($D$1,$K$11,$D$4,$Q$13,$D$5,$D$2,Q$3,$F$30,$F38)*Q$5</f>
        <v>0</v>
      </c>
      <c r="R38" s="194"/>
      <c r="S38" s="194">
        <f ca="1">_xll.DBRW($D$1,$K$11,$D$4,$Y$13,$D$5,$D$2,S$3,$F$30,$F38)*S$5</f>
        <v>0</v>
      </c>
      <c r="T38" s="194">
        <f ca="1">_xll.DBRW($D$1,$K$11,$D$4,$Y$13,$D$5,$D$2,T$3,$F$30,$F38)*T$5</f>
        <v>0</v>
      </c>
      <c r="U38" s="194">
        <f ca="1">_xll.DBRW($D$1,$K$11,$D$4,$Y$13,$D$5,$D$2,U$3,$F$30,$F38)*U$5</f>
        <v>0</v>
      </c>
      <c r="V38" s="194">
        <f ca="1">_xll.DBRW($D$1,$K$11,$D$4,$Y$13,$D$5,$D$2,V$3,$F$30,$F38)*V$5</f>
        <v>0</v>
      </c>
      <c r="W38" s="194">
        <f ca="1">_xll.DBRW($D$1,$K$11,$D$4,$Y$13,$D$5,$D$2,W$3,$F$30,$F38)*W$5</f>
        <v>0</v>
      </c>
      <c r="X38" s="194">
        <f ca="1">_xll.DBRW($D$1,$K$11,$D$4,$Y$13,$D$5,$D$2,X$3,$F$30,$F38)*X$5</f>
        <v>0</v>
      </c>
      <c r="Y38" s="194">
        <f ca="1">_xll.DBRW($D$1,$K$11,$D$4,$Y$13,$D$5,$D$2,Y$3,$F$30,$F38)*Y$5</f>
        <v>0</v>
      </c>
      <c r="Z38" s="194"/>
      <c r="AA38" s="194">
        <f ca="1">_xll.DBRW($D$1,$K$11,$D$4,$AG$13,$D$5,$D$2,AA$3,$F$30,$F38)*AA$5</f>
        <v>0</v>
      </c>
      <c r="AB38" s="194">
        <f ca="1">_xll.DBRW($D$1,$K$11,$D$4,$AG$13,$D$5,$D$2,AB$3,$F$30,$F38)*AB$5</f>
        <v>0</v>
      </c>
      <c r="AC38" s="194">
        <f ca="1">_xll.DBRW($D$1,$K$11,$D$4,$AG$13,$D$5,$D$2,AC$3,$F$30,$F38)*AC$5</f>
        <v>0</v>
      </c>
      <c r="AD38" s="194">
        <f ca="1">_xll.DBRW($D$1,$K$11,$D$4,$AG$13,$D$5,$D$2,AD$3,$F$30,$F38)*AD$5</f>
        <v>0</v>
      </c>
      <c r="AE38" s="194">
        <f ca="1">_xll.DBRW($D$1,$K$11,$D$4,$AG$13,$D$5,$D$2,AE$3,$F$30,$F38)*AE$5</f>
        <v>0</v>
      </c>
      <c r="AF38" s="194">
        <f ca="1">_xll.DBRW($D$1,$K$11,$D$4,$AG$13,$D$5,$D$2,AF$3,$F$30,$F38)*AF$5</f>
        <v>0</v>
      </c>
      <c r="AG38" s="194">
        <f ca="1">_xll.DBRW($D$1,$K$11,$D$4,$AG$13,$D$5,$D$2,AG$3,$F$30,$F38)*AG$5</f>
        <v>0</v>
      </c>
    </row>
    <row r="39" spans="2:33" ht="19.5" customHeight="1">
      <c r="B39" s="74" t="str">
        <f t="shared" ca="1" si="15"/>
        <v>LTP</v>
      </c>
      <c r="C39" s="74"/>
      <c r="F39" s="74" t="s">
        <v>189</v>
      </c>
      <c r="G39" s="81"/>
      <c r="H39" s="79"/>
      <c r="I39" s="477"/>
      <c r="J39" s="74" t="s">
        <v>118</v>
      </c>
      <c r="K39" s="194">
        <f ca="1">_xll.DBRW($D$1,$K$11,$D$4,$Q$13,$D$5,$D$2,K$3,$F$30,$F39)*K$5</f>
        <v>0</v>
      </c>
      <c r="L39" s="194">
        <f ca="1">_xll.DBRW($D$1,$K$11,$D$4,$Q$13,$D$5,$D$2,L$3,$F$30,$F39)*L$5</f>
        <v>0</v>
      </c>
      <c r="M39" s="194">
        <f ca="1">_xll.DBRW($D$1,$K$11,$D$4,$Q$13,$D$5,$D$2,M$3,$F$30,$F39)*M$5</f>
        <v>0</v>
      </c>
      <c r="N39" s="194">
        <f ca="1">_xll.DBRW($D$1,$K$11,$D$4,$Q$13,$D$5,$D$2,N$3,$F$30,$F39)*N$5</f>
        <v>0</v>
      </c>
      <c r="O39" s="194">
        <f ca="1">_xll.DBRW($D$1,$K$11,$D$4,$Q$13,$D$5,$D$2,O$3,$F$30,$F39)*O$5</f>
        <v>0</v>
      </c>
      <c r="P39" s="194">
        <f ca="1">_xll.DBRW($D$1,$K$11,$D$4,$Q$13,$D$5,$D$2,P$3,$F$30,$F39)*P$5</f>
        <v>0</v>
      </c>
      <c r="Q39" s="194">
        <f ca="1">_xll.DBRW($D$1,$K$11,$D$4,$Q$13,$D$5,$D$2,Q$3,$F$30,$F39)*Q$5</f>
        <v>0</v>
      </c>
      <c r="R39" s="194"/>
      <c r="S39" s="194">
        <f ca="1">_xll.DBRW($D$1,$K$11,$D$4,$Y$13,$D$5,$D$2,S$3,$F$30,$F39)*S$5</f>
        <v>0</v>
      </c>
      <c r="T39" s="194">
        <f ca="1">_xll.DBRW($D$1,$K$11,$D$4,$Y$13,$D$5,$D$2,T$3,$F$30,$F39)*T$5</f>
        <v>0</v>
      </c>
      <c r="U39" s="194">
        <f ca="1">_xll.DBRW($D$1,$K$11,$D$4,$Y$13,$D$5,$D$2,U$3,$F$30,$F39)*U$5</f>
        <v>0</v>
      </c>
      <c r="V39" s="194">
        <f ca="1">_xll.DBRW($D$1,$K$11,$D$4,$Y$13,$D$5,$D$2,V$3,$F$30,$F39)*V$5</f>
        <v>0</v>
      </c>
      <c r="W39" s="194">
        <f ca="1">_xll.DBRW($D$1,$K$11,$D$4,$Y$13,$D$5,$D$2,W$3,$F$30,$F39)*W$5</f>
        <v>0</v>
      </c>
      <c r="X39" s="194">
        <f ca="1">_xll.DBRW($D$1,$K$11,$D$4,$Y$13,$D$5,$D$2,X$3,$F$30,$F39)*X$5</f>
        <v>0</v>
      </c>
      <c r="Y39" s="194">
        <f ca="1">_xll.DBRW($D$1,$K$11,$D$4,$Y$13,$D$5,$D$2,Y$3,$F$30,$F39)*Y$5</f>
        <v>0</v>
      </c>
      <c r="Z39" s="194"/>
      <c r="AA39" s="194">
        <f ca="1">_xll.DBRW($D$1,$K$11,$D$4,$AG$13,$D$5,$D$2,AA$3,$F$30,$F39)*AA$5</f>
        <v>0</v>
      </c>
      <c r="AB39" s="194">
        <f ca="1">_xll.DBRW($D$1,$K$11,$D$4,$AG$13,$D$5,$D$2,AB$3,$F$30,$F39)*AB$5</f>
        <v>0</v>
      </c>
      <c r="AC39" s="194">
        <f ca="1">_xll.DBRW($D$1,$K$11,$D$4,$AG$13,$D$5,$D$2,AC$3,$F$30,$F39)*AC$5</f>
        <v>0</v>
      </c>
      <c r="AD39" s="194">
        <f ca="1">_xll.DBRW($D$1,$K$11,$D$4,$AG$13,$D$5,$D$2,AD$3,$F$30,$F39)*AD$5</f>
        <v>0</v>
      </c>
      <c r="AE39" s="194">
        <f ca="1">_xll.DBRW($D$1,$K$11,$D$4,$AG$13,$D$5,$D$2,AE$3,$F$30,$F39)*AE$5</f>
        <v>0</v>
      </c>
      <c r="AF39" s="194">
        <f ca="1">_xll.DBRW($D$1,$K$11,$D$4,$AG$13,$D$5,$D$2,AF$3,$F$30,$F39)*AF$5</f>
        <v>0</v>
      </c>
      <c r="AG39" s="194">
        <f ca="1">_xll.DBRW($D$1,$K$11,$D$4,$AG$13,$D$5,$D$2,AG$3,$F$30,$F39)*AG$5</f>
        <v>0</v>
      </c>
    </row>
    <row r="40" spans="2:33" ht="20.25" customHeight="1">
      <c r="B40" s="74" t="str">
        <f t="shared" ca="1" si="15"/>
        <v>LTP</v>
      </c>
      <c r="C40" s="74"/>
      <c r="F40" s="74"/>
      <c r="G40" s="81"/>
      <c r="H40" s="79"/>
      <c r="I40" s="477"/>
      <c r="J40" s="212" t="s">
        <v>204</v>
      </c>
      <c r="K40" s="215" t="str">
        <f ca="1">IFERROR(K33/K31,"-")</f>
        <v>-</v>
      </c>
      <c r="L40" s="215" t="str">
        <f t="shared" ref="L40:AF40" ca="1" si="16">IFERROR(L33/L31,"-")</f>
        <v>-</v>
      </c>
      <c r="M40" s="215" t="str">
        <f t="shared" ca="1" si="16"/>
        <v>-</v>
      </c>
      <c r="N40" s="215" t="str">
        <f t="shared" ca="1" si="16"/>
        <v>-</v>
      </c>
      <c r="O40" s="215" t="str">
        <f t="shared" ca="1" si="16"/>
        <v>-</v>
      </c>
      <c r="P40" s="216" t="str">
        <f t="shared" ca="1" si="16"/>
        <v>-</v>
      </c>
      <c r="Q40" s="87" t="s">
        <v>56</v>
      </c>
      <c r="R40" s="215"/>
      <c r="S40" s="215" t="str">
        <f t="shared" ca="1" si="16"/>
        <v>-</v>
      </c>
      <c r="T40" s="215" t="str">
        <f t="shared" ca="1" si="16"/>
        <v>-</v>
      </c>
      <c r="U40" s="215" t="str">
        <f t="shared" ca="1" si="16"/>
        <v>-</v>
      </c>
      <c r="V40" s="215" t="str">
        <f t="shared" ca="1" si="16"/>
        <v>-</v>
      </c>
      <c r="W40" s="215" t="str">
        <f t="shared" ca="1" si="16"/>
        <v>-</v>
      </c>
      <c r="X40" s="216" t="str">
        <f t="shared" ca="1" si="16"/>
        <v>-</v>
      </c>
      <c r="Y40" s="87" t="s">
        <v>56</v>
      </c>
      <c r="Z40" s="215"/>
      <c r="AA40" s="215" t="str">
        <f t="shared" ca="1" si="16"/>
        <v>-</v>
      </c>
      <c r="AB40" s="215" t="str">
        <f t="shared" ca="1" si="16"/>
        <v>-</v>
      </c>
      <c r="AC40" s="215" t="str">
        <f t="shared" ca="1" si="16"/>
        <v>-</v>
      </c>
      <c r="AD40" s="215" t="str">
        <f t="shared" ca="1" si="16"/>
        <v>-</v>
      </c>
      <c r="AE40" s="215" t="str">
        <f t="shared" ca="1" si="16"/>
        <v>-</v>
      </c>
      <c r="AF40" s="216" t="str">
        <f t="shared" ca="1" si="16"/>
        <v>-</v>
      </c>
      <c r="AG40" s="87" t="s">
        <v>56</v>
      </c>
    </row>
    <row r="41" spans="2:33" ht="19.5" customHeight="1">
      <c r="B41" s="74"/>
      <c r="C41" s="74"/>
      <c r="F41" s="74"/>
      <c r="G41" s="81"/>
      <c r="H41" s="79"/>
      <c r="I41" s="407"/>
      <c r="J41" s="430" t="s">
        <v>310</v>
      </c>
      <c r="K41" s="431" t="s">
        <v>56</v>
      </c>
      <c r="L41" s="431" t="str">
        <f ca="1">L84</f>
        <v>n/a</v>
      </c>
      <c r="M41" s="431" t="str">
        <f t="shared" ref="M41:Q41" ca="1" si="17">M84</f>
        <v>n/a</v>
      </c>
      <c r="N41" s="431" t="str">
        <f t="shared" ca="1" si="17"/>
        <v>n/a</v>
      </c>
      <c r="O41" s="431" t="str">
        <f t="shared" ca="1" si="17"/>
        <v>n/a</v>
      </c>
      <c r="P41" s="431" t="str">
        <f t="shared" ca="1" si="17"/>
        <v>n/a</v>
      </c>
      <c r="Q41" s="431" t="str">
        <f t="shared" ca="1" si="17"/>
        <v>n/a</v>
      </c>
      <c r="R41" s="216"/>
      <c r="S41" s="431" t="s">
        <v>56</v>
      </c>
      <c r="T41" s="431" t="str">
        <f ca="1">T84</f>
        <v>n/a</v>
      </c>
      <c r="U41" s="431" t="str">
        <f t="shared" ref="U41:Y41" ca="1" si="18">U84</f>
        <v>n/a</v>
      </c>
      <c r="V41" s="431" t="str">
        <f t="shared" ca="1" si="18"/>
        <v>n/a</v>
      </c>
      <c r="W41" s="431" t="str">
        <f t="shared" ca="1" si="18"/>
        <v>n/a</v>
      </c>
      <c r="X41" s="431" t="str">
        <f t="shared" ca="1" si="18"/>
        <v>n/a</v>
      </c>
      <c r="Y41" s="431" t="str">
        <f t="shared" ca="1" si="18"/>
        <v>n/a</v>
      </c>
      <c r="Z41" s="216"/>
      <c r="AA41" s="431" t="s">
        <v>56</v>
      </c>
      <c r="AB41" s="431" t="str">
        <f ca="1">AB84</f>
        <v>n/a</v>
      </c>
      <c r="AC41" s="431" t="str">
        <f t="shared" ref="AC41:AG41" ca="1" si="19">AC84</f>
        <v>n/a</v>
      </c>
      <c r="AD41" s="431" t="str">
        <f t="shared" ca="1" si="19"/>
        <v>n/a</v>
      </c>
      <c r="AE41" s="431" t="str">
        <f t="shared" ca="1" si="19"/>
        <v>n/a</v>
      </c>
      <c r="AF41" s="431" t="str">
        <f t="shared" ca="1" si="19"/>
        <v>n/a</v>
      </c>
      <c r="AG41" s="431" t="str">
        <f t="shared" ca="1" si="19"/>
        <v>n/a</v>
      </c>
    </row>
    <row r="42" spans="2:33" ht="9.9499999999999993" customHeight="1">
      <c r="G42" s="82"/>
      <c r="H42" s="86"/>
      <c r="I42" s="84"/>
      <c r="J42" s="74"/>
      <c r="K42" s="85"/>
      <c r="L42" s="85"/>
      <c r="M42" s="85"/>
      <c r="N42" s="85"/>
      <c r="O42" s="85"/>
      <c r="P42" s="85"/>
      <c r="Q42" s="85"/>
      <c r="S42" s="85"/>
      <c r="T42" s="85"/>
      <c r="U42" s="85"/>
      <c r="V42" s="85"/>
      <c r="W42" s="85"/>
      <c r="X42" s="85"/>
      <c r="Y42" s="85"/>
      <c r="AA42" s="85"/>
      <c r="AB42" s="85"/>
      <c r="AC42" s="85"/>
      <c r="AD42" s="85"/>
      <c r="AE42" s="85"/>
      <c r="AF42" s="85"/>
      <c r="AG42" s="85"/>
    </row>
    <row r="43" spans="2:33" ht="28.5" customHeight="1">
      <c r="B43" s="74"/>
      <c r="C43" s="74"/>
      <c r="D43" s="74"/>
      <c r="E43" s="74"/>
      <c r="F43" s="74"/>
      <c r="G43" s="76"/>
      <c r="H43" s="79"/>
      <c r="I43" s="477" t="s">
        <v>61</v>
      </c>
      <c r="J43" s="228" t="str">
        <f>+J17</f>
        <v>MEUR</v>
      </c>
      <c r="K43" s="229" t="str">
        <f t="shared" ref="K43:Q43" si="20">RIGHT(K3,4)</f>
        <v>2023</v>
      </c>
      <c r="L43" s="229" t="str">
        <f t="shared" si="20"/>
        <v>2024</v>
      </c>
      <c r="M43" s="229" t="str">
        <f t="shared" si="20"/>
        <v>2025</v>
      </c>
      <c r="N43" s="229" t="str">
        <f t="shared" si="20"/>
        <v>2026</v>
      </c>
      <c r="O43" s="229" t="str">
        <f t="shared" si="20"/>
        <v>2027</v>
      </c>
      <c r="P43" s="229" t="str">
        <f t="shared" si="20"/>
        <v>2028</v>
      </c>
      <c r="Q43" s="229" t="str">
        <f t="shared" si="20"/>
        <v>2029</v>
      </c>
      <c r="R43" s="80"/>
      <c r="S43" s="229" t="str">
        <f t="shared" ref="S43:Y43" si="21">RIGHT(S3,4)</f>
        <v>2023</v>
      </c>
      <c r="T43" s="229" t="str">
        <f t="shared" si="21"/>
        <v>2024</v>
      </c>
      <c r="U43" s="229" t="str">
        <f t="shared" si="21"/>
        <v>2025</v>
      </c>
      <c r="V43" s="229" t="str">
        <f t="shared" si="21"/>
        <v>2026</v>
      </c>
      <c r="W43" s="229" t="str">
        <f t="shared" si="21"/>
        <v>2027</v>
      </c>
      <c r="X43" s="229" t="str">
        <f t="shared" si="21"/>
        <v>2028</v>
      </c>
      <c r="Y43" s="229" t="str">
        <f t="shared" si="21"/>
        <v>2029</v>
      </c>
      <c r="Z43" s="80"/>
      <c r="AA43" s="229" t="str">
        <f t="shared" ref="AA43:AG43" si="22">RIGHT(AA3,4)</f>
        <v>2023</v>
      </c>
      <c r="AB43" s="229" t="str">
        <f t="shared" si="22"/>
        <v>2024</v>
      </c>
      <c r="AC43" s="229" t="str">
        <f t="shared" si="22"/>
        <v>2025</v>
      </c>
      <c r="AD43" s="229" t="str">
        <f t="shared" si="22"/>
        <v>2026</v>
      </c>
      <c r="AE43" s="229" t="str">
        <f t="shared" si="22"/>
        <v>2027</v>
      </c>
      <c r="AF43" s="229" t="str">
        <f t="shared" si="22"/>
        <v>2028</v>
      </c>
      <c r="AG43" s="229" t="str">
        <f t="shared" si="22"/>
        <v>2029</v>
      </c>
    </row>
    <row r="44" spans="2:33" ht="20.100000000000001" customHeight="1">
      <c r="B44" s="74"/>
      <c r="C44" s="74"/>
      <c r="D44" s="74"/>
      <c r="E44" s="74"/>
      <c r="F44" s="74"/>
      <c r="G44" s="81"/>
      <c r="H44" s="79"/>
      <c r="I44" s="477"/>
      <c r="J44" s="74" t="str">
        <f t="shared" ref="J44:J53" si="23">J18</f>
        <v>REVENUE</v>
      </c>
      <c r="K44" s="87">
        <f ca="1">IFERROR(K31-K18,"-")</f>
        <v>-9336.3567091770001</v>
      </c>
      <c r="L44" s="87">
        <f t="shared" ref="L44:P44" ca="1" si="24">IFERROR(L31-L18,"-")</f>
        <v>-10007.033025344426</v>
      </c>
      <c r="M44" s="87">
        <f t="shared" ca="1" si="24"/>
        <v>-10565.535610686065</v>
      </c>
      <c r="N44" s="87">
        <f t="shared" ca="1" si="24"/>
        <v>-11087.858940855507</v>
      </c>
      <c r="O44" s="87">
        <f t="shared" ca="1" si="24"/>
        <v>-11489.43699757781</v>
      </c>
      <c r="P44" s="87">
        <f t="shared" ca="1" si="24"/>
        <v>-11890.13256652376</v>
      </c>
      <c r="Q44" s="87" t="str">
        <f t="shared" ref="Q44" ca="1" si="25">IFERROR(Q31-Q18,"-")</f>
        <v>-</v>
      </c>
      <c r="R44" s="87"/>
      <c r="S44" s="87">
        <f ca="1">IFERROR(S31-S18,"-")</f>
        <v>-8317.7889792469996</v>
      </c>
      <c r="T44" s="87">
        <f t="shared" ref="T44:X44" ca="1" si="26">IFERROR(T31-T18,"-")</f>
        <v>-8082.0153481580792</v>
      </c>
      <c r="U44" s="87">
        <f t="shared" ca="1" si="26"/>
        <v>-8089.6996558471737</v>
      </c>
      <c r="V44" s="87">
        <f t="shared" ca="1" si="26"/>
        <v>-8096.3655919892353</v>
      </c>
      <c r="W44" s="87">
        <f t="shared" ca="1" si="26"/>
        <v>-8028.1069206438433</v>
      </c>
      <c r="X44" s="87">
        <f t="shared" ca="1" si="26"/>
        <v>-8108.254555161775</v>
      </c>
      <c r="Y44" s="87" t="str">
        <f t="shared" ref="Y44" ca="1" si="27">IFERROR(Y31-Y18,"-")</f>
        <v>-</v>
      </c>
      <c r="Z44" s="87"/>
      <c r="AA44" s="87">
        <f ca="1">IFERROR(AA31-AA18,"-")</f>
        <v>-1018.56772993</v>
      </c>
      <c r="AB44" s="87">
        <f t="shared" ref="AB44:AF44" ca="1" si="28">IFERROR(AB31-AB18,"-")</f>
        <v>-1925.0176771863478</v>
      </c>
      <c r="AC44" s="87">
        <f t="shared" ca="1" si="28"/>
        <v>-2475.8359548388935</v>
      </c>
      <c r="AD44" s="87">
        <f t="shared" ca="1" si="28"/>
        <v>-2991.4933488662746</v>
      </c>
      <c r="AE44" s="87">
        <f t="shared" ca="1" si="28"/>
        <v>-3461.3300769339662</v>
      </c>
      <c r="AF44" s="87">
        <f t="shared" ca="1" si="28"/>
        <v>-3781.8780113619841</v>
      </c>
      <c r="AG44" s="87" t="str">
        <f t="shared" ref="AG44" ca="1" si="29">IFERROR(AG31-AG18,"-")</f>
        <v>-</v>
      </c>
    </row>
    <row r="45" spans="2:33" ht="20.100000000000001" customHeight="1">
      <c r="B45" s="74"/>
      <c r="C45" s="74"/>
      <c r="D45" s="74"/>
      <c r="E45" s="74"/>
      <c r="F45" s="74"/>
      <c r="G45" s="81"/>
      <c r="H45" s="79"/>
      <c r="I45" s="477"/>
      <c r="J45" s="74" t="str">
        <f t="shared" si="23"/>
        <v>CAFOP Bef MF</v>
      </c>
      <c r="K45" s="87">
        <f t="shared" ref="K45:P45" ca="1" si="30">IFERROR(K32-K19,"-")</f>
        <v>-562.52262646500196</v>
      </c>
      <c r="L45" s="87">
        <f t="shared" ca="1" si="30"/>
        <v>-668.30367387082219</v>
      </c>
      <c r="M45" s="87">
        <f t="shared" ca="1" si="30"/>
        <v>-778.91206281664427</v>
      </c>
      <c r="N45" s="87">
        <f t="shared" ca="1" si="30"/>
        <v>-894.61140201473427</v>
      </c>
      <c r="O45" s="87">
        <f t="shared" ca="1" si="30"/>
        <v>-974.81142007699373</v>
      </c>
      <c r="P45" s="87">
        <f t="shared" ca="1" si="30"/>
        <v>-1024.9100446380048</v>
      </c>
      <c r="Q45" s="87" t="str">
        <f t="shared" ref="Q45" ca="1" si="31">IFERROR(Q32-Q19,"-")</f>
        <v>-</v>
      </c>
      <c r="R45" s="87"/>
      <c r="S45" s="87">
        <f t="shared" ref="S45:X45" ca="1" si="32">IFERROR(S32-S19,"-")</f>
        <v>-554.80118850500185</v>
      </c>
      <c r="T45" s="87">
        <f t="shared" ca="1" si="32"/>
        <v>-585.01196235861414</v>
      </c>
      <c r="U45" s="87">
        <f t="shared" ca="1" si="32"/>
        <v>-621.50291509785143</v>
      </c>
      <c r="V45" s="87">
        <f t="shared" ca="1" si="32"/>
        <v>-650.07580496242417</v>
      </c>
      <c r="W45" s="87">
        <f t="shared" ca="1" si="32"/>
        <v>-658.94621426882884</v>
      </c>
      <c r="X45" s="87">
        <f t="shared" ca="1" si="32"/>
        <v>-662.02030021855376</v>
      </c>
      <c r="Y45" s="87" t="str">
        <f t="shared" ref="Y45" ca="1" si="33">IFERROR(Y32-Y19,"-")</f>
        <v>-</v>
      </c>
      <c r="Z45" s="87"/>
      <c r="AA45" s="87">
        <f t="shared" ref="AA45:AF45" ca="1" si="34">IFERROR(AA32-AA19,"-")</f>
        <v>-7.7214379600001166</v>
      </c>
      <c r="AB45" s="87">
        <f t="shared" ca="1" si="34"/>
        <v>-83.291711512208394</v>
      </c>
      <c r="AC45" s="87">
        <f t="shared" ca="1" si="34"/>
        <v>-157.40914771879284</v>
      </c>
      <c r="AD45" s="87">
        <f t="shared" ca="1" si="34"/>
        <v>-244.53559705230987</v>
      </c>
      <c r="AE45" s="87">
        <f t="shared" ca="1" si="34"/>
        <v>-315.86520580816477</v>
      </c>
      <c r="AF45" s="87">
        <f t="shared" ca="1" si="34"/>
        <v>-362.88974441945106</v>
      </c>
      <c r="AG45" s="87" t="str">
        <f t="shared" ref="AG45" ca="1" si="35">IFERROR(AG32-AG19,"-")</f>
        <v>-</v>
      </c>
    </row>
    <row r="46" spans="2:33" ht="20.100000000000001" customHeight="1">
      <c r="B46" s="74"/>
      <c r="C46" s="74"/>
      <c r="D46" s="74"/>
      <c r="E46" s="74"/>
      <c r="F46" s="74"/>
      <c r="G46" s="81"/>
      <c r="H46" s="79"/>
      <c r="I46" s="477"/>
      <c r="J46" s="74" t="str">
        <f t="shared" si="23"/>
        <v>EBIT Bef Mfees</v>
      </c>
      <c r="K46" s="87">
        <f t="shared" ref="K46:P46" ca="1" si="36">IFERROR(K33-K20,"-")</f>
        <v>-93.59423434200184</v>
      </c>
      <c r="L46" s="87">
        <f t="shared" ca="1" si="36"/>
        <v>-170.00142337080277</v>
      </c>
      <c r="M46" s="87">
        <f t="shared" ca="1" si="36"/>
        <v>-240.6413909634108</v>
      </c>
      <c r="N46" s="87">
        <f t="shared" ca="1" si="36"/>
        <v>-320.11269678893484</v>
      </c>
      <c r="O46" s="87">
        <f t="shared" ca="1" si="36"/>
        <v>-381.85471024361482</v>
      </c>
      <c r="P46" s="87">
        <f t="shared" ca="1" si="36"/>
        <v>-426.10151987527053</v>
      </c>
      <c r="Q46" s="87" t="str">
        <f t="shared" ref="Q46" ca="1" si="37">IFERROR(Q33-Q20,"-")</f>
        <v>-</v>
      </c>
      <c r="R46" s="87"/>
      <c r="S46" s="87">
        <f t="shared" ref="S46:X46" ca="1" si="38">IFERROR(S33-S20,"-")</f>
        <v>-98.035416820001757</v>
      </c>
      <c r="T46" s="87">
        <f t="shared" ca="1" si="38"/>
        <v>-138.03111975753444</v>
      </c>
      <c r="U46" s="87">
        <f t="shared" ca="1" si="38"/>
        <v>-178.89922923529969</v>
      </c>
      <c r="V46" s="87">
        <f t="shared" ca="1" si="38"/>
        <v>-194.20225957331351</v>
      </c>
      <c r="W46" s="87">
        <f t="shared" ca="1" si="38"/>
        <v>-200.60647770593093</v>
      </c>
      <c r="X46" s="87">
        <f t="shared" ca="1" si="38"/>
        <v>-213.47672714992979</v>
      </c>
      <c r="Y46" s="87" t="str">
        <f t="shared" ref="Y46" ca="1" si="39">IFERROR(Y33-Y20,"-")</f>
        <v>-</v>
      </c>
      <c r="Z46" s="87"/>
      <c r="AA46" s="87">
        <f t="shared" ref="AA46:AF46" ca="1" si="40">IFERROR(AA33-AA20,"-")</f>
        <v>4.4411824779998792</v>
      </c>
      <c r="AB46" s="87">
        <f t="shared" ca="1" si="40"/>
        <v>-31.970303613268282</v>
      </c>
      <c r="AC46" s="87">
        <f t="shared" ca="1" si="40"/>
        <v>-61.742161728111228</v>
      </c>
      <c r="AD46" s="87">
        <f t="shared" ca="1" si="40"/>
        <v>-125.9104372156213</v>
      </c>
      <c r="AE46" s="87">
        <f t="shared" ca="1" si="40"/>
        <v>-181.24823253768386</v>
      </c>
      <c r="AF46" s="87">
        <f t="shared" ca="1" si="40"/>
        <v>-212.62479272534077</v>
      </c>
      <c r="AG46" s="87" t="str">
        <f t="shared" ref="AG46" ca="1" si="41">IFERROR(AG33-AG20,"-")</f>
        <v>-</v>
      </c>
    </row>
    <row r="47" spans="2:33" ht="20.100000000000001" customHeight="1">
      <c r="B47" s="74"/>
      <c r="C47" s="74"/>
      <c r="D47" s="74"/>
      <c r="E47" s="74"/>
      <c r="F47" s="74"/>
      <c r="G47" s="81"/>
      <c r="H47" s="79"/>
      <c r="I47" s="477"/>
      <c r="J47" s="74" t="str">
        <f t="shared" si="23"/>
        <v>Net Result</v>
      </c>
      <c r="K47" s="87">
        <f t="shared" ref="K47:P47" ca="1" si="42">IFERROR(K34-K21,"-")</f>
        <v>-1.0176601200017175</v>
      </c>
      <c r="L47" s="87">
        <f t="shared" ca="1" si="42"/>
        <v>-46.028738526082101</v>
      </c>
      <c r="M47" s="87">
        <f t="shared" ca="1" si="42"/>
        <v>-100.93013107971051</v>
      </c>
      <c r="N47" s="87">
        <f t="shared" ca="1" si="42"/>
        <v>-158.66565317150256</v>
      </c>
      <c r="O47" s="87">
        <f t="shared" ca="1" si="42"/>
        <v>-200.91473071568603</v>
      </c>
      <c r="P47" s="87">
        <f t="shared" ca="1" si="42"/>
        <v>-237.95550767304218</v>
      </c>
      <c r="Q47" s="87" t="str">
        <f t="shared" ref="Q47" ca="1" si="43">IFERROR(Q34-Q21,"-")</f>
        <v>-</v>
      </c>
      <c r="R47" s="87"/>
      <c r="S47" s="87">
        <f t="shared" ref="S47:X47" ca="1" si="44">IFERROR(S34-S21,"-")</f>
        <v>-29.47778420400163</v>
      </c>
      <c r="T47" s="87">
        <f t="shared" ca="1" si="44"/>
        <v>-58.217746706537362</v>
      </c>
      <c r="U47" s="87">
        <f t="shared" ca="1" si="44"/>
        <v>-93.660190944276749</v>
      </c>
      <c r="V47" s="87">
        <f t="shared" ca="1" si="44"/>
        <v>-106.40392629822075</v>
      </c>
      <c r="W47" s="87">
        <f t="shared" ca="1" si="44"/>
        <v>-116.06216261403048</v>
      </c>
      <c r="X47" s="87">
        <f t="shared" ca="1" si="44"/>
        <v>-131.83228485173217</v>
      </c>
      <c r="Y47" s="87" t="str">
        <f t="shared" ref="Y47" ca="1" si="45">IFERROR(Y34-Y21,"-")</f>
        <v>-</v>
      </c>
      <c r="Z47" s="87"/>
      <c r="AA47" s="87">
        <f t="shared" ref="AA47:AF47" ca="1" si="46">IFERROR(AA34-AA21,"-")</f>
        <v>28.460124083999922</v>
      </c>
      <c r="AB47" s="87">
        <f t="shared" ca="1" si="46"/>
        <v>12.189008180455247</v>
      </c>
      <c r="AC47" s="87">
        <f t="shared" ca="1" si="46"/>
        <v>-7.2699401354337123</v>
      </c>
      <c r="AD47" s="87">
        <f t="shared" ca="1" si="46"/>
        <v>-52.261726873282008</v>
      </c>
      <c r="AE47" s="87">
        <f t="shared" ca="1" si="46"/>
        <v>-84.852568101655748</v>
      </c>
      <c r="AF47" s="87">
        <f t="shared" ca="1" si="46"/>
        <v>-106.12322282131005</v>
      </c>
      <c r="AG47" s="87" t="str">
        <f t="shared" ref="AG47" ca="1" si="47">IFERROR(AG34-AG21,"-")</f>
        <v>-</v>
      </c>
    </row>
    <row r="48" spans="2:33" ht="20.100000000000001" customHeight="1">
      <c r="B48" s="74"/>
      <c r="C48" s="74"/>
      <c r="D48" s="74"/>
      <c r="E48" s="74"/>
      <c r="F48" s="74"/>
      <c r="G48" s="81"/>
      <c r="H48" s="79"/>
      <c r="I48" s="477"/>
      <c r="J48" s="74" t="str">
        <f t="shared" si="23"/>
        <v>CHANGE IN WC</v>
      </c>
      <c r="K48" s="87">
        <f t="shared" ref="K48:P48" ca="1" si="48">IFERROR(K35-K22,"-")</f>
        <v>164.27666008599994</v>
      </c>
      <c r="L48" s="87">
        <f t="shared" ca="1" si="48"/>
        <v>49.059005375290305</v>
      </c>
      <c r="M48" s="87">
        <f t="shared" ca="1" si="48"/>
        <v>21.512631850375634</v>
      </c>
      <c r="N48" s="87">
        <f t="shared" ca="1" si="48"/>
        <v>29.262136768931775</v>
      </c>
      <c r="O48" s="87">
        <f t="shared" ca="1" si="48"/>
        <v>18.361376631587362</v>
      </c>
      <c r="P48" s="87">
        <f t="shared" ca="1" si="48"/>
        <v>25.143209969471801</v>
      </c>
      <c r="Q48" s="87" t="str">
        <f t="shared" ref="Q48" ca="1" si="49">IFERROR(Q35-Q22,"-")</f>
        <v>-</v>
      </c>
      <c r="R48" s="87"/>
      <c r="S48" s="87">
        <f t="shared" ref="S48:X48" ca="1" si="50">IFERROR(S35-S22,"-")</f>
        <v>158.50167468499993</v>
      </c>
      <c r="T48" s="87">
        <f t="shared" ca="1" si="50"/>
        <v>31.745354989857741</v>
      </c>
      <c r="U48" s="87">
        <f t="shared" ca="1" si="50"/>
        <v>10.920794190190946</v>
      </c>
      <c r="V48" s="87">
        <f t="shared" ca="1" si="50"/>
        <v>10.74054959832716</v>
      </c>
      <c r="W48" s="87">
        <f t="shared" ca="1" si="50"/>
        <v>3.4027943597850401</v>
      </c>
      <c r="X48" s="87">
        <f t="shared" ca="1" si="50"/>
        <v>4.6924661437028687</v>
      </c>
      <c r="Y48" s="87" t="str">
        <f t="shared" ref="Y48" ca="1" si="51">IFERROR(Y35-Y22,"-")</f>
        <v>-</v>
      </c>
      <c r="Z48" s="87"/>
      <c r="AA48" s="87">
        <f t="shared" ref="AA48:AF48" ca="1" si="52">IFERROR(AA35-AA22,"-")</f>
        <v>5.7749854010000004</v>
      </c>
      <c r="AB48" s="87">
        <f t="shared" ca="1" si="52"/>
        <v>17.313650385432567</v>
      </c>
      <c r="AC48" s="87">
        <f t="shared" ca="1" si="52"/>
        <v>10.591837660184691</v>
      </c>
      <c r="AD48" s="87">
        <f t="shared" ca="1" si="52"/>
        <v>18.521587170604619</v>
      </c>
      <c r="AE48" s="87">
        <f t="shared" ca="1" si="52"/>
        <v>14.958582271802319</v>
      </c>
      <c r="AF48" s="87">
        <f t="shared" ca="1" si="52"/>
        <v>20.450743825768932</v>
      </c>
      <c r="AG48" s="87" t="str">
        <f t="shared" ref="AG48" ca="1" si="53">IFERROR(AG35-AG22,"-")</f>
        <v>-</v>
      </c>
    </row>
    <row r="49" spans="2:33" ht="20.100000000000001" customHeight="1">
      <c r="B49" s="74"/>
      <c r="C49" s="74"/>
      <c r="D49" s="74"/>
      <c r="E49" s="74"/>
      <c r="F49" s="74"/>
      <c r="G49" s="81"/>
      <c r="H49" s="79"/>
      <c r="I49" s="477"/>
      <c r="J49" s="74" t="str">
        <f t="shared" si="23"/>
        <v>Net INDUS CAPEX</v>
      </c>
      <c r="K49" s="87">
        <f t="shared" ref="K49:P49" ca="1" si="54">IFERROR(K36-K23,"-")</f>
        <v>459.27112375299993</v>
      </c>
      <c r="L49" s="87">
        <f t="shared" ca="1" si="54"/>
        <v>577.77331373549896</v>
      </c>
      <c r="M49" s="87">
        <f t="shared" ca="1" si="54"/>
        <v>637.11969231506305</v>
      </c>
      <c r="N49" s="87">
        <f t="shared" ca="1" si="54"/>
        <v>566.00092165505157</v>
      </c>
      <c r="O49" s="87">
        <f t="shared" ca="1" si="54"/>
        <v>601.77831678228347</v>
      </c>
      <c r="P49" s="87">
        <f t="shared" ca="1" si="54"/>
        <v>605.63064108470644</v>
      </c>
      <c r="Q49" s="87" t="str">
        <f t="shared" ref="Q49" ca="1" si="55">IFERROR(Q36-Q23,"-")</f>
        <v>-</v>
      </c>
      <c r="R49" s="87"/>
      <c r="S49" s="87">
        <f t="shared" ref="S49:X49" ca="1" si="56">IFERROR(S36-S23,"-")</f>
        <v>436.04250331499992</v>
      </c>
      <c r="T49" s="87">
        <f t="shared" ca="1" si="56"/>
        <v>363.95763872944019</v>
      </c>
      <c r="U49" s="87">
        <f t="shared" ca="1" si="56"/>
        <v>332.4976065924053</v>
      </c>
      <c r="V49" s="87">
        <f t="shared" ca="1" si="56"/>
        <v>377.20019288163155</v>
      </c>
      <c r="W49" s="87">
        <f t="shared" ca="1" si="56"/>
        <v>344.4737773262629</v>
      </c>
      <c r="X49" s="87">
        <f t="shared" ca="1" si="56"/>
        <v>325.42580428228393</v>
      </c>
      <c r="Y49" s="87" t="str">
        <f t="shared" ref="Y49" ca="1" si="57">IFERROR(Y36-Y23,"-")</f>
        <v>-</v>
      </c>
      <c r="Z49" s="87"/>
      <c r="AA49" s="87">
        <f t="shared" ref="AA49:AF49" ca="1" si="58">IFERROR(AA36-AA23,"-")</f>
        <v>23.228620438</v>
      </c>
      <c r="AB49" s="87">
        <f t="shared" ca="1" si="58"/>
        <v>213.8156750060588</v>
      </c>
      <c r="AC49" s="87">
        <f t="shared" ca="1" si="58"/>
        <v>304.62208572265774</v>
      </c>
      <c r="AD49" s="87">
        <f t="shared" ca="1" si="58"/>
        <v>188.80072877342016</v>
      </c>
      <c r="AE49" s="87">
        <f t="shared" ca="1" si="58"/>
        <v>257.30453945602056</v>
      </c>
      <c r="AF49" s="87">
        <f t="shared" ca="1" si="58"/>
        <v>280.20483680242251</v>
      </c>
      <c r="AG49" s="87" t="str">
        <f t="shared" ref="AG49" ca="1" si="59">IFERROR(AG36-AG23,"-")</f>
        <v>-</v>
      </c>
    </row>
    <row r="50" spans="2:33" ht="20.100000000000001" customHeight="1">
      <c r="B50" s="74"/>
      <c r="C50" s="74"/>
      <c r="D50" s="74"/>
      <c r="E50" s="74"/>
      <c r="F50" s="74"/>
      <c r="G50" s="81"/>
      <c r="H50" s="79"/>
      <c r="I50" s="477"/>
      <c r="J50" s="74" t="str">
        <f t="shared" si="23"/>
        <v>Net FINAN CAPEX</v>
      </c>
      <c r="K50" s="87">
        <f t="shared" ref="K50:P50" ca="1" si="60">IFERROR(K37-K24,"-")</f>
        <v>464.01606399899998</v>
      </c>
      <c r="L50" s="87">
        <f t="shared" ca="1" si="60"/>
        <v>120.88804677596387</v>
      </c>
      <c r="M50" s="87">
        <f t="shared" ca="1" si="60"/>
        <v>58.581125691467022</v>
      </c>
      <c r="N50" s="87">
        <f t="shared" ca="1" si="60"/>
        <v>60.149258465121946</v>
      </c>
      <c r="O50" s="87">
        <f t="shared" ca="1" si="60"/>
        <v>25.669535710019904</v>
      </c>
      <c r="P50" s="87">
        <f t="shared" ca="1" si="60"/>
        <v>23.899620028201724</v>
      </c>
      <c r="Q50" s="87" t="str">
        <f t="shared" ref="Q50" ca="1" si="61">IFERROR(Q37-Q24,"-")</f>
        <v>-</v>
      </c>
      <c r="R50" s="87"/>
      <c r="S50" s="87">
        <f t="shared" ref="S50:X50" ca="1" si="62">IFERROR(S37-S24,"-")</f>
        <v>-0.77486084100000596</v>
      </c>
      <c r="T50" s="87">
        <f t="shared" ca="1" si="62"/>
        <v>-6.4689318181818181E-2</v>
      </c>
      <c r="U50" s="87">
        <f t="shared" ca="1" si="62"/>
        <v>0.44527227272727271</v>
      </c>
      <c r="V50" s="87">
        <f t="shared" ca="1" si="62"/>
        <v>-1.4675745454545452</v>
      </c>
      <c r="W50" s="87">
        <f t="shared" ca="1" si="62"/>
        <v>-1.4779095454545454</v>
      </c>
      <c r="X50" s="87">
        <f t="shared" ca="1" si="62"/>
        <v>-1.6478252272727272</v>
      </c>
      <c r="Y50" s="87" t="str">
        <f t="shared" ref="Y50" ca="1" si="63">IFERROR(Y37-Y24,"-")</f>
        <v>-</v>
      </c>
      <c r="Z50" s="87"/>
      <c r="AA50" s="87">
        <f t="shared" ref="AA50:AF50" ca="1" si="64">IFERROR(AA37-AA24,"-")</f>
        <v>464.79092484</v>
      </c>
      <c r="AB50" s="87">
        <f t="shared" ca="1" si="64"/>
        <v>120.95273609414568</v>
      </c>
      <c r="AC50" s="87">
        <f t="shared" ca="1" si="64"/>
        <v>58.135853418739757</v>
      </c>
      <c r="AD50" s="87">
        <f t="shared" ca="1" si="64"/>
        <v>61.616833010576492</v>
      </c>
      <c r="AE50" s="87">
        <f t="shared" ca="1" si="64"/>
        <v>27.147445255474452</v>
      </c>
      <c r="AF50" s="87">
        <f t="shared" ca="1" si="64"/>
        <v>25.54744525547445</v>
      </c>
      <c r="AG50" s="87" t="str">
        <f t="shared" ref="AG50" ca="1" si="65">IFERROR(AG37-AG24,"-")</f>
        <v>-</v>
      </c>
    </row>
    <row r="51" spans="2:33" ht="20.100000000000001" customHeight="1">
      <c r="B51" s="74"/>
      <c r="C51" s="74"/>
      <c r="D51" s="74"/>
      <c r="E51" s="74"/>
      <c r="F51" s="74"/>
      <c r="G51" s="81"/>
      <c r="H51" s="79"/>
      <c r="I51" s="477"/>
      <c r="J51" s="74" t="str">
        <f t="shared" si="23"/>
        <v>Operating  FCF</v>
      </c>
      <c r="K51" s="87">
        <f t="shared" ref="K51:P51" ca="1" si="66">IFERROR(K38-K25,"-")</f>
        <v>539.06304842099712</v>
      </c>
      <c r="L51" s="87">
        <f t="shared" ca="1" si="66"/>
        <v>98.376151236585102</v>
      </c>
      <c r="M51" s="87">
        <f t="shared" ca="1" si="66"/>
        <v>-32.224863245515166</v>
      </c>
      <c r="N51" s="87">
        <f t="shared" ca="1" si="66"/>
        <v>-187.23339718451436</v>
      </c>
      <c r="O51" s="87">
        <f t="shared" ca="1" si="66"/>
        <v>-253.83960663720299</v>
      </c>
      <c r="P51" s="87">
        <f t="shared" ca="1" si="66"/>
        <v>-282.67023736993877</v>
      </c>
      <c r="Q51" s="87" t="str">
        <f t="shared" ref="Q51" ca="1" si="67">IFERROR(Q38-Q25,"-")</f>
        <v>-</v>
      </c>
      <c r="R51" s="87"/>
      <c r="S51" s="87">
        <f t="shared" ref="S51:X51" ca="1" si="68">IFERROR(S38-S25,"-")</f>
        <v>52.422014095997255</v>
      </c>
      <c r="T51" s="87">
        <f t="shared" ca="1" si="68"/>
        <v>-171.32329161068287</v>
      </c>
      <c r="U51" s="87">
        <f t="shared" ca="1" si="68"/>
        <v>-249.60336267573382</v>
      </c>
      <c r="V51" s="87">
        <f t="shared" ca="1" si="68"/>
        <v>-228.31913800074992</v>
      </c>
      <c r="W51" s="87">
        <f t="shared" ca="1" si="68"/>
        <v>-273.77503875030231</v>
      </c>
      <c r="X51" s="87">
        <f t="shared" ca="1" si="68"/>
        <v>-290.80694754323702</v>
      </c>
      <c r="Y51" s="87" t="str">
        <f t="shared" ref="Y51" ca="1" si="69">IFERROR(Y38-Y25,"-")</f>
        <v>-</v>
      </c>
      <c r="Z51" s="87"/>
      <c r="AA51" s="87">
        <f t="shared" ref="AA51:AF51" ca="1" si="70">IFERROR(AA38-AA25,"-")</f>
        <v>486.64103432499991</v>
      </c>
      <c r="AB51" s="87">
        <f t="shared" ca="1" si="70"/>
        <v>269.69944284726796</v>
      </c>
      <c r="AC51" s="87">
        <f t="shared" ca="1" si="70"/>
        <v>217.37849943021854</v>
      </c>
      <c r="AD51" s="87">
        <f t="shared" ca="1" si="70"/>
        <v>41.085740816235585</v>
      </c>
      <c r="AE51" s="87">
        <f t="shared" ca="1" si="70"/>
        <v>19.935432113099235</v>
      </c>
      <c r="AF51" s="87">
        <f t="shared" ca="1" si="70"/>
        <v>8.1367101732978959</v>
      </c>
      <c r="AG51" s="87" t="str">
        <f t="shared" ref="AG51" ca="1" si="71">IFERROR(AG38-AG25,"-")</f>
        <v>-</v>
      </c>
    </row>
    <row r="52" spans="2:33" ht="19.5" customHeight="1">
      <c r="G52" s="81"/>
      <c r="H52" s="79"/>
      <c r="I52" s="477"/>
      <c r="J52" s="74" t="str">
        <f t="shared" si="23"/>
        <v>NFD (- = net debt)</v>
      </c>
      <c r="K52" s="87">
        <f t="shared" ref="K52:P52" ca="1" si="72">IFERROR(K39-K26,"-")</f>
        <v>1896.8634405270006</v>
      </c>
      <c r="L52" s="87">
        <f t="shared" ca="1" si="72"/>
        <v>2077.3124594048768</v>
      </c>
      <c r="M52" s="87">
        <f t="shared" ca="1" si="72"/>
        <v>2155.8249551561162</v>
      </c>
      <c r="N52" s="87">
        <f t="shared" ca="1" si="72"/>
        <v>2107.454042852868</v>
      </c>
      <c r="O52" s="87">
        <f t="shared" ca="1" si="72"/>
        <v>2018.4113095514424</v>
      </c>
      <c r="P52" s="87">
        <f t="shared" ca="1" si="72"/>
        <v>1917.1650366990805</v>
      </c>
      <c r="Q52" s="87" t="str">
        <f t="shared" ref="Q52" ca="1" si="73">IFERROR(Q39-Q26,"-")</f>
        <v>-</v>
      </c>
      <c r="R52" s="87"/>
      <c r="S52" s="87">
        <f t="shared" ref="S52:X52" ca="1" si="74">IFERROR(S39-S26,"-")</f>
        <v>1375.4991704580007</v>
      </c>
      <c r="T52" s="87">
        <f t="shared" ca="1" si="74"/>
        <v>1250.2778287879626</v>
      </c>
      <c r="U52" s="87">
        <f t="shared" ca="1" si="74"/>
        <v>1064.3556004494144</v>
      </c>
      <c r="V52" s="87">
        <f t="shared" ca="1" si="74"/>
        <v>921.80292631155476</v>
      </c>
      <c r="W52" s="87">
        <f t="shared" ca="1" si="74"/>
        <v>757.4770545581689</v>
      </c>
      <c r="X52" s="87">
        <f t="shared" ca="1" si="74"/>
        <v>591.6267065288406</v>
      </c>
      <c r="Y52" s="87" t="str">
        <f t="shared" ref="Y52" ca="1" si="75">IFERROR(Y39-Y26,"-")</f>
        <v>-</v>
      </c>
      <c r="Z52" s="87"/>
      <c r="AA52" s="87">
        <f t="shared" ref="AA52:AF52" ca="1" si="76">IFERROR(AA39-AA26,"-")</f>
        <v>521.36427006899999</v>
      </c>
      <c r="AB52" s="87">
        <f t="shared" ca="1" si="76"/>
        <v>827.03463061691446</v>
      </c>
      <c r="AC52" s="87">
        <f t="shared" ca="1" si="76"/>
        <v>1091.4693547067018</v>
      </c>
      <c r="AD52" s="87">
        <f ca="1">IFERROR(AD39-AD26,"-")</f>
        <v>1185.6511165413135</v>
      </c>
      <c r="AE52" s="87">
        <f t="shared" ca="1" si="76"/>
        <v>1260.9342549932737</v>
      </c>
      <c r="AF52" s="87">
        <f t="shared" ca="1" si="76"/>
        <v>1325.5383301702398</v>
      </c>
      <c r="AG52" s="87" t="str">
        <f t="shared" ref="AG52" ca="1" si="77">IFERROR(AG39-AG26,"-")</f>
        <v>-</v>
      </c>
    </row>
    <row r="53" spans="2:33" ht="19.5" customHeight="1">
      <c r="G53" s="81"/>
      <c r="H53" s="79"/>
      <c r="I53" s="477"/>
      <c r="J53" s="74" t="str">
        <f t="shared" si="23"/>
        <v>EBIT margin</v>
      </c>
      <c r="K53" s="216" t="str">
        <f t="shared" ref="K53:P53" ca="1" si="78">IFERROR(K40-K27,"-")</f>
        <v>-</v>
      </c>
      <c r="L53" s="216" t="str">
        <f t="shared" ca="1" si="78"/>
        <v>-</v>
      </c>
      <c r="M53" s="216" t="str">
        <f t="shared" ca="1" si="78"/>
        <v>-</v>
      </c>
      <c r="N53" s="216" t="str">
        <f t="shared" ca="1" si="78"/>
        <v>-</v>
      </c>
      <c r="O53" s="216" t="str">
        <f t="shared" ca="1" si="78"/>
        <v>-</v>
      </c>
      <c r="P53" s="216" t="str">
        <f t="shared" ca="1" si="78"/>
        <v>-</v>
      </c>
      <c r="Q53" s="216" t="str">
        <f t="shared" ref="Q53" si="79">IFERROR(Q40-Q27,"-")</f>
        <v>-</v>
      </c>
      <c r="R53" s="87"/>
      <c r="S53" s="216" t="str">
        <f t="shared" ref="S53:X53" ca="1" si="80">IFERROR(S40-S27,"-")</f>
        <v>-</v>
      </c>
      <c r="T53" s="216" t="str">
        <f t="shared" ca="1" si="80"/>
        <v>-</v>
      </c>
      <c r="U53" s="216" t="str">
        <f t="shared" ca="1" si="80"/>
        <v>-</v>
      </c>
      <c r="V53" s="216" t="str">
        <f t="shared" ca="1" si="80"/>
        <v>-</v>
      </c>
      <c r="W53" s="216" t="str">
        <f t="shared" ca="1" si="80"/>
        <v>-</v>
      </c>
      <c r="X53" s="216" t="str">
        <f t="shared" ca="1" si="80"/>
        <v>-</v>
      </c>
      <c r="Y53" s="216" t="str">
        <f t="shared" ref="Y53" si="81">IFERROR(Y40-Y27,"-")</f>
        <v>-</v>
      </c>
      <c r="Z53" s="87"/>
      <c r="AA53" s="216" t="str">
        <f t="shared" ref="AA53:AF53" ca="1" si="82">IFERROR(AA40-AA27,"-")</f>
        <v>-</v>
      </c>
      <c r="AB53" s="216" t="str">
        <f t="shared" ca="1" si="82"/>
        <v>-</v>
      </c>
      <c r="AC53" s="216" t="str">
        <f t="shared" ca="1" si="82"/>
        <v>-</v>
      </c>
      <c r="AD53" s="216" t="str">
        <f t="shared" ca="1" si="82"/>
        <v>-</v>
      </c>
      <c r="AE53" s="216" t="str">
        <f t="shared" ca="1" si="82"/>
        <v>-</v>
      </c>
      <c r="AF53" s="216" t="str">
        <f t="shared" ca="1" si="82"/>
        <v>-</v>
      </c>
      <c r="AG53" s="216" t="str">
        <f t="shared" ref="AG53" si="83">IFERROR(AG40-AG27,"-")</f>
        <v>-</v>
      </c>
    </row>
    <row r="54" spans="2:33" s="77" customFormat="1" ht="19.5" customHeight="1">
      <c r="G54" s="81"/>
      <c r="H54" s="79"/>
      <c r="I54" s="88"/>
      <c r="J54" s="430" t="str">
        <f>J41</f>
        <v>ROCE*</v>
      </c>
      <c r="K54" s="431" t="str">
        <f t="shared" ref="K54:Q54" si="84">IFERROR(K41-K28,"-")</f>
        <v>-</v>
      </c>
      <c r="L54" s="431" t="str">
        <f t="shared" ca="1" si="84"/>
        <v>-</v>
      </c>
      <c r="M54" s="431" t="str">
        <f t="shared" ca="1" si="84"/>
        <v>-</v>
      </c>
      <c r="N54" s="431" t="str">
        <f t="shared" ca="1" si="84"/>
        <v>-</v>
      </c>
      <c r="O54" s="431" t="str">
        <f t="shared" ca="1" si="84"/>
        <v>-</v>
      </c>
      <c r="P54" s="431" t="str">
        <f t="shared" ca="1" si="84"/>
        <v>-</v>
      </c>
      <c r="Q54" s="431" t="str">
        <f t="shared" ca="1" si="84"/>
        <v>-</v>
      </c>
      <c r="R54" s="216"/>
      <c r="S54" s="431" t="str">
        <f t="shared" ref="S54:Y54" si="85">IFERROR(S41-S28,"-")</f>
        <v>-</v>
      </c>
      <c r="T54" s="431" t="str">
        <f t="shared" ca="1" si="85"/>
        <v>-</v>
      </c>
      <c r="U54" s="431" t="str">
        <f t="shared" ca="1" si="85"/>
        <v>-</v>
      </c>
      <c r="V54" s="431" t="str">
        <f t="shared" ca="1" si="85"/>
        <v>-</v>
      </c>
      <c r="W54" s="431" t="str">
        <f t="shared" ca="1" si="85"/>
        <v>-</v>
      </c>
      <c r="X54" s="431" t="str">
        <f t="shared" ca="1" si="85"/>
        <v>-</v>
      </c>
      <c r="Y54" s="431" t="str">
        <f t="shared" ca="1" si="85"/>
        <v>-</v>
      </c>
      <c r="Z54" s="216"/>
      <c r="AA54" s="431" t="str">
        <f t="shared" ref="AA54:AG54" si="86">IFERROR(AA41-AA28,"-")</f>
        <v>-</v>
      </c>
      <c r="AB54" s="431" t="str">
        <f t="shared" ca="1" si="86"/>
        <v>-</v>
      </c>
      <c r="AC54" s="431" t="str">
        <f t="shared" ca="1" si="86"/>
        <v>-</v>
      </c>
      <c r="AD54" s="431" t="str">
        <f t="shared" ca="1" si="86"/>
        <v>-</v>
      </c>
      <c r="AE54" s="431" t="str">
        <f t="shared" ca="1" si="86"/>
        <v>-</v>
      </c>
      <c r="AF54" s="431" t="str">
        <f t="shared" ca="1" si="86"/>
        <v>-</v>
      </c>
      <c r="AG54" s="431" t="str">
        <f t="shared" ca="1" si="86"/>
        <v>-</v>
      </c>
    </row>
    <row r="56" spans="2:33" ht="20.100000000000001" customHeight="1">
      <c r="J56" s="436" t="str">
        <f ca="1">"*ROCE Post "&amp;J79&amp;" "&amp;J81&amp;" Excl IFRIC12"</f>
        <v>*ROCE Post Theoritical MF @ 0,8% Theoritical Tax @ 0% Excl IFRIC12</v>
      </c>
    </row>
    <row r="59" spans="2:33" ht="20.100000000000001" customHeight="1" outlineLevel="1">
      <c r="B59" s="432" t="s">
        <v>311</v>
      </c>
      <c r="C59" s="432"/>
      <c r="D59" s="432"/>
      <c r="E59" s="432"/>
      <c r="F59" s="432"/>
      <c r="G59" s="432"/>
      <c r="H59" s="432"/>
      <c r="I59" s="432"/>
      <c r="J59" s="432"/>
      <c r="K59" s="432"/>
      <c r="L59" s="432"/>
      <c r="M59" s="432"/>
      <c r="N59" s="432"/>
      <c r="O59" s="432"/>
      <c r="P59" s="432"/>
      <c r="Q59" s="432"/>
      <c r="R59" s="432"/>
      <c r="S59" s="432"/>
      <c r="T59" s="432"/>
      <c r="U59" s="432"/>
      <c r="V59" s="432"/>
      <c r="W59" s="432"/>
      <c r="X59" s="432"/>
      <c r="Y59" s="432"/>
      <c r="Z59" s="432"/>
      <c r="AA59" s="432"/>
      <c r="AB59" s="432"/>
      <c r="AC59" s="432"/>
      <c r="AD59" s="432"/>
      <c r="AE59" s="432"/>
      <c r="AF59" s="432"/>
      <c r="AG59" s="432"/>
    </row>
    <row r="60" spans="2:33" ht="20.100000000000001" customHeight="1" outlineLevel="1"/>
    <row r="61" spans="2:33" s="225" customFormat="1" ht="30.75" customHeight="1" outlineLevel="1">
      <c r="F61" s="409" t="str">
        <f>F17</f>
        <v>LTP_2022_V6</v>
      </c>
      <c r="G61" s="410"/>
      <c r="H61" s="411"/>
      <c r="I61" s="476" t="str">
        <f>"LTP "&amp;N-1</f>
        <v>LTP 2022</v>
      </c>
      <c r="J61" s="412" t="str">
        <f>"M"&amp;Currency</f>
        <v>MEUR</v>
      </c>
      <c r="K61" s="243" t="str">
        <f>K17</f>
        <v>Plan 2023</v>
      </c>
      <c r="L61" s="243" t="str">
        <f t="shared" ref="L61:Q61" si="87">L17</f>
        <v>Plan 2024</v>
      </c>
      <c r="M61" s="243" t="str">
        <f t="shared" si="87"/>
        <v>Plan 2025</v>
      </c>
      <c r="N61" s="243" t="str">
        <f t="shared" si="87"/>
        <v>Plan 2026</v>
      </c>
      <c r="O61" s="243" t="str">
        <f t="shared" si="87"/>
        <v>Plan 2027</v>
      </c>
      <c r="P61" s="243" t="str">
        <f t="shared" si="87"/>
        <v>Plan 2028</v>
      </c>
      <c r="Q61" s="243" t="str">
        <f t="shared" si="87"/>
        <v>Plan 2029</v>
      </c>
      <c r="R61" s="80"/>
      <c r="S61" s="243" t="str">
        <f>S17</f>
        <v>Plan 2023</v>
      </c>
      <c r="T61" s="243" t="str">
        <f t="shared" ref="T61:Y61" si="88">T17</f>
        <v>Plan 2024</v>
      </c>
      <c r="U61" s="243" t="str">
        <f t="shared" si="88"/>
        <v>Plan 2025</v>
      </c>
      <c r="V61" s="243" t="str">
        <f t="shared" si="88"/>
        <v>Plan 2026</v>
      </c>
      <c r="W61" s="243" t="str">
        <f t="shared" si="88"/>
        <v>Plan 2027</v>
      </c>
      <c r="X61" s="243" t="str">
        <f t="shared" si="88"/>
        <v>Plan 2028</v>
      </c>
      <c r="Y61" s="243" t="str">
        <f t="shared" si="88"/>
        <v>Plan 2029</v>
      </c>
      <c r="Z61" s="80"/>
      <c r="AA61" s="243" t="str">
        <f>AA17</f>
        <v>Plan 2023</v>
      </c>
      <c r="AB61" s="243" t="str">
        <f t="shared" ref="AB61:AG61" si="89">AB17</f>
        <v>Plan 2024</v>
      </c>
      <c r="AC61" s="243" t="str">
        <f t="shared" si="89"/>
        <v>Plan 2025</v>
      </c>
      <c r="AD61" s="243" t="str">
        <f t="shared" si="89"/>
        <v>Plan 2026</v>
      </c>
      <c r="AE61" s="243" t="str">
        <f t="shared" si="89"/>
        <v>Plan 2027</v>
      </c>
      <c r="AF61" s="243" t="str">
        <f t="shared" si="89"/>
        <v>Plan 2028</v>
      </c>
      <c r="AG61" s="243" t="str">
        <f t="shared" si="89"/>
        <v>Plan 2029</v>
      </c>
    </row>
    <row r="62" spans="2:33" s="225" customFormat="1" ht="20.100000000000001" customHeight="1" outlineLevel="1">
      <c r="B62" s="413"/>
      <c r="E62" s="413"/>
      <c r="F62" s="413" t="s">
        <v>225</v>
      </c>
      <c r="G62" s="411"/>
      <c r="H62" s="411"/>
      <c r="I62" s="476"/>
      <c r="J62" s="413" t="s">
        <v>303</v>
      </c>
      <c r="K62" s="485">
        <f ca="1">_xll.DBRW($D$1,$K$11,$D$4,$Q$13,$D$6,$D$2,K$3,$F$17,$F62)*K$7</f>
        <v>6.3188533509999996</v>
      </c>
      <c r="L62" s="485">
        <f ca="1">_xll.DBRW($D$1,$K$11,$D$4,$Q$13,$D$6,$D$2,L$3,$F$17,$F62)*L$7</f>
        <v>3.0316469798657715</v>
      </c>
      <c r="M62" s="485">
        <f ca="1">_xll.DBRW($D$1,$K$11,$D$4,$Q$13,$D$6,$D$2,M$3,$F$17,$F62)*M$7</f>
        <v>3.1425597315436238</v>
      </c>
      <c r="N62" s="485">
        <f ca="1">_xll.DBRW($D$1,$K$11,$D$4,$Q$13,$D$6,$D$2,N$3,$F$17,$F62)*N$7</f>
        <v>3.2222456375838924</v>
      </c>
      <c r="O62" s="485">
        <f ca="1">_xll.DBRW($D$1,$K$11,$D$4,$Q$13,$D$6,$D$2,O$3,$F$17,$F62)*O$7</f>
        <v>3.0302127516778521</v>
      </c>
      <c r="P62" s="486" t="s">
        <v>56</v>
      </c>
      <c r="Q62" s="486" t="s">
        <v>56</v>
      </c>
      <c r="R62" s="485"/>
      <c r="S62" s="485">
        <f ca="1">_xll.DBRW($D$1,$K$11,$D$4,$Y$13,$D$6,$D$2,S$3,$F$17,$F62)*S$7</f>
        <v>6.3188533509999996</v>
      </c>
      <c r="T62" s="485">
        <f ca="1">_xll.DBRW($D$1,$K$11,$D$4,$Y$13,$D$6,$D$2,T$3,$F$17,$F62)*T$7</f>
        <v>3.0316469798657715</v>
      </c>
      <c r="U62" s="485">
        <f ca="1">_xll.DBRW($D$1,$K$11,$D$4,$Y$13,$D$6,$D$2,U$3,$F$17,$F62)*U$7</f>
        <v>3.1425597315436238</v>
      </c>
      <c r="V62" s="485">
        <f ca="1">_xll.DBRW($D$1,$K$11,$D$4,$Y$13,$D$6,$D$2,V$3,$F$17,$F62)*V$7</f>
        <v>3.2222456375838924</v>
      </c>
      <c r="W62" s="485">
        <f ca="1">_xll.DBRW($D$1,$K$11,$D$4,$Y$13,$D$6,$D$2,W$3,$F$17,$F62)*W$7</f>
        <v>3.0302127516778521</v>
      </c>
      <c r="X62" s="486" t="s">
        <v>56</v>
      </c>
      <c r="Y62" s="486" t="s">
        <v>56</v>
      </c>
      <c r="Z62" s="485"/>
      <c r="AA62" s="485">
        <f ca="1">_xll.DBRW($D$1,$K$11,$D$4,$AG$13,$D$6,$D$2,AA$3,$F$17,$F62)*AA$7</f>
        <v>0</v>
      </c>
      <c r="AB62" s="485">
        <f ca="1">_xll.DBRW($D$1,$K$11,$D$4,$AG$13,$D$6,$D$2,AB$3,$F$17,$F62)*AB$7</f>
        <v>0</v>
      </c>
      <c r="AC62" s="485">
        <f ca="1">_xll.DBRW($D$1,$K$11,$D$4,$AG$13,$D$6,$D$2,AC$3,$F$17,$F62)*AC$7</f>
        <v>0</v>
      </c>
      <c r="AD62" s="485">
        <f ca="1">_xll.DBRW($D$1,$K$11,$D$4,$AG$13,$D$6,$D$2,AD$3,$F$17,$F62)*AD$7</f>
        <v>0</v>
      </c>
      <c r="AE62" s="485">
        <f ca="1">_xll.DBRW($D$1,$K$11,$D$4,$AG$13,$D$6,$D$2,AE$3,$F$17,$F62)*AE$7</f>
        <v>0</v>
      </c>
      <c r="AF62" s="486" t="s">
        <v>56</v>
      </c>
      <c r="AG62" s="486" t="s">
        <v>56</v>
      </c>
    </row>
    <row r="63" spans="2:33" s="225" customFormat="1" ht="19.5" customHeight="1" outlineLevel="1">
      <c r="B63" s="413"/>
      <c r="E63" s="413"/>
      <c r="F63" s="413" t="s">
        <v>192</v>
      </c>
      <c r="G63" s="411"/>
      <c r="H63" s="411"/>
      <c r="I63" s="476"/>
      <c r="J63" s="413" t="s">
        <v>205</v>
      </c>
      <c r="K63" s="485">
        <f ca="1">_xll.DBRW($D$1,$K$11,$D$4,$Q$13,$D$6,$D$2,K$3,$F$17,$F63)*K$7</f>
        <v>93.59423434200184</v>
      </c>
      <c r="L63" s="485">
        <f ca="1">_xll.DBRW($D$1,$K$11,$D$4,$Q$13,$D$6,$D$2,L$3,$F$17,$F63)*L$7</f>
        <v>170.00142337080277</v>
      </c>
      <c r="M63" s="485">
        <f ca="1">_xll.DBRW($D$1,$K$11,$D$4,$Q$13,$D$6,$D$2,M$3,$F$17,$F63)*M$7</f>
        <v>240.6413909634108</v>
      </c>
      <c r="N63" s="485">
        <f ca="1">_xll.DBRW($D$1,$K$11,$D$4,$Q$13,$D$6,$D$2,N$3,$F$17,$F63)*N$7</f>
        <v>320.11269678893484</v>
      </c>
      <c r="O63" s="485">
        <f ca="1">_xll.DBRW($D$1,$K$11,$D$4,$Q$13,$D$6,$D$2,O$3,$F$17,$F63)*O$7</f>
        <v>381.85471024361482</v>
      </c>
      <c r="P63" s="486" t="s">
        <v>56</v>
      </c>
      <c r="Q63" s="486" t="s">
        <v>56</v>
      </c>
      <c r="R63" s="485"/>
      <c r="S63" s="485">
        <f ca="1">_xll.DBRW($D$1,$K$11,$D$4,$Y$13,$D$6,$D$2,S$3,$F$17,$F63)*S$7</f>
        <v>98.035416820001757</v>
      </c>
      <c r="T63" s="485">
        <f ca="1">_xll.DBRW($D$1,$K$11,$D$4,$Y$13,$D$6,$D$2,T$3,$F$17,$F63)*T$7</f>
        <v>138.03111975753444</v>
      </c>
      <c r="U63" s="485">
        <f ca="1">_xll.DBRW($D$1,$K$11,$D$4,$Y$13,$D$6,$D$2,U$3,$F$17,$F63)*U$7</f>
        <v>178.89922923529969</v>
      </c>
      <c r="V63" s="485">
        <f ca="1">_xll.DBRW($D$1,$K$11,$D$4,$Y$13,$D$6,$D$2,V$3,$F$17,$F63)*V$7</f>
        <v>194.20225957331351</v>
      </c>
      <c r="W63" s="485">
        <f ca="1">_xll.DBRW($D$1,$K$11,$D$4,$Y$13,$D$6,$D$2,W$3,$F$17,$F63)*W$7</f>
        <v>200.60647770593093</v>
      </c>
      <c r="X63" s="486" t="s">
        <v>56</v>
      </c>
      <c r="Y63" s="486" t="s">
        <v>56</v>
      </c>
      <c r="Z63" s="485"/>
      <c r="AA63" s="485">
        <f ca="1">_xll.DBRW($D$1,$K$11,$D$4,$AG$13,$D$6,$D$2,AA$3,$F$17,$F63)*AA$7</f>
        <v>-4.4411824779998792</v>
      </c>
      <c r="AB63" s="485">
        <f ca="1">_xll.DBRW($D$1,$K$11,$D$4,$AG$13,$D$6,$D$2,AB$3,$F$17,$F63)*AB$7</f>
        <v>31.970303613268282</v>
      </c>
      <c r="AC63" s="485">
        <f ca="1">_xll.DBRW($D$1,$K$11,$D$4,$AG$13,$D$6,$D$2,AC$3,$F$17,$F63)*AC$7</f>
        <v>61.742161728111228</v>
      </c>
      <c r="AD63" s="485">
        <f ca="1">_xll.DBRW($D$1,$K$11,$D$4,$AG$13,$D$6,$D$2,AD$3,$F$17,$F63)*AD$7</f>
        <v>125.9104372156213</v>
      </c>
      <c r="AE63" s="485">
        <f ca="1">_xll.DBRW($D$1,$K$11,$D$4,$AG$13,$D$6,$D$2,AE$3,$F$17,$F63)*AE$7</f>
        <v>181.24823253768386</v>
      </c>
      <c r="AF63" s="486" t="s">
        <v>56</v>
      </c>
      <c r="AG63" s="486" t="s">
        <v>56</v>
      </c>
    </row>
    <row r="64" spans="2:33" s="225" customFormat="1" ht="20.100000000000001" customHeight="1" outlineLevel="1">
      <c r="B64" s="413"/>
      <c r="E64" s="413"/>
      <c r="F64" s="413" t="s">
        <v>224</v>
      </c>
      <c r="G64" s="411"/>
      <c r="H64" s="411"/>
      <c r="I64" s="476"/>
      <c r="J64" s="413" t="s">
        <v>309</v>
      </c>
      <c r="K64" s="485">
        <f ca="1">_xll.DBRW($D$1,$K$11,$D$4,$Q$13,$D$6,$D$2,K$3,$F$17,$F64)*K$7</f>
        <v>9330.0378558259999</v>
      </c>
      <c r="L64" s="485">
        <f ca="1">_xll.DBRW($D$1,$K$11,$D$4,$Q$13,$D$6,$D$2,L$3,$F$17,$F64)*L$7</f>
        <v>10004.001378364561</v>
      </c>
      <c r="M64" s="485">
        <f ca="1">_xll.DBRW($D$1,$K$11,$D$4,$Q$13,$D$6,$D$2,M$3,$F$17,$F64)*M$7</f>
        <v>10562.393050954523</v>
      </c>
      <c r="N64" s="485">
        <f ca="1">_xll.DBRW($D$1,$K$11,$D$4,$Q$13,$D$6,$D$2,N$3,$F$17,$F64)*N$7</f>
        <v>11084.636695217925</v>
      </c>
      <c r="O64" s="485">
        <f ca="1">_xll.DBRW($D$1,$K$11,$D$4,$Q$13,$D$6,$D$2,O$3,$F$17,$F64)*O$7</f>
        <v>11486.406784826133</v>
      </c>
      <c r="P64" s="486" t="s">
        <v>56</v>
      </c>
      <c r="Q64" s="486" t="s">
        <v>56</v>
      </c>
      <c r="R64" s="485"/>
      <c r="S64" s="485">
        <f ca="1">_xll.DBRW($D$1,$K$11,$D$4,$Y$13,$D$6,$D$2,S$3,$F$17,$F64)*S$7</f>
        <v>8311.4701258959994</v>
      </c>
      <c r="T64" s="485">
        <f ca="1">_xll.DBRW($D$1,$K$11,$D$4,$Y$13,$D$6,$D$2,T$3,$F$17,$F64)*T$7</f>
        <v>8078.9837011782138</v>
      </c>
      <c r="U64" s="485">
        <f ca="1">_xll.DBRW($D$1,$K$11,$D$4,$Y$13,$D$6,$D$2,U$3,$F$17,$F64)*U$7</f>
        <v>8086.55709611563</v>
      </c>
      <c r="V64" s="485">
        <f ca="1">_xll.DBRW($D$1,$K$11,$D$4,$Y$13,$D$6,$D$2,V$3,$F$17,$F64)*V$7</f>
        <v>8093.1433463516514</v>
      </c>
      <c r="W64" s="485">
        <f ca="1">_xll.DBRW($D$1,$K$11,$D$4,$Y$13,$D$6,$D$2,W$3,$F$17,$F64)*W$7</f>
        <v>8025.0767078921663</v>
      </c>
      <c r="X64" s="486" t="s">
        <v>56</v>
      </c>
      <c r="Y64" s="486" t="s">
        <v>56</v>
      </c>
      <c r="Z64" s="485"/>
      <c r="AA64" s="485">
        <f ca="1">_xll.DBRW($D$1,$K$11,$D$4,$AG$13,$D$6,$D$2,AA$3,$F$17,$F64)*AA$7</f>
        <v>1018.56772993</v>
      </c>
      <c r="AB64" s="485">
        <f ca="1">_xll.DBRW($D$1,$K$11,$D$4,$AG$13,$D$6,$D$2,AB$3,$F$17,$F64)*AB$7</f>
        <v>1925.0176771863478</v>
      </c>
      <c r="AC64" s="485">
        <f ca="1">_xll.DBRW($D$1,$K$11,$D$4,$AG$13,$D$6,$D$2,AC$3,$F$17,$F64)*AC$7</f>
        <v>2475.8359548388935</v>
      </c>
      <c r="AD64" s="485">
        <f ca="1">_xll.DBRW($D$1,$K$11,$D$4,$AG$13,$D$6,$D$2,AD$3,$F$17,$F64)*AD$7</f>
        <v>2991.4933488662746</v>
      </c>
      <c r="AE64" s="485">
        <f ca="1">_xll.DBRW($D$1,$K$11,$D$4,$AG$13,$D$6,$D$2,AE$3,$F$17,$F64)*AE$7</f>
        <v>3461.3300769339662</v>
      </c>
      <c r="AF64" s="486" t="s">
        <v>56</v>
      </c>
      <c r="AG64" s="486" t="s">
        <v>56</v>
      </c>
    </row>
    <row r="65" spans="2:33" s="225" customFormat="1" ht="20.100000000000001" customHeight="1" outlineLevel="1">
      <c r="B65" s="413"/>
      <c r="C65" s="413"/>
      <c r="D65" s="413"/>
      <c r="E65" s="413"/>
      <c r="F65" s="413"/>
      <c r="G65" s="411"/>
      <c r="H65" s="411"/>
      <c r="I65" s="476"/>
      <c r="J65" s="413" t="s">
        <v>298</v>
      </c>
      <c r="K65" s="486">
        <f t="shared" ref="K65:Q65" ca="1" si="90">IFERROR(K63-K62,"n/a")</f>
        <v>87.275380991001839</v>
      </c>
      <c r="L65" s="486">
        <f t="shared" ca="1" si="90"/>
        <v>166.969776390937</v>
      </c>
      <c r="M65" s="486">
        <f t="shared" ca="1" si="90"/>
        <v>237.49883123186717</v>
      </c>
      <c r="N65" s="486">
        <f t="shared" ca="1" si="90"/>
        <v>316.89045115135093</v>
      </c>
      <c r="O65" s="486">
        <f t="shared" ca="1" si="90"/>
        <v>378.82449749193694</v>
      </c>
      <c r="P65" s="486" t="str">
        <f t="shared" si="90"/>
        <v>n/a</v>
      </c>
      <c r="Q65" s="486" t="str">
        <f t="shared" si="90"/>
        <v>n/a</v>
      </c>
      <c r="R65" s="485"/>
      <c r="S65" s="486">
        <f t="shared" ref="S65:Y65" ca="1" si="91">IFERROR(S63-S62,"n/a")</f>
        <v>91.716563469001755</v>
      </c>
      <c r="T65" s="486">
        <f t="shared" ca="1" si="91"/>
        <v>134.99947277766867</v>
      </c>
      <c r="U65" s="486">
        <f t="shared" ca="1" si="91"/>
        <v>175.75666950375606</v>
      </c>
      <c r="V65" s="486">
        <f t="shared" ca="1" si="91"/>
        <v>190.98001393572963</v>
      </c>
      <c r="W65" s="486">
        <f t="shared" ca="1" si="91"/>
        <v>197.57626495425308</v>
      </c>
      <c r="X65" s="486" t="str">
        <f t="shared" si="91"/>
        <v>n/a</v>
      </c>
      <c r="Y65" s="486" t="str">
        <f t="shared" si="91"/>
        <v>n/a</v>
      </c>
      <c r="Z65" s="485"/>
      <c r="AA65" s="486">
        <f t="shared" ref="AA65:AG65" ca="1" si="92">IFERROR(AA63-AA62,"n/a")</f>
        <v>-4.4411824779998792</v>
      </c>
      <c r="AB65" s="486">
        <f t="shared" ca="1" si="92"/>
        <v>31.970303613268282</v>
      </c>
      <c r="AC65" s="486">
        <f t="shared" ca="1" si="92"/>
        <v>61.742161728111228</v>
      </c>
      <c r="AD65" s="486">
        <f t="shared" ca="1" si="92"/>
        <v>125.9104372156213</v>
      </c>
      <c r="AE65" s="486">
        <f t="shared" ca="1" si="92"/>
        <v>181.24823253768386</v>
      </c>
      <c r="AF65" s="486" t="str">
        <f t="shared" si="92"/>
        <v>n/a</v>
      </c>
      <c r="AG65" s="486" t="str">
        <f t="shared" si="92"/>
        <v>n/a</v>
      </c>
    </row>
    <row r="66" spans="2:33" s="225" customFormat="1" ht="20.100000000000001" customHeight="1" outlineLevel="1">
      <c r="B66" s="413"/>
      <c r="C66" s="413"/>
      <c r="D66" s="413"/>
      <c r="E66" s="413"/>
      <c r="F66" s="414" t="str">
        <f ca="1">IF(_xll.DBRW(xServer&amp;":}ElementAttributes_Legal_Organization",Legal_organization,"Country_Entity")="","Corporate",_xll.DBRW(xServer&amp;":}ElementAttributes_Legal_Organization",Legal_organization,"Country_Entity"))</f>
        <v>Corporate</v>
      </c>
      <c r="G66" s="414" t="str">
        <f>IF(MID(F61,5,4)&gt;"2019",F61,"LTP_2021_VC")</f>
        <v>LTP_2022_V6</v>
      </c>
      <c r="H66" s="411"/>
      <c r="I66" s="476"/>
      <c r="J66" s="413" t="str">
        <f>"Theoritical MF @ "&amp;G68*100&amp;"%"</f>
        <v>Theoritical MF @ 0,9%</v>
      </c>
      <c r="K66" s="486">
        <f t="shared" ref="K66:Q66" ca="1" si="93">IFERROR(IF($F$66="Corporate",0,-$G$68*K64),"n/a")</f>
        <v>0</v>
      </c>
      <c r="L66" s="486">
        <f t="shared" ca="1" si="93"/>
        <v>0</v>
      </c>
      <c r="M66" s="486">
        <f t="shared" ca="1" si="93"/>
        <v>0</v>
      </c>
      <c r="N66" s="486">
        <f t="shared" ca="1" si="93"/>
        <v>0</v>
      </c>
      <c r="O66" s="486">
        <f t="shared" ca="1" si="93"/>
        <v>0</v>
      </c>
      <c r="P66" s="486">
        <f t="shared" ca="1" si="93"/>
        <v>0</v>
      </c>
      <c r="Q66" s="486">
        <f t="shared" ca="1" si="93"/>
        <v>0</v>
      </c>
      <c r="R66" s="485"/>
      <c r="S66" s="486">
        <f t="shared" ref="S66:Y66" ca="1" si="94">IFERROR(IF($F$66="Corporate",0,-$G$68*S64),"n/a")</f>
        <v>0</v>
      </c>
      <c r="T66" s="486">
        <f t="shared" ca="1" si="94"/>
        <v>0</v>
      </c>
      <c r="U66" s="486">
        <f t="shared" ca="1" si="94"/>
        <v>0</v>
      </c>
      <c r="V66" s="486">
        <f t="shared" ca="1" si="94"/>
        <v>0</v>
      </c>
      <c r="W66" s="486">
        <f t="shared" ca="1" si="94"/>
        <v>0</v>
      </c>
      <c r="X66" s="486">
        <f t="shared" ca="1" si="94"/>
        <v>0</v>
      </c>
      <c r="Y66" s="486">
        <f t="shared" ca="1" si="94"/>
        <v>0</v>
      </c>
      <c r="Z66" s="485"/>
      <c r="AA66" s="486">
        <f t="shared" ref="AA66:AG66" ca="1" si="95">IFERROR(IF($F$66="Corporate",0,-$G$68*AA64),"n/a")</f>
        <v>0</v>
      </c>
      <c r="AB66" s="486">
        <f t="shared" ca="1" si="95"/>
        <v>0</v>
      </c>
      <c r="AC66" s="486">
        <f t="shared" ca="1" si="95"/>
        <v>0</v>
      </c>
      <c r="AD66" s="486">
        <f t="shared" ca="1" si="95"/>
        <v>0</v>
      </c>
      <c r="AE66" s="486">
        <f t="shared" ca="1" si="95"/>
        <v>0</v>
      </c>
      <c r="AF66" s="486">
        <f t="shared" ca="1" si="95"/>
        <v>0</v>
      </c>
      <c r="AG66" s="486">
        <f t="shared" ca="1" si="95"/>
        <v>0</v>
      </c>
    </row>
    <row r="67" spans="2:33" s="419" customFormat="1" ht="20.100000000000001" customHeight="1" outlineLevel="1">
      <c r="B67" s="413"/>
      <c r="C67" s="420"/>
      <c r="D67" s="420"/>
      <c r="E67" s="420"/>
      <c r="F67" s="416" t="s">
        <v>296</v>
      </c>
      <c r="G67" s="417">
        <f ca="1">_xll.DBR("tango_core_model:ST_LTP_TAXES_INTERESTS_RATES",$G$66,$Q$3,$F$66,"Theoretical_tax_rate")</f>
        <v>0</v>
      </c>
      <c r="H67" s="421"/>
      <c r="I67" s="476"/>
      <c r="J67" s="420" t="s">
        <v>299</v>
      </c>
      <c r="K67" s="486">
        <f t="shared" ref="K67:Q67" ca="1" si="96">IFERROR(SUM(K65:K66),"n/a")</f>
        <v>87.275380991001839</v>
      </c>
      <c r="L67" s="486">
        <f t="shared" ca="1" si="96"/>
        <v>166.969776390937</v>
      </c>
      <c r="M67" s="486">
        <f t="shared" ca="1" si="96"/>
        <v>237.49883123186717</v>
      </c>
      <c r="N67" s="486">
        <f t="shared" ca="1" si="96"/>
        <v>316.89045115135093</v>
      </c>
      <c r="O67" s="486">
        <f t="shared" ca="1" si="96"/>
        <v>378.82449749193694</v>
      </c>
      <c r="P67" s="486">
        <f t="shared" ca="1" si="96"/>
        <v>0</v>
      </c>
      <c r="Q67" s="486">
        <f t="shared" ca="1" si="96"/>
        <v>0</v>
      </c>
      <c r="R67" s="485"/>
      <c r="S67" s="486">
        <f t="shared" ref="S67:Y67" ca="1" si="97">IFERROR(SUM(S65:S66),"n/a")</f>
        <v>91.716563469001755</v>
      </c>
      <c r="T67" s="486">
        <f t="shared" ca="1" si="97"/>
        <v>134.99947277766867</v>
      </c>
      <c r="U67" s="486">
        <f t="shared" ca="1" si="97"/>
        <v>175.75666950375606</v>
      </c>
      <c r="V67" s="486">
        <f t="shared" ca="1" si="97"/>
        <v>190.98001393572963</v>
      </c>
      <c r="W67" s="486">
        <f t="shared" ca="1" si="97"/>
        <v>197.57626495425308</v>
      </c>
      <c r="X67" s="486">
        <f t="shared" ca="1" si="97"/>
        <v>0</v>
      </c>
      <c r="Y67" s="486">
        <f t="shared" ca="1" si="97"/>
        <v>0</v>
      </c>
      <c r="Z67" s="487"/>
      <c r="AA67" s="486">
        <f t="shared" ref="AA67:AG67" ca="1" si="98">IFERROR(SUM(AA65:AA66),"n/a")</f>
        <v>-4.4411824779998792</v>
      </c>
      <c r="AB67" s="486">
        <f t="shared" ca="1" si="98"/>
        <v>31.970303613268282</v>
      </c>
      <c r="AC67" s="486">
        <f t="shared" ca="1" si="98"/>
        <v>61.742161728111228</v>
      </c>
      <c r="AD67" s="486">
        <f t="shared" ca="1" si="98"/>
        <v>125.9104372156213</v>
      </c>
      <c r="AE67" s="486">
        <f t="shared" ca="1" si="98"/>
        <v>181.24823253768386</v>
      </c>
      <c r="AF67" s="486">
        <f t="shared" ca="1" si="98"/>
        <v>0</v>
      </c>
      <c r="AG67" s="486">
        <f t="shared" ca="1" si="98"/>
        <v>0</v>
      </c>
    </row>
    <row r="68" spans="2:33" s="225" customFormat="1" ht="20.100000000000001" customHeight="1" outlineLevel="1">
      <c r="B68" s="413"/>
      <c r="C68" s="413"/>
      <c r="D68" s="413"/>
      <c r="E68" s="413"/>
      <c r="F68" s="416" t="s">
        <v>297</v>
      </c>
      <c r="G68" s="417">
        <v>8.9999999999999993E-3</v>
      </c>
      <c r="H68" s="411"/>
      <c r="I68" s="476"/>
      <c r="J68" s="413" t="str">
        <f ca="1">"Theoritical Tax @ "&amp;G67*100&amp;"%"</f>
        <v>Theoritical Tax @ 0%</v>
      </c>
      <c r="K68" s="486">
        <f t="shared" ref="K68:Q68" ca="1" si="99">IFERROR(K67*-$G$67,"n/a")</f>
        <v>0</v>
      </c>
      <c r="L68" s="486">
        <f t="shared" ca="1" si="99"/>
        <v>0</v>
      </c>
      <c r="M68" s="486">
        <f t="shared" ca="1" si="99"/>
        <v>0</v>
      </c>
      <c r="N68" s="486">
        <f t="shared" ca="1" si="99"/>
        <v>0</v>
      </c>
      <c r="O68" s="486">
        <f t="shared" ca="1" si="99"/>
        <v>0</v>
      </c>
      <c r="P68" s="486">
        <f t="shared" ca="1" si="99"/>
        <v>0</v>
      </c>
      <c r="Q68" s="486">
        <f t="shared" ca="1" si="99"/>
        <v>0</v>
      </c>
      <c r="R68" s="485"/>
      <c r="S68" s="486">
        <f t="shared" ref="S68:Y68" ca="1" si="100">IFERROR(S67*-$G$67,"n/a")</f>
        <v>0</v>
      </c>
      <c r="T68" s="486">
        <f t="shared" ca="1" si="100"/>
        <v>0</v>
      </c>
      <c r="U68" s="486">
        <f t="shared" ca="1" si="100"/>
        <v>0</v>
      </c>
      <c r="V68" s="486">
        <f t="shared" ca="1" si="100"/>
        <v>0</v>
      </c>
      <c r="W68" s="486">
        <f t="shared" ca="1" si="100"/>
        <v>0</v>
      </c>
      <c r="X68" s="486">
        <f t="shared" ca="1" si="100"/>
        <v>0</v>
      </c>
      <c r="Y68" s="486">
        <f t="shared" ca="1" si="100"/>
        <v>0</v>
      </c>
      <c r="Z68" s="485"/>
      <c r="AA68" s="486">
        <f t="shared" ref="AA68:AG68" ca="1" si="101">IFERROR(AA67*-$G$67,"n/a")</f>
        <v>0</v>
      </c>
      <c r="AB68" s="486">
        <f t="shared" ca="1" si="101"/>
        <v>0</v>
      </c>
      <c r="AC68" s="486">
        <f t="shared" ca="1" si="101"/>
        <v>0</v>
      </c>
      <c r="AD68" s="486">
        <f t="shared" ca="1" si="101"/>
        <v>0</v>
      </c>
      <c r="AE68" s="486">
        <f t="shared" ca="1" si="101"/>
        <v>0</v>
      </c>
      <c r="AF68" s="486">
        <f t="shared" ca="1" si="101"/>
        <v>0</v>
      </c>
      <c r="AG68" s="486">
        <f t="shared" ca="1" si="101"/>
        <v>0</v>
      </c>
    </row>
    <row r="69" spans="2:33" s="225" customFormat="1" ht="20.100000000000001" customHeight="1" outlineLevel="1">
      <c r="B69" s="413"/>
      <c r="C69" s="413"/>
      <c r="D69" s="413"/>
      <c r="E69" s="413"/>
      <c r="F69" s="413"/>
      <c r="G69" s="411"/>
      <c r="H69" s="411"/>
      <c r="I69" s="476"/>
      <c r="J69" s="413" t="s">
        <v>300</v>
      </c>
      <c r="K69" s="486">
        <f t="shared" ref="K69:Q69" ca="1" si="102">IFERROR(SUM(K67:K68),"n/a")</f>
        <v>87.275380991001839</v>
      </c>
      <c r="L69" s="486">
        <f t="shared" ca="1" si="102"/>
        <v>166.969776390937</v>
      </c>
      <c r="M69" s="486">
        <f t="shared" ca="1" si="102"/>
        <v>237.49883123186717</v>
      </c>
      <c r="N69" s="486">
        <f t="shared" ca="1" si="102"/>
        <v>316.89045115135093</v>
      </c>
      <c r="O69" s="486">
        <f t="shared" ca="1" si="102"/>
        <v>378.82449749193694</v>
      </c>
      <c r="P69" s="486">
        <f t="shared" ca="1" si="102"/>
        <v>0</v>
      </c>
      <c r="Q69" s="486">
        <f t="shared" ca="1" si="102"/>
        <v>0</v>
      </c>
      <c r="R69" s="485"/>
      <c r="S69" s="486">
        <f t="shared" ref="S69:Y69" ca="1" si="103">IFERROR(SUM(S67:S68),"n/a")</f>
        <v>91.716563469001755</v>
      </c>
      <c r="T69" s="486">
        <f t="shared" ca="1" si="103"/>
        <v>134.99947277766867</v>
      </c>
      <c r="U69" s="486">
        <f t="shared" ca="1" si="103"/>
        <v>175.75666950375606</v>
      </c>
      <c r="V69" s="486">
        <f t="shared" ca="1" si="103"/>
        <v>190.98001393572963</v>
      </c>
      <c r="W69" s="486">
        <f t="shared" ca="1" si="103"/>
        <v>197.57626495425308</v>
      </c>
      <c r="X69" s="486">
        <f t="shared" ca="1" si="103"/>
        <v>0</v>
      </c>
      <c r="Y69" s="486">
        <f t="shared" ca="1" si="103"/>
        <v>0</v>
      </c>
      <c r="Z69" s="485"/>
      <c r="AA69" s="486">
        <f t="shared" ref="AA69:AG69" ca="1" si="104">IFERROR(SUM(AA67:AA68),"n/a")</f>
        <v>-4.4411824779998792</v>
      </c>
      <c r="AB69" s="486">
        <f t="shared" ca="1" si="104"/>
        <v>31.970303613268282</v>
      </c>
      <c r="AC69" s="486">
        <f t="shared" ca="1" si="104"/>
        <v>61.742161728111228</v>
      </c>
      <c r="AD69" s="486">
        <f t="shared" ca="1" si="104"/>
        <v>125.9104372156213</v>
      </c>
      <c r="AE69" s="486">
        <f t="shared" ca="1" si="104"/>
        <v>181.24823253768386</v>
      </c>
      <c r="AF69" s="486">
        <f t="shared" ca="1" si="104"/>
        <v>0</v>
      </c>
      <c r="AG69" s="486">
        <f t="shared" ca="1" si="104"/>
        <v>0</v>
      </c>
    </row>
    <row r="70" spans="2:33" s="225" customFormat="1" ht="20.100000000000001" customHeight="1" outlineLevel="1">
      <c r="B70" s="413"/>
      <c r="C70" s="413"/>
      <c r="D70" s="413"/>
      <c r="E70" s="413"/>
      <c r="F70" s="413" t="s">
        <v>278</v>
      </c>
      <c r="G70" s="411"/>
      <c r="H70" s="411"/>
      <c r="I70" s="476"/>
      <c r="J70" s="413" t="s">
        <v>304</v>
      </c>
      <c r="K70" s="485">
        <f ca="1">_xll.DBRW($D$1,$K$11,$D$4,$Q$13,$D$6,$D$2,K$3,$F$17,$F70)*K$7</f>
        <v>2438.7149187540003</v>
      </c>
      <c r="L70" s="485">
        <f ca="1">_xll.DBRW($D$1,$K$11,$D$4,$Q$13,$D$6,$D$2,L$3,$F$17,$F70)*L$7</f>
        <v>2696.6218620873237</v>
      </c>
      <c r="M70" s="485">
        <f ca="1">_xll.DBRW($D$1,$K$11,$D$4,$Q$13,$D$6,$D$2,M$3,$F$17,$F70)*M$7</f>
        <v>2882.0907558464373</v>
      </c>
      <c r="N70" s="485">
        <f ca="1">_xll.DBRW($D$1,$K$11,$D$4,$Q$13,$D$6,$D$2,N$3,$F$17,$F70)*N$7</f>
        <v>2955.099118538682</v>
      </c>
      <c r="O70" s="485">
        <f ca="1">_xll.DBRW($D$1,$K$11,$D$4,$Q$13,$D$6,$D$2,O$3,$F$17,$F70)*O$7</f>
        <v>3004.7764105046522</v>
      </c>
      <c r="P70" s="486" t="s">
        <v>56</v>
      </c>
      <c r="Q70" s="486" t="s">
        <v>56</v>
      </c>
      <c r="R70" s="485"/>
      <c r="S70" s="485">
        <f ca="1">_xll.DBRW($D$1,$K$11,$D$4,$Y$13,$D$6,$D$2,S$3,$F$17,$F70)*S$7</f>
        <v>1945.8107727690003</v>
      </c>
      <c r="T70" s="485">
        <f ca="1">_xll.DBRW($D$1,$K$11,$D$4,$Y$13,$D$6,$D$2,T$3,$F$17,$F70)*T$7</f>
        <v>1902.8103325120717</v>
      </c>
      <c r="U70" s="485">
        <f ca="1">_xll.DBRW($D$1,$K$11,$D$4,$Y$13,$D$6,$D$2,U$3,$F$17,$F70)*U$7</f>
        <v>1810.536053558292</v>
      </c>
      <c r="V70" s="485">
        <f ca="1">_xll.DBRW($D$1,$K$11,$D$4,$Y$13,$D$6,$D$2,V$3,$F$17,$F70)*V$7</f>
        <v>1734.0689765436071</v>
      </c>
      <c r="W70" s="485">
        <f ca="1">_xll.DBRW($D$1,$K$11,$D$4,$Y$13,$D$6,$D$2,W$3,$F$17,$F70)*W$7</f>
        <v>1620.4805648036061</v>
      </c>
      <c r="X70" s="486" t="s">
        <v>56</v>
      </c>
      <c r="Y70" s="486" t="s">
        <v>56</v>
      </c>
      <c r="Z70" s="485"/>
      <c r="AA70" s="485">
        <f ca="1">_xll.DBRW($D$1,$K$11,$D$4,$AG$13,$D$6,$D$2,AA$3,$F$17,$F70)*AA$7</f>
        <v>492.90414598500001</v>
      </c>
      <c r="AB70" s="485">
        <f ca="1">_xll.DBRW($D$1,$K$11,$D$4,$AG$13,$D$6,$D$2,AB$3,$F$17,$F70)*AB$7</f>
        <v>793.81152957525228</v>
      </c>
      <c r="AC70" s="485">
        <f ca="1">_xll.DBRW($D$1,$K$11,$D$4,$AG$13,$D$6,$D$2,AC$3,$F$17,$F70)*AC$7</f>
        <v>1071.554702288146</v>
      </c>
      <c r="AD70" s="485">
        <f ca="1">_xll.DBRW($D$1,$K$11,$D$4,$AG$13,$D$6,$D$2,AD$3,$F$17,$F70)*AD$7</f>
        <v>1221.0301419950749</v>
      </c>
      <c r="AE70" s="485">
        <f ca="1">_xll.DBRW($D$1,$K$11,$D$4,$AG$13,$D$6,$D$2,AE$3,$F$17,$F70)*AE$7</f>
        <v>1384.2958457010461</v>
      </c>
      <c r="AF70" s="486" t="s">
        <v>56</v>
      </c>
      <c r="AG70" s="486" t="s">
        <v>56</v>
      </c>
    </row>
    <row r="71" spans="2:33" s="423" customFormat="1" ht="20.100000000000001" customHeight="1" outlineLevel="1">
      <c r="G71" s="424"/>
      <c r="H71" s="424"/>
      <c r="I71" s="476"/>
      <c r="J71" s="423" t="str">
        <f ca="1">"ROCE post"&amp;J66&amp;" "&amp;J68</f>
        <v>ROCE postTheoritical MF @ 0,9% Theoritical Tax @ 0%</v>
      </c>
      <c r="K71" s="488"/>
      <c r="L71" s="489">
        <f ca="1">IFERROR(L69/AVERAGE(K70:L70),"n/a")</f>
        <v>6.5027780461783966E-2</v>
      </c>
      <c r="M71" s="489">
        <f t="shared" ref="M71:Q71" ca="1" si="105">IFERROR(M69/AVERAGE(L70:M70),"n/a")</f>
        <v>8.5144673152148062E-2</v>
      </c>
      <c r="N71" s="489">
        <f t="shared" ca="1" si="105"/>
        <v>0.10857637252539491</v>
      </c>
      <c r="O71" s="489">
        <f t="shared" ca="1" si="105"/>
        <v>0.12712496952188695</v>
      </c>
      <c r="P71" s="489">
        <f t="shared" ca="1" si="105"/>
        <v>0</v>
      </c>
      <c r="Q71" s="489" t="str">
        <f t="shared" ca="1" si="105"/>
        <v>n/a</v>
      </c>
      <c r="R71" s="490"/>
      <c r="S71" s="488"/>
      <c r="T71" s="489">
        <f ca="1">IFERROR(T69/AVERAGE(S70:T70),"n/a")</f>
        <v>7.0154722475757658E-2</v>
      </c>
      <c r="U71" s="489">
        <f t="shared" ref="U71:Y71" ca="1" si="106">IFERROR(U69/AVERAGE(T70:U70),"n/a")</f>
        <v>9.4662146339517736E-2</v>
      </c>
      <c r="V71" s="489">
        <f t="shared" ca="1" si="106"/>
        <v>0.1077581351455902</v>
      </c>
      <c r="W71" s="489">
        <f t="shared" ca="1" si="106"/>
        <v>0.11779600361776438</v>
      </c>
      <c r="X71" s="489">
        <f t="shared" ca="1" si="106"/>
        <v>0</v>
      </c>
      <c r="Y71" s="489" t="str">
        <f t="shared" ca="1" si="106"/>
        <v>n/a</v>
      </c>
      <c r="Z71" s="490"/>
      <c r="AA71" s="488"/>
      <c r="AB71" s="489">
        <f ca="1">IFERROR(AB69/AVERAGE(AA70:AB70),"n/a")</f>
        <v>4.9692879663330448E-2</v>
      </c>
      <c r="AC71" s="489">
        <f t="shared" ref="AC71:AG71" ca="1" si="107">IFERROR(AC69/AVERAGE(AB70:AC70),"n/a")</f>
        <v>6.6198434037732318E-2</v>
      </c>
      <c r="AD71" s="489">
        <f t="shared" ca="1" si="107"/>
        <v>0.10984146347263088</v>
      </c>
      <c r="AE71" s="489">
        <f t="shared" ca="1" si="107"/>
        <v>0.13913670181285906</v>
      </c>
      <c r="AF71" s="489">
        <f t="shared" ca="1" si="107"/>
        <v>0</v>
      </c>
      <c r="AG71" s="489" t="str">
        <f t="shared" ca="1" si="107"/>
        <v>n/a</v>
      </c>
    </row>
    <row r="72" spans="2:33" ht="20.100000000000001" customHeight="1" outlineLevel="1"/>
    <row r="73" spans="2:33" ht="20.100000000000001" customHeight="1" outlineLevel="1"/>
    <row r="74" spans="2:33" s="225" customFormat="1" ht="30.75" customHeight="1" outlineLevel="1">
      <c r="F74" s="409" t="str">
        <f>F30</f>
        <v>LTP_2023_VC</v>
      </c>
      <c r="G74" s="410"/>
      <c r="H74" s="411"/>
      <c r="I74" s="476" t="str">
        <f>I30</f>
        <v>LTP 2023</v>
      </c>
      <c r="J74" s="412" t="str">
        <f>"M"&amp;Currency</f>
        <v>MEUR</v>
      </c>
      <c r="K74" s="243" t="str">
        <f>K30</f>
        <v>FC1 2023</v>
      </c>
      <c r="L74" s="243" t="str">
        <f t="shared" ref="L74:Q74" si="108">L30</f>
        <v>Plan 2024</v>
      </c>
      <c r="M74" s="243" t="str">
        <f t="shared" si="108"/>
        <v>Plan 2025</v>
      </c>
      <c r="N74" s="243" t="str">
        <f t="shared" si="108"/>
        <v>Plan 2026</v>
      </c>
      <c r="O74" s="243" t="str">
        <f t="shared" si="108"/>
        <v>Plan 2027</v>
      </c>
      <c r="P74" s="243" t="str">
        <f t="shared" si="108"/>
        <v>Plan 2028</v>
      </c>
      <c r="Q74" s="243" t="str">
        <f t="shared" si="108"/>
        <v>Plan 2029</v>
      </c>
      <c r="R74" s="80"/>
      <c r="S74" s="243" t="str">
        <f>S30</f>
        <v>FC1 2023</v>
      </c>
      <c r="T74" s="243" t="str">
        <f t="shared" ref="T74:Y74" si="109">T30</f>
        <v>Plan 2024</v>
      </c>
      <c r="U74" s="243" t="str">
        <f t="shared" si="109"/>
        <v>Plan 2025</v>
      </c>
      <c r="V74" s="243" t="str">
        <f t="shared" si="109"/>
        <v>Plan 2026</v>
      </c>
      <c r="W74" s="243" t="str">
        <f t="shared" si="109"/>
        <v>Plan 2027</v>
      </c>
      <c r="X74" s="243" t="str">
        <f t="shared" si="109"/>
        <v>Plan 2028</v>
      </c>
      <c r="Y74" s="243" t="str">
        <f t="shared" si="109"/>
        <v>Plan 2029</v>
      </c>
      <c r="Z74" s="80"/>
      <c r="AA74" s="243" t="str">
        <f>AA30</f>
        <v>FC1 2023</v>
      </c>
      <c r="AB74" s="243" t="str">
        <f t="shared" ref="AB74:AG74" si="110">AB30</f>
        <v>Plan 2024</v>
      </c>
      <c r="AC74" s="243" t="str">
        <f t="shared" si="110"/>
        <v>Plan 2025</v>
      </c>
      <c r="AD74" s="243" t="str">
        <f t="shared" si="110"/>
        <v>Plan 2026</v>
      </c>
      <c r="AE74" s="243" t="str">
        <f t="shared" si="110"/>
        <v>Plan 2027</v>
      </c>
      <c r="AF74" s="243" t="str">
        <f t="shared" si="110"/>
        <v>Plan 2028</v>
      </c>
      <c r="AG74" s="243" t="str">
        <f t="shared" si="110"/>
        <v>Plan 2029</v>
      </c>
    </row>
    <row r="75" spans="2:33" s="225" customFormat="1" ht="20.100000000000001" customHeight="1" outlineLevel="1">
      <c r="B75" s="413"/>
      <c r="E75" s="413"/>
      <c r="F75" s="413" t="s">
        <v>225</v>
      </c>
      <c r="G75" s="411"/>
      <c r="H75" s="411"/>
      <c r="I75" s="476"/>
      <c r="J75" s="413" t="s">
        <v>303</v>
      </c>
      <c r="K75" s="485">
        <f ca="1">_xll.DBRW($D$1,$K$11,$D$4,$Q$13,$D$5,$D$2,K$3,$F$30,$F75)*K$5</f>
        <v>0</v>
      </c>
      <c r="L75" s="485">
        <f ca="1">_xll.DBRW($D$1,$K$11,$D$4,$Q$13,$D$5,$D$2,L$3,$F$30,$F75)*L$5</f>
        <v>0</v>
      </c>
      <c r="M75" s="485">
        <f ca="1">_xll.DBRW($D$1,$K$11,$D$4,$Q$13,$D$5,$D$2,M$3,$F$30,$F75)*M$5</f>
        <v>0</v>
      </c>
      <c r="N75" s="485">
        <f ca="1">_xll.DBRW($D$1,$K$11,$D$4,$Q$13,$D$5,$D$2,N$3,$F$30,$F75)*N$5</f>
        <v>0</v>
      </c>
      <c r="O75" s="485">
        <f ca="1">_xll.DBRW($D$1,$K$11,$D$4,$Q$13,$D$5,$D$2,O$3,$F$30,$F75)*O$5</f>
        <v>0</v>
      </c>
      <c r="P75" s="485">
        <f ca="1">_xll.DBRW($D$1,$K$11,$D$4,$Q$13,$D$5,$D$2,P$3,$F$30,$F75)*P$5</f>
        <v>0</v>
      </c>
      <c r="Q75" s="485">
        <f ca="1">_xll.DBRW($D$1,$K$11,$D$4,$Q$13,$D$5,$D$2,Q$3,$F$30,$F75)*Q$5</f>
        <v>0</v>
      </c>
      <c r="R75" s="485"/>
      <c r="S75" s="485">
        <f ca="1">_xll.DBRW($D$1,$K$11,$D$4,$Y$13,$D$5,$D$2,S$3,$F$30,$F75)*S$5</f>
        <v>0</v>
      </c>
      <c r="T75" s="485">
        <f ca="1">_xll.DBRW($D$1,$K$11,$D$4,$Y$13,$D$5,$D$2,T$3,$F$30,$F75)*T$5</f>
        <v>0</v>
      </c>
      <c r="U75" s="485">
        <f ca="1">_xll.DBRW($D$1,$K$11,$D$4,$Y$13,$D$5,$D$2,U$3,$F$30,$F75)*U$5</f>
        <v>0</v>
      </c>
      <c r="V75" s="485">
        <f ca="1">_xll.DBRW($D$1,$K$11,$D$4,$Y$13,$D$5,$D$2,V$3,$F$30,$F75)*V$5</f>
        <v>0</v>
      </c>
      <c r="W75" s="485">
        <f ca="1">_xll.DBRW($D$1,$K$11,$D$4,$Y$13,$D$5,$D$2,W$3,$F$30,$F75)*W$5</f>
        <v>0</v>
      </c>
      <c r="X75" s="485">
        <f ca="1">_xll.DBRW($D$1,$K$11,$D$4,$Y$13,$D$5,$D$2,X$3,$F$30,$F75)*X$5</f>
        <v>0</v>
      </c>
      <c r="Y75" s="485">
        <f ca="1">_xll.DBRW($D$1,$K$11,$D$4,$Y$13,$D$5,$D$2,Y$3,$F$30,$F75)*Y$5</f>
        <v>0</v>
      </c>
      <c r="Z75" s="485"/>
      <c r="AA75" s="485">
        <f ca="1">_xll.DBRW($D$1,$K$11,$D$4,$AG$13,$D$5,$D$2,AA$3,$F$30,$F75)*AA$5</f>
        <v>0</v>
      </c>
      <c r="AB75" s="485">
        <f ca="1">_xll.DBRW($D$1,$K$11,$D$4,$AG$13,$D$5,$D$2,AB$3,$F$30,$F75)*AB$5</f>
        <v>0</v>
      </c>
      <c r="AC75" s="485">
        <f ca="1">_xll.DBRW($D$1,$K$11,$D$4,$AG$13,$D$5,$D$2,AC$3,$F$30,$F75)*AC$5</f>
        <v>0</v>
      </c>
      <c r="AD75" s="485">
        <f ca="1">_xll.DBRW($D$1,$K$11,$D$4,$AG$13,$D$5,$D$2,AD$3,$F$30,$F75)*AD$5</f>
        <v>0</v>
      </c>
      <c r="AE75" s="485">
        <f ca="1">_xll.DBRW($D$1,$K$11,$D$4,$AG$13,$D$5,$D$2,AE$3,$F$30,$F75)*AE$5</f>
        <v>0</v>
      </c>
      <c r="AF75" s="485">
        <f ca="1">_xll.DBRW($D$1,$K$11,$D$4,$AG$13,$D$5,$D$2,AF$3,$F$30,$F75)*AF$5</f>
        <v>0</v>
      </c>
      <c r="AG75" s="485">
        <f ca="1">_xll.DBRW($D$1,$K$11,$D$4,$AG$13,$D$5,$D$2,AG$3,$F$30,$F75)*AG$5</f>
        <v>0</v>
      </c>
    </row>
    <row r="76" spans="2:33" s="225" customFormat="1" ht="19.5" customHeight="1" outlineLevel="1">
      <c r="B76" s="413"/>
      <c r="E76" s="413"/>
      <c r="F76" s="413" t="s">
        <v>192</v>
      </c>
      <c r="G76" s="411"/>
      <c r="H76" s="411"/>
      <c r="I76" s="476"/>
      <c r="J76" s="413" t="s">
        <v>205</v>
      </c>
      <c r="K76" s="485">
        <f ca="1">_xll.DBRW($D$1,$K$11,$D$4,$Q$13,$D$5,$D$2,K$3,$F$30,$F76)*K$5</f>
        <v>0</v>
      </c>
      <c r="L76" s="485">
        <f ca="1">_xll.DBRW($D$1,$K$11,$D$4,$Q$13,$D$5,$D$2,L$3,$F$30,$F76)*L$5</f>
        <v>0</v>
      </c>
      <c r="M76" s="485">
        <f ca="1">_xll.DBRW($D$1,$K$11,$D$4,$Q$13,$D$5,$D$2,M$3,$F$30,$F76)*M$5</f>
        <v>0</v>
      </c>
      <c r="N76" s="485">
        <f ca="1">_xll.DBRW($D$1,$K$11,$D$4,$Q$13,$D$5,$D$2,N$3,$F$30,$F76)*N$5</f>
        <v>0</v>
      </c>
      <c r="O76" s="485">
        <f ca="1">_xll.DBRW($D$1,$K$11,$D$4,$Q$13,$D$5,$D$2,O$3,$F$30,$F76)*O$5</f>
        <v>0</v>
      </c>
      <c r="P76" s="485">
        <f ca="1">_xll.DBRW($D$1,$K$11,$D$4,$Q$13,$D$5,$D$2,P$3,$F$30,$F76)*P$5</f>
        <v>0</v>
      </c>
      <c r="Q76" s="485">
        <f ca="1">_xll.DBRW($D$1,$K$11,$D$4,$Q$13,$D$5,$D$2,Q$3,$F$30,$F76)*Q$5</f>
        <v>0</v>
      </c>
      <c r="R76" s="485"/>
      <c r="S76" s="485">
        <f ca="1">_xll.DBRW($D$1,$K$11,$D$4,$Y$13,$D$5,$D$2,S$3,$F$30,$F76)*S$5</f>
        <v>0</v>
      </c>
      <c r="T76" s="485">
        <f ca="1">_xll.DBRW($D$1,$K$11,$D$4,$Y$13,$D$5,$D$2,T$3,$F$30,$F76)*T$5</f>
        <v>0</v>
      </c>
      <c r="U76" s="485">
        <f ca="1">_xll.DBRW($D$1,$K$11,$D$4,$Y$13,$D$5,$D$2,U$3,$F$30,$F76)*U$5</f>
        <v>0</v>
      </c>
      <c r="V76" s="485">
        <f ca="1">_xll.DBRW($D$1,$K$11,$D$4,$Y$13,$D$5,$D$2,V$3,$F$30,$F76)*V$5</f>
        <v>0</v>
      </c>
      <c r="W76" s="485">
        <f ca="1">_xll.DBRW($D$1,$K$11,$D$4,$Y$13,$D$5,$D$2,W$3,$F$30,$F76)*W$5</f>
        <v>0</v>
      </c>
      <c r="X76" s="485">
        <f ca="1">_xll.DBRW($D$1,$K$11,$D$4,$Y$13,$D$5,$D$2,X$3,$F$30,$F76)*X$5</f>
        <v>0</v>
      </c>
      <c r="Y76" s="485">
        <f ca="1">_xll.DBRW($D$1,$K$11,$D$4,$Y$13,$D$5,$D$2,Y$3,$F$30,$F76)*Y$5</f>
        <v>0</v>
      </c>
      <c r="Z76" s="485"/>
      <c r="AA76" s="485">
        <f ca="1">_xll.DBRW($D$1,$K$11,$D$4,$AG$13,$D$5,$D$2,AA$3,$F$30,$F76)*AA$5</f>
        <v>0</v>
      </c>
      <c r="AB76" s="485">
        <f ca="1">_xll.DBRW($D$1,$K$11,$D$4,$AG$13,$D$5,$D$2,AB$3,$F$30,$F76)*AB$5</f>
        <v>0</v>
      </c>
      <c r="AC76" s="485">
        <f ca="1">_xll.DBRW($D$1,$K$11,$D$4,$AG$13,$D$5,$D$2,AC$3,$F$30,$F76)*AC$5</f>
        <v>0</v>
      </c>
      <c r="AD76" s="485">
        <f ca="1">_xll.DBRW($D$1,$K$11,$D$4,$AG$13,$D$5,$D$2,AD$3,$F$30,$F76)*AD$5</f>
        <v>0</v>
      </c>
      <c r="AE76" s="485">
        <f ca="1">_xll.DBRW($D$1,$K$11,$D$4,$AG$13,$D$5,$D$2,AE$3,$F$30,$F76)*AE$5</f>
        <v>0</v>
      </c>
      <c r="AF76" s="485">
        <f ca="1">_xll.DBRW($D$1,$K$11,$D$4,$AG$13,$D$5,$D$2,AF$3,$F$30,$F76)*AF$5</f>
        <v>0</v>
      </c>
      <c r="AG76" s="485">
        <f ca="1">_xll.DBRW($D$1,$K$11,$D$4,$AG$13,$D$5,$D$2,AG$3,$F$30,$F76)*AG$5</f>
        <v>0</v>
      </c>
    </row>
    <row r="77" spans="2:33" s="225" customFormat="1" ht="20.100000000000001" customHeight="1" outlineLevel="1">
      <c r="B77" s="413"/>
      <c r="E77" s="413"/>
      <c r="F77" s="413" t="s">
        <v>224</v>
      </c>
      <c r="G77" s="411"/>
      <c r="H77" s="411"/>
      <c r="I77" s="476"/>
      <c r="J77" s="413" t="s">
        <v>309</v>
      </c>
      <c r="K77" s="485">
        <f ca="1">_xll.DBRW($D$1,$K$11,$D$4,$Q$13,$D$5,$D$2,K$3,$F$30,$F77)*K$5</f>
        <v>0</v>
      </c>
      <c r="L77" s="485">
        <f ca="1">_xll.DBRW($D$1,$K$11,$D$4,$Q$13,$D$5,$D$2,L$3,$F$30,$F77)*L$5</f>
        <v>0</v>
      </c>
      <c r="M77" s="485">
        <f ca="1">_xll.DBRW($D$1,$K$11,$D$4,$Q$13,$D$5,$D$2,M$3,$F$30,$F77)*M$5</f>
        <v>0</v>
      </c>
      <c r="N77" s="485">
        <f ca="1">_xll.DBRW($D$1,$K$11,$D$4,$Q$13,$D$5,$D$2,N$3,$F$30,$F77)*N$5</f>
        <v>0</v>
      </c>
      <c r="O77" s="485">
        <f ca="1">_xll.DBRW($D$1,$K$11,$D$4,$Q$13,$D$5,$D$2,O$3,$F$30,$F77)*O$5</f>
        <v>0</v>
      </c>
      <c r="P77" s="485">
        <f ca="1">_xll.DBRW($D$1,$K$11,$D$4,$Q$13,$D$5,$D$2,P$3,$F$30,$F77)*P$5</f>
        <v>0</v>
      </c>
      <c r="Q77" s="485">
        <f ca="1">_xll.DBRW($D$1,$K$11,$D$4,$Q$13,$D$5,$D$2,Q$3,$F$30,$F77)*Q$5</f>
        <v>0</v>
      </c>
      <c r="R77" s="485"/>
      <c r="S77" s="485">
        <f ca="1">_xll.DBRW($D$1,$K$11,$D$4,$Y$13,$D$5,$D$2,S$3,$F$30,$F77)*S$5</f>
        <v>0</v>
      </c>
      <c r="T77" s="485">
        <f ca="1">_xll.DBRW($D$1,$K$11,$D$4,$Y$13,$D$5,$D$2,T$3,$F$30,$F77)*T$5</f>
        <v>0</v>
      </c>
      <c r="U77" s="485">
        <f ca="1">_xll.DBRW($D$1,$K$11,$D$4,$Y$13,$D$5,$D$2,U$3,$F$30,$F77)*U$5</f>
        <v>0</v>
      </c>
      <c r="V77" s="485">
        <f ca="1">_xll.DBRW($D$1,$K$11,$D$4,$Y$13,$D$5,$D$2,V$3,$F$30,$F77)*V$5</f>
        <v>0</v>
      </c>
      <c r="W77" s="485">
        <f ca="1">_xll.DBRW($D$1,$K$11,$D$4,$Y$13,$D$5,$D$2,W$3,$F$30,$F77)*W$5</f>
        <v>0</v>
      </c>
      <c r="X77" s="485">
        <f ca="1">_xll.DBRW($D$1,$K$11,$D$4,$Y$13,$D$5,$D$2,X$3,$F$30,$F77)*X$5</f>
        <v>0</v>
      </c>
      <c r="Y77" s="485">
        <f ca="1">_xll.DBRW($D$1,$K$11,$D$4,$Y$13,$D$5,$D$2,Y$3,$F$30,$F77)*Y$5</f>
        <v>0</v>
      </c>
      <c r="Z77" s="485"/>
      <c r="AA77" s="485">
        <f ca="1">_xll.DBRW($D$1,$K$11,$D$4,$AG$13,$D$5,$D$2,AA$3,$F$30,$F77)*AA$5</f>
        <v>0</v>
      </c>
      <c r="AB77" s="485">
        <f ca="1">_xll.DBRW($D$1,$K$11,$D$4,$AG$13,$D$5,$D$2,AB$3,$F$30,$F77)*AB$5</f>
        <v>0</v>
      </c>
      <c r="AC77" s="485">
        <f ca="1">_xll.DBRW($D$1,$K$11,$D$4,$AG$13,$D$5,$D$2,AC$3,$F$30,$F77)*AC$5</f>
        <v>0</v>
      </c>
      <c r="AD77" s="485">
        <f ca="1">_xll.DBRW($D$1,$K$11,$D$4,$AG$13,$D$5,$D$2,AD$3,$F$30,$F77)*AD$5</f>
        <v>0</v>
      </c>
      <c r="AE77" s="485">
        <f ca="1">_xll.DBRW($D$1,$K$11,$D$4,$AG$13,$D$5,$D$2,AE$3,$F$30,$F77)*AE$5</f>
        <v>0</v>
      </c>
      <c r="AF77" s="485">
        <f ca="1">_xll.DBRW($D$1,$K$11,$D$4,$AG$13,$D$5,$D$2,AF$3,$F$30,$F77)*AF$5</f>
        <v>0</v>
      </c>
      <c r="AG77" s="485">
        <f ca="1">_xll.DBRW($D$1,$K$11,$D$4,$AG$13,$D$5,$D$2,AG$3,$F$30,$F77)*AG$5</f>
        <v>0</v>
      </c>
    </row>
    <row r="78" spans="2:33" s="225" customFormat="1" ht="20.100000000000001" customHeight="1" outlineLevel="1">
      <c r="B78" s="413"/>
      <c r="C78" s="413"/>
      <c r="D78" s="413"/>
      <c r="E78" s="413"/>
      <c r="F78" s="413"/>
      <c r="G78" s="411"/>
      <c r="H78" s="411"/>
      <c r="I78" s="476"/>
      <c r="J78" s="413" t="s">
        <v>298</v>
      </c>
      <c r="K78" s="486">
        <f t="shared" ref="K78:Q78" ca="1" si="111">IFERROR(K76-K75,"n/a")</f>
        <v>0</v>
      </c>
      <c r="L78" s="486">
        <f t="shared" ca="1" si="111"/>
        <v>0</v>
      </c>
      <c r="M78" s="486">
        <f t="shared" ca="1" si="111"/>
        <v>0</v>
      </c>
      <c r="N78" s="486">
        <f t="shared" ca="1" si="111"/>
        <v>0</v>
      </c>
      <c r="O78" s="486">
        <f t="shared" ca="1" si="111"/>
        <v>0</v>
      </c>
      <c r="P78" s="486">
        <f t="shared" ca="1" si="111"/>
        <v>0</v>
      </c>
      <c r="Q78" s="486">
        <f t="shared" ca="1" si="111"/>
        <v>0</v>
      </c>
      <c r="R78" s="485"/>
      <c r="S78" s="486">
        <f t="shared" ref="S78:Y78" ca="1" si="112">IFERROR(S76-S75,"n/a")</f>
        <v>0</v>
      </c>
      <c r="T78" s="486">
        <f t="shared" ca="1" si="112"/>
        <v>0</v>
      </c>
      <c r="U78" s="486">
        <f t="shared" ca="1" si="112"/>
        <v>0</v>
      </c>
      <c r="V78" s="486">
        <f t="shared" ca="1" si="112"/>
        <v>0</v>
      </c>
      <c r="W78" s="486">
        <f t="shared" ca="1" si="112"/>
        <v>0</v>
      </c>
      <c r="X78" s="486">
        <f t="shared" ca="1" si="112"/>
        <v>0</v>
      </c>
      <c r="Y78" s="486">
        <f t="shared" ca="1" si="112"/>
        <v>0</v>
      </c>
      <c r="Z78" s="485"/>
      <c r="AA78" s="486">
        <f t="shared" ref="AA78:AG78" ca="1" si="113">IFERROR(AA76-AA75,"n/a")</f>
        <v>0</v>
      </c>
      <c r="AB78" s="486">
        <f t="shared" ca="1" si="113"/>
        <v>0</v>
      </c>
      <c r="AC78" s="486">
        <f t="shared" ca="1" si="113"/>
        <v>0</v>
      </c>
      <c r="AD78" s="486">
        <f t="shared" ca="1" si="113"/>
        <v>0</v>
      </c>
      <c r="AE78" s="486">
        <f t="shared" ca="1" si="113"/>
        <v>0</v>
      </c>
      <c r="AF78" s="486">
        <f t="shared" ca="1" si="113"/>
        <v>0</v>
      </c>
      <c r="AG78" s="486">
        <f t="shared" ca="1" si="113"/>
        <v>0</v>
      </c>
    </row>
    <row r="79" spans="2:33" s="225" customFormat="1" ht="20.100000000000001" customHeight="1" outlineLevel="1">
      <c r="B79" s="413"/>
      <c r="C79" s="413"/>
      <c r="D79" s="413"/>
      <c r="E79" s="413"/>
      <c r="F79" s="414" t="str">
        <f ca="1">IF(_xll.DBRW(xServer&amp;":}ElementAttributes_Legal_Organization",Legal_organization,"Country_Entity")="","Corporate",_xll.DBRW(xServer&amp;":}ElementAttributes_Legal_Organization",Legal_organization,"Country_Entity"))</f>
        <v>Corporate</v>
      </c>
      <c r="G79" s="414" t="str">
        <f>IF(MID(F74,5,4)&gt;"2019",F74,"LTP_2021_VC")</f>
        <v>LTP_2023_VC</v>
      </c>
      <c r="H79" s="411"/>
      <c r="I79" s="476"/>
      <c r="J79" s="413" t="str">
        <f>"Theoritical MF @ "&amp;G81*100&amp;"%"</f>
        <v>Theoritical MF @ 0,8%</v>
      </c>
      <c r="K79" s="486">
        <f ca="1">IFERROR(IF($F$79="Corporate",0,-$G$81*K77),"n/a")</f>
        <v>0</v>
      </c>
      <c r="L79" s="486">
        <f t="shared" ref="L79:Q79" ca="1" si="114">IFERROR(IF($F$79="Corporate",0,-$G$81*L77),"n/a")</f>
        <v>0</v>
      </c>
      <c r="M79" s="486">
        <f t="shared" ca="1" si="114"/>
        <v>0</v>
      </c>
      <c r="N79" s="486">
        <f t="shared" ca="1" si="114"/>
        <v>0</v>
      </c>
      <c r="O79" s="486">
        <f t="shared" ca="1" si="114"/>
        <v>0</v>
      </c>
      <c r="P79" s="486">
        <f t="shared" ca="1" si="114"/>
        <v>0</v>
      </c>
      <c r="Q79" s="486">
        <f t="shared" ca="1" si="114"/>
        <v>0</v>
      </c>
      <c r="R79" s="485"/>
      <c r="S79" s="486">
        <f t="shared" ref="S79:Y79" ca="1" si="115">IFERROR(IF($F$66="Corporate",0,-$G$68*S77),"n/a")</f>
        <v>0</v>
      </c>
      <c r="T79" s="486">
        <f t="shared" ca="1" si="115"/>
        <v>0</v>
      </c>
      <c r="U79" s="486">
        <f t="shared" ca="1" si="115"/>
        <v>0</v>
      </c>
      <c r="V79" s="486">
        <f t="shared" ca="1" si="115"/>
        <v>0</v>
      </c>
      <c r="W79" s="486">
        <f t="shared" ca="1" si="115"/>
        <v>0</v>
      </c>
      <c r="X79" s="486">
        <f t="shared" ca="1" si="115"/>
        <v>0</v>
      </c>
      <c r="Y79" s="486">
        <f t="shared" ca="1" si="115"/>
        <v>0</v>
      </c>
      <c r="Z79" s="485"/>
      <c r="AA79" s="486">
        <f t="shared" ref="AA79:AG79" ca="1" si="116">IFERROR(IF($F$66="Corporate",0,-$G$68*AA77),"n/a")</f>
        <v>0</v>
      </c>
      <c r="AB79" s="486">
        <f t="shared" ca="1" si="116"/>
        <v>0</v>
      </c>
      <c r="AC79" s="486">
        <f t="shared" ca="1" si="116"/>
        <v>0</v>
      </c>
      <c r="AD79" s="486">
        <f t="shared" ca="1" si="116"/>
        <v>0</v>
      </c>
      <c r="AE79" s="486">
        <f t="shared" ca="1" si="116"/>
        <v>0</v>
      </c>
      <c r="AF79" s="486">
        <f t="shared" ca="1" si="116"/>
        <v>0</v>
      </c>
      <c r="AG79" s="486">
        <f t="shared" ca="1" si="116"/>
        <v>0</v>
      </c>
    </row>
    <row r="80" spans="2:33" s="419" customFormat="1" ht="20.100000000000001" customHeight="1" outlineLevel="1">
      <c r="B80" s="413"/>
      <c r="C80" s="420"/>
      <c r="D80" s="420"/>
      <c r="E80" s="420"/>
      <c r="F80" s="416" t="s">
        <v>296</v>
      </c>
      <c r="G80" s="417">
        <f ca="1">_xll.DBR("tango_core_model:ST_LTP_TAXES_INTERESTS_RATES",$G$79,$Q$3,$F$79,"Theoretical_tax_rate")</f>
        <v>0</v>
      </c>
      <c r="H80" s="421"/>
      <c r="I80" s="476"/>
      <c r="J80" s="420" t="s">
        <v>299</v>
      </c>
      <c r="K80" s="486">
        <f t="shared" ref="K80:Q80" ca="1" si="117">IFERROR(SUM(K78:K79),"n/a")</f>
        <v>0</v>
      </c>
      <c r="L80" s="486">
        <f t="shared" ca="1" si="117"/>
        <v>0</v>
      </c>
      <c r="M80" s="486">
        <f t="shared" ca="1" si="117"/>
        <v>0</v>
      </c>
      <c r="N80" s="486">
        <f t="shared" ca="1" si="117"/>
        <v>0</v>
      </c>
      <c r="O80" s="486">
        <f t="shared" ca="1" si="117"/>
        <v>0</v>
      </c>
      <c r="P80" s="486">
        <f t="shared" ca="1" si="117"/>
        <v>0</v>
      </c>
      <c r="Q80" s="486">
        <f t="shared" ca="1" si="117"/>
        <v>0</v>
      </c>
      <c r="R80" s="485"/>
      <c r="S80" s="486">
        <f t="shared" ref="S80:Y80" ca="1" si="118">IFERROR(SUM(S78:S79),"n/a")</f>
        <v>0</v>
      </c>
      <c r="T80" s="486">
        <f t="shared" ca="1" si="118"/>
        <v>0</v>
      </c>
      <c r="U80" s="486">
        <f t="shared" ca="1" si="118"/>
        <v>0</v>
      </c>
      <c r="V80" s="486">
        <f t="shared" ca="1" si="118"/>
        <v>0</v>
      </c>
      <c r="W80" s="486">
        <f t="shared" ca="1" si="118"/>
        <v>0</v>
      </c>
      <c r="X80" s="486">
        <f t="shared" ca="1" si="118"/>
        <v>0</v>
      </c>
      <c r="Y80" s="486">
        <f t="shared" ca="1" si="118"/>
        <v>0</v>
      </c>
      <c r="Z80" s="487"/>
      <c r="AA80" s="486">
        <f t="shared" ref="AA80:AG80" ca="1" si="119">IFERROR(SUM(AA78:AA79),"n/a")</f>
        <v>0</v>
      </c>
      <c r="AB80" s="486">
        <f t="shared" ca="1" si="119"/>
        <v>0</v>
      </c>
      <c r="AC80" s="486">
        <f t="shared" ca="1" si="119"/>
        <v>0</v>
      </c>
      <c r="AD80" s="486">
        <f t="shared" ca="1" si="119"/>
        <v>0</v>
      </c>
      <c r="AE80" s="486">
        <f t="shared" ca="1" si="119"/>
        <v>0</v>
      </c>
      <c r="AF80" s="486">
        <f t="shared" ca="1" si="119"/>
        <v>0</v>
      </c>
      <c r="AG80" s="486">
        <f t="shared" ca="1" si="119"/>
        <v>0</v>
      </c>
    </row>
    <row r="81" spans="2:33" s="225" customFormat="1" ht="20.100000000000001" customHeight="1" outlineLevel="1">
      <c r="B81" s="413"/>
      <c r="C81" s="413"/>
      <c r="D81" s="413"/>
      <c r="E81" s="413"/>
      <c r="F81" s="416" t="s">
        <v>297</v>
      </c>
      <c r="G81" s="417">
        <v>8.0000000000000002E-3</v>
      </c>
      <c r="H81" s="411"/>
      <c r="I81" s="476"/>
      <c r="J81" s="413" t="str">
        <f ca="1">"Theoritical Tax @ "&amp;G80*100&amp;"%"</f>
        <v>Theoritical Tax @ 0%</v>
      </c>
      <c r="K81" s="486">
        <f t="shared" ref="K81:Q81" ca="1" si="120">IFERROR(K80*-$G$67,"n/a")</f>
        <v>0</v>
      </c>
      <c r="L81" s="486">
        <f t="shared" ca="1" si="120"/>
        <v>0</v>
      </c>
      <c r="M81" s="486">
        <f t="shared" ca="1" si="120"/>
        <v>0</v>
      </c>
      <c r="N81" s="486">
        <f t="shared" ca="1" si="120"/>
        <v>0</v>
      </c>
      <c r="O81" s="486">
        <f t="shared" ca="1" si="120"/>
        <v>0</v>
      </c>
      <c r="P81" s="486">
        <f t="shared" ca="1" si="120"/>
        <v>0</v>
      </c>
      <c r="Q81" s="486">
        <f t="shared" ca="1" si="120"/>
        <v>0</v>
      </c>
      <c r="R81" s="485"/>
      <c r="S81" s="486">
        <f t="shared" ref="S81:Y81" ca="1" si="121">IFERROR(S80*-$G$67,"n/a")</f>
        <v>0</v>
      </c>
      <c r="T81" s="486">
        <f t="shared" ca="1" si="121"/>
        <v>0</v>
      </c>
      <c r="U81" s="486">
        <f t="shared" ca="1" si="121"/>
        <v>0</v>
      </c>
      <c r="V81" s="486">
        <f t="shared" ca="1" si="121"/>
        <v>0</v>
      </c>
      <c r="W81" s="486">
        <f t="shared" ca="1" si="121"/>
        <v>0</v>
      </c>
      <c r="X81" s="486">
        <f t="shared" ca="1" si="121"/>
        <v>0</v>
      </c>
      <c r="Y81" s="486">
        <f t="shared" ca="1" si="121"/>
        <v>0</v>
      </c>
      <c r="Z81" s="485"/>
      <c r="AA81" s="486">
        <f t="shared" ref="AA81:AG81" ca="1" si="122">IFERROR(AA80*-$G$67,"n/a")</f>
        <v>0</v>
      </c>
      <c r="AB81" s="486">
        <f t="shared" ca="1" si="122"/>
        <v>0</v>
      </c>
      <c r="AC81" s="486">
        <f t="shared" ca="1" si="122"/>
        <v>0</v>
      </c>
      <c r="AD81" s="486">
        <f t="shared" ca="1" si="122"/>
        <v>0</v>
      </c>
      <c r="AE81" s="486">
        <f t="shared" ca="1" si="122"/>
        <v>0</v>
      </c>
      <c r="AF81" s="486">
        <f t="shared" ca="1" si="122"/>
        <v>0</v>
      </c>
      <c r="AG81" s="486">
        <f t="shared" ca="1" si="122"/>
        <v>0</v>
      </c>
    </row>
    <row r="82" spans="2:33" s="225" customFormat="1" ht="20.100000000000001" customHeight="1" outlineLevel="1">
      <c r="B82" s="413"/>
      <c r="C82" s="413"/>
      <c r="D82" s="413"/>
      <c r="E82" s="413"/>
      <c r="F82" s="413"/>
      <c r="G82" s="411"/>
      <c r="H82" s="411"/>
      <c r="I82" s="476"/>
      <c r="J82" s="413" t="s">
        <v>300</v>
      </c>
      <c r="K82" s="486">
        <f t="shared" ref="K82:Q82" ca="1" si="123">IFERROR(SUM(K80:K81),"n/a")</f>
        <v>0</v>
      </c>
      <c r="L82" s="486">
        <f t="shared" ca="1" si="123"/>
        <v>0</v>
      </c>
      <c r="M82" s="486">
        <f t="shared" ca="1" si="123"/>
        <v>0</v>
      </c>
      <c r="N82" s="486">
        <f t="shared" ca="1" si="123"/>
        <v>0</v>
      </c>
      <c r="O82" s="486">
        <f t="shared" ca="1" si="123"/>
        <v>0</v>
      </c>
      <c r="P82" s="486">
        <f t="shared" ca="1" si="123"/>
        <v>0</v>
      </c>
      <c r="Q82" s="486">
        <f t="shared" ca="1" si="123"/>
        <v>0</v>
      </c>
      <c r="R82" s="485"/>
      <c r="S82" s="486">
        <f t="shared" ref="S82:Y82" ca="1" si="124">IFERROR(SUM(S80:S81),"n/a")</f>
        <v>0</v>
      </c>
      <c r="T82" s="486">
        <f t="shared" ca="1" si="124"/>
        <v>0</v>
      </c>
      <c r="U82" s="486">
        <f t="shared" ca="1" si="124"/>
        <v>0</v>
      </c>
      <c r="V82" s="486">
        <f t="shared" ca="1" si="124"/>
        <v>0</v>
      </c>
      <c r="W82" s="486">
        <f t="shared" ca="1" si="124"/>
        <v>0</v>
      </c>
      <c r="X82" s="486">
        <f t="shared" ca="1" si="124"/>
        <v>0</v>
      </c>
      <c r="Y82" s="486">
        <f t="shared" ca="1" si="124"/>
        <v>0</v>
      </c>
      <c r="Z82" s="485"/>
      <c r="AA82" s="486">
        <f t="shared" ref="AA82:AG82" ca="1" si="125">IFERROR(SUM(AA80:AA81),"n/a")</f>
        <v>0</v>
      </c>
      <c r="AB82" s="486">
        <f t="shared" ca="1" si="125"/>
        <v>0</v>
      </c>
      <c r="AC82" s="486">
        <f t="shared" ca="1" si="125"/>
        <v>0</v>
      </c>
      <c r="AD82" s="486">
        <f t="shared" ca="1" si="125"/>
        <v>0</v>
      </c>
      <c r="AE82" s="486">
        <f t="shared" ca="1" si="125"/>
        <v>0</v>
      </c>
      <c r="AF82" s="486">
        <f t="shared" ca="1" si="125"/>
        <v>0</v>
      </c>
      <c r="AG82" s="486">
        <f t="shared" ca="1" si="125"/>
        <v>0</v>
      </c>
    </row>
    <row r="83" spans="2:33" s="225" customFormat="1" ht="20.100000000000001" customHeight="1" outlineLevel="1">
      <c r="B83" s="413"/>
      <c r="C83" s="413"/>
      <c r="D83" s="413"/>
      <c r="E83" s="413"/>
      <c r="F83" s="413" t="s">
        <v>278</v>
      </c>
      <c r="G83" s="411"/>
      <c r="H83" s="411"/>
      <c r="I83" s="476"/>
      <c r="J83" s="413" t="s">
        <v>304</v>
      </c>
      <c r="K83" s="485">
        <f ca="1">_xll.DBRW($D$1,$K$11,$D$4,$Q$13,$D$5,$D$2,K$3,$F$30,$F83)*K$5</f>
        <v>0</v>
      </c>
      <c r="L83" s="485">
        <f ca="1">_xll.DBRW($D$1,$K$11,$D$4,$Q$13,$D$5,$D$2,L$3,$F$30,$F83)*L$5</f>
        <v>0</v>
      </c>
      <c r="M83" s="485">
        <f ca="1">_xll.DBRW($D$1,$K$11,$D$4,$Q$13,$D$5,$D$2,M$3,$F$30,$F83)*M$5</f>
        <v>0</v>
      </c>
      <c r="N83" s="485">
        <f ca="1">_xll.DBRW($D$1,$K$11,$D$4,$Q$13,$D$5,$D$2,N$3,$F$30,$F83)*N$5</f>
        <v>0</v>
      </c>
      <c r="O83" s="485">
        <f ca="1">_xll.DBRW($D$1,$K$11,$D$4,$Q$13,$D$5,$D$2,O$3,$F$30,$F83)*O$5</f>
        <v>0</v>
      </c>
      <c r="P83" s="485">
        <f ca="1">_xll.DBRW($D$1,$K$11,$D$4,$Q$13,$D$5,$D$2,P$3,$F$30,$F83)*P$5</f>
        <v>0</v>
      </c>
      <c r="Q83" s="485">
        <f ca="1">_xll.DBRW($D$1,$K$11,$D$4,$Q$13,$D$5,$D$2,Q$3,$F$30,$F83)*Q$5</f>
        <v>0</v>
      </c>
      <c r="R83" s="485"/>
      <c r="S83" s="485">
        <f ca="1">_xll.DBRW($D$1,$K$11,$D$4,$Y$13,$D$5,$D$2,S$3,$F$30,$F83)*S$5</f>
        <v>0</v>
      </c>
      <c r="T83" s="485">
        <f ca="1">_xll.DBRW($D$1,$K$11,$D$4,$Y$13,$D$5,$D$2,T$3,$F$30,$F83)*T$5</f>
        <v>0</v>
      </c>
      <c r="U83" s="485">
        <f ca="1">_xll.DBRW($D$1,$K$11,$D$4,$Y$13,$D$5,$D$2,U$3,$F$30,$F83)*U$5</f>
        <v>0</v>
      </c>
      <c r="V83" s="485">
        <f ca="1">_xll.DBRW($D$1,$K$11,$D$4,$Y$13,$D$5,$D$2,V$3,$F$30,$F83)*V$5</f>
        <v>0</v>
      </c>
      <c r="W83" s="485">
        <f ca="1">_xll.DBRW($D$1,$K$11,$D$4,$Y$13,$D$5,$D$2,W$3,$F$30,$F83)*W$5</f>
        <v>0</v>
      </c>
      <c r="X83" s="485">
        <f ca="1">_xll.DBRW($D$1,$K$11,$D$4,$Y$13,$D$5,$D$2,X$3,$F$30,$F83)*X$5</f>
        <v>0</v>
      </c>
      <c r="Y83" s="485">
        <f ca="1">_xll.DBRW($D$1,$K$11,$D$4,$Y$13,$D$5,$D$2,Y$3,$F$30,$F83)*Y$5</f>
        <v>0</v>
      </c>
      <c r="Z83" s="485"/>
      <c r="AA83" s="485">
        <f ca="1">_xll.DBRW($D$1,$K$11,$D$4,$AG$13,$D$5,$D$2,AA$3,$F$30,$F83)*AA$5</f>
        <v>0</v>
      </c>
      <c r="AB83" s="485">
        <f ca="1">_xll.DBRW($D$1,$K$11,$D$4,$AG$13,$D$5,$D$2,AB$3,$F$30,$F83)*AB$5</f>
        <v>0</v>
      </c>
      <c r="AC83" s="485">
        <f ca="1">_xll.DBRW($D$1,$K$11,$D$4,$AG$13,$D$5,$D$2,AC$3,$F$30,$F83)*AC$5</f>
        <v>0</v>
      </c>
      <c r="AD83" s="485">
        <f ca="1">_xll.DBRW($D$1,$K$11,$D$4,$AG$13,$D$5,$D$2,AD$3,$F$30,$F83)*AD$5</f>
        <v>0</v>
      </c>
      <c r="AE83" s="485">
        <f ca="1">_xll.DBRW($D$1,$K$11,$D$4,$AG$13,$D$5,$D$2,AE$3,$F$30,$F83)*AE$5</f>
        <v>0</v>
      </c>
      <c r="AF83" s="485">
        <f ca="1">_xll.DBRW($D$1,$K$11,$D$4,$AG$13,$D$5,$D$2,AF$3,$F$30,$F83)*AF$5</f>
        <v>0</v>
      </c>
      <c r="AG83" s="485">
        <f ca="1">_xll.DBRW($D$1,$K$11,$D$4,$AG$13,$D$5,$D$2,AG$3,$F$30,$F83)*AG$5</f>
        <v>0</v>
      </c>
    </row>
    <row r="84" spans="2:33" s="423" customFormat="1" ht="20.100000000000001" customHeight="1" outlineLevel="1">
      <c r="G84" s="424"/>
      <c r="H84" s="424"/>
      <c r="I84" s="476"/>
      <c r="J84" s="423" t="str">
        <f ca="1">"ROCE post"&amp;J79&amp;" "&amp;J81</f>
        <v>ROCE postTheoritical MF @ 0,8% Theoritical Tax @ 0%</v>
      </c>
      <c r="K84" s="488"/>
      <c r="L84" s="489" t="str">
        <f ca="1">IFERROR(L82/AVERAGE(K83:L83),"n/a")</f>
        <v>n/a</v>
      </c>
      <c r="M84" s="489" t="str">
        <f t="shared" ref="M84:Q84" ca="1" si="126">IFERROR(M82/AVERAGE(L83:M83),"n/a")</f>
        <v>n/a</v>
      </c>
      <c r="N84" s="489" t="str">
        <f t="shared" ca="1" si="126"/>
        <v>n/a</v>
      </c>
      <c r="O84" s="489" t="str">
        <f t="shared" ca="1" si="126"/>
        <v>n/a</v>
      </c>
      <c r="P84" s="489" t="str">
        <f t="shared" ca="1" si="126"/>
        <v>n/a</v>
      </c>
      <c r="Q84" s="489" t="str">
        <f t="shared" ca="1" si="126"/>
        <v>n/a</v>
      </c>
      <c r="R84" s="490"/>
      <c r="S84" s="488"/>
      <c r="T84" s="489" t="str">
        <f ca="1">IFERROR(T82/AVERAGE(S83:T83),"n/a")</f>
        <v>n/a</v>
      </c>
      <c r="U84" s="489" t="str">
        <f t="shared" ref="U84:Y84" ca="1" si="127">IFERROR(U82/AVERAGE(T83:U83),"n/a")</f>
        <v>n/a</v>
      </c>
      <c r="V84" s="489" t="str">
        <f t="shared" ca="1" si="127"/>
        <v>n/a</v>
      </c>
      <c r="W84" s="489" t="str">
        <f t="shared" ca="1" si="127"/>
        <v>n/a</v>
      </c>
      <c r="X84" s="489" t="str">
        <f t="shared" ca="1" si="127"/>
        <v>n/a</v>
      </c>
      <c r="Y84" s="489" t="str">
        <f t="shared" ca="1" si="127"/>
        <v>n/a</v>
      </c>
      <c r="Z84" s="490"/>
      <c r="AA84" s="488"/>
      <c r="AB84" s="489" t="str">
        <f ca="1">IFERROR(AB82/AVERAGE(AA83:AB83),"n/a")</f>
        <v>n/a</v>
      </c>
      <c r="AC84" s="489" t="str">
        <f t="shared" ref="AC84:AG84" ca="1" si="128">IFERROR(AC82/AVERAGE(AB83:AC83),"n/a")</f>
        <v>n/a</v>
      </c>
      <c r="AD84" s="489" t="str">
        <f t="shared" ca="1" si="128"/>
        <v>n/a</v>
      </c>
      <c r="AE84" s="489" t="str">
        <f t="shared" ca="1" si="128"/>
        <v>n/a</v>
      </c>
      <c r="AF84" s="489" t="str">
        <f t="shared" ca="1" si="128"/>
        <v>n/a</v>
      </c>
      <c r="AG84" s="489" t="str">
        <f t="shared" ca="1" si="128"/>
        <v>n/a</v>
      </c>
    </row>
    <row r="85" spans="2:33" ht="20.100000000000001" customHeight="1" outlineLevel="1"/>
    <row r="86" spans="2:33" ht="20.100000000000001" customHeight="1" outlineLevel="1"/>
  </sheetData>
  <protectedRanges>
    <protectedRange sqref="K11:K12" name="Plage1"/>
  </protectedRanges>
  <dataConsolidate/>
  <mergeCells count="6">
    <mergeCell ref="I74:I84"/>
    <mergeCell ref="I17:I27"/>
    <mergeCell ref="I30:I40"/>
    <mergeCell ref="I43:I53"/>
    <mergeCell ref="K11:L11"/>
    <mergeCell ref="I61:I71"/>
  </mergeCells>
  <pageMargins left="0.43307086614173229" right="0.23622047244094491" top="0.55118110236220474" bottom="0.55118110236220474" header="0.31496062992125984" footer="0.31496062992125984"/>
  <pageSetup paperSize="9" scale="4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4" tint="0.79998168889431442"/>
    <pageSetUpPr fitToPage="1"/>
  </sheetPr>
  <dimension ref="A1:F23"/>
  <sheetViews>
    <sheetView workbookViewId="0">
      <selection activeCell="D24" sqref="D24"/>
    </sheetView>
  </sheetViews>
  <sheetFormatPr baseColWidth="10" defaultRowHeight="15"/>
  <cols>
    <col min="1" max="3" width="9.85546875" customWidth="1"/>
    <col min="4" max="4" width="10.28515625" customWidth="1"/>
    <col min="7" max="7" width="5.5703125" customWidth="1"/>
    <col min="26" max="26" width="5.7109375" customWidth="1"/>
  </cols>
  <sheetData>
    <row r="1" spans="1:6">
      <c r="A1" s="58"/>
      <c r="B1" s="58"/>
      <c r="C1" s="58"/>
    </row>
    <row r="2" spans="1:6">
      <c r="B2" s="235" t="s">
        <v>199</v>
      </c>
      <c r="C2" s="236"/>
      <c r="D2" s="236"/>
      <c r="E2" s="236"/>
      <c r="F2" s="236"/>
    </row>
    <row r="4" spans="1:6">
      <c r="B4" s="69" t="s">
        <v>53</v>
      </c>
      <c r="C4" s="59" t="s">
        <v>45</v>
      </c>
      <c r="D4" s="59" t="s">
        <v>46</v>
      </c>
      <c r="E4" s="59" t="s">
        <v>47</v>
      </c>
      <c r="F4" s="60" t="s">
        <v>48</v>
      </c>
    </row>
    <row r="5" spans="1:6">
      <c r="B5" s="67" t="s">
        <v>49</v>
      </c>
      <c r="C5" s="65">
        <v>0.35</v>
      </c>
      <c r="D5" s="65">
        <v>0.26</v>
      </c>
      <c r="E5" s="65">
        <v>0.05</v>
      </c>
      <c r="F5" s="66">
        <v>0.18</v>
      </c>
    </row>
    <row r="6" spans="1:6">
      <c r="B6" s="67" t="s">
        <v>50</v>
      </c>
      <c r="C6" s="61">
        <v>30.6</v>
      </c>
      <c r="D6" s="61">
        <v>38.6</v>
      </c>
      <c r="E6" s="61"/>
      <c r="F6" s="62"/>
    </row>
    <row r="7" spans="1:6">
      <c r="B7" s="68" t="s">
        <v>51</v>
      </c>
      <c r="C7" s="63">
        <v>45.9</v>
      </c>
      <c r="D7" s="63">
        <v>46.9</v>
      </c>
      <c r="E7" s="63"/>
      <c r="F7" s="64"/>
    </row>
    <row r="9" spans="1:6">
      <c r="B9" s="61"/>
      <c r="C9" s="61"/>
      <c r="D9" s="61"/>
      <c r="E9" s="61"/>
      <c r="F9" s="61"/>
    </row>
    <row r="12" spans="1:6">
      <c r="B12" s="69" t="s">
        <v>52</v>
      </c>
      <c r="C12" s="59" t="s">
        <v>45</v>
      </c>
      <c r="D12" s="59" t="s">
        <v>46</v>
      </c>
      <c r="E12" s="59" t="s">
        <v>47</v>
      </c>
      <c r="F12" s="60" t="s">
        <v>48</v>
      </c>
    </row>
    <row r="13" spans="1:6">
      <c r="B13" s="67" t="s">
        <v>49</v>
      </c>
      <c r="C13" s="65">
        <v>0.51</v>
      </c>
      <c r="D13" s="65">
        <v>0.26</v>
      </c>
      <c r="E13" s="65">
        <v>0.05</v>
      </c>
      <c r="F13" s="66">
        <v>0.18</v>
      </c>
    </row>
    <row r="14" spans="1:6">
      <c r="B14" s="67" t="s">
        <v>50</v>
      </c>
      <c r="C14" s="61">
        <v>30.6</v>
      </c>
      <c r="D14" s="61">
        <v>38.6</v>
      </c>
      <c r="E14" s="61"/>
      <c r="F14" s="62"/>
    </row>
    <row r="15" spans="1:6">
      <c r="B15" s="68" t="s">
        <v>51</v>
      </c>
      <c r="C15" s="63">
        <v>45.9</v>
      </c>
      <c r="D15" s="63">
        <v>46.9</v>
      </c>
      <c r="E15" s="63"/>
      <c r="F15" s="64"/>
    </row>
    <row r="17" spans="2:6">
      <c r="B17" s="61"/>
      <c r="C17" s="61"/>
      <c r="D17" s="61"/>
      <c r="E17" s="61"/>
      <c r="F17" s="61"/>
    </row>
    <row r="20" spans="2:6">
      <c r="B20" s="69" t="s">
        <v>54</v>
      </c>
      <c r="C20" s="59" t="s">
        <v>45</v>
      </c>
      <c r="D20" s="59" t="s">
        <v>46</v>
      </c>
      <c r="E20" s="59" t="s">
        <v>47</v>
      </c>
      <c r="F20" s="60" t="s">
        <v>48</v>
      </c>
    </row>
    <row r="21" spans="2:6">
      <c r="B21" s="67" t="s">
        <v>49</v>
      </c>
      <c r="C21" s="65">
        <v>0.51</v>
      </c>
      <c r="D21" s="65">
        <v>0.26</v>
      </c>
      <c r="E21" s="65">
        <v>0.05</v>
      </c>
      <c r="F21" s="66">
        <v>0.18</v>
      </c>
    </row>
    <row r="22" spans="2:6">
      <c r="B22" s="67" t="s">
        <v>50</v>
      </c>
      <c r="C22" s="61">
        <v>30.6</v>
      </c>
      <c r="D22" s="61">
        <v>38.6</v>
      </c>
      <c r="E22" s="61"/>
      <c r="F22" s="62"/>
    </row>
    <row r="23" spans="2:6">
      <c r="B23" s="68" t="s">
        <v>51</v>
      </c>
      <c r="C23" s="63">
        <v>45.9</v>
      </c>
      <c r="D23" s="63">
        <v>46.9</v>
      </c>
      <c r="E23" s="63"/>
      <c r="F23" s="64"/>
    </row>
  </sheetData>
  <pageMargins left="0.70866141732283472" right="0.70866141732283472" top="0.74803149606299213" bottom="0.74803149606299213" header="0.31496062992125984" footer="0.31496062992125984"/>
  <pageSetup paperSize="9" orientation="landscape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0.79998168889431442"/>
    <pageSetUpPr fitToPage="1"/>
  </sheetPr>
  <dimension ref="A1:C6"/>
  <sheetViews>
    <sheetView showGridLines="0" zoomScaleNormal="100" workbookViewId="0">
      <selection activeCell="D24" sqref="D24"/>
    </sheetView>
  </sheetViews>
  <sheetFormatPr baseColWidth="10" defaultRowHeight="15"/>
  <cols>
    <col min="1" max="1" width="11.42578125" style="70"/>
    <col min="2" max="2" width="3.5703125" style="70" customWidth="1"/>
    <col min="3" max="25" width="11.42578125" style="70"/>
    <col min="26" max="26" width="5.7109375" style="70" customWidth="1"/>
    <col min="27" max="16384" width="11.42578125" style="70"/>
  </cols>
  <sheetData>
    <row r="1" spans="1:3">
      <c r="A1" s="89" t="s">
        <v>63</v>
      </c>
    </row>
    <row r="2" spans="1:3" hidden="1"/>
    <row r="3" spans="1:3" hidden="1">
      <c r="C3" s="70" t="str">
        <f>Base!E51</f>
        <v>Revenue (MEUR)</v>
      </c>
    </row>
    <row r="4" spans="1:3" hidden="1">
      <c r="C4" s="70" t="str">
        <f>Base!E59</f>
        <v>CAFOP bef.  MF (MEUR)</v>
      </c>
    </row>
    <row r="5" spans="1:3" hidden="1">
      <c r="C5" s="70" t="str">
        <f>Base!E85</f>
        <v>Net Industrial CAPEX (MEUR)</v>
      </c>
    </row>
    <row r="6" spans="1:3" hidden="1">
      <c r="C6" s="70" t="str">
        <f>Base!E166</f>
        <v>Operating FCF (MEUR)</v>
      </c>
    </row>
  </sheetData>
  <pageMargins left="0.70866141732283472" right="0.70866141732283472" top="0.74803149606299213" bottom="0.74803149606299213" header="0.31496062992125984" footer="0.31496062992125984"/>
  <pageSetup paperSize="9" orientation="landscape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4" tint="0.79998168889431442"/>
    <pageSetUpPr fitToPage="1"/>
  </sheetPr>
  <dimension ref="A1:C8"/>
  <sheetViews>
    <sheetView showGridLines="0" workbookViewId="0">
      <selection activeCell="D24" sqref="D24"/>
    </sheetView>
  </sheetViews>
  <sheetFormatPr baseColWidth="10" defaultRowHeight="15"/>
  <cols>
    <col min="1" max="1" width="4.140625" customWidth="1"/>
    <col min="11" max="11" width="12.42578125" customWidth="1"/>
    <col min="26" max="26" width="5.7109375" customWidth="1"/>
  </cols>
  <sheetData>
    <row r="1" spans="1:3">
      <c r="A1" s="89" t="s">
        <v>64</v>
      </c>
    </row>
    <row r="2" spans="1:3" s="70" customFormat="1"/>
    <row r="3" spans="1:3" s="70" customFormat="1" hidden="1">
      <c r="C3" s="70" t="str">
        <f>Base!E72</f>
        <v>EBIT bef.  MF (MEUR)</v>
      </c>
    </row>
    <row r="4" spans="1:3" s="70" customFormat="1" hidden="1">
      <c r="C4" s="70" t="str">
        <f>Base!E132</f>
        <v>Net Income Group Share (MEUR)</v>
      </c>
    </row>
    <row r="5" spans="1:3" s="70" customFormat="1" hidden="1">
      <c r="C5" s="70" t="str">
        <f>Base!E124</f>
        <v>CAPEM (MEUR)</v>
      </c>
    </row>
    <row r="6" spans="1:3" s="70" customFormat="1" hidden="1">
      <c r="C6" s="70" t="str">
        <f>Base!E142</f>
        <v>NFD (MEUR)</v>
      </c>
    </row>
    <row r="7" spans="1:3" s="70" customFormat="1"/>
    <row r="8" spans="1:3" s="70" customFormat="1"/>
  </sheetData>
  <pageMargins left="0.70866141732283472" right="0.70866141732283472" top="0.74803149606299213" bottom="0.74803149606299213" header="0.31496062992125984" footer="0.31496062992125984"/>
  <pageSetup paperSize="9" orientation="landscape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A1:H23"/>
  <sheetViews>
    <sheetView showGridLines="0" zoomScale="75" zoomScaleNormal="75" workbookViewId="0">
      <selection activeCell="D24" sqref="D24"/>
    </sheetView>
  </sheetViews>
  <sheetFormatPr baseColWidth="10" defaultRowHeight="15" outlineLevelRow="1"/>
  <cols>
    <col min="1" max="1" width="52" customWidth="1"/>
    <col min="2" max="3" width="10" customWidth="1"/>
    <col min="4" max="8" width="10" style="176" customWidth="1"/>
    <col min="25" max="26" width="5.7109375" customWidth="1"/>
  </cols>
  <sheetData>
    <row r="1" spans="1:8" ht="30" outlineLevel="1">
      <c r="A1" s="125">
        <f>N</f>
        <v>2023</v>
      </c>
      <c r="B1" s="125" t="str">
        <f>"F_year_"&amp;N</f>
        <v>F_year_2023</v>
      </c>
      <c r="C1" s="125" t="str">
        <f>"F_year_"&amp;N+1</f>
        <v>F_year_2024</v>
      </c>
      <c r="D1" s="125" t="str">
        <f>"F_year_"&amp;N+2</f>
        <v>F_year_2025</v>
      </c>
      <c r="E1" s="125" t="str">
        <f>"F_year_"&amp;N+3</f>
        <v>F_year_2026</v>
      </c>
      <c r="F1" s="125" t="str">
        <f>"F_year_"&amp;N+4</f>
        <v>F_year_2027</v>
      </c>
      <c r="G1" s="125" t="str">
        <f>"F_year_"&amp;N+5</f>
        <v>F_year_2028</v>
      </c>
      <c r="H1" s="125" t="str">
        <f>"F_year_"&amp;N+6</f>
        <v>F_year_2029</v>
      </c>
    </row>
    <row r="2" spans="1:8" outlineLevel="1"/>
    <row r="3" spans="1:8" ht="27.75" customHeight="1">
      <c r="A3" s="195" t="s">
        <v>184</v>
      </c>
      <c r="B3" s="229" t="str">
        <f ca="1">'Page 8 - comparison country lev'!K28</f>
        <v>F2 2023</v>
      </c>
      <c r="C3" s="229" t="str">
        <f ca="1">'Page 8 - comparison country lev'!L28</f>
        <v>Budget 2024</v>
      </c>
      <c r="D3" s="229" t="str">
        <f ca="1">'Page 8 - comparison country lev'!M28</f>
        <v>LTP 2025</v>
      </c>
      <c r="E3" s="229" t="str">
        <f ca="1">'Page 8 - comparison country lev'!N28</f>
        <v>LTP 2026</v>
      </c>
      <c r="F3" s="229" t="str">
        <f ca="1">'Page 8 - comparison country lev'!O28</f>
        <v>LTP 2027</v>
      </c>
      <c r="G3" s="229" t="str">
        <f ca="1">'Page 8 - comparison country lev'!P28</f>
        <v>LTP 2028</v>
      </c>
      <c r="H3" s="229" t="str">
        <f ca="1">'Page 8 - comparison country lev'!Q28</f>
        <v>LTP 2029</v>
      </c>
    </row>
    <row r="4" spans="1:8" ht="6.75" customHeight="1">
      <c r="A4" s="196"/>
      <c r="B4" s="197"/>
      <c r="C4" s="197"/>
      <c r="D4" s="198"/>
      <c r="E4" s="198"/>
      <c r="F4" s="198"/>
      <c r="G4" s="198"/>
      <c r="H4" s="198"/>
    </row>
    <row r="5" spans="1:8" s="61" customFormat="1" ht="18.75">
      <c r="A5" s="239" t="s">
        <v>99</v>
      </c>
      <c r="B5" s="240">
        <f ca="1">'Page 8 - comparison country lev'!K29</f>
        <v>0</v>
      </c>
      <c r="C5" s="240">
        <f ca="1">'Page 8 - comparison country lev'!L29</f>
        <v>0</v>
      </c>
      <c r="D5" s="240">
        <f ca="1">'Page 8 - comparison country lev'!M29</f>
        <v>0</v>
      </c>
      <c r="E5" s="240">
        <f ca="1">'Page 8 - comparison country lev'!N29</f>
        <v>0</v>
      </c>
      <c r="F5" s="240">
        <f ca="1">'Page 8 - comparison country lev'!O29</f>
        <v>0</v>
      </c>
      <c r="G5" s="240">
        <f ca="1">'Page 8 - comparison country lev'!P29</f>
        <v>0</v>
      </c>
      <c r="H5" s="240">
        <f ca="1">'Page 8 - comparison country lev'!Q29</f>
        <v>0</v>
      </c>
    </row>
    <row r="6" spans="1:8" ht="15.75">
      <c r="A6" s="156" t="s">
        <v>119</v>
      </c>
      <c r="B6" s="157"/>
      <c r="C6" s="157"/>
      <c r="D6" s="158">
        <f ca="1">D5-C5</f>
        <v>0</v>
      </c>
      <c r="E6" s="158">
        <f ca="1">E5-D5</f>
        <v>0</v>
      </c>
      <c r="F6" s="158">
        <f t="shared" ref="F6:H6" ca="1" si="0">F5-E5</f>
        <v>0</v>
      </c>
      <c r="G6" s="158">
        <f t="shared" ca="1" si="0"/>
        <v>0</v>
      </c>
      <c r="H6" s="158">
        <f t="shared" ca="1" si="0"/>
        <v>0</v>
      </c>
    </row>
    <row r="7" spans="1:8" ht="6.75" customHeight="1">
      <c r="A7" s="199"/>
      <c r="B7" s="200"/>
      <c r="C7" s="201"/>
      <c r="D7" s="202"/>
      <c r="E7" s="202"/>
      <c r="F7" s="202"/>
      <c r="G7" s="202"/>
      <c r="H7" s="202"/>
    </row>
    <row r="8" spans="1:8" s="165" customFormat="1" ht="39" customHeight="1" thickBot="1">
      <c r="A8" s="203" t="s">
        <v>120</v>
      </c>
      <c r="B8" s="204"/>
      <c r="C8" s="205"/>
      <c r="D8" s="206" t="str">
        <f>RIGHT(D1,4)&amp;" vs "&amp;RIGHT(C1,4)</f>
        <v>2025 vs 2024</v>
      </c>
      <c r="E8" s="206" t="str">
        <f t="shared" ref="E8:H8" si="1">RIGHT(E1,4)&amp;" vs "&amp;RIGHT(D1,4)</f>
        <v>2026 vs 2025</v>
      </c>
      <c r="F8" s="206" t="str">
        <f t="shared" si="1"/>
        <v>2027 vs 2026</v>
      </c>
      <c r="G8" s="206" t="str">
        <f t="shared" si="1"/>
        <v>2028 vs 2027</v>
      </c>
      <c r="H8" s="206" t="str">
        <f t="shared" si="1"/>
        <v>2029 vs 2028</v>
      </c>
    </row>
    <row r="9" spans="1:8" ht="6.75" customHeight="1">
      <c r="A9" s="196"/>
      <c r="B9" s="197"/>
      <c r="C9" s="197"/>
      <c r="D9" s="198"/>
      <c r="E9" s="198"/>
      <c r="F9" s="198"/>
      <c r="G9" s="198"/>
      <c r="H9" s="198"/>
    </row>
    <row r="10" spans="1:8" s="1" customFormat="1" ht="15.75">
      <c r="A10" s="166" t="s">
        <v>121</v>
      </c>
      <c r="B10" s="167"/>
      <c r="C10" s="167"/>
      <c r="D10" s="237">
        <v>0</v>
      </c>
      <c r="E10" s="237">
        <v>0</v>
      </c>
      <c r="F10" s="237">
        <v>0</v>
      </c>
      <c r="G10" s="237">
        <v>0</v>
      </c>
      <c r="H10" s="237">
        <v>0</v>
      </c>
    </row>
    <row r="11" spans="1:8" s="171" customFormat="1" ht="7.5" customHeight="1">
      <c r="A11" s="168"/>
      <c r="B11" s="169"/>
      <c r="C11" s="169"/>
      <c r="D11" s="170"/>
      <c r="E11" s="170"/>
      <c r="F11" s="170"/>
      <c r="G11" s="170"/>
      <c r="H11" s="170"/>
    </row>
    <row r="12" spans="1:8" s="171" customFormat="1" ht="15.75">
      <c r="A12" s="172" t="s">
        <v>122</v>
      </c>
      <c r="B12" s="169"/>
      <c r="C12" s="169"/>
      <c r="D12" s="237">
        <v>0</v>
      </c>
      <c r="E12" s="237">
        <v>0</v>
      </c>
      <c r="F12" s="237">
        <v>0</v>
      </c>
      <c r="G12" s="237">
        <v>0</v>
      </c>
      <c r="H12" s="237">
        <v>0</v>
      </c>
    </row>
    <row r="13" spans="1:8" s="171" customFormat="1" ht="7.5" customHeight="1">
      <c r="A13" s="168"/>
      <c r="B13" s="169"/>
      <c r="C13" s="169"/>
      <c r="D13" s="170"/>
      <c r="E13" s="170"/>
      <c r="F13" s="170"/>
      <c r="G13" s="170"/>
      <c r="H13" s="170"/>
    </row>
    <row r="14" spans="1:8" s="171" customFormat="1" ht="15.75">
      <c r="A14" s="172" t="s">
        <v>123</v>
      </c>
      <c r="B14" s="169"/>
      <c r="C14" s="169"/>
      <c r="D14" s="237">
        <v>0</v>
      </c>
      <c r="E14" s="237">
        <v>0</v>
      </c>
      <c r="F14" s="237">
        <v>0</v>
      </c>
      <c r="G14" s="237">
        <v>0</v>
      </c>
      <c r="H14" s="237">
        <v>0</v>
      </c>
    </row>
    <row r="15" spans="1:8" s="171" customFormat="1" ht="7.5" customHeight="1">
      <c r="A15" s="168"/>
      <c r="B15" s="169"/>
      <c r="C15" s="169"/>
      <c r="D15" s="170"/>
      <c r="E15" s="170"/>
      <c r="F15" s="170"/>
      <c r="G15" s="170"/>
      <c r="H15" s="170"/>
    </row>
    <row r="16" spans="1:8" s="171" customFormat="1" ht="15.75">
      <c r="A16" s="172" t="s">
        <v>185</v>
      </c>
      <c r="B16" s="169"/>
      <c r="C16" s="169"/>
      <c r="D16" s="237">
        <v>0</v>
      </c>
      <c r="E16" s="237">
        <v>0</v>
      </c>
      <c r="F16" s="237">
        <v>0</v>
      </c>
      <c r="G16" s="237">
        <v>0</v>
      </c>
      <c r="H16" s="237">
        <v>0</v>
      </c>
    </row>
    <row r="17" spans="1:8" s="171" customFormat="1" ht="7.5" customHeight="1">
      <c r="A17" s="168"/>
      <c r="B17" s="169"/>
      <c r="C17" s="169"/>
      <c r="D17" s="170"/>
      <c r="E17" s="170"/>
      <c r="F17" s="170"/>
      <c r="G17" s="170"/>
      <c r="H17" s="170"/>
    </row>
    <row r="18" spans="1:8" s="171" customFormat="1" ht="15.75">
      <c r="A18" s="172" t="s">
        <v>124</v>
      </c>
      <c r="B18" s="169"/>
      <c r="C18" s="169"/>
      <c r="D18" s="237">
        <v>0</v>
      </c>
      <c r="E18" s="237">
        <v>0</v>
      </c>
      <c r="F18" s="237">
        <v>0</v>
      </c>
      <c r="G18" s="237">
        <v>0</v>
      </c>
      <c r="H18" s="237">
        <v>0</v>
      </c>
    </row>
    <row r="19" spans="1:8" s="171" customFormat="1" ht="7.5" customHeight="1">
      <c r="A19" s="168"/>
      <c r="B19" s="169"/>
      <c r="C19" s="169"/>
      <c r="D19" s="170"/>
      <c r="E19" s="170"/>
      <c r="F19" s="170"/>
      <c r="G19" s="170"/>
      <c r="H19" s="170"/>
    </row>
    <row r="20" spans="1:8" ht="15.75">
      <c r="A20" s="172" t="s">
        <v>125</v>
      </c>
      <c r="B20" s="157"/>
      <c r="C20" s="157"/>
      <c r="D20" s="237">
        <f ca="1">D6-SUM(D10:D18)</f>
        <v>0</v>
      </c>
      <c r="E20" s="237">
        <f t="shared" ref="E20:H20" ca="1" si="2">E6-SUM(E10:E18)</f>
        <v>0</v>
      </c>
      <c r="F20" s="237">
        <f t="shared" ca="1" si="2"/>
        <v>0</v>
      </c>
      <c r="G20" s="237">
        <f t="shared" ca="1" si="2"/>
        <v>0</v>
      </c>
      <c r="H20" s="237">
        <f t="shared" ca="1" si="2"/>
        <v>0</v>
      </c>
    </row>
    <row r="21" spans="1:8" ht="6.75" customHeight="1" thickBot="1">
      <c r="A21" s="207"/>
      <c r="B21" s="208"/>
      <c r="C21" s="208"/>
      <c r="D21" s="209"/>
      <c r="E21" s="209"/>
      <c r="F21" s="209"/>
      <c r="G21" s="209"/>
      <c r="H21" s="209"/>
    </row>
    <row r="22" spans="1:8" ht="6.75" customHeight="1">
      <c r="A22" s="210"/>
      <c r="B22" s="210"/>
      <c r="C22" s="210"/>
      <c r="D22" s="211"/>
      <c r="E22" s="211"/>
      <c r="F22" s="211"/>
      <c r="G22" s="211"/>
      <c r="H22" s="211"/>
    </row>
    <row r="23" spans="1:8">
      <c r="A23" s="238" t="s">
        <v>126</v>
      </c>
      <c r="B23" s="210"/>
      <c r="C23" s="210"/>
      <c r="D23" s="211"/>
      <c r="E23" s="211"/>
      <c r="F23" s="211"/>
      <c r="G23" s="211"/>
      <c r="H23" s="211"/>
    </row>
  </sheetData>
  <pageMargins left="0.70866141732283472" right="0.70866141732283472" top="0.74803149606299213" bottom="0.74803149606299213" header="0.31496062992125984" footer="0.31496062992125984"/>
  <pageSetup paperSize="9" scale="58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A1:J25"/>
  <sheetViews>
    <sheetView showGridLines="0" topLeftCell="A3" zoomScale="75" zoomScaleNormal="75" workbookViewId="0">
      <selection activeCell="D24" sqref="D24"/>
    </sheetView>
  </sheetViews>
  <sheetFormatPr baseColWidth="10" defaultRowHeight="15" outlineLevelRow="1" outlineLevelCol="1"/>
  <cols>
    <col min="1" max="1" width="37.28515625" customWidth="1"/>
    <col min="2" max="2" width="9.140625" hidden="1" customWidth="1" outlineLevel="1"/>
    <col min="3" max="3" width="9.140625" customWidth="1" collapsed="1"/>
    <col min="4" max="8" width="9.140625" customWidth="1"/>
    <col min="9" max="10" width="16.7109375" customWidth="1"/>
    <col min="26" max="27" width="5.7109375" customWidth="1"/>
  </cols>
  <sheetData>
    <row r="1" spans="1:10" hidden="1" outlineLevel="1">
      <c r="A1">
        <f>N</f>
        <v>2023</v>
      </c>
      <c r="B1" t="str">
        <f>"F_year_"&amp;N</f>
        <v>F_year_2023</v>
      </c>
      <c r="C1" t="str">
        <f>"F_year_"&amp;N+1</f>
        <v>F_year_2024</v>
      </c>
      <c r="D1" t="str">
        <f>"F_year_"&amp;N+2</f>
        <v>F_year_2025</v>
      </c>
      <c r="E1" t="str">
        <f>"F_year_"&amp;N+3</f>
        <v>F_year_2026</v>
      </c>
      <c r="F1" t="str">
        <f>"F_year_"&amp;N+4</f>
        <v>F_year_2027</v>
      </c>
      <c r="G1" t="str">
        <f>"F_year_"&amp;N+5</f>
        <v>F_year_2028</v>
      </c>
      <c r="H1" t="str">
        <f>"F_year_"&amp;N+6</f>
        <v>F_year_2029</v>
      </c>
    </row>
    <row r="2" spans="1:10" ht="9.75" hidden="1" customHeight="1" outlineLevel="1"/>
    <row r="3" spans="1:10" ht="27.75" customHeight="1" collapsed="1">
      <c r="A3" s="195" t="s">
        <v>128</v>
      </c>
      <c r="B3" s="229" t="str">
        <f>RIGHT(B1,4)</f>
        <v>2023</v>
      </c>
      <c r="C3" s="229" t="str">
        <f>RIGHT(C1,4)</f>
        <v>2024</v>
      </c>
      <c r="D3" s="229" t="str">
        <f t="shared" ref="D3:H3" si="0">RIGHT(D1,4)</f>
        <v>2025</v>
      </c>
      <c r="E3" s="229" t="str">
        <f t="shared" si="0"/>
        <v>2026</v>
      </c>
      <c r="F3" s="229" t="str">
        <f t="shared" si="0"/>
        <v>2027</v>
      </c>
      <c r="G3" s="229" t="str">
        <f t="shared" si="0"/>
        <v>2028</v>
      </c>
      <c r="H3" s="229" t="str">
        <f t="shared" si="0"/>
        <v>2029</v>
      </c>
      <c r="I3" s="229" t="s">
        <v>129</v>
      </c>
      <c r="J3" s="229" t="s">
        <v>313</v>
      </c>
    </row>
    <row r="4" spans="1:10" ht="6.75" customHeight="1" thickBot="1">
      <c r="A4" s="196"/>
      <c r="B4" s="197"/>
      <c r="C4" s="197"/>
      <c r="D4" s="198"/>
      <c r="E4" s="198"/>
      <c r="F4" s="198"/>
      <c r="G4" s="198"/>
      <c r="H4" s="198"/>
      <c r="I4" s="198"/>
      <c r="J4" s="198"/>
    </row>
    <row r="5" spans="1:10" ht="5.25" customHeight="1">
      <c r="A5" s="178"/>
      <c r="B5" s="178"/>
      <c r="C5" s="178"/>
      <c r="D5" s="178"/>
      <c r="E5" s="178"/>
      <c r="F5" s="178"/>
      <c r="G5" s="178"/>
      <c r="H5" s="178"/>
      <c r="I5" s="178"/>
      <c r="J5" s="178"/>
    </row>
    <row r="6" spans="1:10" ht="15.75">
      <c r="A6" s="179" t="s">
        <v>133</v>
      </c>
      <c r="B6" s="180" t="s">
        <v>134</v>
      </c>
      <c r="C6" s="438" t="s">
        <v>138</v>
      </c>
      <c r="D6" s="181"/>
      <c r="E6" s="181"/>
      <c r="F6" s="181"/>
      <c r="G6" s="181"/>
      <c r="H6" s="181"/>
      <c r="I6" s="182">
        <v>44926</v>
      </c>
      <c r="J6" s="182" t="s">
        <v>314</v>
      </c>
    </row>
    <row r="7" spans="1:10" ht="15.75">
      <c r="A7" s="179" t="s">
        <v>137</v>
      </c>
      <c r="B7" s="181"/>
      <c r="C7" s="437" t="s">
        <v>142</v>
      </c>
      <c r="D7" s="181"/>
      <c r="E7" s="181"/>
      <c r="F7" s="181"/>
      <c r="G7" s="181"/>
      <c r="H7" s="181"/>
      <c r="I7" s="182">
        <v>44742</v>
      </c>
      <c r="J7" s="182" t="s">
        <v>314</v>
      </c>
    </row>
    <row r="8" spans="1:10" ht="15.75">
      <c r="A8" s="179" t="s">
        <v>141</v>
      </c>
      <c r="B8" s="181"/>
      <c r="C8" s="437" t="s">
        <v>145</v>
      </c>
      <c r="D8" s="181"/>
      <c r="E8" s="181"/>
      <c r="F8" s="181"/>
      <c r="G8" s="181"/>
      <c r="H8" s="181"/>
      <c r="I8" s="182" t="s">
        <v>143</v>
      </c>
      <c r="J8" s="182" t="s">
        <v>314</v>
      </c>
    </row>
    <row r="9" spans="1:10" ht="15.75">
      <c r="A9" s="179" t="s">
        <v>144</v>
      </c>
      <c r="B9" s="181"/>
      <c r="C9" s="437" t="s">
        <v>215</v>
      </c>
      <c r="D9" s="181"/>
      <c r="E9" s="181"/>
      <c r="F9" s="181"/>
      <c r="G9" s="181"/>
      <c r="H9" s="181"/>
      <c r="I9" s="182" t="s">
        <v>143</v>
      </c>
      <c r="J9" s="182" t="s">
        <v>314</v>
      </c>
    </row>
    <row r="10" spans="1:10" ht="15.75">
      <c r="A10" s="179" t="s">
        <v>146</v>
      </c>
      <c r="B10" s="181"/>
      <c r="C10" s="181"/>
      <c r="D10" s="438" t="s">
        <v>147</v>
      </c>
      <c r="E10" s="181"/>
      <c r="F10" s="181"/>
      <c r="G10" s="181"/>
      <c r="H10" s="181"/>
      <c r="I10" s="182" t="s">
        <v>143</v>
      </c>
      <c r="J10" s="182" t="s">
        <v>314</v>
      </c>
    </row>
    <row r="11" spans="1:10" ht="15.75">
      <c r="A11" s="179" t="s">
        <v>148</v>
      </c>
      <c r="B11" s="181"/>
      <c r="C11" s="181"/>
      <c r="D11" s="437" t="s">
        <v>149</v>
      </c>
      <c r="E11" s="181"/>
      <c r="F11" s="181"/>
      <c r="G11" s="181"/>
      <c r="H11" s="181"/>
      <c r="I11" s="182" t="s">
        <v>143</v>
      </c>
      <c r="J11" s="182" t="s">
        <v>314</v>
      </c>
    </row>
    <row r="12" spans="1:10" ht="15.75">
      <c r="A12" s="179" t="s">
        <v>151</v>
      </c>
      <c r="B12" s="181"/>
      <c r="C12" s="181"/>
      <c r="D12" s="437" t="s">
        <v>152</v>
      </c>
      <c r="E12" s="181"/>
      <c r="F12" s="181"/>
      <c r="G12" s="181"/>
      <c r="H12" s="181"/>
      <c r="I12" s="182" t="s">
        <v>143</v>
      </c>
      <c r="J12" s="182" t="s">
        <v>314</v>
      </c>
    </row>
    <row r="13" spans="1:10" ht="15.75">
      <c r="A13" s="179" t="s">
        <v>153</v>
      </c>
      <c r="B13" s="181"/>
      <c r="C13" s="181"/>
      <c r="D13" s="181"/>
      <c r="E13" s="437" t="s">
        <v>154</v>
      </c>
      <c r="F13" s="181"/>
      <c r="G13" s="181"/>
      <c r="H13" s="181"/>
      <c r="I13" s="182" t="s">
        <v>143</v>
      </c>
      <c r="J13" s="182" t="s">
        <v>314</v>
      </c>
    </row>
    <row r="14" spans="1:10" ht="15.75">
      <c r="A14" s="179" t="s">
        <v>155</v>
      </c>
      <c r="B14" s="181"/>
      <c r="C14" s="181"/>
      <c r="D14" s="181"/>
      <c r="E14" s="437" t="s">
        <v>156</v>
      </c>
      <c r="F14" s="181"/>
      <c r="G14" s="181"/>
      <c r="H14" s="181"/>
      <c r="I14" s="182" t="s">
        <v>143</v>
      </c>
      <c r="J14" s="182" t="s">
        <v>314</v>
      </c>
    </row>
    <row r="15" spans="1:10" ht="15.75">
      <c r="A15" s="179" t="s">
        <v>157</v>
      </c>
      <c r="B15" s="181"/>
      <c r="C15" s="181"/>
      <c r="D15" s="181"/>
      <c r="E15" s="437" t="s">
        <v>158</v>
      </c>
      <c r="F15" s="181"/>
      <c r="G15" s="181"/>
      <c r="H15" s="181"/>
      <c r="I15" s="182" t="s">
        <v>143</v>
      </c>
      <c r="J15" s="182" t="s">
        <v>314</v>
      </c>
    </row>
    <row r="16" spans="1:10" ht="15.75">
      <c r="A16" s="179" t="s">
        <v>159</v>
      </c>
      <c r="B16" s="181"/>
      <c r="C16" s="181"/>
      <c r="D16" s="181"/>
      <c r="E16" s="438" t="s">
        <v>160</v>
      </c>
      <c r="F16" s="181"/>
      <c r="G16" s="181"/>
      <c r="H16" s="181"/>
      <c r="I16" s="182" t="s">
        <v>143</v>
      </c>
      <c r="J16" s="182" t="s">
        <v>314</v>
      </c>
    </row>
    <row r="17" spans="1:10" ht="15.75">
      <c r="A17" s="179" t="s">
        <v>161</v>
      </c>
      <c r="B17" s="181"/>
      <c r="C17" s="181"/>
      <c r="D17" s="181"/>
      <c r="E17" s="181"/>
      <c r="F17" s="437" t="s">
        <v>162</v>
      </c>
      <c r="G17" s="181"/>
      <c r="H17" s="181"/>
      <c r="I17" s="182" t="s">
        <v>143</v>
      </c>
      <c r="J17" s="182" t="s">
        <v>314</v>
      </c>
    </row>
    <row r="18" spans="1:10" ht="15.75">
      <c r="A18" s="179" t="s">
        <v>164</v>
      </c>
      <c r="B18" s="181"/>
      <c r="C18" s="181"/>
      <c r="D18" s="181"/>
      <c r="E18" s="181"/>
      <c r="F18" s="437" t="s">
        <v>165</v>
      </c>
      <c r="G18" s="181"/>
      <c r="H18" s="181"/>
      <c r="I18" s="182" t="s">
        <v>143</v>
      </c>
      <c r="J18" s="182" t="s">
        <v>314</v>
      </c>
    </row>
    <row r="19" spans="1:10" ht="15.75">
      <c r="A19" s="179" t="s">
        <v>166</v>
      </c>
      <c r="B19" s="181"/>
      <c r="C19" s="181"/>
      <c r="D19" s="181"/>
      <c r="E19" s="181"/>
      <c r="F19" s="181"/>
      <c r="G19" s="438" t="s">
        <v>167</v>
      </c>
      <c r="H19" s="181"/>
      <c r="I19" s="182" t="s">
        <v>143</v>
      </c>
      <c r="J19" s="182" t="s">
        <v>314</v>
      </c>
    </row>
    <row r="20" spans="1:10" ht="15.75">
      <c r="A20" s="179" t="s">
        <v>168</v>
      </c>
      <c r="B20" s="181"/>
      <c r="C20" s="181"/>
      <c r="D20" s="181"/>
      <c r="E20" s="181"/>
      <c r="F20" s="181"/>
      <c r="G20" s="181"/>
      <c r="H20" s="437" t="s">
        <v>169</v>
      </c>
      <c r="I20" s="182" t="s">
        <v>143</v>
      </c>
      <c r="J20" s="182" t="s">
        <v>314</v>
      </c>
    </row>
    <row r="21" spans="1:10" ht="15.75">
      <c r="A21" s="184" t="s">
        <v>170</v>
      </c>
      <c r="B21" s="185">
        <f t="shared" ref="B21:G21" si="1">SUM(B6:B20)</f>
        <v>0</v>
      </c>
      <c r="C21" s="185">
        <f t="shared" si="1"/>
        <v>0</v>
      </c>
      <c r="D21" s="185">
        <f t="shared" si="1"/>
        <v>0</v>
      </c>
      <c r="E21" s="185">
        <f t="shared" si="1"/>
        <v>0</v>
      </c>
      <c r="F21" s="185">
        <f t="shared" si="1"/>
        <v>0</v>
      </c>
      <c r="G21" s="185">
        <f t="shared" si="1"/>
        <v>0</v>
      </c>
      <c r="H21" s="185">
        <f t="shared" ref="H21" si="2">SUM(H6:H20)</f>
        <v>0</v>
      </c>
      <c r="I21" s="186"/>
      <c r="J21" s="186"/>
    </row>
    <row r="22" spans="1:10" s="191" customFormat="1" ht="18" thickBot="1">
      <c r="A22" s="189" t="s">
        <v>172</v>
      </c>
      <c r="B22" s="190">
        <f>SUM(B6)</f>
        <v>0</v>
      </c>
      <c r="C22" s="190">
        <f>SUM(C8:C9)</f>
        <v>0</v>
      </c>
      <c r="D22" s="190">
        <f>SUM(D11:D12)</f>
        <v>0</v>
      </c>
      <c r="E22" s="190">
        <f>SUM(E13:E15)</f>
        <v>0</v>
      </c>
      <c r="F22" s="190">
        <f>SUM(F17:F18)</f>
        <v>0</v>
      </c>
      <c r="G22" s="190">
        <f>SUM(G6:G21)</f>
        <v>0</v>
      </c>
      <c r="H22" s="190">
        <f>SUM(H20)</f>
        <v>0</v>
      </c>
      <c r="I22" s="190" t="s">
        <v>42</v>
      </c>
      <c r="J22" s="190" t="s">
        <v>42</v>
      </c>
    </row>
    <row r="23" spans="1:10" ht="6.75" customHeight="1"/>
    <row r="24" spans="1:10">
      <c r="A24" s="440" t="s">
        <v>174</v>
      </c>
    </row>
    <row r="25" spans="1:10">
      <c r="A25" s="439" t="s">
        <v>176</v>
      </c>
    </row>
  </sheetData>
  <pageMargins left="0.70866141732283472" right="0.70866141732283472" top="0.74803149606299213" bottom="0.74803149606299213" header="0.31496062992125984" footer="0.31496062992125984"/>
  <pageSetup paperSize="9" scale="5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4" tint="0.79998168889431442"/>
    <pageSetUpPr fitToPage="1"/>
  </sheetPr>
  <dimension ref="A1:B30"/>
  <sheetViews>
    <sheetView showGridLines="0" workbookViewId="0">
      <selection activeCell="D24" sqref="D24"/>
    </sheetView>
  </sheetViews>
  <sheetFormatPr baseColWidth="10" defaultRowHeight="15"/>
  <cols>
    <col min="1" max="1" width="3.7109375" customWidth="1"/>
    <col min="2" max="2" width="22.28515625" customWidth="1"/>
    <col min="3" max="4" width="12.140625" customWidth="1"/>
    <col min="5" max="15" width="10.140625" customWidth="1"/>
    <col min="26" max="26" width="5.7109375" customWidth="1"/>
  </cols>
  <sheetData>
    <row r="1" spans="1:2">
      <c r="A1" s="89" t="s">
        <v>65</v>
      </c>
    </row>
    <row r="3" spans="1:2" s="70" customFormat="1" ht="15" hidden="1" customHeight="1">
      <c r="B3" s="70" t="str">
        <f>Base!E51</f>
        <v>Revenue (MEUR)</v>
      </c>
    </row>
    <row r="30" ht="14.25" customHeight="1"/>
  </sheetData>
  <pageMargins left="0.70866141732283472" right="0.70866141732283472" top="0.74803149606299213" bottom="0.74803149606299213" header="0.31496062992125984" footer="0.31496062992125984"/>
  <pageSetup paperSize="9" scale="87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4" tint="0.79998168889431442"/>
    <pageSetUpPr fitToPage="1"/>
  </sheetPr>
  <dimension ref="A1:U27"/>
  <sheetViews>
    <sheetView showGridLines="0" topLeftCell="B1" zoomScaleNormal="100" workbookViewId="0">
      <selection activeCell="K20" sqref="K20"/>
    </sheetView>
  </sheetViews>
  <sheetFormatPr baseColWidth="10" defaultRowHeight="15" outlineLevelRow="1" outlineLevelCol="1"/>
  <cols>
    <col min="2" max="2" width="22.5703125" customWidth="1"/>
    <col min="3" max="10" width="7.7109375" customWidth="1"/>
    <col min="12" max="12" width="2.42578125" customWidth="1"/>
    <col min="13" max="13" width="39.42578125" customWidth="1"/>
    <col min="14" max="14" width="6.85546875" hidden="1" customWidth="1" outlineLevel="1"/>
    <col min="15" max="15" width="6.85546875" customWidth="1" collapsed="1"/>
    <col min="16" max="21" width="6.85546875" customWidth="1"/>
    <col min="26" max="26" width="5.7109375" customWidth="1"/>
  </cols>
  <sheetData>
    <row r="1" spans="1:21">
      <c r="A1" s="89" t="s">
        <v>116</v>
      </c>
    </row>
    <row r="3" spans="1:21" s="70" customFormat="1" hidden="1">
      <c r="B3" s="70" t="str">
        <f>Base!E72</f>
        <v>EBIT bef.  MF (MEUR)</v>
      </c>
    </row>
    <row r="4" spans="1:21" s="70" customFormat="1" hidden="1">
      <c r="B4" s="70" t="str">
        <f>"EBIT evolution Year On Year (M"&amp;Currency&amp;")"</f>
        <v>EBIT evolution Year On Year (MEUR)</v>
      </c>
    </row>
    <row r="5" spans="1:21" s="70" customFormat="1">
      <c r="B5" s="132"/>
    </row>
    <row r="6" spans="1:21">
      <c r="M6" s="243" t="str">
        <f>Base!E214</f>
        <v>In (MEUR)</v>
      </c>
      <c r="N6" s="243" t="str">
        <f>Base!F214</f>
        <v>2022</v>
      </c>
      <c r="O6" s="243" t="str">
        <f>Base!G214</f>
        <v>2023</v>
      </c>
      <c r="P6" s="243" t="str">
        <f>Base!H214</f>
        <v>2024</v>
      </c>
      <c r="Q6" s="243" t="str">
        <f>Base!I214</f>
        <v>2025</v>
      </c>
      <c r="R6" s="243" t="str">
        <f>Base!J214</f>
        <v>2026</v>
      </c>
      <c r="S6" s="243" t="str">
        <f>Base!K214</f>
        <v>2027</v>
      </c>
      <c r="T6" s="243" t="str">
        <f>Base!L214</f>
        <v>2028</v>
      </c>
      <c r="U6" s="243" t="str">
        <f>Base!M214</f>
        <v>2029</v>
      </c>
    </row>
    <row r="7" spans="1:21">
      <c r="M7" s="151" t="str">
        <f ca="1">Base!E215</f>
        <v>CAFOP before Management fees</v>
      </c>
      <c r="N7" s="244">
        <f ca="1">Base!F215</f>
        <v>0</v>
      </c>
      <c r="O7" s="244">
        <f ca="1">Base!G215</f>
        <v>0</v>
      </c>
      <c r="P7" s="244">
        <f ca="1">Base!H215</f>
        <v>0</v>
      </c>
      <c r="Q7" s="244">
        <f ca="1">Base!I215</f>
        <v>0</v>
      </c>
      <c r="R7" s="244">
        <f ca="1">Base!J215</f>
        <v>0</v>
      </c>
      <c r="S7" s="244">
        <f ca="1">Base!K215</f>
        <v>0</v>
      </c>
      <c r="T7" s="244">
        <f ca="1">Base!L215</f>
        <v>0</v>
      </c>
      <c r="U7" s="244">
        <f ca="1">Base!M215</f>
        <v>0</v>
      </c>
    </row>
    <row r="8" spans="1:21">
      <c r="M8" s="152" t="str">
        <f ca="1">Base!E216</f>
        <v>Amortization</v>
      </c>
      <c r="N8" s="245">
        <f ca="1">Base!F216</f>
        <v>0</v>
      </c>
      <c r="O8" s="245">
        <f ca="1">Base!G216</f>
        <v>0</v>
      </c>
      <c r="P8" s="245">
        <f ca="1">Base!H216</f>
        <v>0</v>
      </c>
      <c r="Q8" s="245">
        <f ca="1">Base!I216</f>
        <v>0</v>
      </c>
      <c r="R8" s="245">
        <f ca="1">Base!J216</f>
        <v>0</v>
      </c>
      <c r="S8" s="245">
        <f ca="1">Base!K216</f>
        <v>0</v>
      </c>
      <c r="T8" s="245">
        <f ca="1">Base!L216</f>
        <v>0</v>
      </c>
      <c r="U8" s="245">
        <f ca="1">Base!M216</f>
        <v>0</v>
      </c>
    </row>
    <row r="9" spans="1:21">
      <c r="M9" s="152" t="str">
        <f ca="1">Base!E217</f>
        <v>Provisions</v>
      </c>
      <c r="N9" s="245">
        <f ca="1">Base!F217</f>
        <v>0</v>
      </c>
      <c r="O9" s="245">
        <f ca="1">Base!G217</f>
        <v>0</v>
      </c>
      <c r="P9" s="245">
        <f ca="1">Base!H217</f>
        <v>0</v>
      </c>
      <c r="Q9" s="245">
        <f ca="1">Base!I217</f>
        <v>0</v>
      </c>
      <c r="R9" s="245">
        <f ca="1">Base!J217</f>
        <v>0</v>
      </c>
      <c r="S9" s="245">
        <f ca="1">Base!K217</f>
        <v>0</v>
      </c>
      <c r="T9" s="245">
        <f ca="1">Base!L217</f>
        <v>0</v>
      </c>
      <c r="U9" s="245">
        <f ca="1">Base!M217</f>
        <v>0</v>
      </c>
    </row>
    <row r="10" spans="1:21">
      <c r="M10" s="152" t="str">
        <f ca="1">Base!E218</f>
        <v>Profit or loss of associates &amp; JV</v>
      </c>
      <c r="N10" s="245">
        <f ca="1">Base!F218</f>
        <v>0</v>
      </c>
      <c r="O10" s="245">
        <f ca="1">Base!G218</f>
        <v>0</v>
      </c>
      <c r="P10" s="245">
        <f ca="1">Base!H218</f>
        <v>0</v>
      </c>
      <c r="Q10" s="245">
        <f ca="1">Base!I218</f>
        <v>0</v>
      </c>
      <c r="R10" s="245">
        <f ca="1">Base!J218</f>
        <v>0</v>
      </c>
      <c r="S10" s="245">
        <f ca="1">Base!K218</f>
        <v>0</v>
      </c>
      <c r="T10" s="245">
        <f ca="1">Base!L218</f>
        <v>0</v>
      </c>
      <c r="U10" s="245">
        <f ca="1">Base!M218</f>
        <v>0</v>
      </c>
    </row>
    <row r="11" spans="1:21">
      <c r="M11" s="152" t="str">
        <f ca="1">Base!E219</f>
        <v>Other non cash items (Gain or loss on sales, Impairment)</v>
      </c>
      <c r="N11" s="245">
        <f ca="1">Base!F219</f>
        <v>0</v>
      </c>
      <c r="O11" s="245">
        <f ca="1">Base!G219</f>
        <v>0</v>
      </c>
      <c r="P11" s="245">
        <f ca="1">Base!H219</f>
        <v>0</v>
      </c>
      <c r="Q11" s="245">
        <f ca="1">Base!I219</f>
        <v>0</v>
      </c>
      <c r="R11" s="245">
        <f ca="1">Base!J219</f>
        <v>0</v>
      </c>
      <c r="S11" s="245">
        <f ca="1">Base!K219</f>
        <v>0</v>
      </c>
      <c r="T11" s="245">
        <f ca="1">Base!L219</f>
        <v>0</v>
      </c>
      <c r="U11" s="245">
        <f ca="1">Base!M219</f>
        <v>0</v>
      </c>
    </row>
    <row r="12" spans="1:21">
      <c r="F12" s="131"/>
      <c r="G12" s="131"/>
      <c r="H12" s="131"/>
      <c r="I12" s="131"/>
      <c r="J12" s="131"/>
      <c r="K12" s="131"/>
      <c r="L12" s="131"/>
      <c r="M12" s="151" t="str">
        <f ca="1">Base!E220</f>
        <v>RESOP before Management fees</v>
      </c>
      <c r="N12" s="244">
        <f ca="1">Base!F220</f>
        <v>0</v>
      </c>
      <c r="O12" s="244">
        <f ca="1">Base!G220</f>
        <v>0</v>
      </c>
      <c r="P12" s="244">
        <f ca="1">Base!H220</f>
        <v>0</v>
      </c>
      <c r="Q12" s="244">
        <f ca="1">Base!I220</f>
        <v>0</v>
      </c>
      <c r="R12" s="244">
        <f ca="1">Base!J220</f>
        <v>0</v>
      </c>
      <c r="S12" s="244">
        <f ca="1">Base!K220</f>
        <v>0</v>
      </c>
      <c r="T12" s="244">
        <f ca="1">Base!L220</f>
        <v>0</v>
      </c>
      <c r="U12" s="244">
        <f ca="1">Base!M220</f>
        <v>0</v>
      </c>
    </row>
    <row r="13" spans="1:21">
      <c r="F13" s="131"/>
      <c r="G13" s="131"/>
      <c r="H13" s="131"/>
      <c r="I13" s="131"/>
      <c r="J13" s="131"/>
      <c r="K13" s="131"/>
      <c r="L13" s="131"/>
      <c r="M13" s="246"/>
      <c r="N13" s="246"/>
      <c r="O13" s="246"/>
      <c r="P13" s="246"/>
      <c r="Q13" s="246"/>
      <c r="R13" s="246"/>
      <c r="S13" s="246"/>
      <c r="T13" s="246"/>
      <c r="U13" s="246"/>
    </row>
    <row r="14" spans="1:21">
      <c r="F14" s="131"/>
      <c r="G14" s="131"/>
      <c r="I14" s="131"/>
      <c r="J14" s="131"/>
      <c r="K14" s="131"/>
      <c r="L14" s="131"/>
      <c r="M14" s="247" t="str">
        <f>Base!E222</f>
        <v>ctrl</v>
      </c>
      <c r="N14" s="248">
        <f ca="1">Base!F222</f>
        <v>0</v>
      </c>
      <c r="O14" s="248">
        <f ca="1">Base!G222</f>
        <v>0</v>
      </c>
      <c r="P14" s="248">
        <f ca="1">Base!H222</f>
        <v>0</v>
      </c>
      <c r="Q14" s="248">
        <f ca="1">Base!I222</f>
        <v>0</v>
      </c>
      <c r="R14" s="248">
        <f ca="1">Base!J222</f>
        <v>0</v>
      </c>
      <c r="S14" s="248">
        <f ca="1">Base!K222</f>
        <v>0</v>
      </c>
      <c r="T14" s="248">
        <f ca="1">Base!L222</f>
        <v>0</v>
      </c>
      <c r="U14" s="248">
        <f ca="1">Base!M222</f>
        <v>0</v>
      </c>
    </row>
    <row r="15" spans="1:21">
      <c r="F15" s="131"/>
      <c r="G15" s="131"/>
      <c r="H15" s="131"/>
      <c r="I15" s="131"/>
      <c r="J15" s="131"/>
      <c r="K15" s="131"/>
      <c r="L15" s="131"/>
    </row>
    <row r="26" outlineLevel="1"/>
    <row r="27" outlineLevel="1"/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A1:H25"/>
  <sheetViews>
    <sheetView showGridLines="0" topLeftCell="A3" zoomScale="75" zoomScaleNormal="75" workbookViewId="0">
      <selection activeCell="J62" sqref="J62"/>
    </sheetView>
  </sheetViews>
  <sheetFormatPr baseColWidth="10" defaultRowHeight="15" outlineLevelRow="1"/>
  <cols>
    <col min="1" max="1" width="58.42578125" customWidth="1"/>
    <col min="2" max="2" width="9.140625" customWidth="1"/>
    <col min="3" max="8" width="9.28515625" style="176" customWidth="1"/>
    <col min="25" max="26" width="5.7109375" customWidth="1"/>
  </cols>
  <sheetData>
    <row r="1" spans="1:8" ht="30" hidden="1" outlineLevel="1">
      <c r="A1" s="125">
        <f>N</f>
        <v>2023</v>
      </c>
      <c r="B1" s="125" t="str">
        <f>"F_year_"&amp;N</f>
        <v>F_year_2023</v>
      </c>
      <c r="C1" s="125" t="str">
        <f>"F_year_"&amp;N+1</f>
        <v>F_year_2024</v>
      </c>
      <c r="D1" s="125" t="str">
        <f>"F_year_"&amp;N+2</f>
        <v>F_year_2025</v>
      </c>
      <c r="E1" s="125" t="str">
        <f>"F_year_"&amp;N+3</f>
        <v>F_year_2026</v>
      </c>
      <c r="F1" s="125" t="str">
        <f>"F_year_"&amp;N+4</f>
        <v>F_year_2027</v>
      </c>
      <c r="G1" s="125" t="str">
        <f>"F_year_"&amp;N+5</f>
        <v>F_year_2028</v>
      </c>
      <c r="H1" s="125" t="str">
        <f>"F_year_"&amp;N+6</f>
        <v>F_year_2029</v>
      </c>
    </row>
    <row r="2" spans="1:8" hidden="1" outlineLevel="1"/>
    <row r="3" spans="1:8" ht="27.75" customHeight="1" collapsed="1">
      <c r="A3" s="195" t="s">
        <v>186</v>
      </c>
      <c r="B3" s="229" t="str">
        <f ca="1">'Page 8 - comparison country lev'!K28</f>
        <v>F2 2023</v>
      </c>
      <c r="C3" s="229" t="str">
        <f ca="1">'Page 8 - comparison country lev'!L28</f>
        <v>Budget 2024</v>
      </c>
      <c r="D3" s="229" t="str">
        <f ca="1">'Page 8 - comparison country lev'!M28</f>
        <v>LTP 2025</v>
      </c>
      <c r="E3" s="229" t="str">
        <f ca="1">'Page 8 - comparison country lev'!N28</f>
        <v>LTP 2026</v>
      </c>
      <c r="F3" s="229" t="str">
        <f ca="1">'Page 8 - comparison country lev'!O28</f>
        <v>LTP 2027</v>
      </c>
      <c r="G3" s="229" t="str">
        <f ca="1">'Page 8 - comparison country lev'!P28</f>
        <v>LTP 2028</v>
      </c>
      <c r="H3" s="229" t="str">
        <f ca="1">'Page 8 - comparison country lev'!Q28</f>
        <v>LTP 2029</v>
      </c>
    </row>
    <row r="4" spans="1:8" ht="6.75" customHeight="1">
      <c r="A4" s="153"/>
      <c r="B4" s="154"/>
      <c r="C4" s="155"/>
      <c r="D4" s="155"/>
      <c r="E4" s="155"/>
      <c r="F4" s="155"/>
      <c r="G4" s="155"/>
      <c r="H4" s="155"/>
    </row>
    <row r="5" spans="1:8" ht="18.75">
      <c r="A5" s="239" t="s">
        <v>214</v>
      </c>
      <c r="B5" s="240">
        <f ca="1">'Page 8 - comparison country lev'!K31</f>
        <v>0</v>
      </c>
      <c r="C5" s="240">
        <f ca="1">'Page 8 - comparison country lev'!L31</f>
        <v>0</v>
      </c>
      <c r="D5" s="240">
        <f ca="1">'Page 8 - comparison country lev'!M31</f>
        <v>0</v>
      </c>
      <c r="E5" s="240">
        <f ca="1">'Page 8 - comparison country lev'!N31</f>
        <v>0</v>
      </c>
      <c r="F5" s="240">
        <f ca="1">'Page 8 - comparison country lev'!O31</f>
        <v>0</v>
      </c>
      <c r="G5" s="240">
        <f ca="1">'Page 8 - comparison country lev'!P31</f>
        <v>0</v>
      </c>
      <c r="H5" s="240">
        <f ca="1">'Page 8 - comparison country lev'!Q31</f>
        <v>0</v>
      </c>
    </row>
    <row r="6" spans="1:8" ht="15.75">
      <c r="A6" s="156" t="s">
        <v>180</v>
      </c>
      <c r="B6" s="157"/>
      <c r="C6" s="157"/>
      <c r="D6" s="158">
        <f ca="1">D5-C5</f>
        <v>0</v>
      </c>
      <c r="E6" s="158">
        <f t="shared" ref="E6:H6" ca="1" si="0">E5-D5</f>
        <v>0</v>
      </c>
      <c r="F6" s="158">
        <f ca="1">F5-E5</f>
        <v>0</v>
      </c>
      <c r="G6" s="158">
        <f t="shared" ca="1" si="0"/>
        <v>0</v>
      </c>
      <c r="H6" s="158">
        <f t="shared" ca="1" si="0"/>
        <v>0</v>
      </c>
    </row>
    <row r="7" spans="1:8" ht="6.75" customHeight="1">
      <c r="A7" s="159"/>
      <c r="B7" s="160"/>
      <c r="C7" s="161"/>
      <c r="D7" s="161"/>
      <c r="E7" s="161"/>
      <c r="F7" s="161"/>
      <c r="G7" s="161"/>
      <c r="H7" s="161"/>
    </row>
    <row r="8" spans="1:8" s="165" customFormat="1" ht="39" customHeight="1" thickBot="1">
      <c r="A8" s="162" t="s">
        <v>120</v>
      </c>
      <c r="B8" s="163"/>
      <c r="C8" s="164" t="str">
        <f>RIGHT(C1,4)&amp;" vs "&amp;RIGHT(B1,4)</f>
        <v>2024 vs 2023</v>
      </c>
      <c r="D8" s="164" t="str">
        <f t="shared" ref="D8:H8" si="1">RIGHT(D1,4)&amp;" vs "&amp;RIGHT(C1,4)</f>
        <v>2025 vs 2024</v>
      </c>
      <c r="E8" s="164" t="str">
        <f t="shared" si="1"/>
        <v>2026 vs 2025</v>
      </c>
      <c r="F8" s="164" t="str">
        <f t="shared" si="1"/>
        <v>2027 vs 2026</v>
      </c>
      <c r="G8" s="164" t="str">
        <f t="shared" si="1"/>
        <v>2028 vs 2027</v>
      </c>
      <c r="H8" s="164" t="str">
        <f t="shared" si="1"/>
        <v>2029 vs 2028</v>
      </c>
    </row>
    <row r="9" spans="1:8" ht="6.75" customHeight="1">
      <c r="A9" s="153"/>
      <c r="B9" s="154"/>
      <c r="C9" s="155"/>
      <c r="D9" s="155"/>
      <c r="E9" s="155"/>
      <c r="F9" s="155"/>
      <c r="G9" s="155"/>
      <c r="H9" s="155"/>
    </row>
    <row r="10" spans="1:8" s="1" customFormat="1" ht="15.75">
      <c r="A10" s="166" t="s">
        <v>121</v>
      </c>
      <c r="B10" s="167"/>
      <c r="C10" s="167"/>
      <c r="D10" s="237">
        <v>0</v>
      </c>
      <c r="E10" s="237">
        <v>0</v>
      </c>
      <c r="F10" s="237">
        <v>0</v>
      </c>
      <c r="G10" s="237">
        <v>0</v>
      </c>
      <c r="H10" s="237">
        <v>0</v>
      </c>
    </row>
    <row r="11" spans="1:8" s="171" customFormat="1" ht="7.5" customHeight="1">
      <c r="A11" s="168"/>
      <c r="B11" s="169"/>
      <c r="C11" s="169"/>
      <c r="D11" s="170"/>
      <c r="E11" s="170"/>
      <c r="F11" s="170"/>
      <c r="G11" s="170"/>
      <c r="H11" s="170"/>
    </row>
    <row r="12" spans="1:8" s="171" customFormat="1" ht="15.75">
      <c r="A12" s="172" t="s">
        <v>122</v>
      </c>
      <c r="B12" s="169"/>
      <c r="C12" s="169"/>
      <c r="D12" s="237">
        <v>0</v>
      </c>
      <c r="E12" s="237">
        <v>0</v>
      </c>
      <c r="F12" s="237">
        <v>0</v>
      </c>
      <c r="G12" s="237">
        <v>0</v>
      </c>
      <c r="H12" s="237">
        <v>0</v>
      </c>
    </row>
    <row r="13" spans="1:8" s="171" customFormat="1" ht="7.5" customHeight="1">
      <c r="A13" s="168"/>
      <c r="B13" s="169"/>
      <c r="C13" s="169"/>
      <c r="D13" s="170"/>
      <c r="E13" s="170"/>
      <c r="F13" s="170"/>
      <c r="G13" s="170"/>
      <c r="H13" s="170"/>
    </row>
    <row r="14" spans="1:8" s="171" customFormat="1" ht="15.75">
      <c r="A14" s="172" t="s">
        <v>123</v>
      </c>
      <c r="B14" s="169"/>
      <c r="C14" s="169"/>
      <c r="D14" s="237">
        <v>0</v>
      </c>
      <c r="E14" s="237">
        <v>0</v>
      </c>
      <c r="F14" s="237">
        <v>0</v>
      </c>
      <c r="G14" s="237">
        <v>0</v>
      </c>
      <c r="H14" s="237">
        <v>0</v>
      </c>
    </row>
    <row r="15" spans="1:8" s="171" customFormat="1" ht="7.5" customHeight="1">
      <c r="A15" s="168"/>
      <c r="B15" s="169"/>
      <c r="C15" s="169"/>
      <c r="D15" s="170"/>
      <c r="E15" s="170"/>
      <c r="F15" s="170"/>
      <c r="G15" s="170"/>
      <c r="H15" s="170"/>
    </row>
    <row r="16" spans="1:8" s="171" customFormat="1" ht="15.75">
      <c r="A16" s="172" t="s">
        <v>182</v>
      </c>
      <c r="B16" s="169"/>
      <c r="C16" s="169"/>
      <c r="D16" s="237">
        <v>0</v>
      </c>
      <c r="E16" s="237">
        <v>0</v>
      </c>
      <c r="F16" s="237">
        <v>0</v>
      </c>
      <c r="G16" s="237">
        <v>0</v>
      </c>
      <c r="H16" s="237">
        <v>0</v>
      </c>
    </row>
    <row r="17" spans="1:8" s="171" customFormat="1" ht="7.5" customHeight="1">
      <c r="A17" s="168"/>
      <c r="B17" s="169"/>
      <c r="C17" s="169"/>
      <c r="D17" s="170"/>
      <c r="E17" s="170"/>
      <c r="F17" s="170"/>
      <c r="G17" s="170"/>
      <c r="H17" s="170"/>
    </row>
    <row r="18" spans="1:8" s="171" customFormat="1" ht="15.75">
      <c r="A18" s="172" t="s">
        <v>181</v>
      </c>
      <c r="B18" s="169"/>
      <c r="C18" s="169"/>
      <c r="D18" s="237">
        <v>0</v>
      </c>
      <c r="E18" s="237">
        <v>0</v>
      </c>
      <c r="F18" s="237">
        <v>0</v>
      </c>
      <c r="G18" s="237">
        <v>0</v>
      </c>
      <c r="H18" s="237">
        <v>0</v>
      </c>
    </row>
    <row r="19" spans="1:8" s="171" customFormat="1" ht="7.5" customHeight="1">
      <c r="A19" s="168"/>
      <c r="B19" s="169"/>
      <c r="C19" s="169"/>
      <c r="D19" s="170"/>
      <c r="E19" s="170"/>
      <c r="F19" s="170"/>
      <c r="G19" s="170"/>
      <c r="H19" s="170"/>
    </row>
    <row r="20" spans="1:8" s="171" customFormat="1" ht="15.75">
      <c r="A20" s="172" t="s">
        <v>183</v>
      </c>
      <c r="B20" s="169"/>
      <c r="C20" s="169"/>
      <c r="D20" s="237">
        <v>0</v>
      </c>
      <c r="E20" s="237">
        <v>0</v>
      </c>
      <c r="F20" s="237">
        <v>0</v>
      </c>
      <c r="G20" s="237">
        <v>0</v>
      </c>
      <c r="H20" s="237">
        <v>0</v>
      </c>
    </row>
    <row r="21" spans="1:8" s="171" customFormat="1" ht="7.5" customHeight="1">
      <c r="A21" s="168"/>
      <c r="B21" s="169"/>
      <c r="C21" s="169"/>
      <c r="D21" s="170"/>
      <c r="E21" s="170"/>
      <c r="F21" s="170"/>
      <c r="G21" s="170"/>
      <c r="H21" s="170"/>
    </row>
    <row r="22" spans="1:8" s="171" customFormat="1" ht="15.75">
      <c r="A22" s="172" t="s">
        <v>125</v>
      </c>
      <c r="B22" s="169"/>
      <c r="C22" s="169"/>
      <c r="D22" s="237">
        <f ca="1">D6-SUM(D10:D21)</f>
        <v>0</v>
      </c>
      <c r="E22" s="237">
        <f ca="1">E6-SUM(E10:E21)</f>
        <v>0</v>
      </c>
      <c r="F22" s="237">
        <f ca="1">F6-SUM(F10:F21)</f>
        <v>0</v>
      </c>
      <c r="G22" s="237">
        <f ca="1">G6-SUM(G10:G21)</f>
        <v>0</v>
      </c>
      <c r="H22" s="237">
        <f ca="1">H6-SUM(H10:H21)</f>
        <v>0</v>
      </c>
    </row>
    <row r="23" spans="1:8" ht="6.75" customHeight="1" thickBot="1">
      <c r="A23" s="173"/>
      <c r="B23" s="174"/>
      <c r="C23" s="175"/>
      <c r="D23" s="175"/>
      <c r="E23" s="175"/>
      <c r="F23" s="175"/>
      <c r="G23" s="175"/>
      <c r="H23" s="175"/>
    </row>
    <row r="24" spans="1:8" ht="6.75" customHeight="1"/>
    <row r="25" spans="1:8">
      <c r="A25" s="238" t="s">
        <v>126</v>
      </c>
    </row>
  </sheetData>
  <pageMargins left="0.70866141732283472" right="0.70866141732283472" top="0.74803149606299213" bottom="0.74803149606299213" header="0.31496062992125984" footer="0.31496062992125984"/>
  <pageSetup paperSize="9" scale="58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showGridLines="0" zoomScale="90" zoomScaleNormal="90" workbookViewId="0">
      <selection activeCell="A31" sqref="A31"/>
    </sheetView>
  </sheetViews>
  <sheetFormatPr baseColWidth="10" defaultRowHeight="15" outlineLevelCol="1"/>
  <cols>
    <col min="1" max="1" width="34" customWidth="1"/>
    <col min="2" max="2" width="11.42578125" hidden="1" customWidth="1" outlineLevel="1"/>
    <col min="3" max="3" width="11.42578125" collapsed="1"/>
    <col min="25" max="25" width="5.7109375" customWidth="1"/>
  </cols>
  <sheetData>
    <row r="1" spans="1:7">
      <c r="A1" s="89" t="s">
        <v>213</v>
      </c>
    </row>
    <row r="2" spans="1:7">
      <c r="A2" s="89"/>
    </row>
    <row r="3" spans="1:7" ht="45">
      <c r="A3" s="452" t="s">
        <v>334</v>
      </c>
      <c r="B3" s="441" t="str">
        <f ca="1">'Page 8 - comparison country lev'!L15</f>
        <v>LTP 2024</v>
      </c>
      <c r="C3" s="441" t="str">
        <f ca="1">'Page 8 - comparison country lev'!M28</f>
        <v>LTP 2025</v>
      </c>
      <c r="D3" s="451" t="str">
        <f ca="1">'Page 8 - comparison country lev'!N28</f>
        <v>LTP 2026</v>
      </c>
      <c r="E3" s="451" t="str">
        <f ca="1">'Page 8 - comparison country lev'!O28</f>
        <v>LTP 2027</v>
      </c>
      <c r="F3" s="451" t="str">
        <f ca="1">'Page 8 - comparison country lev'!P28</f>
        <v>LTP 2028</v>
      </c>
      <c r="G3" s="451" t="str">
        <f ca="1">'Page 8 - comparison country lev'!Q28</f>
        <v>LTP 2029</v>
      </c>
    </row>
    <row r="4" spans="1:7" ht="5.25" customHeight="1" thickBot="1">
      <c r="A4" s="196"/>
      <c r="B4" s="197"/>
      <c r="C4" s="197"/>
      <c r="D4" s="198"/>
      <c r="E4" s="198"/>
      <c r="F4" s="198"/>
      <c r="G4" s="198"/>
    </row>
    <row r="5" spans="1:7">
      <c r="A5" s="178"/>
      <c r="B5" s="178"/>
      <c r="C5" s="178"/>
      <c r="D5" s="178"/>
      <c r="E5" s="178"/>
      <c r="F5" s="178"/>
      <c r="G5" s="178"/>
    </row>
    <row r="6" spans="1:7" ht="15.75">
      <c r="A6" s="179" t="s">
        <v>321</v>
      </c>
      <c r="B6" s="180" t="s">
        <v>134</v>
      </c>
      <c r="C6" s="438" t="s">
        <v>138</v>
      </c>
      <c r="D6" s="181"/>
      <c r="E6" s="181"/>
      <c r="F6" s="181"/>
      <c r="G6" s="181"/>
    </row>
    <row r="7" spans="1:7" ht="15.75">
      <c r="A7" s="179" t="s">
        <v>320</v>
      </c>
      <c r="B7" s="181"/>
      <c r="C7" s="437" t="s">
        <v>142</v>
      </c>
      <c r="D7" s="181"/>
      <c r="E7" s="181"/>
      <c r="F7" s="181"/>
      <c r="G7" s="181"/>
    </row>
    <row r="8" spans="1:7" ht="15.75">
      <c r="A8" s="179" t="s">
        <v>322</v>
      </c>
      <c r="B8" s="181"/>
      <c r="C8" s="437" t="s">
        <v>145</v>
      </c>
      <c r="D8" s="181"/>
      <c r="E8" s="181"/>
      <c r="F8" s="181"/>
      <c r="G8" s="181"/>
    </row>
    <row r="9" spans="1:7" ht="15.75">
      <c r="A9" s="179" t="s">
        <v>323</v>
      </c>
      <c r="B9" s="181"/>
      <c r="C9" s="437" t="s">
        <v>215</v>
      </c>
      <c r="D9" s="181"/>
      <c r="E9" s="181"/>
      <c r="F9" s="181"/>
      <c r="G9" s="181"/>
    </row>
    <row r="10" spans="1:7" ht="15.75">
      <c r="A10" s="179" t="s">
        <v>324</v>
      </c>
      <c r="B10" s="181"/>
      <c r="C10" s="181"/>
      <c r="D10" s="438" t="s">
        <v>147</v>
      </c>
      <c r="E10" s="181"/>
      <c r="F10" s="181"/>
      <c r="G10" s="181"/>
    </row>
    <row r="11" spans="1:7" ht="15.75">
      <c r="A11" s="179" t="s">
        <v>325</v>
      </c>
      <c r="B11" s="181"/>
      <c r="C11" s="181"/>
      <c r="D11" s="437" t="s">
        <v>149</v>
      </c>
      <c r="E11" s="181"/>
      <c r="F11" s="181"/>
      <c r="G11" s="181"/>
    </row>
    <row r="12" spans="1:7" ht="16.5" thickBot="1">
      <c r="A12" s="445" t="s">
        <v>332</v>
      </c>
      <c r="B12" s="446"/>
      <c r="C12" s="446"/>
      <c r="D12" s="447" t="s">
        <v>152</v>
      </c>
      <c r="E12" s="446"/>
      <c r="F12" s="446"/>
      <c r="G12" s="446"/>
    </row>
    <row r="13" spans="1:7" ht="16.5" thickBot="1">
      <c r="A13" s="448" t="s">
        <v>319</v>
      </c>
      <c r="B13" s="449"/>
      <c r="C13" s="449">
        <f>SUM(C6:C12)</f>
        <v>0</v>
      </c>
      <c r="D13" s="449">
        <f t="shared" ref="D13:G13" si="0">SUM(D6:D12)</f>
        <v>0</v>
      </c>
      <c r="E13" s="449">
        <f t="shared" si="0"/>
        <v>0</v>
      </c>
      <c r="F13" s="449">
        <f t="shared" si="0"/>
        <v>0</v>
      </c>
      <c r="G13" s="449">
        <f t="shared" si="0"/>
        <v>0</v>
      </c>
    </row>
    <row r="14" spans="1:7" ht="15.75">
      <c r="A14" s="442" t="s">
        <v>326</v>
      </c>
      <c r="B14" s="443"/>
      <c r="C14" s="443"/>
      <c r="D14" s="443"/>
      <c r="E14" s="444" t="s">
        <v>154</v>
      </c>
      <c r="F14" s="443"/>
      <c r="G14" s="443"/>
    </row>
    <row r="15" spans="1:7" ht="15.75">
      <c r="A15" s="179" t="s">
        <v>327</v>
      </c>
      <c r="B15" s="181"/>
      <c r="C15" s="181"/>
      <c r="D15" s="181"/>
      <c r="E15" s="437" t="s">
        <v>156</v>
      </c>
      <c r="F15" s="181"/>
      <c r="G15" s="181"/>
    </row>
    <row r="16" spans="1:7" ht="15.75">
      <c r="A16" s="179" t="s">
        <v>328</v>
      </c>
      <c r="B16" s="181"/>
      <c r="C16" s="181"/>
      <c r="D16" s="181"/>
      <c r="E16" s="437" t="s">
        <v>158</v>
      </c>
      <c r="F16" s="181"/>
      <c r="G16" s="181"/>
    </row>
    <row r="17" spans="1:7" ht="15.75">
      <c r="A17" s="179" t="s">
        <v>329</v>
      </c>
      <c r="B17" s="181"/>
      <c r="C17" s="181"/>
      <c r="D17" s="181"/>
      <c r="E17" s="438" t="s">
        <v>160</v>
      </c>
      <c r="F17" s="181"/>
      <c r="G17" s="181"/>
    </row>
    <row r="18" spans="1:7" ht="15.75">
      <c r="A18" s="179" t="s">
        <v>330</v>
      </c>
      <c r="B18" s="181"/>
      <c r="C18" s="181"/>
      <c r="D18" s="181"/>
      <c r="E18" s="181"/>
      <c r="F18" s="437" t="s">
        <v>162</v>
      </c>
      <c r="G18" s="181"/>
    </row>
    <row r="19" spans="1:7" ht="16.5" thickBot="1">
      <c r="A19" s="445" t="s">
        <v>331</v>
      </c>
      <c r="B19" s="446"/>
      <c r="C19" s="446"/>
      <c r="D19" s="491"/>
      <c r="E19" s="446"/>
      <c r="F19" s="447" t="s">
        <v>165</v>
      </c>
      <c r="G19" s="446"/>
    </row>
    <row r="20" spans="1:7" ht="16.5" thickBot="1">
      <c r="A20" s="448" t="s">
        <v>318</v>
      </c>
      <c r="B20" s="449"/>
      <c r="C20" s="449">
        <f>SUM(C14:C19)</f>
        <v>0</v>
      </c>
      <c r="D20" s="449">
        <f>SUM(D14:D19)</f>
        <v>0</v>
      </c>
      <c r="E20" s="449">
        <f>SUM(E14:E19)</f>
        <v>0</v>
      </c>
      <c r="F20" s="449">
        <f>SUM(F14:F19)</f>
        <v>0</v>
      </c>
      <c r="G20" s="449">
        <f>SUM(G14:G19)</f>
        <v>0</v>
      </c>
    </row>
    <row r="21" spans="1:7" ht="18" thickBot="1">
      <c r="A21" s="189" t="s">
        <v>312</v>
      </c>
      <c r="B21" s="190">
        <f>SUM(B6)</f>
        <v>0</v>
      </c>
      <c r="C21" s="190">
        <f>SUM(C8:C9)</f>
        <v>0</v>
      </c>
      <c r="D21" s="190">
        <f>SUM(D11:D12)</f>
        <v>0</v>
      </c>
      <c r="E21" s="190">
        <f>SUM(E14:E16)</f>
        <v>0</v>
      </c>
      <c r="F21" s="190">
        <f>SUM(F18:F19)</f>
        <v>0</v>
      </c>
      <c r="G21" s="190">
        <f>SUM(G6:G19)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A1:L26"/>
  <sheetViews>
    <sheetView showGridLines="0" topLeftCell="A3" zoomScale="75" zoomScaleNormal="75" workbookViewId="0">
      <selection activeCell="F42" sqref="F42"/>
    </sheetView>
  </sheetViews>
  <sheetFormatPr baseColWidth="10" defaultRowHeight="15" outlineLevelRow="1"/>
  <cols>
    <col min="1" max="1" width="37.42578125" customWidth="1"/>
    <col min="2" max="3" width="9.140625" hidden="1" customWidth="1"/>
    <col min="4" max="9" width="9.140625" customWidth="1"/>
    <col min="10" max="10" width="12.85546875" customWidth="1"/>
    <col min="11" max="11" width="12.5703125" customWidth="1"/>
    <col min="12" max="12" width="18.5703125" bestFit="1" customWidth="1"/>
    <col min="26" max="26" width="5.7109375" customWidth="1"/>
  </cols>
  <sheetData>
    <row r="1" spans="1:12" hidden="1" outlineLevel="1">
      <c r="A1">
        <f>N</f>
        <v>2023</v>
      </c>
      <c r="B1" t="str">
        <f>"F_year_"&amp;N</f>
        <v>F_year_2023</v>
      </c>
      <c r="C1" t="str">
        <f>"F_year_"&amp;N+1</f>
        <v>F_year_2024</v>
      </c>
      <c r="D1" t="str">
        <f>"F_year_"&amp;N+2</f>
        <v>F_year_2025</v>
      </c>
      <c r="E1" t="str">
        <f>"F_year_"&amp;N+3</f>
        <v>F_year_2026</v>
      </c>
      <c r="F1" t="str">
        <f>"F_year_"&amp;N+4</f>
        <v>F_year_2027</v>
      </c>
      <c r="G1" t="str">
        <f>"F_year_"&amp;N+5</f>
        <v>F_year_2028</v>
      </c>
      <c r="H1" t="str">
        <f>"F_year_"&amp;N+6</f>
        <v>F_year_2029</v>
      </c>
    </row>
    <row r="2" spans="1:12" hidden="1" outlineLevel="1"/>
    <row r="3" spans="1:12" ht="18.75" collapsed="1">
      <c r="A3" s="177" t="s">
        <v>127</v>
      </c>
    </row>
    <row r="5" spans="1:12" ht="15.75" collapsed="1">
      <c r="A5" s="195" t="s">
        <v>130</v>
      </c>
      <c r="B5" s="229" t="str">
        <f>RIGHT(B1,4)</f>
        <v>2023</v>
      </c>
      <c r="C5" s="229" t="str">
        <f t="shared" ref="C5:H5" si="0">RIGHT(C1,4)</f>
        <v>2024</v>
      </c>
      <c r="D5" s="229" t="str">
        <f t="shared" si="0"/>
        <v>2025</v>
      </c>
      <c r="E5" s="229" t="str">
        <f t="shared" si="0"/>
        <v>2026</v>
      </c>
      <c r="F5" s="229" t="str">
        <f t="shared" si="0"/>
        <v>2027</v>
      </c>
      <c r="G5" s="229" t="str">
        <f t="shared" si="0"/>
        <v>2028</v>
      </c>
      <c r="H5" s="229" t="str">
        <f t="shared" si="0"/>
        <v>2029</v>
      </c>
      <c r="I5" s="229" t="s">
        <v>131</v>
      </c>
      <c r="J5" s="229" t="s">
        <v>132</v>
      </c>
      <c r="K5" s="229" t="s">
        <v>100</v>
      </c>
      <c r="L5" s="229" t="s">
        <v>313</v>
      </c>
    </row>
    <row r="6" spans="1:12" ht="15.75" thickBot="1"/>
    <row r="7" spans="1:12">
      <c r="A7" s="178"/>
      <c r="B7" s="178"/>
      <c r="C7" s="178"/>
      <c r="D7" s="178"/>
      <c r="E7" s="178"/>
      <c r="F7" s="178"/>
      <c r="G7" s="178"/>
      <c r="H7" s="178"/>
      <c r="I7" s="178"/>
      <c r="J7" s="178"/>
      <c r="K7" s="178"/>
      <c r="L7" s="178"/>
    </row>
    <row r="8" spans="1:12" ht="15.75">
      <c r="A8" s="179" t="s">
        <v>135</v>
      </c>
      <c r="B8" s="180" t="s">
        <v>134</v>
      </c>
      <c r="C8" s="181"/>
      <c r="D8" s="181"/>
      <c r="E8" s="181"/>
      <c r="F8" s="181"/>
      <c r="G8" s="181"/>
      <c r="H8" s="181"/>
      <c r="I8" s="181" t="s">
        <v>136</v>
      </c>
      <c r="J8" s="183" t="s">
        <v>46</v>
      </c>
      <c r="K8" s="183">
        <v>0.05</v>
      </c>
      <c r="L8" s="183" t="s">
        <v>315</v>
      </c>
    </row>
    <row r="9" spans="1:12" ht="15.75">
      <c r="A9" s="179" t="s">
        <v>135</v>
      </c>
      <c r="B9" s="181"/>
      <c r="C9" s="181" t="s">
        <v>138</v>
      </c>
      <c r="D9" s="181"/>
      <c r="E9" s="181"/>
      <c r="F9" s="181"/>
      <c r="G9" s="181"/>
      <c r="H9" s="181"/>
      <c r="I9" s="181" t="s">
        <v>139</v>
      </c>
      <c r="J9" s="183" t="s">
        <v>140</v>
      </c>
      <c r="K9" s="183" t="s">
        <v>56</v>
      </c>
      <c r="L9" s="183" t="s">
        <v>315</v>
      </c>
    </row>
    <row r="10" spans="1:12" ht="15.75">
      <c r="A10" s="179" t="s">
        <v>135</v>
      </c>
      <c r="B10" s="181"/>
      <c r="C10" s="437" t="s">
        <v>142</v>
      </c>
      <c r="D10" s="181"/>
      <c r="E10" s="181"/>
      <c r="F10" s="181"/>
      <c r="G10" s="181"/>
      <c r="H10" s="181"/>
      <c r="I10" s="181" t="s">
        <v>139</v>
      </c>
      <c r="J10" s="183" t="s">
        <v>139</v>
      </c>
      <c r="K10" s="183">
        <v>0.04</v>
      </c>
      <c r="L10" s="183" t="s">
        <v>315</v>
      </c>
    </row>
    <row r="11" spans="1:12" ht="15.75">
      <c r="A11" s="179" t="s">
        <v>135</v>
      </c>
      <c r="B11" s="181"/>
      <c r="C11" s="181" t="s">
        <v>145</v>
      </c>
      <c r="D11" s="181"/>
      <c r="E11" s="181"/>
      <c r="F11" s="181"/>
      <c r="G11" s="181"/>
      <c r="H11" s="181"/>
      <c r="I11" s="181" t="s">
        <v>139</v>
      </c>
      <c r="J11" s="183" t="s">
        <v>139</v>
      </c>
      <c r="K11" s="183" t="s">
        <v>56</v>
      </c>
      <c r="L11" s="183" t="s">
        <v>315</v>
      </c>
    </row>
    <row r="12" spans="1:12" ht="15.75">
      <c r="A12" s="179" t="s">
        <v>135</v>
      </c>
      <c r="B12" s="181"/>
      <c r="C12" s="181"/>
      <c r="D12" s="181" t="s">
        <v>147</v>
      </c>
      <c r="E12" s="181"/>
      <c r="F12" s="181"/>
      <c r="G12" s="181"/>
      <c r="H12" s="181"/>
      <c r="I12" s="181" t="s">
        <v>139</v>
      </c>
      <c r="J12" s="183" t="s">
        <v>139</v>
      </c>
      <c r="K12" s="183" t="s">
        <v>56</v>
      </c>
      <c r="L12" s="183" t="s">
        <v>315</v>
      </c>
    </row>
    <row r="13" spans="1:12" ht="15.75">
      <c r="A13" s="179" t="s">
        <v>135</v>
      </c>
      <c r="B13" s="181"/>
      <c r="C13" s="181"/>
      <c r="D13" s="437" t="s">
        <v>149</v>
      </c>
      <c r="E13" s="181"/>
      <c r="F13" s="181"/>
      <c r="G13" s="181"/>
      <c r="H13" s="181"/>
      <c r="I13" s="181" t="s">
        <v>139</v>
      </c>
      <c r="J13" s="183" t="s">
        <v>139</v>
      </c>
      <c r="K13" s="183" t="s">
        <v>150</v>
      </c>
      <c r="L13" s="183" t="s">
        <v>315</v>
      </c>
    </row>
    <row r="14" spans="1:12" ht="15.75">
      <c r="A14" s="179" t="s">
        <v>135</v>
      </c>
      <c r="B14" s="181"/>
      <c r="C14" s="181"/>
      <c r="D14" s="181" t="s">
        <v>152</v>
      </c>
      <c r="E14" s="181"/>
      <c r="F14" s="181"/>
      <c r="G14" s="181"/>
      <c r="H14" s="181"/>
      <c r="I14" s="181" t="s">
        <v>139</v>
      </c>
      <c r="J14" s="183" t="s">
        <v>139</v>
      </c>
      <c r="K14" s="183" t="s">
        <v>56</v>
      </c>
      <c r="L14" s="183" t="s">
        <v>315</v>
      </c>
    </row>
    <row r="15" spans="1:12" ht="15.75">
      <c r="A15" s="179" t="s">
        <v>135</v>
      </c>
      <c r="B15" s="181"/>
      <c r="C15" s="181"/>
      <c r="D15" s="181"/>
      <c r="E15" s="181" t="s">
        <v>154</v>
      </c>
      <c r="F15" s="181"/>
      <c r="G15" s="181"/>
      <c r="H15" s="181"/>
      <c r="I15" s="181" t="s">
        <v>139</v>
      </c>
      <c r="J15" s="183" t="s">
        <v>139</v>
      </c>
      <c r="K15" s="183" t="s">
        <v>56</v>
      </c>
      <c r="L15" s="183" t="s">
        <v>315</v>
      </c>
    </row>
    <row r="16" spans="1:12" ht="15.75">
      <c r="A16" s="179" t="s">
        <v>135</v>
      </c>
      <c r="B16" s="181"/>
      <c r="C16" s="181"/>
      <c r="D16" s="181"/>
      <c r="E16" s="181" t="s">
        <v>156</v>
      </c>
      <c r="F16" s="181"/>
      <c r="G16" s="181"/>
      <c r="H16" s="181"/>
      <c r="I16" s="181" t="s">
        <v>139</v>
      </c>
      <c r="J16" s="183" t="s">
        <v>139</v>
      </c>
      <c r="K16" s="183" t="s">
        <v>56</v>
      </c>
      <c r="L16" s="183" t="s">
        <v>315</v>
      </c>
    </row>
    <row r="17" spans="1:12" ht="15.75">
      <c r="A17" s="179" t="s">
        <v>135</v>
      </c>
      <c r="B17" s="181"/>
      <c r="C17" s="181"/>
      <c r="D17" s="181"/>
      <c r="E17" s="437" t="s">
        <v>158</v>
      </c>
      <c r="F17" s="181"/>
      <c r="G17" s="181"/>
      <c r="H17" s="181"/>
      <c r="I17" s="181" t="s">
        <v>139</v>
      </c>
      <c r="J17" s="183" t="s">
        <v>139</v>
      </c>
      <c r="K17" s="183" t="s">
        <v>150</v>
      </c>
      <c r="L17" s="183" t="s">
        <v>315</v>
      </c>
    </row>
    <row r="18" spans="1:12" ht="15.75">
      <c r="A18" s="179" t="s">
        <v>135</v>
      </c>
      <c r="B18" s="181"/>
      <c r="C18" s="181"/>
      <c r="D18" s="181"/>
      <c r="E18" s="181" t="s">
        <v>160</v>
      </c>
      <c r="F18" s="181"/>
      <c r="G18" s="181"/>
      <c r="H18" s="181"/>
      <c r="I18" s="181" t="s">
        <v>139</v>
      </c>
      <c r="J18" s="183" t="s">
        <v>139</v>
      </c>
      <c r="K18" s="183" t="s">
        <v>56</v>
      </c>
      <c r="L18" s="183" t="s">
        <v>315</v>
      </c>
    </row>
    <row r="19" spans="1:12" ht="15.75">
      <c r="A19" s="179" t="s">
        <v>135</v>
      </c>
      <c r="B19" s="181"/>
      <c r="C19" s="181"/>
      <c r="D19" s="181"/>
      <c r="E19" s="181" t="s">
        <v>163</v>
      </c>
      <c r="F19" s="181"/>
      <c r="G19" s="181"/>
      <c r="H19" s="181"/>
      <c r="I19" s="181" t="s">
        <v>139</v>
      </c>
      <c r="J19" s="183" t="s">
        <v>139</v>
      </c>
      <c r="K19" s="183" t="s">
        <v>56</v>
      </c>
      <c r="L19" s="183" t="s">
        <v>315</v>
      </c>
    </row>
    <row r="20" spans="1:12" ht="15.75">
      <c r="A20" s="179" t="s">
        <v>135</v>
      </c>
      <c r="B20" s="181"/>
      <c r="C20" s="181"/>
      <c r="D20" s="181"/>
      <c r="E20" s="181"/>
      <c r="F20" s="181" t="s">
        <v>162</v>
      </c>
      <c r="G20" s="181"/>
      <c r="H20" s="181"/>
      <c r="I20" s="181" t="s">
        <v>139</v>
      </c>
      <c r="J20" s="183" t="s">
        <v>139</v>
      </c>
      <c r="K20" s="183" t="s">
        <v>56</v>
      </c>
      <c r="L20" s="183" t="s">
        <v>315</v>
      </c>
    </row>
    <row r="21" spans="1:12" ht="15.75">
      <c r="A21" s="179" t="s">
        <v>135</v>
      </c>
      <c r="B21" s="181"/>
      <c r="C21" s="181"/>
      <c r="D21" s="181"/>
      <c r="E21" s="181"/>
      <c r="F21" s="437" t="s">
        <v>165</v>
      </c>
      <c r="G21" s="181"/>
      <c r="H21" s="181"/>
      <c r="I21" s="181" t="s">
        <v>139</v>
      </c>
      <c r="J21" s="183" t="s">
        <v>139</v>
      </c>
      <c r="K21" s="183" t="s">
        <v>150</v>
      </c>
      <c r="L21" s="183" t="s">
        <v>315</v>
      </c>
    </row>
    <row r="22" spans="1:12" ht="15.75">
      <c r="A22" s="179" t="s">
        <v>135</v>
      </c>
      <c r="B22" s="181"/>
      <c r="C22" s="181"/>
      <c r="D22" s="181"/>
      <c r="E22" s="181"/>
      <c r="F22" s="181"/>
      <c r="G22" s="181" t="s">
        <v>167</v>
      </c>
      <c r="H22" s="181"/>
      <c r="I22" s="181" t="s">
        <v>139</v>
      </c>
      <c r="J22" s="183" t="s">
        <v>139</v>
      </c>
      <c r="K22" s="183" t="s">
        <v>56</v>
      </c>
      <c r="L22" s="183" t="s">
        <v>315</v>
      </c>
    </row>
    <row r="23" spans="1:12" ht="15.75">
      <c r="A23" s="187" t="s">
        <v>171</v>
      </c>
      <c r="B23" s="188">
        <f>SUM(B8:B22)</f>
        <v>0</v>
      </c>
      <c r="C23" s="188">
        <f t="shared" ref="C23:H23" si="1">SUM(C8:C22)</f>
        <v>0</v>
      </c>
      <c r="D23" s="188">
        <f t="shared" si="1"/>
        <v>0</v>
      </c>
      <c r="E23" s="188">
        <f t="shared" si="1"/>
        <v>0</v>
      </c>
      <c r="F23" s="188">
        <f t="shared" si="1"/>
        <v>0</v>
      </c>
      <c r="G23" s="188">
        <f t="shared" si="1"/>
        <v>0</v>
      </c>
      <c r="H23" s="188">
        <f t="shared" si="1"/>
        <v>0</v>
      </c>
      <c r="I23" s="188" t="s">
        <v>42</v>
      </c>
      <c r="J23" s="188" t="s">
        <v>42</v>
      </c>
      <c r="K23" s="188" t="s">
        <v>42</v>
      </c>
      <c r="L23" s="188" t="s">
        <v>56</v>
      </c>
    </row>
    <row r="24" spans="1:12" s="191" customFormat="1" ht="18" thickBot="1">
      <c r="A24" s="189" t="s">
        <v>173</v>
      </c>
      <c r="B24" s="190">
        <f>SUM(B8)</f>
        <v>0</v>
      </c>
      <c r="C24" s="190">
        <f>SUM(C10)</f>
        <v>0</v>
      </c>
      <c r="D24" s="190">
        <f>SUM(D13)</f>
        <v>0</v>
      </c>
      <c r="E24" s="190">
        <f>SUM(E17)</f>
        <v>0</v>
      </c>
      <c r="F24" s="190">
        <f>SUM(F21)</f>
        <v>0</v>
      </c>
      <c r="G24" s="190" t="s">
        <v>56</v>
      </c>
      <c r="H24" s="190" t="s">
        <v>56</v>
      </c>
      <c r="I24" s="190" t="s">
        <v>42</v>
      </c>
      <c r="J24" s="190" t="s">
        <v>42</v>
      </c>
      <c r="K24" s="190" t="s">
        <v>42</v>
      </c>
      <c r="L24" s="190">
        <f>SUM(L8,L10,L13,L17,L21)</f>
        <v>0</v>
      </c>
    </row>
    <row r="26" spans="1:12">
      <c r="A26" s="440" t="s">
        <v>175</v>
      </c>
    </row>
  </sheetData>
  <pageMargins left="0.70866141732283472" right="0.70866141732283472" top="0.74803149606299213" bottom="0.74803149606299213" header="0.31496062992125984" footer="0.31496062992125984"/>
  <pageSetup paperSize="9" scale="5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A1:M26"/>
  <sheetViews>
    <sheetView showGridLines="0" topLeftCell="A3" zoomScale="75" zoomScaleNormal="75" workbookViewId="0">
      <selection activeCell="D24" sqref="D24"/>
    </sheetView>
  </sheetViews>
  <sheetFormatPr baseColWidth="10" defaultRowHeight="15" outlineLevelRow="1"/>
  <cols>
    <col min="1" max="1" width="37.85546875" customWidth="1"/>
    <col min="2" max="3" width="9.140625" hidden="1" customWidth="1"/>
    <col min="4" max="8" width="9.140625" customWidth="1"/>
    <col min="9" max="9" width="11" customWidth="1"/>
    <col min="10" max="10" width="9.140625" customWidth="1"/>
    <col min="11" max="11" width="12.85546875" customWidth="1"/>
    <col min="12" max="12" width="12.5703125" customWidth="1"/>
    <col min="13" max="13" width="16.7109375" customWidth="1"/>
    <col min="26" max="26" width="5.7109375" customWidth="1"/>
  </cols>
  <sheetData>
    <row r="1" spans="1:13" hidden="1" outlineLevel="1">
      <c r="A1">
        <f>N</f>
        <v>2023</v>
      </c>
      <c r="B1" t="str">
        <f>"F_year_"&amp;N</f>
        <v>F_year_2023</v>
      </c>
      <c r="C1" t="str">
        <f>"F_year_"&amp;N+1</f>
        <v>F_year_2024</v>
      </c>
      <c r="D1" t="str">
        <f>"F_year_"&amp;N+2</f>
        <v>F_year_2025</v>
      </c>
      <c r="E1" t="str">
        <f>"F_year_"&amp;N+3</f>
        <v>F_year_2026</v>
      </c>
      <c r="F1" t="str">
        <f>"F_year_"&amp;N+4</f>
        <v>F_year_2027</v>
      </c>
      <c r="G1" t="str">
        <f>"F_year_"&amp;N+5</f>
        <v>F_year_2028</v>
      </c>
      <c r="H1" t="str">
        <f>"F_year_"&amp;N+6</f>
        <v>F_year_2029</v>
      </c>
    </row>
    <row r="2" spans="1:13" hidden="1" outlineLevel="1"/>
    <row r="3" spans="1:13" ht="18.75" collapsed="1">
      <c r="A3" s="177" t="s">
        <v>177</v>
      </c>
    </row>
    <row r="4" spans="1:13" ht="6" customHeight="1"/>
    <row r="5" spans="1:13" ht="27.75" customHeight="1" collapsed="1">
      <c r="A5" s="195" t="s">
        <v>130</v>
      </c>
      <c r="B5" s="229" t="str">
        <f>RIGHT(B1,4)</f>
        <v>2023</v>
      </c>
      <c r="C5" s="229" t="str">
        <f t="shared" ref="C5:H5" si="0">RIGHT(C1,4)</f>
        <v>2024</v>
      </c>
      <c r="D5" s="229" t="str">
        <f t="shared" si="0"/>
        <v>2025</v>
      </c>
      <c r="E5" s="229" t="str">
        <f t="shared" si="0"/>
        <v>2026</v>
      </c>
      <c r="F5" s="229" t="str">
        <f t="shared" si="0"/>
        <v>2027</v>
      </c>
      <c r="G5" s="229" t="str">
        <f t="shared" si="0"/>
        <v>2028</v>
      </c>
      <c r="H5" s="229" t="str">
        <f t="shared" si="0"/>
        <v>2029</v>
      </c>
      <c r="I5" s="229" t="s">
        <v>178</v>
      </c>
      <c r="J5" s="229" t="s">
        <v>131</v>
      </c>
      <c r="K5" s="229" t="s">
        <v>132</v>
      </c>
      <c r="L5" s="229" t="s">
        <v>100</v>
      </c>
      <c r="M5" s="229" t="s">
        <v>313</v>
      </c>
    </row>
    <row r="6" spans="1:13" ht="7.5" customHeight="1" thickBot="1"/>
    <row r="7" spans="1:13" ht="5.25" customHeight="1">
      <c r="A7" s="178"/>
      <c r="B7" s="178"/>
      <c r="C7" s="178"/>
      <c r="D7" s="178"/>
      <c r="E7" s="178"/>
      <c r="F7" s="178"/>
      <c r="G7" s="178"/>
      <c r="H7" s="178"/>
      <c r="I7" s="178"/>
      <c r="J7" s="178"/>
      <c r="K7" s="178"/>
      <c r="L7" s="178"/>
      <c r="M7" s="178"/>
    </row>
    <row r="8" spans="1:13" ht="15.75">
      <c r="A8" s="179" t="s">
        <v>135</v>
      </c>
      <c r="B8" s="181" t="s">
        <v>134</v>
      </c>
      <c r="C8" s="181"/>
      <c r="D8" s="181"/>
      <c r="E8" s="181"/>
      <c r="F8" s="181"/>
      <c r="G8" s="181"/>
      <c r="H8" s="181"/>
      <c r="I8" s="183">
        <v>1</v>
      </c>
      <c r="J8" s="181" t="s">
        <v>136</v>
      </c>
      <c r="K8" s="183" t="s">
        <v>46</v>
      </c>
      <c r="L8" s="183">
        <v>0.05</v>
      </c>
      <c r="M8" s="183" t="s">
        <v>315</v>
      </c>
    </row>
    <row r="9" spans="1:13" ht="15.75">
      <c r="A9" s="179" t="s">
        <v>135</v>
      </c>
      <c r="B9" s="181"/>
      <c r="C9" s="181" t="s">
        <v>138</v>
      </c>
      <c r="D9" s="181"/>
      <c r="E9" s="181"/>
      <c r="F9" s="181"/>
      <c r="G9" s="181"/>
      <c r="H9" s="181"/>
      <c r="I9" s="183">
        <v>0</v>
      </c>
      <c r="J9" s="181" t="s">
        <v>139</v>
      </c>
      <c r="K9" s="183" t="s">
        <v>140</v>
      </c>
      <c r="L9" s="183">
        <v>0.03</v>
      </c>
      <c r="M9" s="183" t="s">
        <v>315</v>
      </c>
    </row>
    <row r="10" spans="1:13" ht="15.75">
      <c r="A10" s="179" t="s">
        <v>135</v>
      </c>
      <c r="B10" s="181"/>
      <c r="C10" s="181" t="s">
        <v>142</v>
      </c>
      <c r="D10" s="181"/>
      <c r="E10" s="181"/>
      <c r="F10" s="181"/>
      <c r="G10" s="181"/>
      <c r="H10" s="181"/>
      <c r="I10" s="183">
        <v>0.6</v>
      </c>
      <c r="J10" s="181" t="s">
        <v>139</v>
      </c>
      <c r="K10" s="183" t="s">
        <v>139</v>
      </c>
      <c r="L10" s="183">
        <v>0.04</v>
      </c>
      <c r="M10" s="183" t="s">
        <v>315</v>
      </c>
    </row>
    <row r="11" spans="1:13" ht="15.75">
      <c r="A11" s="179" t="s">
        <v>135</v>
      </c>
      <c r="B11" s="181"/>
      <c r="C11" s="181" t="s">
        <v>145</v>
      </c>
      <c r="D11" s="181"/>
      <c r="E11" s="181"/>
      <c r="F11" s="181"/>
      <c r="G11" s="181"/>
      <c r="H11" s="181"/>
      <c r="I11" s="183">
        <v>0.5</v>
      </c>
      <c r="J11" s="181" t="s">
        <v>139</v>
      </c>
      <c r="K11" s="183" t="s">
        <v>139</v>
      </c>
      <c r="L11" s="183" t="s">
        <v>150</v>
      </c>
      <c r="M11" s="183" t="s">
        <v>315</v>
      </c>
    </row>
    <row r="12" spans="1:13" ht="15.75">
      <c r="A12" s="179" t="s">
        <v>135</v>
      </c>
      <c r="B12" s="181"/>
      <c r="C12" s="181"/>
      <c r="D12" s="181" t="s">
        <v>147</v>
      </c>
      <c r="E12" s="181"/>
      <c r="F12" s="181"/>
      <c r="G12" s="181"/>
      <c r="H12" s="181"/>
      <c r="I12" s="183">
        <v>0.3</v>
      </c>
      <c r="J12" s="181" t="s">
        <v>139</v>
      </c>
      <c r="K12" s="183" t="s">
        <v>139</v>
      </c>
      <c r="L12" s="183" t="s">
        <v>150</v>
      </c>
      <c r="M12" s="183" t="s">
        <v>315</v>
      </c>
    </row>
    <row r="13" spans="1:13" ht="15.75">
      <c r="A13" s="179" t="s">
        <v>135</v>
      </c>
      <c r="B13" s="181"/>
      <c r="C13" s="181"/>
      <c r="D13" s="181" t="s">
        <v>149</v>
      </c>
      <c r="E13" s="181"/>
      <c r="F13" s="181"/>
      <c r="G13" s="181"/>
      <c r="H13" s="181"/>
      <c r="I13" s="183">
        <v>0.6</v>
      </c>
      <c r="J13" s="181" t="s">
        <v>139</v>
      </c>
      <c r="K13" s="183" t="s">
        <v>139</v>
      </c>
      <c r="L13" s="183" t="s">
        <v>150</v>
      </c>
      <c r="M13" s="183" t="s">
        <v>315</v>
      </c>
    </row>
    <row r="14" spans="1:13" ht="15.75">
      <c r="A14" s="179" t="s">
        <v>135</v>
      </c>
      <c r="B14" s="181"/>
      <c r="C14" s="181"/>
      <c r="D14" s="181" t="s">
        <v>152</v>
      </c>
      <c r="E14" s="181"/>
      <c r="F14" s="181"/>
      <c r="G14" s="181"/>
      <c r="H14" s="181"/>
      <c r="I14" s="183">
        <v>0.8</v>
      </c>
      <c r="J14" s="181" t="s">
        <v>139</v>
      </c>
      <c r="K14" s="183" t="s">
        <v>139</v>
      </c>
      <c r="L14" s="183" t="s">
        <v>150</v>
      </c>
      <c r="M14" s="183" t="s">
        <v>315</v>
      </c>
    </row>
    <row r="15" spans="1:13" ht="15.75">
      <c r="A15" s="179" t="s">
        <v>135</v>
      </c>
      <c r="B15" s="181"/>
      <c r="C15" s="181"/>
      <c r="D15" s="181"/>
      <c r="E15" s="181" t="s">
        <v>154</v>
      </c>
      <c r="F15" s="181"/>
      <c r="G15" s="181"/>
      <c r="H15" s="181"/>
      <c r="I15" s="183">
        <v>0.1</v>
      </c>
      <c r="J15" s="181" t="s">
        <v>139</v>
      </c>
      <c r="K15" s="183" t="s">
        <v>139</v>
      </c>
      <c r="L15" s="183" t="s">
        <v>150</v>
      </c>
      <c r="M15" s="183" t="s">
        <v>315</v>
      </c>
    </row>
    <row r="16" spans="1:13" ht="15.75">
      <c r="A16" s="179" t="s">
        <v>135</v>
      </c>
      <c r="B16" s="181"/>
      <c r="C16" s="181"/>
      <c r="D16" s="181"/>
      <c r="E16" s="181" t="s">
        <v>156</v>
      </c>
      <c r="F16" s="181"/>
      <c r="G16" s="181"/>
      <c r="H16" s="181"/>
      <c r="I16" s="183">
        <v>0.85</v>
      </c>
      <c r="J16" s="181" t="s">
        <v>139</v>
      </c>
      <c r="K16" s="183" t="s">
        <v>139</v>
      </c>
      <c r="L16" s="183" t="s">
        <v>150</v>
      </c>
      <c r="M16" s="183" t="s">
        <v>315</v>
      </c>
    </row>
    <row r="17" spans="1:13" ht="15.75">
      <c r="A17" s="179" t="s">
        <v>135</v>
      </c>
      <c r="B17" s="181"/>
      <c r="C17" s="181"/>
      <c r="D17" s="181"/>
      <c r="E17" s="181" t="s">
        <v>158</v>
      </c>
      <c r="F17" s="181"/>
      <c r="G17" s="181"/>
      <c r="H17" s="181"/>
      <c r="I17" s="183">
        <v>0.2</v>
      </c>
      <c r="J17" s="181" t="s">
        <v>139</v>
      </c>
      <c r="K17" s="183" t="s">
        <v>139</v>
      </c>
      <c r="L17" s="183" t="s">
        <v>150</v>
      </c>
      <c r="M17" s="183" t="s">
        <v>315</v>
      </c>
    </row>
    <row r="18" spans="1:13" ht="15.75">
      <c r="A18" s="179" t="s">
        <v>135</v>
      </c>
      <c r="B18" s="181"/>
      <c r="C18" s="181"/>
      <c r="D18" s="181"/>
      <c r="E18" s="181" t="s">
        <v>160</v>
      </c>
      <c r="F18" s="181"/>
      <c r="G18" s="181"/>
      <c r="H18" s="181"/>
      <c r="I18" s="183">
        <v>0.3</v>
      </c>
      <c r="J18" s="181" t="s">
        <v>139</v>
      </c>
      <c r="K18" s="183" t="s">
        <v>139</v>
      </c>
      <c r="L18" s="183" t="s">
        <v>150</v>
      </c>
      <c r="M18" s="183" t="s">
        <v>315</v>
      </c>
    </row>
    <row r="19" spans="1:13" ht="15.75">
      <c r="A19" s="179" t="s">
        <v>135</v>
      </c>
      <c r="B19" s="181"/>
      <c r="C19" s="181"/>
      <c r="D19" s="181"/>
      <c r="E19" s="181" t="s">
        <v>163</v>
      </c>
      <c r="F19" s="181"/>
      <c r="G19" s="181"/>
      <c r="H19" s="181"/>
      <c r="I19" s="183">
        <v>0.4</v>
      </c>
      <c r="J19" s="181" t="s">
        <v>139</v>
      </c>
      <c r="K19" s="183" t="s">
        <v>139</v>
      </c>
      <c r="L19" s="183" t="s">
        <v>150</v>
      </c>
      <c r="M19" s="183" t="s">
        <v>315</v>
      </c>
    </row>
    <row r="20" spans="1:13" ht="15.75">
      <c r="A20" s="179" t="s">
        <v>135</v>
      </c>
      <c r="B20" s="181"/>
      <c r="C20" s="181"/>
      <c r="D20" s="181"/>
      <c r="E20" s="181"/>
      <c r="F20" s="181" t="s">
        <v>162</v>
      </c>
      <c r="G20" s="181"/>
      <c r="H20" s="181"/>
      <c r="I20" s="183">
        <v>0.5</v>
      </c>
      <c r="J20" s="181" t="s">
        <v>139</v>
      </c>
      <c r="K20" s="183" t="s">
        <v>139</v>
      </c>
      <c r="L20" s="183" t="s">
        <v>150</v>
      </c>
      <c r="M20" s="183" t="s">
        <v>315</v>
      </c>
    </row>
    <row r="21" spans="1:13" ht="15.75">
      <c r="A21" s="179" t="s">
        <v>135</v>
      </c>
      <c r="B21" s="181"/>
      <c r="C21" s="181"/>
      <c r="D21" s="181"/>
      <c r="E21" s="181"/>
      <c r="F21" s="181" t="s">
        <v>165</v>
      </c>
      <c r="G21" s="181"/>
      <c r="H21" s="181"/>
      <c r="I21" s="183">
        <v>0.6</v>
      </c>
      <c r="J21" s="181" t="s">
        <v>139</v>
      </c>
      <c r="K21" s="183" t="s">
        <v>139</v>
      </c>
      <c r="L21" s="183" t="s">
        <v>150</v>
      </c>
      <c r="M21" s="183" t="s">
        <v>315</v>
      </c>
    </row>
    <row r="22" spans="1:13" ht="15.75">
      <c r="A22" s="179" t="s">
        <v>135</v>
      </c>
      <c r="B22" s="181"/>
      <c r="C22" s="181"/>
      <c r="D22" s="181"/>
      <c r="E22" s="181"/>
      <c r="F22" s="181"/>
      <c r="G22" s="181" t="s">
        <v>167</v>
      </c>
      <c r="H22" s="181"/>
      <c r="I22" s="183">
        <v>0.7</v>
      </c>
      <c r="J22" s="181" t="s">
        <v>139</v>
      </c>
      <c r="K22" s="183" t="s">
        <v>139</v>
      </c>
      <c r="L22" s="183" t="s">
        <v>150</v>
      </c>
      <c r="M22" s="183" t="s">
        <v>315</v>
      </c>
    </row>
    <row r="23" spans="1:13" ht="15.75">
      <c r="A23" s="187" t="s">
        <v>171</v>
      </c>
      <c r="B23" s="188">
        <f>SUM(B8:B22)</f>
        <v>0</v>
      </c>
      <c r="C23" s="188">
        <f t="shared" ref="C23:H23" si="1">SUM(C8:C22)</f>
        <v>0</v>
      </c>
      <c r="D23" s="188">
        <f t="shared" si="1"/>
        <v>0</v>
      </c>
      <c r="E23" s="188">
        <f t="shared" si="1"/>
        <v>0</v>
      </c>
      <c r="F23" s="188">
        <f t="shared" si="1"/>
        <v>0</v>
      </c>
      <c r="G23" s="188">
        <f t="shared" si="1"/>
        <v>0</v>
      </c>
      <c r="H23" s="188">
        <f t="shared" si="1"/>
        <v>0</v>
      </c>
      <c r="I23" s="192" t="s">
        <v>56</v>
      </c>
      <c r="J23" s="188" t="s">
        <v>42</v>
      </c>
      <c r="K23" s="188" t="s">
        <v>42</v>
      </c>
      <c r="L23" s="188" t="s">
        <v>42</v>
      </c>
      <c r="M23" s="188" t="s">
        <v>315</v>
      </c>
    </row>
    <row r="24" spans="1:13" s="191" customFormat="1" ht="18" thickBot="1">
      <c r="A24" s="189" t="s">
        <v>173</v>
      </c>
      <c r="B24" s="190">
        <f>SUMPRODUCT(B8:B22,$I$8:$I$22)</f>
        <v>0</v>
      </c>
      <c r="C24" s="190">
        <f t="shared" ref="C24:H24" si="2">SUMPRODUCT(C8:C22,$I$8:$I$22)</f>
        <v>0</v>
      </c>
      <c r="D24" s="190">
        <f t="shared" si="2"/>
        <v>0</v>
      </c>
      <c r="E24" s="190">
        <f t="shared" si="2"/>
        <v>0</v>
      </c>
      <c r="F24" s="190">
        <f t="shared" si="2"/>
        <v>0</v>
      </c>
      <c r="G24" s="190">
        <f t="shared" si="2"/>
        <v>0</v>
      </c>
      <c r="H24" s="190">
        <f t="shared" si="2"/>
        <v>0</v>
      </c>
      <c r="I24" s="190" t="s">
        <v>56</v>
      </c>
      <c r="J24" s="190" t="s">
        <v>42</v>
      </c>
      <c r="K24" s="190" t="s">
        <v>42</v>
      </c>
      <c r="L24" s="190" t="s">
        <v>42</v>
      </c>
      <c r="M24" s="190">
        <f t="shared" ref="M24" si="3">SUMPRODUCT(M8:M22,$I$8:$I$22)</f>
        <v>0</v>
      </c>
    </row>
    <row r="25" spans="1:13" ht="6.75" customHeight="1"/>
    <row r="26" spans="1:13" ht="21" customHeight="1">
      <c r="A26" s="193" t="s">
        <v>179</v>
      </c>
    </row>
  </sheetData>
  <pageMargins left="0.70866141732283472" right="0.70866141732283472" top="0.74803149606299213" bottom="0.74803149606299213" header="0.31496062992125984" footer="0.31496062992125984"/>
  <pageSetup paperSize="9" scale="58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  <pageSetUpPr fitToPage="1"/>
  </sheetPr>
  <dimension ref="A1:C5"/>
  <sheetViews>
    <sheetView showGridLines="0" workbookViewId="0">
      <selection activeCell="D24" sqref="D24"/>
    </sheetView>
  </sheetViews>
  <sheetFormatPr baseColWidth="10" defaultRowHeight="15"/>
  <cols>
    <col min="1" max="1" width="2.85546875" customWidth="1"/>
    <col min="6" max="6" width="1.7109375" customWidth="1"/>
    <col min="7" max="7" width="11.42578125" customWidth="1"/>
    <col min="26" max="26" width="5.7109375" customWidth="1"/>
  </cols>
  <sheetData>
    <row r="1" spans="1:3">
      <c r="A1" s="89" t="s">
        <v>66</v>
      </c>
    </row>
    <row r="2" spans="1:3" s="70" customFormat="1" ht="15" hidden="1" customHeight="1">
      <c r="C2" s="70" t="str">
        <f>Base!E51</f>
        <v>Revenue (MEUR)</v>
      </c>
    </row>
    <row r="3" spans="1:3" s="70" customFormat="1" ht="15" hidden="1" customHeight="1">
      <c r="C3" s="70" t="str">
        <f>Base!E72</f>
        <v>EBIT bef.  MF (MEUR)</v>
      </c>
    </row>
    <row r="4" spans="1:3" s="70" customFormat="1" ht="15" hidden="1" customHeight="1">
      <c r="C4" s="70" t="str">
        <f>Base!E85</f>
        <v>Net Industrial CAPEX (MEUR)</v>
      </c>
    </row>
    <row r="5" spans="1:3" hidden="1">
      <c r="A5" s="89"/>
    </row>
  </sheetData>
  <pageMargins left="0.70866141732283472" right="0.70866141732283472" top="0.74803149606299213" bottom="0.74803149606299213" header="0.31496062992125984" footer="0.31496062992125984"/>
  <pageSetup paperSize="9" scale="92" orientation="landscape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showGridLines="0" zoomScale="90" zoomScaleNormal="90" workbookViewId="0">
      <selection activeCell="J28" sqref="J28"/>
    </sheetView>
  </sheetViews>
  <sheetFormatPr baseColWidth="10" defaultRowHeight="15" outlineLevelCol="1"/>
  <cols>
    <col min="1" max="1" width="34" customWidth="1"/>
    <col min="2" max="2" width="11.42578125" hidden="1" customWidth="1" outlineLevel="1"/>
    <col min="3" max="3" width="11.42578125" collapsed="1"/>
    <col min="25" max="25" width="5.7109375" customWidth="1"/>
  </cols>
  <sheetData>
    <row r="1" spans="1:7">
      <c r="A1" s="89" t="s">
        <v>333</v>
      </c>
    </row>
    <row r="2" spans="1:7">
      <c r="A2" s="89"/>
    </row>
    <row r="3" spans="1:7" ht="45">
      <c r="A3" s="452" t="s">
        <v>334</v>
      </c>
      <c r="B3" s="451" t="e">
        <f>RIGHT(#REF!,4)</f>
        <v>#REF!</v>
      </c>
      <c r="C3" s="451" t="str">
        <f ca="1">'Page 8 - comparison country lev'!M28</f>
        <v>LTP 2025</v>
      </c>
      <c r="D3" s="451" t="str">
        <f ca="1">'Page 8 - comparison country lev'!N28</f>
        <v>LTP 2026</v>
      </c>
      <c r="E3" s="451" t="str">
        <f ca="1">'Page 8 - comparison country lev'!O28</f>
        <v>LTP 2027</v>
      </c>
      <c r="F3" s="451" t="str">
        <f ca="1">'Page 8 - comparison country lev'!P28</f>
        <v>LTP 2028</v>
      </c>
      <c r="G3" s="451" t="str">
        <f ca="1">'Page 8 - comparison country lev'!Q28</f>
        <v>LTP 2029</v>
      </c>
    </row>
    <row r="4" spans="1:7" ht="5.25" customHeight="1" thickBot="1">
      <c r="A4" s="196"/>
      <c r="B4" s="197"/>
      <c r="C4" s="197"/>
      <c r="D4" s="198"/>
      <c r="E4" s="198"/>
      <c r="F4" s="198"/>
      <c r="G4" s="198"/>
    </row>
    <row r="5" spans="1:7">
      <c r="A5" s="178"/>
      <c r="B5" s="178"/>
      <c r="C5" s="178"/>
      <c r="D5" s="178"/>
      <c r="E5" s="178"/>
      <c r="F5" s="178"/>
      <c r="G5" s="178"/>
    </row>
    <row r="6" spans="1:7" ht="15.75">
      <c r="A6" s="179" t="s">
        <v>321</v>
      </c>
      <c r="B6" s="180" t="s">
        <v>134</v>
      </c>
      <c r="C6" s="438" t="s">
        <v>138</v>
      </c>
      <c r="D6" s="181"/>
      <c r="E6" s="181"/>
      <c r="F6" s="181"/>
      <c r="G6" s="181"/>
    </row>
    <row r="7" spans="1:7" ht="15.75">
      <c r="A7" s="179" t="s">
        <v>320</v>
      </c>
      <c r="B7" s="181"/>
      <c r="C7" s="437" t="s">
        <v>142</v>
      </c>
      <c r="D7" s="181"/>
      <c r="E7" s="181"/>
      <c r="F7" s="181"/>
      <c r="G7" s="181"/>
    </row>
    <row r="8" spans="1:7" ht="15.75">
      <c r="A8" s="179" t="s">
        <v>322</v>
      </c>
      <c r="B8" s="181"/>
      <c r="C8" s="437" t="s">
        <v>145</v>
      </c>
      <c r="D8" s="181"/>
      <c r="E8" s="181"/>
      <c r="F8" s="181"/>
      <c r="G8" s="181"/>
    </row>
    <row r="9" spans="1:7" ht="15.75">
      <c r="A9" s="179" t="s">
        <v>323</v>
      </c>
      <c r="B9" s="181"/>
      <c r="C9" s="437" t="s">
        <v>215</v>
      </c>
      <c r="D9" s="181"/>
      <c r="E9" s="181"/>
      <c r="F9" s="181"/>
      <c r="G9" s="181"/>
    </row>
    <row r="10" spans="1:7" ht="15.75">
      <c r="A10" s="179" t="s">
        <v>324</v>
      </c>
      <c r="B10" s="181"/>
      <c r="C10" s="181"/>
      <c r="D10" s="438" t="s">
        <v>147</v>
      </c>
      <c r="E10" s="181"/>
      <c r="F10" s="181"/>
      <c r="G10" s="181"/>
    </row>
    <row r="11" spans="1:7" ht="15.75">
      <c r="A11" s="179" t="s">
        <v>325</v>
      </c>
      <c r="B11" s="181"/>
      <c r="C11" s="181"/>
      <c r="D11" s="437" t="s">
        <v>149</v>
      </c>
      <c r="E11" s="181"/>
      <c r="F11" s="181"/>
      <c r="G11" s="181"/>
    </row>
    <row r="12" spans="1:7" ht="16.5" thickBot="1">
      <c r="A12" s="445" t="s">
        <v>332</v>
      </c>
      <c r="B12" s="446"/>
      <c r="C12" s="446"/>
      <c r="D12" s="447" t="s">
        <v>152</v>
      </c>
      <c r="E12" s="446"/>
      <c r="F12" s="446"/>
      <c r="G12" s="446"/>
    </row>
    <row r="13" spans="1:7" ht="16.5" thickBot="1">
      <c r="A13" s="448" t="s">
        <v>319</v>
      </c>
      <c r="B13" s="449"/>
      <c r="C13" s="449">
        <f>SUM(C6:C12)</f>
        <v>0</v>
      </c>
      <c r="D13" s="449">
        <f t="shared" ref="D13:G13" si="0">SUM(D6:D12)</f>
        <v>0</v>
      </c>
      <c r="E13" s="449">
        <f t="shared" si="0"/>
        <v>0</v>
      </c>
      <c r="F13" s="449">
        <f t="shared" si="0"/>
        <v>0</v>
      </c>
      <c r="G13" s="449">
        <f t="shared" si="0"/>
        <v>0</v>
      </c>
    </row>
    <row r="14" spans="1:7" ht="15.75">
      <c r="A14" s="442" t="s">
        <v>326</v>
      </c>
      <c r="B14" s="443"/>
      <c r="C14" s="443"/>
      <c r="D14" s="443"/>
      <c r="E14" s="444" t="s">
        <v>154</v>
      </c>
      <c r="F14" s="443"/>
      <c r="G14" s="443"/>
    </row>
    <row r="15" spans="1:7" ht="15.75">
      <c r="A15" s="179" t="s">
        <v>327</v>
      </c>
      <c r="B15" s="181"/>
      <c r="C15" s="181"/>
      <c r="D15" s="181"/>
      <c r="E15" s="437" t="s">
        <v>156</v>
      </c>
      <c r="F15" s="181"/>
      <c r="G15" s="181"/>
    </row>
    <row r="16" spans="1:7" ht="15.75">
      <c r="A16" s="179" t="s">
        <v>328</v>
      </c>
      <c r="B16" s="181"/>
      <c r="C16" s="181"/>
      <c r="D16" s="181"/>
      <c r="E16" s="437" t="s">
        <v>158</v>
      </c>
      <c r="F16" s="181"/>
      <c r="G16" s="181"/>
    </row>
    <row r="17" spans="1:7" ht="15.75">
      <c r="A17" s="179" t="s">
        <v>329</v>
      </c>
      <c r="B17" s="181"/>
      <c r="C17" s="181"/>
      <c r="D17" s="181"/>
      <c r="E17" s="438" t="s">
        <v>160</v>
      </c>
      <c r="F17" s="181"/>
      <c r="G17" s="181"/>
    </row>
    <row r="18" spans="1:7" ht="15.75">
      <c r="A18" s="179" t="s">
        <v>330</v>
      </c>
      <c r="B18" s="181"/>
      <c r="C18" s="181"/>
      <c r="D18" s="181"/>
      <c r="E18" s="181"/>
      <c r="F18" s="437" t="s">
        <v>162</v>
      </c>
      <c r="G18" s="181"/>
    </row>
    <row r="19" spans="1:7" ht="16.5" thickBot="1">
      <c r="A19" s="445" t="s">
        <v>331</v>
      </c>
      <c r="B19" s="446"/>
      <c r="C19" s="446"/>
      <c r="D19" s="491"/>
      <c r="E19" s="446"/>
      <c r="F19" s="447" t="s">
        <v>165</v>
      </c>
      <c r="G19" s="446"/>
    </row>
    <row r="20" spans="1:7" ht="16.5" thickBot="1">
      <c r="A20" s="448" t="s">
        <v>318</v>
      </c>
      <c r="B20" s="450"/>
      <c r="C20" s="450">
        <f>SUM(C14:C19)</f>
        <v>0</v>
      </c>
      <c r="D20" s="450">
        <f>SUM(D14:D19)</f>
        <v>0</v>
      </c>
      <c r="E20" s="450">
        <f>SUM(E14:E19)</f>
        <v>0</v>
      </c>
      <c r="F20" s="450">
        <f>SUM(F14:F19)</f>
        <v>0</v>
      </c>
      <c r="G20" s="450">
        <f>SUM(G14:G19)</f>
        <v>0</v>
      </c>
    </row>
    <row r="21" spans="1:7" ht="18" thickBot="1">
      <c r="A21" s="189" t="s">
        <v>312</v>
      </c>
      <c r="B21" s="190">
        <f>SUM(B6)</f>
        <v>0</v>
      </c>
      <c r="C21" s="190">
        <f>SUM(C8:C9)</f>
        <v>0</v>
      </c>
      <c r="D21" s="190">
        <f>SUM(D11:D12)</f>
        <v>0</v>
      </c>
      <c r="E21" s="190">
        <f>SUM(E14:E16)</f>
        <v>0</v>
      </c>
      <c r="F21" s="190">
        <f>SUM(F18:F19)</f>
        <v>0</v>
      </c>
      <c r="G21" s="190">
        <f>SUM(G6:G19)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C4"/>
  <sheetViews>
    <sheetView showGridLines="0" workbookViewId="0">
      <selection activeCell="O35" sqref="O35"/>
    </sheetView>
  </sheetViews>
  <sheetFormatPr baseColWidth="10" defaultRowHeight="15"/>
  <cols>
    <col min="1" max="1" width="2.85546875" customWidth="1"/>
    <col min="5" max="5" width="8" customWidth="1"/>
    <col min="26" max="26" width="5.7109375" customWidth="1"/>
  </cols>
  <sheetData>
    <row r="1" spans="1:3">
      <c r="A1" s="89" t="s">
        <v>67</v>
      </c>
    </row>
    <row r="2" spans="1:3" s="70" customFormat="1" hidden="1">
      <c r="C2" s="70" t="str">
        <f>Base!E51</f>
        <v>Revenue (MEUR)</v>
      </c>
    </row>
    <row r="3" spans="1:3" s="70" customFormat="1" hidden="1">
      <c r="C3" s="70" t="str">
        <f>Base!E72</f>
        <v>EBIT bef.  MF (MEUR)</v>
      </c>
    </row>
    <row r="4" spans="1:3" s="70" customFormat="1" hidden="1">
      <c r="C4" s="70" t="str">
        <f>Base!E111</f>
        <v>Financial CAPEX (MEUR)</v>
      </c>
    </row>
  </sheetData>
  <pageMargins left="0.70866141732283472" right="0.70866141732283472" top="0.74803149606299213" bottom="0.74803149606299213" header="0.31496062992125984" footer="0.31496062992125984"/>
  <pageSetup paperSize="9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002060"/>
  </sheetPr>
  <dimension ref="A1:R226"/>
  <sheetViews>
    <sheetView showGridLines="0" zoomScale="80" zoomScaleNormal="80" workbookViewId="0">
      <pane xSplit="3" ySplit="12" topLeftCell="D13" activePane="bottomRight" state="frozen"/>
      <selection pane="topRight" activeCell="D1" sqref="D1"/>
      <selection pane="bottomLeft" activeCell="A13" sqref="A13"/>
      <selection pane="bottomRight" activeCell="D24" sqref="D24"/>
    </sheetView>
  </sheetViews>
  <sheetFormatPr baseColWidth="10" defaultRowHeight="15" outlineLevelCol="1"/>
  <cols>
    <col min="1" max="1" width="26.140625" hidden="1" customWidth="1" outlineLevel="1"/>
    <col min="2" max="2" width="28.85546875" hidden="1" customWidth="1" outlineLevel="1"/>
    <col min="3" max="3" width="13.28515625" hidden="1" customWidth="1" outlineLevel="1"/>
    <col min="4" max="4" width="26.140625" customWidth="1" collapsed="1"/>
    <col min="5" max="5" width="37.28515625" customWidth="1"/>
    <col min="6" max="6" width="14.140625" customWidth="1"/>
    <col min="7" max="13" width="10" customWidth="1"/>
    <col min="14" max="14" width="11.42578125" style="138" hidden="1" customWidth="1" outlineLevel="1"/>
    <col min="15" max="15" width="11.42578125" hidden="1" customWidth="1" outlineLevel="1"/>
    <col min="16" max="16" width="11.42578125" customWidth="1" collapsed="1"/>
    <col min="20" max="20" width="19.85546875" customWidth="1"/>
    <col min="25" max="25" width="17" customWidth="1"/>
    <col min="26" max="26" width="5.7109375" customWidth="1"/>
    <col min="35" max="35" width="15.5703125" customWidth="1"/>
    <col min="41" max="41" width="20.140625" customWidth="1"/>
  </cols>
  <sheetData>
    <row r="1" spans="1:18">
      <c r="A1" s="480" t="s">
        <v>3</v>
      </c>
      <c r="B1" s="480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R1" t="s">
        <v>190</v>
      </c>
    </row>
    <row r="2" spans="1:18">
      <c r="A2" s="3" t="s">
        <v>4</v>
      </c>
      <c r="B2" s="129" t="s">
        <v>198</v>
      </c>
      <c r="D2" s="406"/>
      <c r="E2" s="2"/>
      <c r="F2" s="481" t="str">
        <f ca="1">CONCATENATE(B8," ","-"," ",B7)</f>
        <v>TRANSDEV All - All activity</v>
      </c>
      <c r="G2" s="482"/>
      <c r="H2" s="482"/>
      <c r="I2" s="482"/>
      <c r="J2" s="482"/>
      <c r="K2" s="483"/>
      <c r="L2" s="2"/>
      <c r="M2" s="2"/>
    </row>
    <row r="3" spans="1:18">
      <c r="A3" s="3" t="s">
        <v>5</v>
      </c>
      <c r="B3" s="130">
        <f>N</f>
        <v>2023</v>
      </c>
      <c r="D3" s="4"/>
      <c r="Q3" s="1"/>
      <c r="R3" s="113" t="s">
        <v>117</v>
      </c>
    </row>
    <row r="4" spans="1:18">
      <c r="A4" s="3" t="s">
        <v>6</v>
      </c>
      <c r="B4" s="129" t="str">
        <f ca="1">_xll.SUBNM("tango_core_model:Currency","","MEUR")</f>
        <v>MEUR</v>
      </c>
      <c r="D4" s="4"/>
      <c r="E4" s="1"/>
      <c r="R4" s="113" t="s">
        <v>74</v>
      </c>
    </row>
    <row r="5" spans="1:18">
      <c r="A5" s="3" t="s">
        <v>306</v>
      </c>
      <c r="B5" s="129" t="str">
        <f ca="1">IF(MID(B6,5,4)&gt;"2020",_xll.SUBNM("tango_core_model:Weighting","","W_APP"),_xll.SUBNM("tango_core_model:Weighting","","W_NO_APP"))</f>
        <v>W_APP</v>
      </c>
      <c r="D5" s="2"/>
      <c r="E5" s="1"/>
      <c r="R5" s="113" t="s">
        <v>70</v>
      </c>
    </row>
    <row r="6" spans="1:18">
      <c r="A6" s="3" t="s">
        <v>1</v>
      </c>
      <c r="B6" s="130" t="str">
        <f>Current_Version</f>
        <v>LTP_2023_VC</v>
      </c>
      <c r="D6" s="2"/>
      <c r="E6" s="2"/>
      <c r="R6" s="114" t="s">
        <v>75</v>
      </c>
    </row>
    <row r="7" spans="1:18" s="54" customFormat="1" ht="14.25" customHeight="1">
      <c r="A7" s="107" t="s">
        <v>8</v>
      </c>
      <c r="B7" s="130" t="str">
        <f ca="1">Activity</f>
        <v>All activity</v>
      </c>
      <c r="D7" s="127"/>
      <c r="E7" s="128">
        <f>N</f>
        <v>2023</v>
      </c>
      <c r="F7" s="128" t="str">
        <f>"F_year_"&amp;N-1</f>
        <v>F_year_2022</v>
      </c>
      <c r="G7" s="128" t="str">
        <f>"F_year_"&amp;N</f>
        <v>F_year_2023</v>
      </c>
      <c r="H7" s="128" t="str">
        <f>"F_year_"&amp;N+1</f>
        <v>F_year_2024</v>
      </c>
      <c r="I7" s="128" t="str">
        <f>"F_year_"&amp;N+2</f>
        <v>F_year_2025</v>
      </c>
      <c r="J7" s="128" t="str">
        <f>"F_year_"&amp;N+3</f>
        <v>F_year_2026</v>
      </c>
      <c r="K7" s="128" t="str">
        <f>"F_year_"&amp;N+4</f>
        <v>F_year_2027</v>
      </c>
      <c r="L7" s="128" t="str">
        <f>"F_year_"&amp;N+5</f>
        <v>F_year_2028</v>
      </c>
      <c r="M7" s="128" t="str">
        <f>"F_year_"&amp;N+6</f>
        <v>F_year_2029</v>
      </c>
      <c r="N7" s="139"/>
      <c r="R7" s="115" t="s">
        <v>83</v>
      </c>
    </row>
    <row r="8" spans="1:18">
      <c r="A8" s="3" t="s">
        <v>9</v>
      </c>
      <c r="B8" s="130" t="str">
        <f ca="1">Legal_organization</f>
        <v>TRANSDEV All</v>
      </c>
      <c r="D8" s="3" t="str">
        <f>Current_Version</f>
        <v>LTP_2023_VC</v>
      </c>
      <c r="E8" s="3" t="s">
        <v>39</v>
      </c>
      <c r="F8" s="106">
        <f ca="1">_xll.DBRW("tango_core_model:ST_Currency",F$7,$D$8,Currency,"EUR",$E8)</f>
        <v>1</v>
      </c>
      <c r="G8" s="106">
        <f ca="1">_xll.DBRW("tango_core_model:ST_Currency",G$7,$D$8,Currency,"EUR",$E8)</f>
        <v>1</v>
      </c>
      <c r="H8" s="106">
        <f ca="1">_xll.DBRW("tango_core_model:ST_Currency",H$7,$D$8,Currency,"EUR",$E8)</f>
        <v>1</v>
      </c>
      <c r="I8" s="106">
        <f ca="1">_xll.DBRW("tango_core_model:ST_Currency",I$7,$D$8,Currency,"EUR",$E8)</f>
        <v>1</v>
      </c>
      <c r="J8" s="106">
        <f ca="1">_xll.DBRW("tango_core_model:ST_Currency",J$7,$D$8,Currency,"EUR",$E8)</f>
        <v>1</v>
      </c>
      <c r="K8" s="106">
        <f ca="1">_xll.DBRW("tango_core_model:ST_Currency",K$7,$D$8,Currency,"EUR",$E8)</f>
        <v>1</v>
      </c>
      <c r="L8" s="106">
        <f ca="1">_xll.DBRW("tango_core_model:ST_Currency",L$7,$D$8,Currency,"EUR",$E8)</f>
        <v>1</v>
      </c>
      <c r="M8" s="106">
        <f ca="1">_xll.DBRW("tango_core_model:ST_Currency",M$7,$D$8,Currency,"EUR",$E8)</f>
        <v>1</v>
      </c>
      <c r="R8" s="113" t="s">
        <v>84</v>
      </c>
    </row>
    <row r="9" spans="1:18">
      <c r="A9" s="3" t="s">
        <v>10</v>
      </c>
      <c r="B9" s="130" t="str">
        <f>LY_Version</f>
        <v>LTP_2022_V6</v>
      </c>
      <c r="D9" s="3"/>
      <c r="E9" s="109" t="s">
        <v>40</v>
      </c>
      <c r="F9" s="110">
        <f ca="1">_xll.DBRW("tango_core_model:ST_Currency",F$7,$D$8,Currency,"EUR",$E9)</f>
        <v>1</v>
      </c>
      <c r="G9" s="110">
        <f ca="1">_xll.DBRW("tango_core_model:ST_Currency",G$7,$D$8,Currency,"EUR",$E9)</f>
        <v>1</v>
      </c>
      <c r="H9" s="110">
        <f ca="1">_xll.DBRW("tango_core_model:ST_Currency",H$7,$D$8,Currency,"EUR",$E9)</f>
        <v>1</v>
      </c>
      <c r="I9" s="110">
        <f ca="1">_xll.DBRW("tango_core_model:ST_Currency",I$7,$D$8,Currency,"EUR",$E9)</f>
        <v>1</v>
      </c>
      <c r="J9" s="110">
        <f ca="1">_xll.DBRW("tango_core_model:ST_Currency",J$7,$D$8,Currency,"EUR",$E9)</f>
        <v>1</v>
      </c>
      <c r="K9" s="110">
        <f ca="1">_xll.DBRW("tango_core_model:ST_Currency",K$7,$D$8,Currency,"EUR",$E9)</f>
        <v>1</v>
      </c>
      <c r="L9" s="110">
        <f ca="1">_xll.DBRW("tango_core_model:ST_Currency",L$7,$D$8,Currency,"EUR",$E9)</f>
        <v>1</v>
      </c>
      <c r="M9" s="110">
        <f ca="1">_xll.DBRW("tango_core_model:ST_Currency",M$7,$D$8,Currency,"EUR",$E9)</f>
        <v>1</v>
      </c>
      <c r="R9" s="113" t="s">
        <v>85</v>
      </c>
    </row>
    <row r="10" spans="1:18">
      <c r="A10" s="3" t="s">
        <v>11</v>
      </c>
      <c r="B10" s="130" t="str">
        <f>Language</f>
        <v>English</v>
      </c>
      <c r="D10" s="105" t="str">
        <f>LEFT(B9,11)</f>
        <v>LTP_2022_V6</v>
      </c>
      <c r="E10" s="105" t="s">
        <v>39</v>
      </c>
      <c r="F10" s="108">
        <f ca="1">_xll.DBRW("tango_core_model:ST_Currency",F$7,$D$10,Currency,"EUR",$E10)</f>
        <v>1</v>
      </c>
      <c r="G10" s="108">
        <f ca="1">_xll.DBRW("tango_core_model:ST_Currency",G$7,$D$10,Currency,"EUR",$E10)</f>
        <v>1</v>
      </c>
      <c r="H10" s="108">
        <f ca="1">_xll.DBRW("tango_core_model:ST_Currency",H$7,$D$10,Currency,"EUR",$E10)</f>
        <v>1</v>
      </c>
      <c r="I10" s="108">
        <f ca="1">_xll.DBRW("tango_core_model:ST_Currency",I$7,$D$10,Currency,"EUR",$E10)</f>
        <v>1</v>
      </c>
      <c r="J10" s="108">
        <f ca="1">_xll.DBRW("tango_core_model:ST_Currency",J$7,$D$10,Currency,"EUR",$E10)</f>
        <v>1</v>
      </c>
      <c r="K10" s="108">
        <f ca="1">_xll.DBRW("tango_core_model:ST_Currency",K$7,$D$10,Currency,"EUR",$E10)</f>
        <v>1</v>
      </c>
      <c r="L10" s="108">
        <f ca="1">_xll.DBRW("tango_core_model:ST_Currency",L$7,$D$10,Currency,"EUR",$E10)</f>
        <v>1</v>
      </c>
      <c r="M10" s="108">
        <f ca="1">_xll.DBRW("tango_core_model:ST_Currency",M$7,$D$10,Currency,"EUR",$E10)</f>
        <v>1</v>
      </c>
      <c r="R10" s="113" t="s">
        <v>86</v>
      </c>
    </row>
    <row r="11" spans="1:18">
      <c r="A11" s="3" t="s">
        <v>305</v>
      </c>
      <c r="B11" s="129" t="str">
        <f ca="1">IF(MID(B9,5,4)&gt;"2020",_xll.SUBNM("tango_core_model:Weighting","","W_APP"),_xll.SUBNM("tango_core_model:Weighting","","W_NO_APP"))</f>
        <v>W_APP</v>
      </c>
      <c r="D11" s="105"/>
      <c r="E11" s="111" t="s">
        <v>40</v>
      </c>
      <c r="F11" s="112">
        <f ca="1">_xll.DBRW("tango_core_model:ST_Currency",F$7,$D$10,Currency,"EUR",$E11)</f>
        <v>1</v>
      </c>
      <c r="G11" s="112">
        <f ca="1">_xll.DBRW("tango_core_model:ST_Currency",G$7,$D$10,Currency,"EUR",$E11)</f>
        <v>1</v>
      </c>
      <c r="H11" s="112">
        <f ca="1">_xll.DBRW("tango_core_model:ST_Currency",H$7,$D$10,Currency,"EUR",$E11)</f>
        <v>1</v>
      </c>
      <c r="I11" s="112">
        <f ca="1">_xll.DBRW("tango_core_model:ST_Currency",I$7,$D$10,Currency,"EUR",$E11)</f>
        <v>1</v>
      </c>
      <c r="J11" s="112">
        <f ca="1">_xll.DBRW("tango_core_model:ST_Currency",J$7,$D$10,Currency,"EUR",$E11)</f>
        <v>1</v>
      </c>
      <c r="K11" s="112">
        <f ca="1">_xll.DBRW("tango_core_model:ST_Currency",K$7,$D$10,Currency,"EUR",$E11)</f>
        <v>1</v>
      </c>
      <c r="L11" s="112">
        <f ca="1">_xll.DBRW("tango_core_model:ST_Currency",L$7,$D$10,Currency,"EUR",$E11)</f>
        <v>1</v>
      </c>
      <c r="M11" s="112">
        <f ca="1">_xll.DBRW("tango_core_model:ST_Currency",M$7,$D$10,Currency,"EUR",$E11)</f>
        <v>1</v>
      </c>
      <c r="R11" s="113" t="s">
        <v>87</v>
      </c>
    </row>
    <row r="12" spans="1:18">
      <c r="A12" s="2"/>
      <c r="B12" s="2"/>
      <c r="D12" s="2"/>
      <c r="E12" s="57"/>
      <c r="F12" s="57"/>
      <c r="G12" s="57"/>
      <c r="H12" s="57"/>
      <c r="I12" s="57"/>
      <c r="J12" s="57"/>
      <c r="K12" s="57"/>
      <c r="L12" s="57"/>
      <c r="M12" s="57"/>
      <c r="R12" s="113" t="s">
        <v>72</v>
      </c>
    </row>
    <row r="13" spans="1:18">
      <c r="A13" s="2"/>
      <c r="B13" s="2"/>
      <c r="D13" s="2"/>
      <c r="E13" s="54"/>
      <c r="F13" s="57"/>
      <c r="G13" s="57"/>
      <c r="H13" s="57"/>
      <c r="I13" s="57"/>
      <c r="J13" s="57"/>
      <c r="K13" s="57"/>
      <c r="L13" s="57"/>
      <c r="M13" s="57"/>
      <c r="R13" s="113" t="s">
        <v>88</v>
      </c>
    </row>
    <row r="14" spans="1:18" ht="18.75">
      <c r="A14" s="3" t="s">
        <v>197</v>
      </c>
      <c r="B14" s="2"/>
      <c r="C14" s="2"/>
      <c r="D14" s="2"/>
      <c r="E14" s="46" t="str">
        <f>"CAFOP bef.  MF"</f>
        <v>CAFOP bef.  MF</v>
      </c>
      <c r="F14" s="43"/>
      <c r="G14" s="43"/>
      <c r="H14" s="43"/>
      <c r="I14" s="43"/>
      <c r="J14" s="43"/>
      <c r="K14" s="43"/>
      <c r="L14" s="43"/>
      <c r="M14" s="43"/>
      <c r="R14" s="113" t="s">
        <v>89</v>
      </c>
    </row>
    <row r="15" spans="1:18" ht="17.25">
      <c r="A15" s="2"/>
      <c r="B15" s="2"/>
      <c r="C15" s="2"/>
      <c r="D15" s="2"/>
      <c r="E15" s="48" t="str">
        <f>"In M"&amp;Currency</f>
        <v>In MEUR</v>
      </c>
      <c r="F15" s="49" t="str">
        <f t="shared" ref="F15:M15" si="0">RIGHT(F$7,4)</f>
        <v>2022</v>
      </c>
      <c r="G15" s="49" t="str">
        <f t="shared" si="0"/>
        <v>2023</v>
      </c>
      <c r="H15" s="49" t="str">
        <f t="shared" si="0"/>
        <v>2024</v>
      </c>
      <c r="I15" s="49" t="str">
        <f t="shared" si="0"/>
        <v>2025</v>
      </c>
      <c r="J15" s="49" t="str">
        <f t="shared" si="0"/>
        <v>2026</v>
      </c>
      <c r="K15" s="49" t="str">
        <f t="shared" si="0"/>
        <v>2027</v>
      </c>
      <c r="L15" s="49" t="str">
        <f t="shared" si="0"/>
        <v>2028</v>
      </c>
      <c r="M15" s="49" t="str">
        <f t="shared" si="0"/>
        <v>2029</v>
      </c>
      <c r="R15" s="113" t="s">
        <v>194</v>
      </c>
    </row>
    <row r="16" spans="1:18" ht="17.25">
      <c r="A16" s="7" t="str">
        <f ca="1">_xll.DBRA("tango_core_model:LTP_components","ZGP&amp;DispCountry_Plans","French")</f>
        <v>PBZ &amp; Cessions (Pays)</v>
      </c>
      <c r="B16" s="2"/>
      <c r="C16" s="2"/>
      <c r="D16" s="2"/>
      <c r="E16" s="50" t="str">
        <f>CONCATENATE("CAFOP"," - ","Plan ",$B$3)</f>
        <v>CAFOP - Plan 2023</v>
      </c>
      <c r="F16" s="51">
        <f ca="1">_xll.DBR($B$2,$B$7,$B$4,$A16,$B$5,$B$8,F$7,$B$6,$A$14)*F$9</f>
        <v>0</v>
      </c>
      <c r="G16" s="51">
        <f ca="1">_xll.DBR($B$2,$B$7,$B$4,$A16,$B$5,$B$8,G$7,$B$6,$A$14)*G$9</f>
        <v>0</v>
      </c>
      <c r="H16" s="51">
        <f ca="1">_xll.DBR($B$2,$B$7,$B$4,$A16,$B$5,$B$8,H$7,$B$6,$A$14)*H$9</f>
        <v>0</v>
      </c>
      <c r="I16" s="51">
        <f ca="1">_xll.DBR($B$2,$B$7,$B$4,$A16,$B$5,$B$8,I$7,$B$6,$A$14)*I$9</f>
        <v>0</v>
      </c>
      <c r="J16" s="51">
        <f ca="1">_xll.DBR($B$2,$B$7,$B$4,$A16,$B$5,$B$8,J$7,$B$6,$A$14)*J$9</f>
        <v>0</v>
      </c>
      <c r="K16" s="51">
        <f ca="1">_xll.DBR($B$2,$B$7,$B$4,$A16,$B$5,$B$8,K$7,$B$6,$A$14)*K$9</f>
        <v>0</v>
      </c>
      <c r="L16" s="51">
        <f ca="1">_xll.DBR($B$2,$B$7,$B$4,$A16,$B$5,$B$8,L$7,$B$6,$A$14)*L$9</f>
        <v>0</v>
      </c>
      <c r="M16" s="51">
        <f ca="1">_xll.DBR($B$2,$B$7,$B$4,$A16,$B$5,$B$8,M$7,$B$6,$A$14)*M$9</f>
        <v>0</v>
      </c>
      <c r="R16" s="113" t="s">
        <v>90</v>
      </c>
    </row>
    <row r="17" spans="1:18" ht="17.25">
      <c r="A17" s="7" t="str">
        <f ca="1">_xll.DBRA("tango_core_model:LTP_components","ZGP&amp;DispCountry_Plans","French")</f>
        <v>PBZ &amp; Cessions (Pays)</v>
      </c>
      <c r="B17" s="2"/>
      <c r="C17" s="2"/>
      <c r="D17" s="2"/>
      <c r="E17" s="50" t="str">
        <f>CONCATENATE("CAFOP"," - ","Plan ",$B$3-1)</f>
        <v>CAFOP - Plan 2022</v>
      </c>
      <c r="F17" s="51">
        <f ca="1">_xll.DBR($B$2,$B$7,$B$4,$A17,$B$11,$B$8,F$7,$B$9,$A$14)*F$11</f>
        <v>465.25633730000027</v>
      </c>
      <c r="G17" s="51">
        <f ca="1">_xll.DBR($B$2,$B$7,$B$4,$A17,$B$11,$B$8,G$7,$B$9,$A$14)*G$11</f>
        <v>554.8011885049998</v>
      </c>
      <c r="H17" s="51">
        <f ca="1">_xll.DBR($B$2,$B$7,$B$4,$A17,$B$11,$B$8,H$7,$B$9,$A$14)*H$11</f>
        <v>585.0119623586163</v>
      </c>
      <c r="I17" s="51">
        <f ca="1">_xll.DBR($B$2,$B$7,$B$4,$A17,$B$11,$B$8,I$7,$B$9,$A$14)*I$11</f>
        <v>621.50291509785382</v>
      </c>
      <c r="J17" s="51">
        <f ca="1">_xll.DBR($B$2,$B$7,$B$4,$A17,$B$11,$B$8,J$7,$B$9,$A$14)*J$11</f>
        <v>650.07580496241951</v>
      </c>
      <c r="K17" s="51">
        <f ca="1">_xll.DBR($B$2,$B$7,$B$4,$A17,$B$11,$B$8,K$7,$B$9,$A$14)*K$11</f>
        <v>658.94621426882406</v>
      </c>
      <c r="L17" s="51">
        <f ca="1">_xll.DBR($B$2,$B$7,$B$4,$A17,$B$11,$B$8,L$7,$B$9,$A$14)*L$11</f>
        <v>662.02030021855137</v>
      </c>
      <c r="M17" s="51"/>
      <c r="R17" s="113" t="s">
        <v>91</v>
      </c>
    </row>
    <row r="18" spans="1:18" ht="17.25">
      <c r="A18" s="7"/>
      <c r="B18" s="2"/>
      <c r="C18" s="2"/>
      <c r="D18" s="2"/>
      <c r="E18" s="52" t="s">
        <v>12</v>
      </c>
      <c r="F18" s="53">
        <f t="shared" ref="F18:L18" ca="1" si="1">F16-F17</f>
        <v>-465.25633730000027</v>
      </c>
      <c r="G18" s="53">
        <f t="shared" ca="1" si="1"/>
        <v>-554.8011885049998</v>
      </c>
      <c r="H18" s="53">
        <f t="shared" ca="1" si="1"/>
        <v>-585.0119623586163</v>
      </c>
      <c r="I18" s="53">
        <f t="shared" ca="1" si="1"/>
        <v>-621.50291509785382</v>
      </c>
      <c r="J18" s="53">
        <f t="shared" ca="1" si="1"/>
        <v>-650.07580496241951</v>
      </c>
      <c r="K18" s="53">
        <f t="shared" ca="1" si="1"/>
        <v>-658.94621426882406</v>
      </c>
      <c r="L18" s="53">
        <f t="shared" ca="1" si="1"/>
        <v>-662.02030021855137</v>
      </c>
      <c r="M18" s="53"/>
      <c r="R18" s="113" t="s">
        <v>92</v>
      </c>
    </row>
    <row r="19" spans="1:18" ht="6.95" customHeight="1">
      <c r="A19" s="7"/>
      <c r="B19" s="2"/>
      <c r="C19" s="2"/>
      <c r="D19" s="2"/>
      <c r="E19" s="44"/>
      <c r="F19" s="44"/>
      <c r="G19" s="44"/>
      <c r="H19" s="44"/>
      <c r="I19" s="44"/>
      <c r="J19" s="44"/>
      <c r="K19" s="44"/>
      <c r="L19" s="44"/>
      <c r="M19" s="44"/>
      <c r="R19" s="113" t="s">
        <v>93</v>
      </c>
    </row>
    <row r="20" spans="1:18" ht="18.75">
      <c r="A20" s="3" t="s">
        <v>101</v>
      </c>
      <c r="B20" s="2"/>
      <c r="C20" s="2"/>
      <c r="D20" s="2"/>
      <c r="E20" s="46" t="s">
        <v>43</v>
      </c>
      <c r="F20" s="43"/>
      <c r="G20" s="43"/>
      <c r="H20" s="43"/>
      <c r="I20" s="43"/>
      <c r="J20" s="43"/>
      <c r="K20" s="43"/>
      <c r="L20" s="43"/>
      <c r="M20" s="43"/>
      <c r="R20" s="113" t="s">
        <v>76</v>
      </c>
    </row>
    <row r="21" spans="1:18" ht="17.25">
      <c r="A21" s="2"/>
      <c r="B21" s="2"/>
      <c r="C21" s="2"/>
      <c r="D21" s="2"/>
      <c r="E21" s="48" t="str">
        <f>"In M"&amp;Currency</f>
        <v>In MEUR</v>
      </c>
      <c r="F21" s="49" t="str">
        <f t="shared" ref="F21:M21" si="2">RIGHT(F$7,4)</f>
        <v>2022</v>
      </c>
      <c r="G21" s="49" t="str">
        <f t="shared" si="2"/>
        <v>2023</v>
      </c>
      <c r="H21" s="49" t="str">
        <f t="shared" si="2"/>
        <v>2024</v>
      </c>
      <c r="I21" s="49" t="str">
        <f t="shared" si="2"/>
        <v>2025</v>
      </c>
      <c r="J21" s="49" t="str">
        <f t="shared" si="2"/>
        <v>2026</v>
      </c>
      <c r="K21" s="49" t="str">
        <f t="shared" si="2"/>
        <v>2027</v>
      </c>
      <c r="L21" s="49" t="str">
        <f t="shared" si="2"/>
        <v>2028</v>
      </c>
      <c r="M21" s="49" t="str">
        <f t="shared" si="2"/>
        <v>2029</v>
      </c>
      <c r="R21" s="113" t="s">
        <v>94</v>
      </c>
    </row>
    <row r="22" spans="1:18" ht="17.25">
      <c r="A22" s="7" t="str">
        <f ca="1">_xll.DBRA("tango_core_model:LTP_components","ZGP&amp;DispCountry_Plans","French")</f>
        <v>PBZ &amp; Cessions (Pays)</v>
      </c>
      <c r="B22" s="2"/>
      <c r="C22" s="2"/>
      <c r="D22" s="2"/>
      <c r="E22" s="50" t="str">
        <f>CONCATENATE("CAPEX"," - ","Plan ",$B$3)</f>
        <v>CAPEX - Plan 2023</v>
      </c>
      <c r="F22" s="51">
        <f ca="1">-_xll.DBR($B$2,$B$7,$B$4,$A22,$B$5,$B$8,F$7,$B$6,$A$20)*F$9</f>
        <v>0</v>
      </c>
      <c r="G22" s="51">
        <f ca="1">-_xll.DBR($B$2,$B$7,$B$4,$A22,$B$5,$B$8,G$7,$B$6,$A$20)*G$9</f>
        <v>0</v>
      </c>
      <c r="H22" s="51">
        <f ca="1">-_xll.DBR($B$2,$B$7,$B$4,$A22,$B$5,$B$8,H$7,$B$6,$A$20)*H$9</f>
        <v>0</v>
      </c>
      <c r="I22" s="51">
        <f ca="1">-_xll.DBR($B$2,$B$7,$B$4,$A22,$B$5,$B$8,I$7,$B$6,$A$20)*I$9</f>
        <v>0</v>
      </c>
      <c r="J22" s="51">
        <f ca="1">-_xll.DBR($B$2,$B$7,$B$4,$A22,$B$5,$B$8,J$7,$B$6,$A$20)*J$9</f>
        <v>0</v>
      </c>
      <c r="K22" s="51">
        <f ca="1">-_xll.DBR($B$2,$B$7,$B$4,$A22,$B$5,$B$8,K$7,$B$6,$A$20)*K$9</f>
        <v>0</v>
      </c>
      <c r="L22" s="51">
        <f ca="1">-_xll.DBR($B$2,$B$7,$B$4,$A22,$B$5,$B$8,L$7,$B$6,$A$20)*L$9</f>
        <v>0</v>
      </c>
      <c r="M22" s="51">
        <f ca="1">-_xll.DBR($B$2,$B$7,$B$4,$A22,$B$5,$B$8,M$7,$B$6,$A$20)*M$9</f>
        <v>0</v>
      </c>
      <c r="R22" s="113" t="s">
        <v>95</v>
      </c>
    </row>
    <row r="23" spans="1:18" ht="17.25">
      <c r="A23" s="7" t="str">
        <f ca="1">_xll.DBRA("tango_core_model:LTP_components","ZGP&amp;DispCountry_Plans","French")</f>
        <v>PBZ &amp; Cessions (Pays)</v>
      </c>
      <c r="B23" s="2"/>
      <c r="C23" s="2"/>
      <c r="D23" s="2"/>
      <c r="E23" s="50" t="str">
        <f>CONCATENATE("CAPEX"," - ","Plan ",$B$3-1)</f>
        <v>CAPEX - Plan 2022</v>
      </c>
      <c r="F23" s="51">
        <f ca="1">-_xll.DBR($B$2,$B$7,$B$4,$A23,$B$11,$B$8,F$7,$B$9,$A$20)*F$11</f>
        <v>395.70065882699987</v>
      </c>
      <c r="G23" s="51">
        <f ca="1">-_xll.DBR($B$2,$B$7,$B$4,$A23,$B$11,$B$8,G$7,$B$9,$A$20)*G$11</f>
        <v>436.04250331500003</v>
      </c>
      <c r="H23" s="51">
        <f ca="1">-_xll.DBR($B$2,$B$7,$B$4,$A23,$B$11,$B$8,H$7,$B$9,$A$20)*H$11</f>
        <v>363.95763872944013</v>
      </c>
      <c r="I23" s="51">
        <f ca="1">-_xll.DBR($B$2,$B$7,$B$4,$A23,$B$11,$B$8,I$7,$B$9,$A$20)*I$11</f>
        <v>332.49760659240519</v>
      </c>
      <c r="J23" s="51">
        <f ca="1">-_xll.DBR($B$2,$B$7,$B$4,$A23,$B$11,$B$8,J$7,$B$9,$A$20)*J$11</f>
        <v>377.20019288163166</v>
      </c>
      <c r="K23" s="51">
        <f ca="1">-_xll.DBR($B$2,$B$7,$B$4,$A23,$B$11,$B$8,K$7,$B$9,$A$20)*K$11</f>
        <v>344.47377732626285</v>
      </c>
      <c r="L23" s="51">
        <f ca="1">-_xll.DBR($B$2,$B$7,$B$4,$A23,$B$11,$B$8,L$7,$B$9,$A$20)*L$11</f>
        <v>325.42580428228388</v>
      </c>
      <c r="M23" s="51"/>
      <c r="R23" s="113" t="s">
        <v>96</v>
      </c>
    </row>
    <row r="24" spans="1:18" ht="17.25">
      <c r="A24" s="7"/>
      <c r="B24" s="2"/>
      <c r="C24" s="2"/>
      <c r="D24" s="2"/>
      <c r="E24" s="52" t="s">
        <v>13</v>
      </c>
      <c r="F24" s="53">
        <f ca="1">F22-F23</f>
        <v>-395.70065882699987</v>
      </c>
      <c r="G24" s="53">
        <f t="shared" ref="G24:L24" ca="1" si="3">G22-G23</f>
        <v>-436.04250331500003</v>
      </c>
      <c r="H24" s="53">
        <f t="shared" ca="1" si="3"/>
        <v>-363.95763872944013</v>
      </c>
      <c r="I24" s="53">
        <f t="shared" ca="1" si="3"/>
        <v>-332.49760659240519</v>
      </c>
      <c r="J24" s="53">
        <f t="shared" ca="1" si="3"/>
        <v>-377.20019288163166</v>
      </c>
      <c r="K24" s="53">
        <f t="shared" ca="1" si="3"/>
        <v>-344.47377732626285</v>
      </c>
      <c r="L24" s="53">
        <f t="shared" ca="1" si="3"/>
        <v>-325.42580428228388</v>
      </c>
      <c r="M24" s="53"/>
      <c r="R24" s="113" t="s">
        <v>97</v>
      </c>
    </row>
    <row r="25" spans="1:18" ht="6.95" customHeight="1">
      <c r="E25" s="44"/>
      <c r="F25" s="44"/>
      <c r="G25" s="44"/>
      <c r="H25" s="44"/>
      <c r="I25" s="44"/>
      <c r="J25" s="44"/>
      <c r="K25" s="44"/>
      <c r="L25" s="44"/>
      <c r="M25" s="44"/>
      <c r="R25" s="113" t="s">
        <v>73</v>
      </c>
    </row>
    <row r="26" spans="1:18" ht="18.75">
      <c r="A26" s="3" t="s">
        <v>14</v>
      </c>
      <c r="B26" s="3" t="s">
        <v>188</v>
      </c>
      <c r="E26" s="47" t="s">
        <v>196</v>
      </c>
      <c r="F26" s="44"/>
      <c r="G26" s="44"/>
      <c r="H26" s="44"/>
      <c r="I26" s="44"/>
      <c r="J26" s="44"/>
      <c r="K26" s="44"/>
      <c r="L26" s="44"/>
      <c r="M26" s="44"/>
      <c r="R26" s="113" t="s">
        <v>193</v>
      </c>
    </row>
    <row r="27" spans="1:18" ht="17.25">
      <c r="E27" s="48" t="str">
        <f>"In M"&amp;Currency</f>
        <v>In MEUR</v>
      </c>
      <c r="F27" s="49" t="str">
        <f t="shared" ref="F27:M27" si="4">RIGHT(F$7,4)</f>
        <v>2022</v>
      </c>
      <c r="G27" s="49" t="str">
        <f t="shared" si="4"/>
        <v>2023</v>
      </c>
      <c r="H27" s="49" t="str">
        <f t="shared" si="4"/>
        <v>2024</v>
      </c>
      <c r="I27" s="49" t="str">
        <f t="shared" si="4"/>
        <v>2025</v>
      </c>
      <c r="J27" s="49" t="str">
        <f t="shared" si="4"/>
        <v>2026</v>
      </c>
      <c r="K27" s="49" t="str">
        <f t="shared" si="4"/>
        <v>2027</v>
      </c>
      <c r="L27" s="49" t="str">
        <f t="shared" si="4"/>
        <v>2028</v>
      </c>
      <c r="M27" s="49" t="str">
        <f t="shared" si="4"/>
        <v>2029</v>
      </c>
      <c r="R27" s="115" t="s">
        <v>71</v>
      </c>
    </row>
    <row r="28" spans="1:18" ht="17.25">
      <c r="A28" s="2" t="str">
        <f ca="1">_xll.DBRA("tango_core_model:LTP_components","ZGP&amp;DispCountry_Plans","French")</f>
        <v>PBZ &amp; Cessions (Pays)</v>
      </c>
      <c r="E28" s="50" t="str">
        <f>CONCATENATE("Plan ",$B$3)</f>
        <v>Plan 2023</v>
      </c>
      <c r="F28" s="51">
        <f ca="1">-_xll.DBR($B$2,$B$7,$B$4,$A28,$B$5,$B$8,F$7,$B$6,$B$26)*F$9</f>
        <v>0</v>
      </c>
      <c r="G28" s="51">
        <f ca="1">-_xll.DBR($B$2,$B$7,$B$4,$A28,$B$5,$B$8,G$7,$B$6,$B$26)*G$9</f>
        <v>0</v>
      </c>
      <c r="H28" s="51">
        <f ca="1">-_xll.DBR($B$2,$B$7,$B$4,$A28,$B$5,$B$8,H$7,$B$6,$B$26)*H$9</f>
        <v>0</v>
      </c>
      <c r="I28" s="51">
        <f ca="1">-_xll.DBR($B$2,$B$7,$B$4,$A28,$B$5,$B$8,I$7,$B$6,$B$26)*I$9</f>
        <v>0</v>
      </c>
      <c r="J28" s="51">
        <f ca="1">-_xll.DBR($B$2,$B$7,$B$4,$A28,$B$5,$B$8,J$7,$B$6,$B$26)*J$9</f>
        <v>0</v>
      </c>
      <c r="K28" s="51">
        <f ca="1">-_xll.DBR($B$2,$B$7,$B$4,$A28,$B$5,$B$8,K$7,$B$6,$B$26)*K$9</f>
        <v>0</v>
      </c>
      <c r="L28" s="51">
        <f ca="1">-_xll.DBR($B$2,$B$7,$B$4,$A28,$B$5,$B$8,L$7,$B$6,$B$26)*L$9</f>
        <v>0</v>
      </c>
      <c r="M28" s="51">
        <f ca="1">-_xll.DBR($B$2,$B$7,$B$4,$A28,$B$5,$B$8,M$7,$B$6,$B$26)*M$9</f>
        <v>0</v>
      </c>
      <c r="R28" s="115" t="s">
        <v>98</v>
      </c>
    </row>
    <row r="29" spans="1:18" ht="17.25">
      <c r="A29" s="7" t="str">
        <f ca="1">_xll.DBRA("tango_core_model:LTP_components","ZGP&amp;DispCountry_Plans","French")</f>
        <v>PBZ &amp; Cessions (Pays)</v>
      </c>
      <c r="E29" s="50" t="str">
        <f>CONCATENATE("Plan ",$B$3-1)</f>
        <v>Plan 2022</v>
      </c>
      <c r="F29" s="51">
        <f ca="1">-_xll.DBR($B$2,$B$7,$B$4,$A29,$B$11,$B$8,F$7,$B$9,$A$26)*F$11</f>
        <v>0</v>
      </c>
      <c r="G29" s="51">
        <f ca="1">-_xll.DBR($B$2,$B$7,$B$4,$A29,$B$11,$B$8,G$7,$B$9,$A$26)*G$11</f>
        <v>0</v>
      </c>
      <c r="H29" s="51">
        <f ca="1">-_xll.DBR($B$2,$B$7,$B$4,$A29,$B$11,$B$8,H$7,$B$9,$A$26)*H$11</f>
        <v>0</v>
      </c>
      <c r="I29" s="51">
        <f ca="1">-_xll.DBR($B$2,$B$7,$B$4,$A29,$B$11,$B$8,I$7,$B$9,$A$26)*I$11</f>
        <v>0</v>
      </c>
      <c r="J29" s="51">
        <f ca="1">-_xll.DBR($B$2,$B$7,$B$4,$A29,$B$11,$B$8,J$7,$B$9,$A$26)*J$11</f>
        <v>0</v>
      </c>
      <c r="K29" s="51">
        <f ca="1">-_xll.DBR($B$2,$B$7,$B$4,$A29,$B$11,$B$8,K$7,$B$9,$A$26)*K$11</f>
        <v>0</v>
      </c>
      <c r="L29" s="51">
        <f ca="1">-_xll.DBR($B$2,$B$7,$B$4,$A29,$B$11,$B$8,L$7,$B$9,$A$26)*L$11</f>
        <v>0</v>
      </c>
      <c r="M29" s="51"/>
    </row>
    <row r="30" spans="1:18" ht="17.25">
      <c r="A30" s="7"/>
      <c r="E30" s="52" t="s">
        <v>13</v>
      </c>
      <c r="F30" s="53" t="s">
        <v>42</v>
      </c>
      <c r="G30" s="53" t="s">
        <v>42</v>
      </c>
      <c r="H30" s="53">
        <f t="shared" ref="H30:L30" ca="1" si="5">H28-H29</f>
        <v>0</v>
      </c>
      <c r="I30" s="53">
        <f t="shared" ca="1" si="5"/>
        <v>0</v>
      </c>
      <c r="J30" s="53">
        <f t="shared" ca="1" si="5"/>
        <v>0</v>
      </c>
      <c r="K30" s="53">
        <f t="shared" ca="1" si="5"/>
        <v>0</v>
      </c>
      <c r="L30" s="53">
        <f t="shared" ca="1" si="5"/>
        <v>0</v>
      </c>
      <c r="M30" s="53"/>
    </row>
    <row r="31" spans="1:18" ht="7.5" customHeight="1">
      <c r="A31" s="7"/>
      <c r="E31" s="223"/>
      <c r="F31" s="224"/>
      <c r="G31" s="224"/>
      <c r="H31" s="224"/>
      <c r="I31" s="224"/>
      <c r="J31" s="224"/>
      <c r="K31" s="224"/>
      <c r="L31" s="224"/>
      <c r="M31" s="224"/>
    </row>
    <row r="32" spans="1:18" ht="18.75">
      <c r="A32" s="3" t="s">
        <v>15</v>
      </c>
      <c r="B32" s="2"/>
      <c r="C32" s="2"/>
      <c r="D32" s="2"/>
      <c r="E32" s="47" t="s">
        <v>44</v>
      </c>
      <c r="F32" s="45"/>
      <c r="G32" s="45"/>
      <c r="H32" s="45"/>
      <c r="I32" s="45"/>
      <c r="J32" s="45"/>
      <c r="K32" s="45"/>
      <c r="L32" s="45"/>
      <c r="M32" s="45"/>
    </row>
    <row r="33" spans="1:14" ht="17.25">
      <c r="B33" s="2"/>
      <c r="C33" s="2"/>
      <c r="D33" s="2"/>
      <c r="E33" s="48" t="str">
        <f>"In M"&amp;Currency</f>
        <v>In MEUR</v>
      </c>
      <c r="F33" s="49" t="str">
        <f t="shared" ref="F33:M33" si="6">RIGHT(F$7,4)</f>
        <v>2022</v>
      </c>
      <c r="G33" s="49" t="str">
        <f t="shared" si="6"/>
        <v>2023</v>
      </c>
      <c r="H33" s="49" t="str">
        <f t="shared" si="6"/>
        <v>2024</v>
      </c>
      <c r="I33" s="49" t="str">
        <f t="shared" si="6"/>
        <v>2025</v>
      </c>
      <c r="J33" s="49" t="str">
        <f t="shared" si="6"/>
        <v>2026</v>
      </c>
      <c r="K33" s="49" t="str">
        <f t="shared" si="6"/>
        <v>2027</v>
      </c>
      <c r="L33" s="49" t="str">
        <f t="shared" si="6"/>
        <v>2028</v>
      </c>
      <c r="M33" s="49" t="str">
        <f t="shared" si="6"/>
        <v>2029</v>
      </c>
    </row>
    <row r="34" spans="1:14" ht="17.25">
      <c r="A34" s="2" t="str">
        <f ca="1">_xll.DBRA("tango_core_model:LTP_components","ZGP&amp;DispCountry_Plans","French")</f>
        <v>PBZ &amp; Cessions (Pays)</v>
      </c>
      <c r="B34" s="2"/>
      <c r="C34" s="2"/>
      <c r="D34" s="2"/>
      <c r="E34" s="50" t="str">
        <f>CONCATENATE("Var WCR"," - ","Plan ",$B$3)</f>
        <v>Var WCR - Plan 2023</v>
      </c>
      <c r="F34" s="51">
        <f ca="1">_xll.DBR($B$2,$B$7,$B$4,$A34,$B$5,$B$8,F$7,$B$6,$A$32)*F$9</f>
        <v>0</v>
      </c>
      <c r="G34" s="51">
        <f ca="1">_xll.DBR($B$2,$B$7,$B$4,$A34,$B$5,$B$8,G$7,$B$6,$A$32)*G$9</f>
        <v>0</v>
      </c>
      <c r="H34" s="51">
        <f ca="1">_xll.DBR($B$2,$B$7,$B$4,$A34,$B$5,$B$8,H$7,$B$6,$A$32)*H$9</f>
        <v>0</v>
      </c>
      <c r="I34" s="51">
        <f ca="1">_xll.DBR($B$2,$B$7,$B$4,$A34,$B$5,$B$8,I$7,$B$6,$A$32)*I$9</f>
        <v>0</v>
      </c>
      <c r="J34" s="51">
        <f ca="1">_xll.DBR($B$2,$B$7,$B$4,$A34,$B$5,$B$8,J$7,$B$6,$A$32)*J$9</f>
        <v>0</v>
      </c>
      <c r="K34" s="51">
        <f ca="1">_xll.DBR($B$2,$B$7,$B$4,$A34,$B$5,$B$8,K$7,$B$6,$A$32)*K$9</f>
        <v>0</v>
      </c>
      <c r="L34" s="51">
        <f ca="1">_xll.DBR($B$2,$B$7,$B$4,$A34,$B$5,$B$8,L$7,$B$6,$A$32)*L$9</f>
        <v>0</v>
      </c>
      <c r="M34" s="51">
        <f ca="1">_xll.DBR($B$2,$B$7,$B$4,$A34,$B$5,$B$8,M$7,$B$6,$A$32)*M$9</f>
        <v>0</v>
      </c>
    </row>
    <row r="35" spans="1:14" ht="17.25">
      <c r="A35" s="7" t="str">
        <f ca="1">_xll.DBRA("tango_core_model:LTP_components","ZGP&amp;DispCountry_Plans","French")</f>
        <v>PBZ &amp; Cessions (Pays)</v>
      </c>
      <c r="B35" s="2"/>
      <c r="C35" s="2"/>
      <c r="E35" s="50" t="str">
        <f>CONCATENATE("Var WCR"," - ","Plan ",$B$3-1)</f>
        <v>Var WCR - Plan 2022</v>
      </c>
      <c r="F35" s="51">
        <f ca="1">_xll.DBR($B$2,$B$7,$B$4,$A35,$B$11,$B$8,F$7,$B$9,$A$32)*F$11</f>
        <v>-102.11127059499999</v>
      </c>
      <c r="G35" s="51">
        <f ca="1">_xll.DBR($B$2,$B$7,$B$4,$A35,$B$11,$B$8,G$7,$B$9,$A$32)*G$11</f>
        <v>-158.50167468499998</v>
      </c>
      <c r="H35" s="51">
        <f ca="1">_xll.DBR($B$2,$B$7,$B$4,$A35,$B$11,$B$8,H$7,$B$9,$A$32)*H$11</f>
        <v>-31.745354989857738</v>
      </c>
      <c r="I35" s="51">
        <f ca="1">_xll.DBR($B$2,$B$7,$B$4,$A35,$B$11,$B$8,I$7,$B$9,$A$32)*I$11</f>
        <v>-10.920794190190948</v>
      </c>
      <c r="J35" s="51">
        <f ca="1">_xll.DBR($B$2,$B$7,$B$4,$A35,$B$11,$B$8,J$7,$B$9,$A$32)*J$11</f>
        <v>-10.740549598327162</v>
      </c>
      <c r="K35" s="51">
        <f ca="1">_xll.DBR($B$2,$B$7,$B$4,$A35,$B$11,$B$8,K$7,$B$9,$A$32)*K$11</f>
        <v>-3.4027943597850405</v>
      </c>
      <c r="L35" s="51">
        <f ca="1">_xll.DBR($B$2,$B$7,$B$4,$A35,$B$11,$B$8,L$7,$B$9,$A$32)*L$11</f>
        <v>-4.6924661437028687</v>
      </c>
      <c r="M35" s="51"/>
    </row>
    <row r="36" spans="1:14" ht="17.25">
      <c r="A36" s="7"/>
      <c r="B36" s="2"/>
      <c r="C36" s="2"/>
      <c r="D36" s="2"/>
      <c r="E36" s="52" t="s">
        <v>13</v>
      </c>
      <c r="F36" s="53">
        <f ca="1">F34-F35</f>
        <v>102.11127059499999</v>
      </c>
      <c r="G36" s="53">
        <f t="shared" ref="G36:L36" ca="1" si="7">G34-G35</f>
        <v>158.50167468499998</v>
      </c>
      <c r="H36" s="53">
        <f t="shared" ca="1" si="7"/>
        <v>31.745354989857738</v>
      </c>
      <c r="I36" s="53">
        <f t="shared" ca="1" si="7"/>
        <v>10.920794190190948</v>
      </c>
      <c r="J36" s="53">
        <f t="shared" ca="1" si="7"/>
        <v>10.740549598327162</v>
      </c>
      <c r="K36" s="53">
        <f t="shared" ca="1" si="7"/>
        <v>3.4027943597850405</v>
      </c>
      <c r="L36" s="53">
        <f t="shared" ca="1" si="7"/>
        <v>4.6924661437028687</v>
      </c>
      <c r="M36" s="53"/>
    </row>
    <row r="37" spans="1:14">
      <c r="A37" s="2"/>
      <c r="B37" s="2"/>
      <c r="C37" s="2"/>
      <c r="D37" s="2"/>
      <c r="E37" s="41"/>
      <c r="F37" s="42"/>
      <c r="G37" s="42"/>
      <c r="H37" s="42"/>
      <c r="I37" s="42"/>
      <c r="J37" s="42"/>
      <c r="K37" s="42"/>
      <c r="L37" s="42"/>
      <c r="M37" s="42"/>
    </row>
    <row r="40" spans="1:14">
      <c r="A40" s="480" t="s">
        <v>3</v>
      </c>
      <c r="B40" s="480"/>
      <c r="C40" s="2"/>
      <c r="E40" s="2"/>
      <c r="F40" s="2"/>
      <c r="G40" s="2"/>
      <c r="H40" s="2"/>
      <c r="I40" s="2"/>
      <c r="J40" s="2"/>
      <c r="K40" s="2"/>
      <c r="L40" s="2"/>
      <c r="M40" s="2"/>
      <c r="N40" s="140"/>
    </row>
    <row r="41" spans="1:14">
      <c r="A41" s="3" t="s">
        <v>4</v>
      </c>
      <c r="B41" s="129" t="s">
        <v>198</v>
      </c>
      <c r="C41" s="4"/>
      <c r="E41" s="2"/>
      <c r="F41" s="2"/>
      <c r="G41" s="2"/>
      <c r="H41" s="2"/>
      <c r="I41" s="2"/>
      <c r="J41" s="2"/>
      <c r="K41" s="2"/>
      <c r="L41" s="2"/>
      <c r="M41" s="2"/>
      <c r="N41" s="140"/>
    </row>
    <row r="42" spans="1:14">
      <c r="A42" s="3" t="s">
        <v>5</v>
      </c>
      <c r="B42" s="130">
        <f>N</f>
        <v>2023</v>
      </c>
      <c r="C42" s="4"/>
      <c r="D42" s="4"/>
      <c r="E42" s="2"/>
      <c r="F42" s="2"/>
      <c r="G42" s="2"/>
      <c r="H42" s="2"/>
      <c r="I42" s="2"/>
      <c r="J42" s="2"/>
      <c r="K42" s="2"/>
      <c r="L42" s="2"/>
      <c r="M42" s="2"/>
      <c r="N42" s="140"/>
    </row>
    <row r="43" spans="1:14">
      <c r="A43" s="3" t="s">
        <v>6</v>
      </c>
      <c r="B43" s="129" t="str">
        <f ca="1">_xll.SUBNM("tango_core_model:Currency","","MEUR")</f>
        <v>MEUR</v>
      </c>
      <c r="C43" s="4"/>
      <c r="D43" s="4"/>
      <c r="E43" s="2"/>
      <c r="F43" s="2"/>
      <c r="G43" s="2"/>
      <c r="H43" s="2"/>
      <c r="I43" s="2"/>
      <c r="J43" s="2"/>
      <c r="K43" s="2"/>
      <c r="L43" s="2"/>
      <c r="M43" s="2"/>
      <c r="N43" s="140"/>
    </row>
    <row r="44" spans="1:14">
      <c r="A44" s="3" t="s">
        <v>7</v>
      </c>
      <c r="B44" s="129" t="str">
        <f ca="1">IF(MID(B45,5,4)&gt;"2020",_xll.SUBNM("tango_core_model:Weighting","","W_APP"),_xll.SUBNM("tango_core_model:Weighting","","W_NO_APP"))</f>
        <v>W_APP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140"/>
    </row>
    <row r="45" spans="1:14">
      <c r="A45" s="3" t="s">
        <v>1</v>
      </c>
      <c r="B45" s="130" t="str">
        <f>Current_Version</f>
        <v>LTP_2023_VC</v>
      </c>
      <c r="C45" s="2"/>
      <c r="D45" s="127"/>
      <c r="E45" s="128">
        <f t="shared" ref="E45:M45" si="8">E7</f>
        <v>2023</v>
      </c>
      <c r="F45" s="128" t="str">
        <f t="shared" si="8"/>
        <v>F_year_2022</v>
      </c>
      <c r="G45" s="128" t="str">
        <f t="shared" si="8"/>
        <v>F_year_2023</v>
      </c>
      <c r="H45" s="128" t="str">
        <f t="shared" si="8"/>
        <v>F_year_2024</v>
      </c>
      <c r="I45" s="128" t="str">
        <f t="shared" si="8"/>
        <v>F_year_2025</v>
      </c>
      <c r="J45" s="128" t="str">
        <f t="shared" si="8"/>
        <v>F_year_2026</v>
      </c>
      <c r="K45" s="128" t="str">
        <f t="shared" si="8"/>
        <v>F_year_2027</v>
      </c>
      <c r="L45" s="128" t="str">
        <f t="shared" si="8"/>
        <v>F_year_2028</v>
      </c>
      <c r="M45" s="128" t="str">
        <f t="shared" si="8"/>
        <v>F_year_2029</v>
      </c>
      <c r="N45" s="140"/>
    </row>
    <row r="46" spans="1:14">
      <c r="A46" s="107" t="s">
        <v>8</v>
      </c>
      <c r="B46" s="130" t="str">
        <f ca="1">Activity</f>
        <v>All activity</v>
      </c>
      <c r="C46" s="2"/>
      <c r="D46" s="3" t="str">
        <f>D8</f>
        <v>LTP_2023_VC</v>
      </c>
      <c r="E46" s="3" t="str">
        <f t="shared" ref="E46:M46" si="9">E8</f>
        <v>TX_CLOTURE</v>
      </c>
      <c r="F46" s="106">
        <f t="shared" ca="1" si="9"/>
        <v>1</v>
      </c>
      <c r="G46" s="106">
        <f t="shared" ca="1" si="9"/>
        <v>1</v>
      </c>
      <c r="H46" s="106">
        <f t="shared" ca="1" si="9"/>
        <v>1</v>
      </c>
      <c r="I46" s="106">
        <f t="shared" ca="1" si="9"/>
        <v>1</v>
      </c>
      <c r="J46" s="106">
        <f t="shared" ca="1" si="9"/>
        <v>1</v>
      </c>
      <c r="K46" s="106">
        <f t="shared" ca="1" si="9"/>
        <v>1</v>
      </c>
      <c r="L46" s="106">
        <f t="shared" ca="1" si="9"/>
        <v>1</v>
      </c>
      <c r="M46" s="106">
        <f t="shared" ca="1" si="9"/>
        <v>1</v>
      </c>
      <c r="N46" s="140"/>
    </row>
    <row r="47" spans="1:14">
      <c r="A47" s="3" t="s">
        <v>9</v>
      </c>
      <c r="B47" s="130" t="str">
        <f ca="1">Legal_organization</f>
        <v>TRANSDEV All</v>
      </c>
      <c r="C47" s="2"/>
      <c r="D47" s="3"/>
      <c r="E47" s="109" t="str">
        <f t="shared" ref="E47:M47" si="10">E9</f>
        <v>TX_MOYEN</v>
      </c>
      <c r="F47" s="110">
        <f t="shared" ca="1" si="10"/>
        <v>1</v>
      </c>
      <c r="G47" s="110">
        <f t="shared" ca="1" si="10"/>
        <v>1</v>
      </c>
      <c r="H47" s="110">
        <f t="shared" ca="1" si="10"/>
        <v>1</v>
      </c>
      <c r="I47" s="110">
        <f t="shared" ca="1" si="10"/>
        <v>1</v>
      </c>
      <c r="J47" s="110">
        <f t="shared" ca="1" si="10"/>
        <v>1</v>
      </c>
      <c r="K47" s="110">
        <f t="shared" ca="1" si="10"/>
        <v>1</v>
      </c>
      <c r="L47" s="110">
        <f t="shared" ca="1" si="10"/>
        <v>1</v>
      </c>
      <c r="M47" s="110">
        <f t="shared" ca="1" si="10"/>
        <v>1</v>
      </c>
      <c r="N47" s="140"/>
    </row>
    <row r="48" spans="1:14">
      <c r="A48" s="2"/>
      <c r="B48" s="2"/>
      <c r="C48" s="2"/>
      <c r="D48" s="105" t="str">
        <f>D10</f>
        <v>LTP_2022_V6</v>
      </c>
      <c r="E48" s="105" t="str">
        <f t="shared" ref="E48:M48" si="11">E10</f>
        <v>TX_CLOTURE</v>
      </c>
      <c r="F48" s="108">
        <f t="shared" ca="1" si="11"/>
        <v>1</v>
      </c>
      <c r="G48" s="108">
        <f t="shared" ca="1" si="11"/>
        <v>1</v>
      </c>
      <c r="H48" s="108">
        <f t="shared" ca="1" si="11"/>
        <v>1</v>
      </c>
      <c r="I48" s="108">
        <f t="shared" ca="1" si="11"/>
        <v>1</v>
      </c>
      <c r="J48" s="108">
        <f t="shared" ca="1" si="11"/>
        <v>1</v>
      </c>
      <c r="K48" s="108">
        <f t="shared" ca="1" si="11"/>
        <v>1</v>
      </c>
      <c r="L48" s="108">
        <f t="shared" ca="1" si="11"/>
        <v>1</v>
      </c>
      <c r="M48" s="108">
        <f t="shared" ca="1" si="11"/>
        <v>1</v>
      </c>
      <c r="N48" s="140"/>
    </row>
    <row r="49" spans="1:15">
      <c r="A49" s="2"/>
      <c r="B49" s="2"/>
      <c r="C49" s="2"/>
      <c r="D49" s="105"/>
      <c r="E49" s="111" t="str">
        <f t="shared" ref="E49:M49" si="12">E11</f>
        <v>TX_MOYEN</v>
      </c>
      <c r="F49" s="112">
        <f t="shared" ca="1" si="12"/>
        <v>1</v>
      </c>
      <c r="G49" s="112">
        <f t="shared" ca="1" si="12"/>
        <v>1</v>
      </c>
      <c r="H49" s="112">
        <f t="shared" ca="1" si="12"/>
        <v>1</v>
      </c>
      <c r="I49" s="112">
        <f t="shared" ca="1" si="12"/>
        <v>1</v>
      </c>
      <c r="J49" s="112">
        <f t="shared" ca="1" si="12"/>
        <v>1</v>
      </c>
      <c r="K49" s="112">
        <f t="shared" ca="1" si="12"/>
        <v>1</v>
      </c>
      <c r="L49" s="112">
        <f t="shared" ca="1" si="12"/>
        <v>1</v>
      </c>
      <c r="M49" s="112">
        <f t="shared" ca="1" si="12"/>
        <v>1</v>
      </c>
      <c r="N49" s="140"/>
    </row>
    <row r="51" spans="1:15">
      <c r="A51" s="230" t="s">
        <v>17</v>
      </c>
      <c r="B51" s="231" t="s">
        <v>99</v>
      </c>
      <c r="C51" s="2"/>
      <c r="D51" s="2"/>
      <c r="E51" s="5" t="str">
        <f>B51&amp;" (M"&amp;Currency&amp;")"</f>
        <v>Revenue (MEUR)</v>
      </c>
      <c r="F51" s="6"/>
      <c r="G51" s="6"/>
      <c r="H51" s="6"/>
      <c r="I51" s="6"/>
      <c r="J51" s="6"/>
      <c r="K51" s="6"/>
      <c r="L51" s="6"/>
      <c r="M51" s="6"/>
      <c r="N51" s="140"/>
    </row>
    <row r="52" spans="1:15">
      <c r="A52" s="2"/>
      <c r="B52" s="2"/>
      <c r="C52" s="2"/>
      <c r="D52" s="2"/>
      <c r="E52" s="8" t="str">
        <f>"In M"&amp;Currency</f>
        <v>In MEUR</v>
      </c>
      <c r="F52" s="9" t="str">
        <f t="shared" ref="F52:M52" si="13">RIGHT(F$45,4)</f>
        <v>2022</v>
      </c>
      <c r="G52" s="9" t="str">
        <f t="shared" si="13"/>
        <v>2023</v>
      </c>
      <c r="H52" s="9" t="str">
        <f t="shared" si="13"/>
        <v>2024</v>
      </c>
      <c r="I52" s="9" t="str">
        <f t="shared" si="13"/>
        <v>2025</v>
      </c>
      <c r="J52" s="9" t="str">
        <f t="shared" si="13"/>
        <v>2026</v>
      </c>
      <c r="K52" s="9" t="str">
        <f t="shared" si="13"/>
        <v>2027</v>
      </c>
      <c r="L52" s="9" t="str">
        <f t="shared" si="13"/>
        <v>2028</v>
      </c>
      <c r="M52" s="9" t="str">
        <f t="shared" si="13"/>
        <v>2029</v>
      </c>
      <c r="N52" s="140"/>
    </row>
    <row r="53" spans="1:15">
      <c r="A53" s="3" t="str">
        <f ca="1">_xll.DBRA("tango_core_model:LTP_components","ZGP&amp;DispCountry_Plans","French")</f>
        <v>PBZ &amp; Cessions (Pays)</v>
      </c>
      <c r="B53" s="2"/>
      <c r="C53" s="2"/>
      <c r="D53" s="2"/>
      <c r="E53" s="2" t="s">
        <v>18</v>
      </c>
      <c r="F53" s="10">
        <f ca="1">_xll.DBR($B$41,$B$46,$B$43,$A53,$B$44,$B$47,F$45,$B$45,$A$51)*F$9</f>
        <v>0</v>
      </c>
      <c r="G53" s="10">
        <f ca="1">_xll.DBR($B$41,$B$46,$B$43,$A53,$B$44,$B$47,G$45,$B$45,$A$51)*G$9</f>
        <v>0</v>
      </c>
      <c r="H53" s="10">
        <f ca="1">_xll.DBR($B$41,$B$46,$B$43,$A53,$B$44,$B$47,H$45,$B$45,$A$51)*H$9</f>
        <v>0</v>
      </c>
      <c r="I53" s="10">
        <f ca="1">_xll.DBR($B$41,$B$46,$B$43,$A53,$B$44,$B$47,I$45,$B$45,$A$51)*I$9</f>
        <v>0</v>
      </c>
      <c r="J53" s="10">
        <f ca="1">_xll.DBR($B$41,$B$46,$B$43,$A53,$B$44,$B$47,J$45,$B$45,$A$51)*J$9</f>
        <v>0</v>
      </c>
      <c r="K53" s="10">
        <f ca="1">_xll.DBR($B$41,$B$46,$B$43,$A53,$B$44,$B$47,K$45,$B$45,$A$51)*K$9</f>
        <v>0</v>
      </c>
      <c r="L53" s="10">
        <f ca="1">_xll.DBR($B$41,$B$46,$B$43,$A53,$B$44,$B$47,L$45,$B$45,$A$51)*L$9</f>
        <v>0</v>
      </c>
      <c r="M53" s="10">
        <f ca="1">_xll.DBR($B$41,$B$46,$B$43,$A53,$B$44,$B$47,M$45,$B$45,$A$51)*M$9</f>
        <v>0</v>
      </c>
      <c r="N53" s="140"/>
    </row>
    <row r="54" spans="1:15">
      <c r="A54" s="3" t="str">
        <f ca="1">_xll.SUBNM("tango_core_model:LTP_Components","","Growth_Plan_Orga","English")</f>
        <v>Organic Growth Plan</v>
      </c>
      <c r="B54" s="2"/>
      <c r="C54" s="2"/>
      <c r="D54" s="2"/>
      <c r="E54" s="2" t="str">
        <f ca="1">A54</f>
        <v>Organic Growth Plan</v>
      </c>
      <c r="F54" s="10">
        <f ca="1">_xll.DBR($B$41,$B$46,$B$43,$A54,$B$44,$B$47,F$45,$B$45,$A$51)*F$9</f>
        <v>0</v>
      </c>
      <c r="G54" s="10">
        <f ca="1">_xll.DBR($B$41,$B$46,$B$43,$A54,$B$44,$B$47,G$45,$B$45,$A$51)*G$9</f>
        <v>0</v>
      </c>
      <c r="H54" s="10">
        <f ca="1">_xll.DBR($B$41,$B$46,$B$43,$A54,$B$44,$B$47,H$45,$B$45,$A$51)*H$9</f>
        <v>0</v>
      </c>
      <c r="I54" s="10">
        <f ca="1">_xll.DBR($B$41,$B$46,$B$43,$A54,$B$44,$B$47,I$45,$B$45,$A$51)*I$9</f>
        <v>0</v>
      </c>
      <c r="J54" s="10">
        <f ca="1">_xll.DBR($B$41,$B$46,$B$43,$A54,$B$44,$B$47,J$45,$B$45,$A$51)*J$9</f>
        <v>0</v>
      </c>
      <c r="K54" s="10">
        <f ca="1">_xll.DBR($B$41,$B$46,$B$43,$A54,$B$44,$B$47,K$45,$B$45,$A$51)*K$9</f>
        <v>0</v>
      </c>
      <c r="L54" s="10">
        <f ca="1">_xll.DBR($B$41,$B$46,$B$43,$A54,$B$44,$B$47,L$45,$B$45,$A$51)*L$9</f>
        <v>0</v>
      </c>
      <c r="M54" s="10">
        <f ca="1">_xll.DBR($B$41,$B$46,$B$43,$A54,$B$44,$B$47,M$45,$B$45,$A$51)*M$9</f>
        <v>0</v>
      </c>
      <c r="N54" s="10" t="e">
        <f ca="1">_xll.DBR($B$41,$B$46,$B$43,$A54,$B$44,$B$47,N$45,$B$45,$A$51)*N$9</f>
        <v>#VALUE!</v>
      </c>
      <c r="O54" s="10" t="e">
        <f ca="1">_xll.DBR($B$41,$B$46,$B$43,$A54,$B$44,$B$47,O$45,$B$45,$A$51)*O$9</f>
        <v>#VALUE!</v>
      </c>
    </row>
    <row r="55" spans="1:15">
      <c r="A55" s="3" t="str">
        <f ca="1">_xll.SUBNM("tango_core_model:LTP_Components","","Growth_Plan_Ext","English")</f>
        <v>External Growth Plan</v>
      </c>
      <c r="B55" s="2"/>
      <c r="C55" s="2"/>
      <c r="D55" s="2"/>
      <c r="E55" s="2" t="str">
        <f ca="1">A55</f>
        <v>External Growth Plan</v>
      </c>
      <c r="F55" s="10">
        <f ca="1">_xll.DBR($B$41,$B$46,$B$43,$A55,$B$44,$B$47,F$45,$B$45,$A$51)*F$9</f>
        <v>0</v>
      </c>
      <c r="G55" s="10">
        <f ca="1">_xll.DBR($B$41,$B$46,$B$43,$A55,$B$44,$B$47,G$45,$B$45,$A$51)*G$9</f>
        <v>0</v>
      </c>
      <c r="H55" s="10">
        <f ca="1">_xll.DBR($B$41,$B$46,$B$43,$A55,$B$44,$B$47,H$45,$B$45,$A$51)*H$9</f>
        <v>0</v>
      </c>
      <c r="I55" s="10">
        <f ca="1">_xll.DBR($B$41,$B$46,$B$43,$A55,$B$44,$B$47,I$45,$B$45,$A$51)*I$9</f>
        <v>0</v>
      </c>
      <c r="J55" s="10">
        <f ca="1">_xll.DBR($B$41,$B$46,$B$43,$A55,$B$44,$B$47,J$45,$B$45,$A$51)*J$9</f>
        <v>0</v>
      </c>
      <c r="K55" s="10">
        <f ca="1">_xll.DBR($B$41,$B$46,$B$43,$A55,$B$44,$B$47,K$45,$B$45,$A$51)*K$9</f>
        <v>0</v>
      </c>
      <c r="L55" s="10">
        <f ca="1">_xll.DBR($B$41,$B$46,$B$43,$A55,$B$44,$B$47,L$45,$B$45,$A$51)*L$9</f>
        <v>0</v>
      </c>
      <c r="M55" s="10">
        <f ca="1">_xll.DBR($B$41,$B$46,$B$43,$A55,$B$44,$B$47,M$45,$B$45,$A$51)*M$9</f>
        <v>0</v>
      </c>
      <c r="N55" s="140"/>
    </row>
    <row r="56" spans="1:15">
      <c r="A56" s="2"/>
      <c r="B56" s="2"/>
      <c r="C56" s="2"/>
      <c r="D56" s="2"/>
      <c r="E56" s="11" t="s">
        <v>16</v>
      </c>
      <c r="F56" s="12">
        <f ca="1">SUM(F53:F55)</f>
        <v>0</v>
      </c>
      <c r="G56" s="12">
        <f t="shared" ref="G56:M56" ca="1" si="14">SUM(G53:G55)</f>
        <v>0</v>
      </c>
      <c r="H56" s="12">
        <f t="shared" ca="1" si="14"/>
        <v>0</v>
      </c>
      <c r="I56" s="12">
        <f t="shared" ca="1" si="14"/>
        <v>0</v>
      </c>
      <c r="J56" s="12">
        <f t="shared" ca="1" si="14"/>
        <v>0</v>
      </c>
      <c r="K56" s="12">
        <f t="shared" ca="1" si="14"/>
        <v>0</v>
      </c>
      <c r="L56" s="12">
        <f t="shared" ca="1" si="14"/>
        <v>0</v>
      </c>
      <c r="M56" s="12">
        <f t="shared" ca="1" si="14"/>
        <v>0</v>
      </c>
      <c r="N56" s="141" t="str">
        <f ca="1">IFERROR(((M56/F56)^(1/7)-1),"-")</f>
        <v>-</v>
      </c>
    </row>
    <row r="57" spans="1:15">
      <c r="A57" s="2"/>
      <c r="B57" s="2"/>
      <c r="C57" s="2"/>
      <c r="D57" s="2"/>
      <c r="E57" s="2" t="s">
        <v>19</v>
      </c>
      <c r="F57" s="10">
        <f ca="1">F55+F54</f>
        <v>0</v>
      </c>
      <c r="G57" s="10">
        <f t="shared" ref="G57:M57" ca="1" si="15">G55+G54</f>
        <v>0</v>
      </c>
      <c r="H57" s="10">
        <f t="shared" ca="1" si="15"/>
        <v>0</v>
      </c>
      <c r="I57" s="10">
        <f t="shared" ca="1" si="15"/>
        <v>0</v>
      </c>
      <c r="J57" s="10">
        <f t="shared" ca="1" si="15"/>
        <v>0</v>
      </c>
      <c r="K57" s="10">
        <f t="shared" ca="1" si="15"/>
        <v>0</v>
      </c>
      <c r="L57" s="10">
        <f t="shared" ca="1" si="15"/>
        <v>0</v>
      </c>
      <c r="M57" s="10">
        <f t="shared" ca="1" si="15"/>
        <v>0</v>
      </c>
      <c r="N57" s="140"/>
    </row>
    <row r="58" spans="1:15">
      <c r="A58" s="2"/>
      <c r="B58" s="2"/>
      <c r="C58" s="2"/>
      <c r="D58" s="2"/>
      <c r="E58" s="2"/>
      <c r="F58" s="10"/>
      <c r="G58" s="10"/>
      <c r="H58" s="10"/>
      <c r="I58" s="10"/>
      <c r="J58" s="10"/>
      <c r="K58" s="10"/>
      <c r="L58" s="10"/>
      <c r="M58" s="10"/>
      <c r="N58" s="140"/>
    </row>
    <row r="59" spans="1:15">
      <c r="A59" s="230" t="s">
        <v>197</v>
      </c>
      <c r="B59" s="231" t="s">
        <v>206</v>
      </c>
      <c r="C59" s="2"/>
      <c r="D59" s="2"/>
      <c r="E59" s="5" t="str">
        <f>B59&amp;" (M"&amp;Currency&amp;")"</f>
        <v>CAFOP bef.  MF (MEUR)</v>
      </c>
      <c r="F59" s="6"/>
      <c r="G59" s="6"/>
      <c r="H59" s="6"/>
      <c r="I59" s="6"/>
      <c r="J59" s="6"/>
      <c r="K59" s="6"/>
      <c r="L59" s="6"/>
      <c r="M59" s="6"/>
      <c r="N59" s="140"/>
    </row>
    <row r="60" spans="1:15">
      <c r="A60" s="2"/>
      <c r="B60" s="2"/>
      <c r="C60" s="2"/>
      <c r="D60" s="2"/>
      <c r="E60" s="8" t="str">
        <f>"In M"&amp;Currency</f>
        <v>In MEUR</v>
      </c>
      <c r="F60" s="9" t="str">
        <f t="shared" ref="F60:M60" si="16">RIGHT(F$45,4)</f>
        <v>2022</v>
      </c>
      <c r="G60" s="9" t="str">
        <f t="shared" si="16"/>
        <v>2023</v>
      </c>
      <c r="H60" s="9" t="str">
        <f t="shared" si="16"/>
        <v>2024</v>
      </c>
      <c r="I60" s="9" t="str">
        <f t="shared" si="16"/>
        <v>2025</v>
      </c>
      <c r="J60" s="9" t="str">
        <f t="shared" si="16"/>
        <v>2026</v>
      </c>
      <c r="K60" s="9" t="str">
        <f t="shared" si="16"/>
        <v>2027</v>
      </c>
      <c r="L60" s="9" t="str">
        <f t="shared" si="16"/>
        <v>2028</v>
      </c>
      <c r="M60" s="9" t="str">
        <f t="shared" si="16"/>
        <v>2029</v>
      </c>
      <c r="N60" s="140"/>
    </row>
    <row r="61" spans="1:15">
      <c r="A61" s="3" t="str">
        <f ca="1">_xll.DBRA("tango_core_model:LTP_components","ZGP&amp;DispCountry_Plans","French")</f>
        <v>PBZ &amp; Cessions (Pays)</v>
      </c>
      <c r="B61" s="2"/>
      <c r="C61" s="2"/>
      <c r="D61" s="2"/>
      <c r="E61" s="2" t="s">
        <v>18</v>
      </c>
      <c r="F61" s="10">
        <f ca="1">_xll.DBR($B$41,$B$46,$B$43,$A61,$B$44,$B$47,F$45,$B$45,$A$59)*F$9</f>
        <v>0</v>
      </c>
      <c r="G61" s="10">
        <f ca="1">_xll.DBR($B$41,$B$46,$B$43,$A61,$B$44,$B$47,G$45,$B$45,$A$59)*G$9</f>
        <v>0</v>
      </c>
      <c r="H61" s="10">
        <f ca="1">_xll.DBR($B$41,$B$46,$B$43,$A61,$B$44,$B$47,H$45,$B$45,$A$59)*H$9</f>
        <v>0</v>
      </c>
      <c r="I61" s="10">
        <f ca="1">_xll.DBR($B$41,$B$46,$B$43,$A61,$B$44,$B$47,I$45,$B$45,$A$59)*I$9</f>
        <v>0</v>
      </c>
      <c r="J61" s="10">
        <f ca="1">_xll.DBR($B$41,$B$46,$B$43,$A61,$B$44,$B$47,J$45,$B$45,$A$59)*J$9</f>
        <v>0</v>
      </c>
      <c r="K61" s="10">
        <f ca="1">_xll.DBR($B$41,$B$46,$B$43,$A61,$B$44,$B$47,K$45,$B$45,$A$59)*K$9</f>
        <v>0</v>
      </c>
      <c r="L61" s="10">
        <f ca="1">_xll.DBR($B$41,$B$46,$B$43,$A61,$B$44,$B$47,L$45,$B$45,$A$59)*L$9</f>
        <v>0</v>
      </c>
      <c r="M61" s="10">
        <f ca="1">_xll.DBR($B$41,$B$46,$B$43,$A61,$B$44,$B$47,M$45,$B$45,$A$59)*M$9</f>
        <v>0</v>
      </c>
      <c r="N61" s="140"/>
    </row>
    <row r="62" spans="1:15">
      <c r="A62" s="3" t="str">
        <f ca="1">_xll.SUBNM("tango_core_model:LTP_Components","","Growth_Plan_Orga","English")</f>
        <v>Organic Growth Plan</v>
      </c>
      <c r="B62" s="2"/>
      <c r="C62" s="2"/>
      <c r="D62" s="2"/>
      <c r="E62" s="2" t="s">
        <v>20</v>
      </c>
      <c r="F62" s="10">
        <f ca="1">_xll.DBR($B$41,$B$46,$B$43,$A62,$B$44,$B$47,F$45,$B$45,$A$59)*F$9</f>
        <v>0</v>
      </c>
      <c r="G62" s="10">
        <f ca="1">_xll.DBR($B$41,$B$46,$B$43,$A62,$B$44,$B$47,G$45,$B$45,$A$59)*G$9</f>
        <v>0</v>
      </c>
      <c r="H62" s="10">
        <f ca="1">_xll.DBR($B$41,$B$46,$B$43,$A62,$B$44,$B$47,H$45,$B$45,$A$59)*H$9</f>
        <v>0</v>
      </c>
      <c r="I62" s="10">
        <f ca="1">_xll.DBR($B$41,$B$46,$B$43,$A62,$B$44,$B$47,I$45,$B$45,$A$59)*I$9</f>
        <v>0</v>
      </c>
      <c r="J62" s="10">
        <f ca="1">_xll.DBR($B$41,$B$46,$B$43,$A62,$B$44,$B$47,J$45,$B$45,$A$59)*J$9</f>
        <v>0</v>
      </c>
      <c r="K62" s="10">
        <f ca="1">_xll.DBR($B$41,$B$46,$B$43,$A62,$B$44,$B$47,K$45,$B$45,$A$59)*K$9</f>
        <v>0</v>
      </c>
      <c r="L62" s="10">
        <f ca="1">_xll.DBR($B$41,$B$46,$B$43,$A62,$B$44,$B$47,L$45,$B$45,$A$59)*L$9</f>
        <v>0</v>
      </c>
      <c r="M62" s="10">
        <f ca="1">_xll.DBR($B$41,$B$46,$B$43,$A62,$B$44,$B$47,M$45,$B$45,$A$59)*M$9</f>
        <v>0</v>
      </c>
      <c r="N62" s="140"/>
    </row>
    <row r="63" spans="1:15">
      <c r="A63" s="3" t="str">
        <f ca="1">_xll.SUBNM("tango_core_model:LTP_Components","","Growth_Plan_Ext","English")</f>
        <v>External Growth Plan</v>
      </c>
      <c r="B63" s="2"/>
      <c r="C63" s="2"/>
      <c r="D63" s="2"/>
      <c r="E63" s="2" t="s">
        <v>21</v>
      </c>
      <c r="F63" s="10">
        <f ca="1">_xll.DBR($B$41,$B$46,$B$43,$A63,$B$44,$B$47,F$45,$B$45,$A$59)*F$9</f>
        <v>0</v>
      </c>
      <c r="G63" s="10">
        <f ca="1">_xll.DBR($B$41,$B$46,$B$43,$A63,$B$44,$B$47,G$45,$B$45,$A$59)*G$9</f>
        <v>0</v>
      </c>
      <c r="H63" s="10">
        <f ca="1">_xll.DBR($B$41,$B$46,$B$43,$A63,$B$44,$B$47,H$45,$B$45,$A$59)*H$9</f>
        <v>0</v>
      </c>
      <c r="I63" s="10">
        <f ca="1">_xll.DBR($B$41,$B$46,$B$43,$A63,$B$44,$B$47,I$45,$B$45,$A$59)*I$9</f>
        <v>0</v>
      </c>
      <c r="J63" s="10">
        <f ca="1">_xll.DBR($B$41,$B$46,$B$43,$A63,$B$44,$B$47,J$45,$B$45,$A$59)*J$9</f>
        <v>0</v>
      </c>
      <c r="K63" s="10">
        <f ca="1">_xll.DBR($B$41,$B$46,$B$43,$A63,$B$44,$B$47,K$45,$B$45,$A$59)*K$9</f>
        <v>0</v>
      </c>
      <c r="L63" s="10">
        <f ca="1">_xll.DBR($B$41,$B$46,$B$43,$A63,$B$44,$B$47,L$45,$B$45,$A$59)*L$9</f>
        <v>0</v>
      </c>
      <c r="M63" s="10">
        <f ca="1">_xll.DBR($B$41,$B$46,$B$43,$A63,$B$44,$B$47,M$45,$B$45,$A$59)*M$9</f>
        <v>0</v>
      </c>
      <c r="N63" s="140"/>
    </row>
    <row r="64" spans="1:15">
      <c r="A64" s="2"/>
      <c r="B64" s="2"/>
      <c r="C64" s="2"/>
      <c r="D64" s="2"/>
      <c r="E64" s="11" t="s">
        <v>16</v>
      </c>
      <c r="F64" s="12">
        <f t="shared" ref="F64:M64" ca="1" si="17">SUM(F61:F63)</f>
        <v>0</v>
      </c>
      <c r="G64" s="12">
        <f t="shared" ca="1" si="17"/>
        <v>0</v>
      </c>
      <c r="H64" s="12">
        <f t="shared" ca="1" si="17"/>
        <v>0</v>
      </c>
      <c r="I64" s="12">
        <f t="shared" ca="1" si="17"/>
        <v>0</v>
      </c>
      <c r="J64" s="12">
        <f t="shared" ca="1" si="17"/>
        <v>0</v>
      </c>
      <c r="K64" s="12">
        <f t="shared" ca="1" si="17"/>
        <v>0</v>
      </c>
      <c r="L64" s="12">
        <f t="shared" ca="1" si="17"/>
        <v>0</v>
      </c>
      <c r="M64" s="12">
        <f t="shared" ca="1" si="17"/>
        <v>0</v>
      </c>
      <c r="N64" s="141" t="str">
        <f ca="1">IFERROR(((M64/F64)^(1/7)-1),"-")</f>
        <v>-</v>
      </c>
    </row>
    <row r="65" spans="1:14">
      <c r="A65" s="2"/>
      <c r="B65" s="2"/>
      <c r="C65" s="2"/>
      <c r="D65" s="2"/>
      <c r="E65" s="2" t="s">
        <v>19</v>
      </c>
      <c r="F65" s="10">
        <f t="shared" ref="F65:M65" ca="1" si="18">F63+F62</f>
        <v>0</v>
      </c>
      <c r="G65" s="10">
        <f t="shared" ca="1" si="18"/>
        <v>0</v>
      </c>
      <c r="H65" s="10">
        <f t="shared" ca="1" si="18"/>
        <v>0</v>
      </c>
      <c r="I65" s="10">
        <f t="shared" ca="1" si="18"/>
        <v>0</v>
      </c>
      <c r="J65" s="10">
        <f t="shared" ca="1" si="18"/>
        <v>0</v>
      </c>
      <c r="K65" s="10">
        <f t="shared" ca="1" si="18"/>
        <v>0</v>
      </c>
      <c r="L65" s="10">
        <f t="shared" ca="1" si="18"/>
        <v>0</v>
      </c>
      <c r="M65" s="10">
        <f t="shared" ca="1" si="18"/>
        <v>0</v>
      </c>
      <c r="N65" s="140"/>
    </row>
    <row r="66" spans="1:14">
      <c r="A66" s="2"/>
      <c r="B66" s="2"/>
      <c r="C66" s="2"/>
      <c r="D66" s="133" t="s">
        <v>18</v>
      </c>
      <c r="E66" s="2" t="s">
        <v>22</v>
      </c>
      <c r="F66" s="13" t="str">
        <f ca="1">IFERROR(F61/F$53,"-")</f>
        <v>-</v>
      </c>
      <c r="G66" s="13" t="str">
        <f t="shared" ref="G66:M66" ca="1" si="19">IFERROR(G61/G$53,"-")</f>
        <v>-</v>
      </c>
      <c r="H66" s="13" t="str">
        <f t="shared" ca="1" si="19"/>
        <v>-</v>
      </c>
      <c r="I66" s="13" t="str">
        <f t="shared" ca="1" si="19"/>
        <v>-</v>
      </c>
      <c r="J66" s="13" t="str">
        <f t="shared" ca="1" si="19"/>
        <v>-</v>
      </c>
      <c r="K66" s="13" t="str">
        <f t="shared" ca="1" si="19"/>
        <v>-</v>
      </c>
      <c r="L66" s="13" t="str">
        <f t="shared" ca="1" si="19"/>
        <v>-</v>
      </c>
      <c r="M66" s="13" t="str">
        <f t="shared" ca="1" si="19"/>
        <v>-</v>
      </c>
      <c r="N66" s="141"/>
    </row>
    <row r="67" spans="1:14">
      <c r="A67" s="2"/>
      <c r="B67" s="2"/>
      <c r="C67" s="2"/>
      <c r="D67" s="133" t="s">
        <v>20</v>
      </c>
      <c r="E67" s="2" t="s">
        <v>22</v>
      </c>
      <c r="F67" s="13" t="str">
        <f ca="1">IFERROR(F62/F$54,"-")</f>
        <v>-</v>
      </c>
      <c r="G67" s="13" t="str">
        <f t="shared" ref="G67:M67" ca="1" si="20">IFERROR(G62/G$54,"-")</f>
        <v>-</v>
      </c>
      <c r="H67" s="13" t="str">
        <f t="shared" ca="1" si="20"/>
        <v>-</v>
      </c>
      <c r="I67" s="13" t="str">
        <f t="shared" ca="1" si="20"/>
        <v>-</v>
      </c>
      <c r="J67" s="13" t="str">
        <f t="shared" ca="1" si="20"/>
        <v>-</v>
      </c>
      <c r="K67" s="13" t="str">
        <f t="shared" ca="1" si="20"/>
        <v>-</v>
      </c>
      <c r="L67" s="13" t="str">
        <f t="shared" ca="1" si="20"/>
        <v>-</v>
      </c>
      <c r="M67" s="13" t="str">
        <f t="shared" ca="1" si="20"/>
        <v>-</v>
      </c>
      <c r="N67" s="141"/>
    </row>
    <row r="68" spans="1:14">
      <c r="A68" s="2"/>
      <c r="B68" s="2"/>
      <c r="C68" s="2"/>
      <c r="D68" s="133" t="s">
        <v>21</v>
      </c>
      <c r="E68" s="2" t="s">
        <v>22</v>
      </c>
      <c r="F68" s="13" t="str">
        <f ca="1">IFERROR(F63/F$55,"-")</f>
        <v>-</v>
      </c>
      <c r="G68" s="13" t="str">
        <f t="shared" ref="G68:M68" ca="1" si="21">IFERROR(G63/G$55,"-")</f>
        <v>-</v>
      </c>
      <c r="H68" s="13" t="str">
        <f t="shared" ca="1" si="21"/>
        <v>-</v>
      </c>
      <c r="I68" s="13" t="str">
        <f t="shared" ca="1" si="21"/>
        <v>-</v>
      </c>
      <c r="J68" s="13" t="str">
        <f t="shared" ca="1" si="21"/>
        <v>-</v>
      </c>
      <c r="K68" s="13" t="str">
        <f t="shared" ca="1" si="21"/>
        <v>-</v>
      </c>
      <c r="L68" s="13" t="str">
        <f t="shared" ca="1" si="21"/>
        <v>-</v>
      </c>
      <c r="M68" s="13" t="str">
        <f t="shared" ca="1" si="21"/>
        <v>-</v>
      </c>
      <c r="N68" s="141"/>
    </row>
    <row r="69" spans="1:14">
      <c r="A69" s="2"/>
      <c r="B69" s="2"/>
      <c r="C69" s="2"/>
      <c r="D69" s="133" t="s">
        <v>16</v>
      </c>
      <c r="E69" s="2" t="s">
        <v>22</v>
      </c>
      <c r="F69" s="13" t="str">
        <f ca="1">IFERROR(F64/F$56,"-")</f>
        <v>-</v>
      </c>
      <c r="G69" s="13" t="str">
        <f t="shared" ref="G69:M69" ca="1" si="22">IFERROR(G64/G$56,"-")</f>
        <v>-</v>
      </c>
      <c r="H69" s="13" t="str">
        <f t="shared" ca="1" si="22"/>
        <v>-</v>
      </c>
      <c r="I69" s="13" t="str">
        <f t="shared" ca="1" si="22"/>
        <v>-</v>
      </c>
      <c r="J69" s="13" t="str">
        <f t="shared" ca="1" si="22"/>
        <v>-</v>
      </c>
      <c r="K69" s="13" t="str">
        <f t="shared" ca="1" si="22"/>
        <v>-</v>
      </c>
      <c r="L69" s="13" t="str">
        <f t="shared" ca="1" si="22"/>
        <v>-</v>
      </c>
      <c r="M69" s="13" t="str">
        <f t="shared" ca="1" si="22"/>
        <v>-</v>
      </c>
      <c r="N69" s="140"/>
    </row>
    <row r="70" spans="1:14">
      <c r="A70" s="2"/>
      <c r="B70" s="2"/>
      <c r="C70" s="2"/>
      <c r="D70" s="133" t="s">
        <v>19</v>
      </c>
      <c r="E70" s="2" t="s">
        <v>22</v>
      </c>
      <c r="F70" s="13" t="str">
        <f ca="1">IFERROR(F65/F$57,"-")</f>
        <v>-</v>
      </c>
      <c r="G70" s="13" t="str">
        <f t="shared" ref="G70:M70" ca="1" si="23">IFERROR(G65/G$57,"-")</f>
        <v>-</v>
      </c>
      <c r="H70" s="13" t="str">
        <f t="shared" ca="1" si="23"/>
        <v>-</v>
      </c>
      <c r="I70" s="13" t="str">
        <f t="shared" ca="1" si="23"/>
        <v>-</v>
      </c>
      <c r="J70" s="13" t="str">
        <f t="shared" ca="1" si="23"/>
        <v>-</v>
      </c>
      <c r="K70" s="13" t="str">
        <f t="shared" ca="1" si="23"/>
        <v>-</v>
      </c>
      <c r="L70" s="13" t="str">
        <f t="shared" ca="1" si="23"/>
        <v>-</v>
      </c>
      <c r="M70" s="13" t="str">
        <f t="shared" ca="1" si="23"/>
        <v>-</v>
      </c>
      <c r="N70" s="140"/>
    </row>
    <row r="71" spans="1:14">
      <c r="A71" s="2"/>
      <c r="B71" s="2"/>
      <c r="C71" s="2"/>
      <c r="D71" s="2"/>
      <c r="E71" s="2"/>
      <c r="F71" s="13"/>
      <c r="G71" s="13"/>
      <c r="H71" s="13"/>
      <c r="I71" s="13"/>
      <c r="J71" s="13"/>
      <c r="K71" s="13"/>
      <c r="L71" s="13"/>
      <c r="M71" s="13"/>
      <c r="N71" s="140"/>
    </row>
    <row r="72" spans="1:14">
      <c r="A72" s="230" t="s">
        <v>192</v>
      </c>
      <c r="B72" s="231" t="s">
        <v>207</v>
      </c>
      <c r="C72" s="2"/>
      <c r="D72" s="2"/>
      <c r="E72" s="5" t="str">
        <f>B72&amp;" (M"&amp;Currency&amp;")"</f>
        <v>EBIT bef.  MF (MEUR)</v>
      </c>
      <c r="F72" s="6"/>
      <c r="G72" s="6"/>
      <c r="H72" s="6"/>
      <c r="I72" s="6"/>
      <c r="J72" s="6"/>
      <c r="K72" s="6"/>
      <c r="L72" s="6"/>
      <c r="M72" s="6"/>
      <c r="N72" s="140"/>
    </row>
    <row r="73" spans="1:14">
      <c r="A73" s="2"/>
      <c r="B73" s="2"/>
      <c r="C73" s="2"/>
      <c r="D73" s="2"/>
      <c r="E73" s="8" t="str">
        <f>"In M"&amp;Currency</f>
        <v>In MEUR</v>
      </c>
      <c r="F73" s="9" t="str">
        <f t="shared" ref="F73:M73" si="24">RIGHT(F$45,4)</f>
        <v>2022</v>
      </c>
      <c r="G73" s="9" t="str">
        <f t="shared" si="24"/>
        <v>2023</v>
      </c>
      <c r="H73" s="9" t="str">
        <f t="shared" si="24"/>
        <v>2024</v>
      </c>
      <c r="I73" s="9" t="str">
        <f t="shared" si="24"/>
        <v>2025</v>
      </c>
      <c r="J73" s="9" t="str">
        <f t="shared" si="24"/>
        <v>2026</v>
      </c>
      <c r="K73" s="9" t="str">
        <f t="shared" si="24"/>
        <v>2027</v>
      </c>
      <c r="L73" s="9" t="str">
        <f t="shared" si="24"/>
        <v>2028</v>
      </c>
      <c r="M73" s="9" t="str">
        <f t="shared" si="24"/>
        <v>2029</v>
      </c>
      <c r="N73" s="140"/>
    </row>
    <row r="74" spans="1:14">
      <c r="A74" s="3" t="str">
        <f ca="1">_xll.DBRA("tango_core_model:LTP_components","ZGP&amp;DispCountry_Plans","French")</f>
        <v>PBZ &amp; Cessions (Pays)</v>
      </c>
      <c r="B74" s="2"/>
      <c r="C74" s="2"/>
      <c r="D74" s="2"/>
      <c r="E74" s="2" t="s">
        <v>18</v>
      </c>
      <c r="F74" s="10">
        <f ca="1">_xll.DBR($B$41,$B$46,$B$43,$A74,$B$44,$B$47,F$45,$B$45,$A$72)*F$9</f>
        <v>0</v>
      </c>
      <c r="G74" s="10">
        <f ca="1">_xll.DBR($B$41,$B$46,$B$43,$A74,$B$44,$B$47,G$45,$B$45,$A$72)*G$9</f>
        <v>0</v>
      </c>
      <c r="H74" s="10">
        <f ca="1">_xll.DBR($B$41,$B$46,$B$43,$A74,$B$44,$B$47,H$45,$B$45,$A$72)*H$9</f>
        <v>0</v>
      </c>
      <c r="I74" s="10">
        <f ca="1">_xll.DBR($B$41,$B$46,$B$43,$A74,$B$44,$B$47,I$45,$B$45,$A$72)*I$9</f>
        <v>0</v>
      </c>
      <c r="J74" s="10">
        <f ca="1">_xll.DBR($B$41,$B$46,$B$43,$A74,$B$44,$B$47,J$45,$B$45,$A$72)*J$9</f>
        <v>0</v>
      </c>
      <c r="K74" s="10">
        <f ca="1">_xll.DBR($B$41,$B$46,$B$43,$A74,$B$44,$B$47,K$45,$B$45,$A$72)*K$9</f>
        <v>0</v>
      </c>
      <c r="L74" s="10">
        <f ca="1">_xll.DBR($B$41,$B$46,$B$43,$A74,$B$44,$B$47,L$45,$B$45,$A$72)*L$9</f>
        <v>0</v>
      </c>
      <c r="M74" s="10">
        <f ca="1">_xll.DBR($B$41,$B$46,$B$43,$A74,$B$44,$B$47,M$45,$B$45,$A$72)*M$9</f>
        <v>0</v>
      </c>
      <c r="N74" s="140"/>
    </row>
    <row r="75" spans="1:14">
      <c r="A75" s="3" t="str">
        <f ca="1">_xll.SUBNM("tango_core_model:LTP_Components","","Growth_Plan_Orga","English")</f>
        <v>Organic Growth Plan</v>
      </c>
      <c r="B75" s="2"/>
      <c r="C75" s="2"/>
      <c r="D75" s="2"/>
      <c r="E75" s="2" t="s">
        <v>20</v>
      </c>
      <c r="F75" s="10">
        <f ca="1">_xll.DBR($B$41,$B$46,$B$43,$A75,$B$44,$B$47,F$45,$B$45,$A$72)*F$9</f>
        <v>0</v>
      </c>
      <c r="G75" s="10">
        <f ca="1">_xll.DBR($B$41,$B$46,$B$43,$A75,$B$44,$B$47,G$45,$B$45,$A$72)*G$9</f>
        <v>0</v>
      </c>
      <c r="H75" s="10">
        <f ca="1">_xll.DBR($B$41,$B$46,$B$43,$A75,$B$44,$B$47,H$45,$B$45,$A$72)*H$9</f>
        <v>0</v>
      </c>
      <c r="I75" s="10">
        <f ca="1">_xll.DBR($B$41,$B$46,$B$43,$A75,$B$44,$B$47,I$45,$B$45,$A$72)*I$9</f>
        <v>0</v>
      </c>
      <c r="J75" s="10">
        <f ca="1">_xll.DBR($B$41,$B$46,$B$43,$A75,$B$44,$B$47,J$45,$B$45,$A$72)*J$9</f>
        <v>0</v>
      </c>
      <c r="K75" s="10">
        <f ca="1">_xll.DBR($B$41,$B$46,$B$43,$A75,$B$44,$B$47,K$45,$B$45,$A$72)*K$9</f>
        <v>0</v>
      </c>
      <c r="L75" s="10">
        <f ca="1">_xll.DBR($B$41,$B$46,$B$43,$A75,$B$44,$B$47,L$45,$B$45,$A$72)*L$9</f>
        <v>0</v>
      </c>
      <c r="M75" s="10">
        <f ca="1">_xll.DBR($B$41,$B$46,$B$43,$A75,$B$44,$B$47,M$45,$B$45,$A$72)*M$9</f>
        <v>0</v>
      </c>
      <c r="N75" s="140"/>
    </row>
    <row r="76" spans="1:14">
      <c r="A76" s="3" t="str">
        <f ca="1">_xll.SUBNM("tango_core_model:LTP_Components","","Growth_Plan_Ext","English")</f>
        <v>External Growth Plan</v>
      </c>
      <c r="B76" s="2"/>
      <c r="C76" s="2"/>
      <c r="D76" s="2"/>
      <c r="E76" s="2" t="s">
        <v>21</v>
      </c>
      <c r="F76" s="10">
        <f ca="1">_xll.DBR($B$41,$B$46,$B$43,$A76,$B$44,$B$47,F$45,$B$45,$A$72)*F$9</f>
        <v>0</v>
      </c>
      <c r="G76" s="10">
        <f ca="1">_xll.DBR($B$41,$B$46,$B$43,$A76,$B$44,$B$47,G$45,$B$45,$A$72)*G$9</f>
        <v>0</v>
      </c>
      <c r="H76" s="10">
        <f ca="1">_xll.DBR($B$41,$B$46,$B$43,$A76,$B$44,$B$47,H$45,$B$45,$A$72)*H$9</f>
        <v>0</v>
      </c>
      <c r="I76" s="10">
        <f ca="1">_xll.DBR($B$41,$B$46,$B$43,$A76,$B$44,$B$47,I$45,$B$45,$A$72)*I$9</f>
        <v>0</v>
      </c>
      <c r="J76" s="10">
        <f ca="1">_xll.DBR($B$41,$B$46,$B$43,$A76,$B$44,$B$47,J$45,$B$45,$A$72)*J$9</f>
        <v>0</v>
      </c>
      <c r="K76" s="10">
        <f ca="1">_xll.DBR($B$41,$B$46,$B$43,$A76,$B$44,$B$47,K$45,$B$45,$A$72)*K$9</f>
        <v>0</v>
      </c>
      <c r="L76" s="10">
        <f ca="1">_xll.DBR($B$41,$B$46,$B$43,$A76,$B$44,$B$47,L$45,$B$45,$A$72)*L$9</f>
        <v>0</v>
      </c>
      <c r="M76" s="10">
        <f ca="1">_xll.DBR($B$41,$B$46,$B$43,$A76,$B$44,$B$47,M$45,$B$45,$A$72)*M$9</f>
        <v>0</v>
      </c>
      <c r="N76" s="140"/>
    </row>
    <row r="77" spans="1:14">
      <c r="A77" s="2"/>
      <c r="B77" s="2"/>
      <c r="C77" s="2"/>
      <c r="D77" s="2"/>
      <c r="E77" s="11" t="s">
        <v>16</v>
      </c>
      <c r="F77" s="12">
        <f t="shared" ref="F77:M77" ca="1" si="25">SUM(F74:F76)</f>
        <v>0</v>
      </c>
      <c r="G77" s="12">
        <f t="shared" ca="1" si="25"/>
        <v>0</v>
      </c>
      <c r="H77" s="12">
        <f t="shared" ca="1" si="25"/>
        <v>0</v>
      </c>
      <c r="I77" s="12">
        <f t="shared" ca="1" si="25"/>
        <v>0</v>
      </c>
      <c r="J77" s="12">
        <f t="shared" ca="1" si="25"/>
        <v>0</v>
      </c>
      <c r="K77" s="12">
        <f t="shared" ca="1" si="25"/>
        <v>0</v>
      </c>
      <c r="L77" s="12">
        <f t="shared" ca="1" si="25"/>
        <v>0</v>
      </c>
      <c r="M77" s="12">
        <f t="shared" ca="1" si="25"/>
        <v>0</v>
      </c>
      <c r="N77" s="141" t="str">
        <f ca="1">IFERROR(((M77/F77)^(1/7)-1),"-")</f>
        <v>-</v>
      </c>
    </row>
    <row r="78" spans="1:14">
      <c r="A78" s="2"/>
      <c r="B78" s="2"/>
      <c r="C78" s="2"/>
      <c r="D78" s="2"/>
      <c r="E78" s="2" t="s">
        <v>19</v>
      </c>
      <c r="F78" s="10">
        <f t="shared" ref="F78:L78" ca="1" si="26">F76+F75</f>
        <v>0</v>
      </c>
      <c r="G78" s="10">
        <f t="shared" ca="1" si="26"/>
        <v>0</v>
      </c>
      <c r="H78" s="10">
        <f t="shared" ca="1" si="26"/>
        <v>0</v>
      </c>
      <c r="I78" s="10">
        <f t="shared" ca="1" si="26"/>
        <v>0</v>
      </c>
      <c r="J78" s="10">
        <f t="shared" ca="1" si="26"/>
        <v>0</v>
      </c>
      <c r="K78" s="10">
        <f t="shared" ca="1" si="26"/>
        <v>0</v>
      </c>
      <c r="L78" s="10">
        <f t="shared" ca="1" si="26"/>
        <v>0</v>
      </c>
      <c r="M78" s="10">
        <f ca="1">M76+M75</f>
        <v>0</v>
      </c>
      <c r="N78" s="140"/>
    </row>
    <row r="79" spans="1:14">
      <c r="A79" s="2"/>
      <c r="B79" s="2"/>
      <c r="C79" s="2"/>
      <c r="D79" s="133" t="s">
        <v>18</v>
      </c>
      <c r="E79" s="2" t="s">
        <v>100</v>
      </c>
      <c r="F79" s="13" t="str">
        <f ca="1">IFERROR(F74/F$53,"-")</f>
        <v>-</v>
      </c>
      <c r="G79" s="13" t="str">
        <f t="shared" ref="G79:M79" ca="1" si="27">IFERROR(G74/G$53,"-")</f>
        <v>-</v>
      </c>
      <c r="H79" s="13" t="str">
        <f t="shared" ca="1" si="27"/>
        <v>-</v>
      </c>
      <c r="I79" s="13" t="str">
        <f t="shared" ca="1" si="27"/>
        <v>-</v>
      </c>
      <c r="J79" s="13" t="str">
        <f t="shared" ca="1" si="27"/>
        <v>-</v>
      </c>
      <c r="K79" s="13" t="str">
        <f t="shared" ca="1" si="27"/>
        <v>-</v>
      </c>
      <c r="L79" s="13" t="str">
        <f t="shared" ca="1" si="27"/>
        <v>-</v>
      </c>
      <c r="M79" s="13" t="str">
        <f t="shared" ca="1" si="27"/>
        <v>-</v>
      </c>
      <c r="N79" s="141"/>
    </row>
    <row r="80" spans="1:14">
      <c r="A80" s="2"/>
      <c r="B80" s="2"/>
      <c r="C80" s="2"/>
      <c r="D80" s="133" t="s">
        <v>20</v>
      </c>
      <c r="E80" s="2" t="s">
        <v>100</v>
      </c>
      <c r="F80" s="13" t="str">
        <f ca="1">IFERROR(F75/F$54,"-")</f>
        <v>-</v>
      </c>
      <c r="G80" s="13" t="str">
        <f t="shared" ref="G80:M80" ca="1" si="28">IFERROR(G75/G$54,"-")</f>
        <v>-</v>
      </c>
      <c r="H80" s="13" t="str">
        <f t="shared" ca="1" si="28"/>
        <v>-</v>
      </c>
      <c r="I80" s="13" t="str">
        <f t="shared" ca="1" si="28"/>
        <v>-</v>
      </c>
      <c r="J80" s="13" t="str">
        <f t="shared" ca="1" si="28"/>
        <v>-</v>
      </c>
      <c r="K80" s="13" t="str">
        <f t="shared" ca="1" si="28"/>
        <v>-</v>
      </c>
      <c r="L80" s="13" t="str">
        <f t="shared" ca="1" si="28"/>
        <v>-</v>
      </c>
      <c r="M80" s="13" t="str">
        <f t="shared" ca="1" si="28"/>
        <v>-</v>
      </c>
      <c r="N80" s="141"/>
    </row>
    <row r="81" spans="1:14">
      <c r="A81" s="2"/>
      <c r="B81" s="2"/>
      <c r="C81" s="2"/>
      <c r="D81" s="133" t="s">
        <v>21</v>
      </c>
      <c r="E81" s="2" t="s">
        <v>100</v>
      </c>
      <c r="F81" s="13" t="str">
        <f ca="1">IFERROR(F76/F$55,"-")</f>
        <v>-</v>
      </c>
      <c r="G81" s="13" t="str">
        <f t="shared" ref="G81:M81" ca="1" si="29">IFERROR(G76/G$55,"-")</f>
        <v>-</v>
      </c>
      <c r="H81" s="13" t="str">
        <f t="shared" ca="1" si="29"/>
        <v>-</v>
      </c>
      <c r="I81" s="13" t="str">
        <f t="shared" ca="1" si="29"/>
        <v>-</v>
      </c>
      <c r="J81" s="13" t="str">
        <f t="shared" ca="1" si="29"/>
        <v>-</v>
      </c>
      <c r="K81" s="13" t="str">
        <f t="shared" ca="1" si="29"/>
        <v>-</v>
      </c>
      <c r="L81" s="13" t="str">
        <f t="shared" ca="1" si="29"/>
        <v>-</v>
      </c>
      <c r="M81" s="13" t="str">
        <f t="shared" ca="1" si="29"/>
        <v>-</v>
      </c>
      <c r="N81" s="141"/>
    </row>
    <row r="82" spans="1:14">
      <c r="A82" s="2"/>
      <c r="B82" s="2"/>
      <c r="C82" s="2"/>
      <c r="D82" s="133" t="s">
        <v>16</v>
      </c>
      <c r="E82" s="2" t="s">
        <v>100</v>
      </c>
      <c r="F82" s="13" t="str">
        <f ca="1">IFERROR(F77/F$56,"-")</f>
        <v>-</v>
      </c>
      <c r="G82" s="13" t="str">
        <f t="shared" ref="G82:M82" ca="1" si="30">IFERROR(G77/G$56,"-")</f>
        <v>-</v>
      </c>
      <c r="H82" s="13" t="str">
        <f t="shared" ca="1" si="30"/>
        <v>-</v>
      </c>
      <c r="I82" s="13" t="str">
        <f t="shared" ca="1" si="30"/>
        <v>-</v>
      </c>
      <c r="J82" s="13" t="str">
        <f t="shared" ca="1" si="30"/>
        <v>-</v>
      </c>
      <c r="K82" s="13" t="str">
        <f t="shared" ca="1" si="30"/>
        <v>-</v>
      </c>
      <c r="L82" s="13" t="str">
        <f t="shared" ca="1" si="30"/>
        <v>-</v>
      </c>
      <c r="M82" s="13" t="str">
        <f t="shared" ca="1" si="30"/>
        <v>-</v>
      </c>
      <c r="N82" s="140"/>
    </row>
    <row r="83" spans="1:14">
      <c r="A83" s="2"/>
      <c r="B83" s="2"/>
      <c r="C83" s="2"/>
      <c r="D83" s="133" t="s">
        <v>19</v>
      </c>
      <c r="E83" s="2" t="s">
        <v>100</v>
      </c>
      <c r="F83" s="13" t="str">
        <f ca="1">IFERROR(F78/F$57,"-")</f>
        <v>-</v>
      </c>
      <c r="G83" s="13" t="str">
        <f t="shared" ref="G83:M83" ca="1" si="31">IFERROR(G78/G$57,"-")</f>
        <v>-</v>
      </c>
      <c r="H83" s="13" t="str">
        <f t="shared" ca="1" si="31"/>
        <v>-</v>
      </c>
      <c r="I83" s="13" t="str">
        <f t="shared" ca="1" si="31"/>
        <v>-</v>
      </c>
      <c r="J83" s="13" t="str">
        <f t="shared" ca="1" si="31"/>
        <v>-</v>
      </c>
      <c r="K83" s="13" t="str">
        <f t="shared" ca="1" si="31"/>
        <v>-</v>
      </c>
      <c r="L83" s="13" t="str">
        <f t="shared" ca="1" si="31"/>
        <v>-</v>
      </c>
      <c r="M83" s="13" t="str">
        <f t="shared" ca="1" si="31"/>
        <v>-</v>
      </c>
      <c r="N83" s="140"/>
    </row>
    <row r="84" spans="1:14">
      <c r="A84" s="2"/>
      <c r="B84" s="2"/>
      <c r="C84" s="2"/>
      <c r="D84" s="2"/>
      <c r="E84" s="2"/>
      <c r="F84" s="13"/>
      <c r="G84" s="13"/>
      <c r="H84" s="13"/>
      <c r="I84" s="13"/>
      <c r="J84" s="13"/>
      <c r="K84" s="13"/>
      <c r="L84" s="13"/>
      <c r="M84" s="13"/>
      <c r="N84" s="140"/>
    </row>
    <row r="85" spans="1:14">
      <c r="A85" s="230" t="s">
        <v>101</v>
      </c>
      <c r="B85" s="231" t="s">
        <v>43</v>
      </c>
      <c r="C85" s="2"/>
      <c r="D85" s="2"/>
      <c r="E85" s="5" t="str">
        <f>B85&amp;" (M"&amp;Currency&amp;")"</f>
        <v>Net Industrial CAPEX (MEUR)</v>
      </c>
      <c r="F85" s="6"/>
      <c r="G85" s="6"/>
      <c r="H85" s="6"/>
      <c r="I85" s="6"/>
      <c r="J85" s="6"/>
      <c r="K85" s="6"/>
      <c r="L85" s="6"/>
      <c r="M85" s="6"/>
      <c r="N85" s="140"/>
    </row>
    <row r="86" spans="1:14">
      <c r="A86" s="2"/>
      <c r="B86" s="2"/>
      <c r="C86" s="2"/>
      <c r="D86" s="2"/>
      <c r="E86" s="8" t="str">
        <f>"In M"&amp;Currency</f>
        <v>In MEUR</v>
      </c>
      <c r="F86" s="9" t="str">
        <f t="shared" ref="F86:M86" si="32">RIGHT(F$45,4)</f>
        <v>2022</v>
      </c>
      <c r="G86" s="9" t="str">
        <f t="shared" si="32"/>
        <v>2023</v>
      </c>
      <c r="H86" s="9" t="str">
        <f t="shared" si="32"/>
        <v>2024</v>
      </c>
      <c r="I86" s="9" t="str">
        <f t="shared" si="32"/>
        <v>2025</v>
      </c>
      <c r="J86" s="9" t="str">
        <f t="shared" si="32"/>
        <v>2026</v>
      </c>
      <c r="K86" s="9" t="str">
        <f t="shared" si="32"/>
        <v>2027</v>
      </c>
      <c r="L86" s="9" t="str">
        <f t="shared" si="32"/>
        <v>2028</v>
      </c>
      <c r="M86" s="9" t="str">
        <f t="shared" si="32"/>
        <v>2029</v>
      </c>
      <c r="N86" s="140"/>
    </row>
    <row r="87" spans="1:14">
      <c r="A87" s="3" t="str">
        <f ca="1">_xll.DBRA("tango_core_model:LTP_components","ZGP&amp;DispCountry_Plans","French")</f>
        <v>PBZ &amp; Cessions (Pays)</v>
      </c>
      <c r="B87" s="2"/>
      <c r="C87" s="2"/>
      <c r="D87" s="2"/>
      <c r="E87" s="2" t="s">
        <v>18</v>
      </c>
      <c r="F87" s="10">
        <f ca="1">-_xll.DBR($B$41,$B$46,$B$43,$A87,$B$44,$B$47,F$45,$B$45,$A$85)*F$9</f>
        <v>0</v>
      </c>
      <c r="G87" s="10">
        <f ca="1">-_xll.DBR($B$41,$B$46,$B$43,$A87,$B$44,$B$47,G$45,$B$45,$A$85)*G$9</f>
        <v>0</v>
      </c>
      <c r="H87" s="10">
        <f ca="1">-_xll.DBR($B$41,$B$46,$B$43,$A87,$B$44,$B$47,H$45,$B$45,$A$85)*H$9</f>
        <v>0</v>
      </c>
      <c r="I87" s="10">
        <f ca="1">-_xll.DBR($B$41,$B$46,$B$43,$A87,$B$44,$B$47,I$45,$B$45,$A$85)*I$9</f>
        <v>0</v>
      </c>
      <c r="J87" s="10">
        <f ca="1">-_xll.DBR($B$41,$B$46,$B$43,$A87,$B$44,$B$47,J$45,$B$45,$A$85)*J$9</f>
        <v>0</v>
      </c>
      <c r="K87" s="10">
        <f ca="1">-_xll.DBR($B$41,$B$46,$B$43,$A87,$B$44,$B$47,K$45,$B$45,$A$85)*K$9</f>
        <v>0</v>
      </c>
      <c r="L87" s="10">
        <f ca="1">-_xll.DBR($B$41,$B$46,$B$43,$A87,$B$44,$B$47,L$45,$B$45,$A$85)*L$9</f>
        <v>0</v>
      </c>
      <c r="M87" s="10">
        <f ca="1">-_xll.DBR($B$41,$B$46,$B$43,$A87,$B$44,$B$47,M$45,$B$45,$A$85)*M$9</f>
        <v>0</v>
      </c>
      <c r="N87" s="140"/>
    </row>
    <row r="88" spans="1:14">
      <c r="A88" s="3" t="str">
        <f ca="1">_xll.SUBNM("tango_core_model:LTP_Components","","Growth_Plan_Orga","English")</f>
        <v>Organic Growth Plan</v>
      </c>
      <c r="B88" s="2"/>
      <c r="C88" s="2"/>
      <c r="D88" s="2"/>
      <c r="E88" s="2" t="s">
        <v>20</v>
      </c>
      <c r="F88" s="10">
        <f ca="1">-_xll.DBR($B$41,$B$46,$B$43,$A88,$B$44,$B$47,F$45,$B$45,$A$85)*F$9</f>
        <v>0</v>
      </c>
      <c r="G88" s="10">
        <f ca="1">-_xll.DBR($B$41,$B$46,$B$43,$A88,$B$44,$B$47,G$45,$B$45,$A$85)*G$9</f>
        <v>0</v>
      </c>
      <c r="H88" s="10">
        <f ca="1">-_xll.DBR($B$41,$B$46,$B$43,$A88,$B$44,$B$47,H$45,$B$45,$A$85)*H$9</f>
        <v>0</v>
      </c>
      <c r="I88" s="10">
        <f ca="1">-_xll.DBR($B$41,$B$46,$B$43,$A88,$B$44,$B$47,I$45,$B$45,$A$85)*I$9</f>
        <v>0</v>
      </c>
      <c r="J88" s="10">
        <f ca="1">-_xll.DBR($B$41,$B$46,$B$43,$A88,$B$44,$B$47,J$45,$B$45,$A$85)*J$9</f>
        <v>0</v>
      </c>
      <c r="K88" s="10">
        <f ca="1">-_xll.DBR($B$41,$B$46,$B$43,$A88,$B$44,$B$47,K$45,$B$45,$A$85)*K$9</f>
        <v>0</v>
      </c>
      <c r="L88" s="10">
        <f ca="1">-_xll.DBR($B$41,$B$46,$B$43,$A88,$B$44,$B$47,L$45,$B$45,$A$85)*L$9</f>
        <v>0</v>
      </c>
      <c r="M88" s="10">
        <f ca="1">-_xll.DBR($B$41,$B$46,$B$43,$A88,$B$44,$B$47,M$45,$B$45,$A$85)*M$9</f>
        <v>0</v>
      </c>
      <c r="N88" s="140"/>
    </row>
    <row r="89" spans="1:14">
      <c r="A89" s="3" t="str">
        <f ca="1">_xll.SUBNM("tango_core_model:LTP_Components","","Growth_Plan_Ext","English")</f>
        <v>External Growth Plan</v>
      </c>
      <c r="B89" s="2"/>
      <c r="C89" s="2"/>
      <c r="D89" s="2" t="s">
        <v>108</v>
      </c>
      <c r="E89" s="2" t="s">
        <v>21</v>
      </c>
      <c r="F89" s="10">
        <f ca="1">-_xll.DBR($B$41,$B$46,$B$43,$A89,$B$44,$B$47,F$45,$B$45,$A$85)*F$9</f>
        <v>0</v>
      </c>
      <c r="G89" s="10">
        <f ca="1">-_xll.DBR($B$41,$B$46,$B$43,$A89,$B$44,$B$47,G$45,$B$45,$A$85)*G$9</f>
        <v>0</v>
      </c>
      <c r="H89" s="10">
        <f ca="1">-_xll.DBR($B$41,$B$46,$B$43,$A89,$B$44,$B$47,H$45,$B$45,$A$85)*H$9</f>
        <v>0</v>
      </c>
      <c r="I89" s="10">
        <f ca="1">-_xll.DBR($B$41,$B$46,$B$43,$A89,$B$44,$B$47,I$45,$B$45,$A$85)*I$9</f>
        <v>0</v>
      </c>
      <c r="J89" s="10">
        <f ca="1">-_xll.DBR($B$41,$B$46,$B$43,$A89,$B$44,$B$47,J$45,$B$45,$A$85)*J$9</f>
        <v>0</v>
      </c>
      <c r="K89" s="10">
        <f ca="1">-_xll.DBR($B$41,$B$46,$B$43,$A89,$B$44,$B$47,K$45,$B$45,$A$85)*K$9</f>
        <v>0</v>
      </c>
      <c r="L89" s="10">
        <f ca="1">-_xll.DBR($B$41,$B$46,$B$43,$A89,$B$44,$B$47,L$45,$B$45,$A$85)*L$9</f>
        <v>0</v>
      </c>
      <c r="M89" s="10">
        <f ca="1">-_xll.DBR($B$41,$B$46,$B$43,$A89,$B$44,$B$47,M$45,$B$45,$A$85)*M$9</f>
        <v>0</v>
      </c>
      <c r="N89" s="140"/>
    </row>
    <row r="90" spans="1:14">
      <c r="A90" s="2"/>
      <c r="B90" s="2"/>
      <c r="C90" s="2"/>
      <c r="D90" s="2"/>
      <c r="E90" s="11" t="s">
        <v>16</v>
      </c>
      <c r="F90" s="12">
        <f t="shared" ref="F90:M90" ca="1" si="33">SUM(F87:F89)</f>
        <v>0</v>
      </c>
      <c r="G90" s="12">
        <f t="shared" ca="1" si="33"/>
        <v>0</v>
      </c>
      <c r="H90" s="12">
        <f t="shared" ca="1" si="33"/>
        <v>0</v>
      </c>
      <c r="I90" s="12">
        <f t="shared" ca="1" si="33"/>
        <v>0</v>
      </c>
      <c r="J90" s="12">
        <f t="shared" ca="1" si="33"/>
        <v>0</v>
      </c>
      <c r="K90" s="12">
        <f t="shared" ca="1" si="33"/>
        <v>0</v>
      </c>
      <c r="L90" s="12">
        <f t="shared" ca="1" si="33"/>
        <v>0</v>
      </c>
      <c r="M90" s="12">
        <f t="shared" ca="1" si="33"/>
        <v>0</v>
      </c>
      <c r="N90" s="141" t="str">
        <f ca="1">IFERROR(((M90/F90)^(1/7)-1),"-")</f>
        <v>-</v>
      </c>
    </row>
    <row r="91" spans="1:14">
      <c r="A91" s="2"/>
      <c r="B91" s="2"/>
      <c r="C91" s="2"/>
      <c r="D91" s="2"/>
      <c r="E91" s="2" t="s">
        <v>19</v>
      </c>
      <c r="F91" s="10">
        <f t="shared" ref="F91:M91" ca="1" si="34">F89+F88</f>
        <v>0</v>
      </c>
      <c r="G91" s="10">
        <f t="shared" ca="1" si="34"/>
        <v>0</v>
      </c>
      <c r="H91" s="10">
        <f t="shared" ca="1" si="34"/>
        <v>0</v>
      </c>
      <c r="I91" s="10">
        <f t="shared" ca="1" si="34"/>
        <v>0</v>
      </c>
      <c r="J91" s="10">
        <f t="shared" ca="1" si="34"/>
        <v>0</v>
      </c>
      <c r="K91" s="10">
        <f t="shared" ca="1" si="34"/>
        <v>0</v>
      </c>
      <c r="L91" s="10">
        <f t="shared" ca="1" si="34"/>
        <v>0</v>
      </c>
      <c r="M91" s="10">
        <f t="shared" ca="1" si="34"/>
        <v>0</v>
      </c>
      <c r="N91" s="140"/>
    </row>
    <row r="92" spans="1:14">
      <c r="A92" s="2"/>
      <c r="B92" s="2"/>
      <c r="C92" s="2"/>
      <c r="D92" s="133" t="s">
        <v>18</v>
      </c>
      <c r="E92" s="2" t="s">
        <v>108</v>
      </c>
      <c r="F92" s="13" t="str">
        <f ca="1">IFERROR(F87/F$53,"-")</f>
        <v>-</v>
      </c>
      <c r="G92" s="13" t="str">
        <f t="shared" ref="G92:M92" ca="1" si="35">IFERROR(G87/G$53,"-")</f>
        <v>-</v>
      </c>
      <c r="H92" s="13" t="str">
        <f t="shared" ca="1" si="35"/>
        <v>-</v>
      </c>
      <c r="I92" s="13" t="str">
        <f t="shared" ca="1" si="35"/>
        <v>-</v>
      </c>
      <c r="J92" s="13" t="str">
        <f t="shared" ca="1" si="35"/>
        <v>-</v>
      </c>
      <c r="K92" s="13" t="str">
        <f t="shared" ca="1" si="35"/>
        <v>-</v>
      </c>
      <c r="L92" s="13" t="str">
        <f t="shared" ca="1" si="35"/>
        <v>-</v>
      </c>
      <c r="M92" s="13" t="str">
        <f t="shared" ca="1" si="35"/>
        <v>-</v>
      </c>
      <c r="N92" s="141"/>
    </row>
    <row r="93" spans="1:14">
      <c r="A93" s="2"/>
      <c r="B93" s="2"/>
      <c r="C93" s="2"/>
      <c r="D93" s="133" t="s">
        <v>20</v>
      </c>
      <c r="E93" s="2" t="s">
        <v>108</v>
      </c>
      <c r="F93" s="13" t="str">
        <f ca="1">IFERROR(F88/F$54,"-")</f>
        <v>-</v>
      </c>
      <c r="G93" s="13" t="str">
        <f t="shared" ref="G93:M93" ca="1" si="36">IFERROR(G88/G$54,"-")</f>
        <v>-</v>
      </c>
      <c r="H93" s="13" t="str">
        <f t="shared" ca="1" si="36"/>
        <v>-</v>
      </c>
      <c r="I93" s="13" t="str">
        <f t="shared" ca="1" si="36"/>
        <v>-</v>
      </c>
      <c r="J93" s="13" t="str">
        <f t="shared" ca="1" si="36"/>
        <v>-</v>
      </c>
      <c r="K93" s="13" t="str">
        <f t="shared" ca="1" si="36"/>
        <v>-</v>
      </c>
      <c r="L93" s="13" t="str">
        <f t="shared" ca="1" si="36"/>
        <v>-</v>
      </c>
      <c r="M93" s="13" t="str">
        <f t="shared" ca="1" si="36"/>
        <v>-</v>
      </c>
      <c r="N93" s="141"/>
    </row>
    <row r="94" spans="1:14">
      <c r="A94" s="2"/>
      <c r="B94" s="2"/>
      <c r="C94" s="2"/>
      <c r="D94" s="133" t="s">
        <v>21</v>
      </c>
      <c r="E94" s="2" t="s">
        <v>108</v>
      </c>
      <c r="F94" s="13" t="str">
        <f ca="1">IFERROR(F89/F$55,"-")</f>
        <v>-</v>
      </c>
      <c r="G94" s="13" t="str">
        <f t="shared" ref="G94:M94" ca="1" si="37">IFERROR(G89/G$55,"-")</f>
        <v>-</v>
      </c>
      <c r="H94" s="13" t="str">
        <f t="shared" ca="1" si="37"/>
        <v>-</v>
      </c>
      <c r="I94" s="13" t="str">
        <f t="shared" ca="1" si="37"/>
        <v>-</v>
      </c>
      <c r="J94" s="13" t="str">
        <f t="shared" ca="1" si="37"/>
        <v>-</v>
      </c>
      <c r="K94" s="13" t="str">
        <f t="shared" ca="1" si="37"/>
        <v>-</v>
      </c>
      <c r="L94" s="13" t="str">
        <f t="shared" ca="1" si="37"/>
        <v>-</v>
      </c>
      <c r="M94" s="13" t="str">
        <f t="shared" ca="1" si="37"/>
        <v>-</v>
      </c>
      <c r="N94" s="141"/>
    </row>
    <row r="95" spans="1:14">
      <c r="A95" s="2"/>
      <c r="B95" s="2"/>
      <c r="C95" s="2"/>
      <c r="D95" s="133" t="s">
        <v>16</v>
      </c>
      <c r="E95" s="2" t="s">
        <v>108</v>
      </c>
      <c r="F95" s="13" t="str">
        <f ca="1">IFERROR(F90/F$56,"-")</f>
        <v>-</v>
      </c>
      <c r="G95" s="13" t="str">
        <f t="shared" ref="G95:M95" ca="1" si="38">IFERROR(G90/G$56,"-")</f>
        <v>-</v>
      </c>
      <c r="H95" s="13" t="str">
        <f t="shared" ca="1" si="38"/>
        <v>-</v>
      </c>
      <c r="I95" s="13" t="str">
        <f t="shared" ca="1" si="38"/>
        <v>-</v>
      </c>
      <c r="J95" s="13" t="str">
        <f t="shared" ca="1" si="38"/>
        <v>-</v>
      </c>
      <c r="K95" s="13" t="str">
        <f t="shared" ca="1" si="38"/>
        <v>-</v>
      </c>
      <c r="L95" s="13" t="str">
        <f t="shared" ca="1" si="38"/>
        <v>-</v>
      </c>
      <c r="M95" s="13" t="str">
        <f t="shared" ca="1" si="38"/>
        <v>-</v>
      </c>
      <c r="N95" s="140"/>
    </row>
    <row r="96" spans="1:14">
      <c r="A96" s="2"/>
      <c r="B96" s="2"/>
      <c r="C96" s="2"/>
      <c r="D96" s="133" t="s">
        <v>19</v>
      </c>
      <c r="E96" s="2" t="s">
        <v>108</v>
      </c>
      <c r="F96" s="13" t="str">
        <f ca="1">IFERROR(F91/F$57,"-")</f>
        <v>-</v>
      </c>
      <c r="G96" s="13" t="str">
        <f t="shared" ref="G96:M96" ca="1" si="39">IFERROR(G91/G$57,"-")</f>
        <v>-</v>
      </c>
      <c r="H96" s="13" t="str">
        <f t="shared" ca="1" si="39"/>
        <v>-</v>
      </c>
      <c r="I96" s="13" t="str">
        <f t="shared" ca="1" si="39"/>
        <v>-</v>
      </c>
      <c r="J96" s="13" t="str">
        <f t="shared" ca="1" si="39"/>
        <v>-</v>
      </c>
      <c r="K96" s="13" t="str">
        <f t="shared" ca="1" si="39"/>
        <v>-</v>
      </c>
      <c r="L96" s="13" t="str">
        <f t="shared" ca="1" si="39"/>
        <v>-</v>
      </c>
      <c r="M96" s="13" t="str">
        <f t="shared" ca="1" si="39"/>
        <v>-</v>
      </c>
      <c r="N96" s="140"/>
    </row>
    <row r="97" spans="1:14">
      <c r="A97" s="2"/>
      <c r="B97" s="2"/>
      <c r="C97" s="2"/>
      <c r="D97" s="133"/>
      <c r="E97" s="2"/>
      <c r="F97" s="13"/>
      <c r="G97" s="13"/>
      <c r="H97" s="13"/>
      <c r="I97" s="13"/>
      <c r="J97" s="13"/>
      <c r="K97" s="13"/>
      <c r="L97" s="13"/>
      <c r="M97" s="13"/>
      <c r="N97" s="140"/>
    </row>
    <row r="98" spans="1:14">
      <c r="A98" s="230" t="str">
        <f>A85</f>
        <v>Net CAPEX</v>
      </c>
      <c r="B98" s="231"/>
      <c r="C98" s="2"/>
      <c r="D98" s="2"/>
      <c r="E98" s="5" t="str">
        <f>E85</f>
        <v>Net Industrial CAPEX (MEUR)</v>
      </c>
      <c r="F98" s="6"/>
      <c r="G98" s="6"/>
      <c r="H98" s="6"/>
      <c r="I98" s="6"/>
      <c r="J98" s="6"/>
      <c r="K98" s="6"/>
      <c r="L98" s="6"/>
      <c r="M98" s="6"/>
      <c r="N98" s="140"/>
    </row>
    <row r="99" spans="1:14">
      <c r="A99" s="2"/>
      <c r="B99" s="2"/>
      <c r="C99" s="2"/>
      <c r="D99" s="2"/>
      <c r="E99" s="8" t="str">
        <f>"In M"&amp;Currency</f>
        <v>In MEUR</v>
      </c>
      <c r="F99" s="9" t="str">
        <f t="shared" ref="F99:M99" si="40">RIGHT(F$45,4)</f>
        <v>2022</v>
      </c>
      <c r="G99" s="9" t="str">
        <f t="shared" si="40"/>
        <v>2023</v>
      </c>
      <c r="H99" s="9" t="str">
        <f t="shared" si="40"/>
        <v>2024</v>
      </c>
      <c r="I99" s="9" t="str">
        <f t="shared" si="40"/>
        <v>2025</v>
      </c>
      <c r="J99" s="9" t="str">
        <f t="shared" si="40"/>
        <v>2026</v>
      </c>
      <c r="K99" s="9" t="str">
        <f t="shared" si="40"/>
        <v>2027</v>
      </c>
      <c r="L99" s="9" t="str">
        <f t="shared" si="40"/>
        <v>2028</v>
      </c>
      <c r="M99" s="9" t="str">
        <f t="shared" si="40"/>
        <v>2029</v>
      </c>
      <c r="N99" s="140"/>
    </row>
    <row r="100" spans="1:14">
      <c r="A100" s="3" t="str">
        <f ca="1">A87</f>
        <v>PBZ &amp; Cessions (Pays)</v>
      </c>
      <c r="B100" s="2"/>
      <c r="C100" s="2"/>
      <c r="D100" s="2"/>
      <c r="E100" s="2" t="s">
        <v>18</v>
      </c>
      <c r="F100" s="10">
        <f ca="1">-_xll.DBR($B$41,$B$46,$B$43,$A100,$B$44,$B$47,F$45,$B$45,$A$85)*F$9</f>
        <v>0</v>
      </c>
      <c r="G100" s="10">
        <f ca="1">-_xll.DBR($B$41,$B$46,$B$43,$A100,$B$44,$B$47,G$45,$B$45,$A$85)*G$9</f>
        <v>0</v>
      </c>
      <c r="H100" s="10">
        <f ca="1">-_xll.DBR($B$41,$B$46,$B$43,$A100,$B$44,$B$47,H$45,$B$45,$A$85)*H$9</f>
        <v>0</v>
      </c>
      <c r="I100" s="10">
        <f ca="1">-_xll.DBR($B$41,$B$46,$B$43,$A100,$B$44,$B$47,I$45,$B$45,$A$85)*I$9</f>
        <v>0</v>
      </c>
      <c r="J100" s="10">
        <f ca="1">-_xll.DBR($B$41,$B$46,$B$43,$A100,$B$44,$B$47,J$45,$B$45,$A$85)*J$9</f>
        <v>0</v>
      </c>
      <c r="K100" s="10">
        <f ca="1">-_xll.DBR($B$41,$B$46,$B$43,$A100,$B$44,$B$47,K$45,$B$45,$A$85)*K$9</f>
        <v>0</v>
      </c>
      <c r="L100" s="10">
        <f ca="1">-_xll.DBR($B$41,$B$46,$B$43,$A100,$B$44,$B$47,L$45,$B$45,$A$85)*L$9</f>
        <v>0</v>
      </c>
      <c r="M100" s="10">
        <f ca="1">-_xll.DBR($B$41,$B$46,$B$43,$A100,$B$44,$B$47,M$45,$B$45,$A$85)*M$9</f>
        <v>0</v>
      </c>
      <c r="N100" s="140"/>
    </row>
    <row r="101" spans="1:14">
      <c r="A101" s="3" t="str">
        <f ca="1">A88</f>
        <v>Organic Growth Plan</v>
      </c>
      <c r="B101" s="2"/>
      <c r="C101" s="2"/>
      <c r="D101" s="2"/>
      <c r="E101" s="2" t="s">
        <v>20</v>
      </c>
      <c r="F101" s="10">
        <f ca="1">-_xll.DBR($B$41,$B$46,$B$43,$A101,$B$44,$B$47,F$45,$B$45,$A$85)*F$9</f>
        <v>0</v>
      </c>
      <c r="G101" s="10">
        <f ca="1">-_xll.DBR($B$41,$B$46,$B$43,$A101,$B$44,$B$47,G$45,$B$45,$A$85)*G$9</f>
        <v>0</v>
      </c>
      <c r="H101" s="10">
        <f ca="1">-_xll.DBR($B$41,$B$46,$B$43,$A101,$B$44,$B$47,H$45,$B$45,$A$85)*H$9</f>
        <v>0</v>
      </c>
      <c r="I101" s="10">
        <f ca="1">-_xll.DBR($B$41,$B$46,$B$43,$A101,$B$44,$B$47,I$45,$B$45,$A$85)*I$9</f>
        <v>0</v>
      </c>
      <c r="J101" s="10">
        <f ca="1">-_xll.DBR($B$41,$B$46,$B$43,$A101,$B$44,$B$47,J$45,$B$45,$A$85)*J$9</f>
        <v>0</v>
      </c>
      <c r="K101" s="10">
        <f ca="1">-_xll.DBR($B$41,$B$46,$B$43,$A101,$B$44,$B$47,K$45,$B$45,$A$85)*K$9</f>
        <v>0</v>
      </c>
      <c r="L101" s="10">
        <f ca="1">-_xll.DBR($B$41,$B$46,$B$43,$A101,$B$44,$B$47,L$45,$B$45,$A$85)*L$9</f>
        <v>0</v>
      </c>
      <c r="M101" s="10">
        <f ca="1">-_xll.DBR($B$41,$B$46,$B$43,$A101,$B$44,$B$47,M$45,$B$45,$A$85)*M$9</f>
        <v>0</v>
      </c>
      <c r="N101" s="140"/>
    </row>
    <row r="102" spans="1:14">
      <c r="A102" s="3" t="str">
        <f ca="1">A89</f>
        <v>External Growth Plan</v>
      </c>
      <c r="B102" s="2"/>
      <c r="C102" s="2"/>
      <c r="D102" s="2" t="s">
        <v>108</v>
      </c>
      <c r="E102" s="2" t="s">
        <v>21</v>
      </c>
      <c r="F102" s="10">
        <f ca="1">-_xll.DBR($B$41,$B$46,$B$43,$A102,$B$44,$B$47,F$45,$B$45,$A$85)*F$9</f>
        <v>0</v>
      </c>
      <c r="G102" s="10">
        <f ca="1">-_xll.DBR($B$41,$B$46,$B$43,$A102,$B$44,$B$47,G$45,$B$45,$A$85)*G$9</f>
        <v>0</v>
      </c>
      <c r="H102" s="10">
        <f ca="1">-_xll.DBR($B$41,$B$46,$B$43,$A102,$B$44,$B$47,H$45,$B$45,$A$85)*H$9</f>
        <v>0</v>
      </c>
      <c r="I102" s="10">
        <f ca="1">-_xll.DBR($B$41,$B$46,$B$43,$A102,$B$44,$B$47,I$45,$B$45,$A$85)*I$9</f>
        <v>0</v>
      </c>
      <c r="J102" s="10">
        <f ca="1">-_xll.DBR($B$41,$B$46,$B$43,$A102,$B$44,$B$47,J$45,$B$45,$A$85)*J$9</f>
        <v>0</v>
      </c>
      <c r="K102" s="10">
        <f ca="1">-_xll.DBR($B$41,$B$46,$B$43,$A102,$B$44,$B$47,K$45,$B$45,$A$85)*K$9</f>
        <v>0</v>
      </c>
      <c r="L102" s="10">
        <f ca="1">-_xll.DBR($B$41,$B$46,$B$43,$A102,$B$44,$B$47,L$45,$B$45,$A$85)*L$9</f>
        <v>0</v>
      </c>
      <c r="M102" s="10">
        <f ca="1">-_xll.DBR($B$41,$B$46,$B$43,$A102,$B$44,$B$47,M$45,$B$45,$A$85)*M$9</f>
        <v>0</v>
      </c>
      <c r="N102" s="140"/>
    </row>
    <row r="103" spans="1:14">
      <c r="A103" s="2"/>
      <c r="B103" s="2"/>
      <c r="C103" s="2"/>
      <c r="D103" s="2"/>
      <c r="E103" s="11" t="s">
        <v>16</v>
      </c>
      <c r="F103" s="12">
        <f t="shared" ref="F103:M103" ca="1" si="41">SUM(F100:F102)</f>
        <v>0</v>
      </c>
      <c r="G103" s="12">
        <f t="shared" ca="1" si="41"/>
        <v>0</v>
      </c>
      <c r="H103" s="12">
        <f t="shared" ca="1" si="41"/>
        <v>0</v>
      </c>
      <c r="I103" s="12">
        <f t="shared" ca="1" si="41"/>
        <v>0</v>
      </c>
      <c r="J103" s="12">
        <f t="shared" ca="1" si="41"/>
        <v>0</v>
      </c>
      <c r="K103" s="12">
        <f t="shared" ca="1" si="41"/>
        <v>0</v>
      </c>
      <c r="L103" s="12">
        <f t="shared" ca="1" si="41"/>
        <v>0</v>
      </c>
      <c r="M103" s="12">
        <f t="shared" ca="1" si="41"/>
        <v>0</v>
      </c>
      <c r="N103" s="140"/>
    </row>
    <row r="104" spans="1:14">
      <c r="A104" s="2"/>
      <c r="B104" s="2"/>
      <c r="C104" s="2"/>
      <c r="D104" s="2"/>
      <c r="E104" s="2" t="s">
        <v>19</v>
      </c>
      <c r="F104" s="10">
        <f t="shared" ref="F104:M104" ca="1" si="42">F102+F101</f>
        <v>0</v>
      </c>
      <c r="G104" s="10">
        <f t="shared" ca="1" si="42"/>
        <v>0</v>
      </c>
      <c r="H104" s="10">
        <f t="shared" ca="1" si="42"/>
        <v>0</v>
      </c>
      <c r="I104" s="10">
        <f t="shared" ca="1" si="42"/>
        <v>0</v>
      </c>
      <c r="J104" s="10">
        <f t="shared" ca="1" si="42"/>
        <v>0</v>
      </c>
      <c r="K104" s="10">
        <f t="shared" ca="1" si="42"/>
        <v>0</v>
      </c>
      <c r="L104" s="10">
        <f t="shared" ca="1" si="42"/>
        <v>0</v>
      </c>
      <c r="M104" s="10">
        <f t="shared" ca="1" si="42"/>
        <v>0</v>
      </c>
      <c r="N104" s="140"/>
    </row>
    <row r="105" spans="1:14">
      <c r="A105" s="2"/>
      <c r="B105" s="2"/>
      <c r="C105" s="2"/>
      <c r="D105" s="133" t="s">
        <v>18</v>
      </c>
      <c r="E105" s="2" t="s">
        <v>108</v>
      </c>
      <c r="F105" s="13" t="str">
        <f ca="1">IFERROR(F100/F$53,"-")</f>
        <v>-</v>
      </c>
      <c r="G105" s="13" t="str">
        <f t="shared" ref="G105:M105" ca="1" si="43">IFERROR(G100/G$53,"-")</f>
        <v>-</v>
      </c>
      <c r="H105" s="13" t="str">
        <f t="shared" ca="1" si="43"/>
        <v>-</v>
      </c>
      <c r="I105" s="13" t="str">
        <f t="shared" ca="1" si="43"/>
        <v>-</v>
      </c>
      <c r="J105" s="13" t="str">
        <f t="shared" ca="1" si="43"/>
        <v>-</v>
      </c>
      <c r="K105" s="13" t="str">
        <f t="shared" ca="1" si="43"/>
        <v>-</v>
      </c>
      <c r="L105" s="13" t="str">
        <f t="shared" ca="1" si="43"/>
        <v>-</v>
      </c>
      <c r="M105" s="13" t="str">
        <f t="shared" ca="1" si="43"/>
        <v>-</v>
      </c>
      <c r="N105" s="140"/>
    </row>
    <row r="106" spans="1:14">
      <c r="A106" s="2"/>
      <c r="B106" s="2"/>
      <c r="C106" s="2"/>
      <c r="D106" s="133" t="s">
        <v>20</v>
      </c>
      <c r="E106" s="2" t="s">
        <v>108</v>
      </c>
      <c r="F106" s="13" t="str">
        <f ca="1">IFERROR(F101/F$54,"-")</f>
        <v>-</v>
      </c>
      <c r="G106" s="13" t="str">
        <f t="shared" ref="G106:M106" ca="1" si="44">IFERROR(G101/G$54,"-")</f>
        <v>-</v>
      </c>
      <c r="H106" s="13" t="str">
        <f t="shared" ca="1" si="44"/>
        <v>-</v>
      </c>
      <c r="I106" s="13" t="str">
        <f t="shared" ca="1" si="44"/>
        <v>-</v>
      </c>
      <c r="J106" s="13" t="str">
        <f t="shared" ca="1" si="44"/>
        <v>-</v>
      </c>
      <c r="K106" s="13" t="str">
        <f t="shared" ca="1" si="44"/>
        <v>-</v>
      </c>
      <c r="L106" s="13" t="str">
        <f t="shared" ca="1" si="44"/>
        <v>-</v>
      </c>
      <c r="M106" s="13" t="str">
        <f t="shared" ca="1" si="44"/>
        <v>-</v>
      </c>
      <c r="N106" s="140"/>
    </row>
    <row r="107" spans="1:14">
      <c r="A107" s="2"/>
      <c r="B107" s="2"/>
      <c r="C107" s="2"/>
      <c r="D107" s="133" t="s">
        <v>21</v>
      </c>
      <c r="E107" s="2" t="s">
        <v>108</v>
      </c>
      <c r="F107" s="13" t="str">
        <f ca="1">IFERROR(F102/F$55,"-")</f>
        <v>-</v>
      </c>
      <c r="G107" s="13" t="str">
        <f t="shared" ref="G107:M107" ca="1" si="45">IFERROR(G102/G$55,"-")</f>
        <v>-</v>
      </c>
      <c r="H107" s="13" t="str">
        <f t="shared" ca="1" si="45"/>
        <v>-</v>
      </c>
      <c r="I107" s="13" t="str">
        <f t="shared" ca="1" si="45"/>
        <v>-</v>
      </c>
      <c r="J107" s="13" t="str">
        <f t="shared" ca="1" si="45"/>
        <v>-</v>
      </c>
      <c r="K107" s="13" t="str">
        <f t="shared" ca="1" si="45"/>
        <v>-</v>
      </c>
      <c r="L107" s="13" t="str">
        <f t="shared" ca="1" si="45"/>
        <v>-</v>
      </c>
      <c r="M107" s="13" t="str">
        <f t="shared" ca="1" si="45"/>
        <v>-</v>
      </c>
      <c r="N107" s="140"/>
    </row>
    <row r="108" spans="1:14">
      <c r="A108" s="2"/>
      <c r="B108" s="2"/>
      <c r="C108" s="2"/>
      <c r="D108" s="133" t="s">
        <v>16</v>
      </c>
      <c r="E108" s="2" t="s">
        <v>108</v>
      </c>
      <c r="F108" s="13" t="str">
        <f ca="1">IFERROR(F103/F$56,"-")</f>
        <v>-</v>
      </c>
      <c r="G108" s="13" t="str">
        <f t="shared" ref="G108:M108" ca="1" si="46">IFERROR(G103/G$56,"-")</f>
        <v>-</v>
      </c>
      <c r="H108" s="13" t="str">
        <f t="shared" ca="1" si="46"/>
        <v>-</v>
      </c>
      <c r="I108" s="13" t="str">
        <f t="shared" ca="1" si="46"/>
        <v>-</v>
      </c>
      <c r="J108" s="13" t="str">
        <f t="shared" ca="1" si="46"/>
        <v>-</v>
      </c>
      <c r="K108" s="13" t="str">
        <f t="shared" ca="1" si="46"/>
        <v>-</v>
      </c>
      <c r="L108" s="13" t="str">
        <f t="shared" ca="1" si="46"/>
        <v>-</v>
      </c>
      <c r="M108" s="13" t="str">
        <f t="shared" ca="1" si="46"/>
        <v>-</v>
      </c>
      <c r="N108" s="140"/>
    </row>
    <row r="109" spans="1:14">
      <c r="A109" s="2"/>
      <c r="B109" s="2"/>
      <c r="C109" s="2"/>
      <c r="D109" s="133" t="s">
        <v>19</v>
      </c>
      <c r="E109" s="2" t="s">
        <v>108</v>
      </c>
      <c r="F109" s="13" t="str">
        <f ca="1">IFERROR(F104/F$57,"-")</f>
        <v>-</v>
      </c>
      <c r="G109" s="13" t="str">
        <f t="shared" ref="G109:M109" ca="1" si="47">IFERROR(G104/G$57,"-")</f>
        <v>-</v>
      </c>
      <c r="H109" s="13" t="str">
        <f t="shared" ca="1" si="47"/>
        <v>-</v>
      </c>
      <c r="I109" s="13" t="str">
        <f t="shared" ca="1" si="47"/>
        <v>-</v>
      </c>
      <c r="J109" s="13" t="str">
        <f t="shared" ca="1" si="47"/>
        <v>-</v>
      </c>
      <c r="K109" s="13" t="str">
        <f t="shared" ca="1" si="47"/>
        <v>-</v>
      </c>
      <c r="L109" s="13" t="str">
        <f t="shared" ca="1" si="47"/>
        <v>-</v>
      </c>
      <c r="M109" s="13" t="str">
        <f t="shared" ca="1" si="47"/>
        <v>-</v>
      </c>
      <c r="N109" s="140"/>
    </row>
    <row r="110" spans="1:14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140"/>
    </row>
    <row r="111" spans="1:14">
      <c r="A111" s="230" t="s">
        <v>106</v>
      </c>
      <c r="B111" s="231" t="s">
        <v>107</v>
      </c>
      <c r="C111" s="2"/>
      <c r="D111" s="2"/>
      <c r="E111" s="5" t="str">
        <f>B111&amp;" (M"&amp;Currency&amp;")"</f>
        <v>Financial CAPEX (MEUR)</v>
      </c>
      <c r="F111" s="6"/>
      <c r="G111" s="6"/>
      <c r="H111" s="6"/>
      <c r="I111" s="6"/>
      <c r="J111" s="6"/>
      <c r="K111" s="6"/>
      <c r="L111" s="6"/>
      <c r="M111" s="6"/>
      <c r="N111" s="140"/>
    </row>
    <row r="112" spans="1:14">
      <c r="A112" s="2"/>
      <c r="B112" s="2"/>
      <c r="C112" s="2"/>
      <c r="D112" s="2"/>
      <c r="E112" s="8" t="str">
        <f>"In M"&amp;Currency</f>
        <v>In MEUR</v>
      </c>
      <c r="F112" s="9" t="str">
        <f t="shared" ref="F112:M112" si="48">RIGHT(F$45,4)</f>
        <v>2022</v>
      </c>
      <c r="G112" s="9" t="str">
        <f t="shared" si="48"/>
        <v>2023</v>
      </c>
      <c r="H112" s="9" t="str">
        <f t="shared" si="48"/>
        <v>2024</v>
      </c>
      <c r="I112" s="9" t="str">
        <f t="shared" si="48"/>
        <v>2025</v>
      </c>
      <c r="J112" s="9" t="str">
        <f t="shared" si="48"/>
        <v>2026</v>
      </c>
      <c r="K112" s="9" t="str">
        <f t="shared" si="48"/>
        <v>2027</v>
      </c>
      <c r="L112" s="9" t="str">
        <f t="shared" si="48"/>
        <v>2028</v>
      </c>
      <c r="M112" s="9" t="str">
        <f t="shared" si="48"/>
        <v>2029</v>
      </c>
      <c r="N112" s="140"/>
    </row>
    <row r="113" spans="1:14">
      <c r="A113" s="3" t="str">
        <f ca="1">_xll.DBRA("tango_core_model:LTP_components","ZGP&amp;DispCountry_Plans","French")</f>
        <v>PBZ &amp; Cessions (Pays)</v>
      </c>
      <c r="B113" s="2"/>
      <c r="C113" s="2"/>
      <c r="D113" s="2"/>
      <c r="E113" s="2" t="s">
        <v>18</v>
      </c>
      <c r="F113" s="10">
        <f ca="1">-_xll.DBR($B$41,$B$46,$B$43,$A113,$B$44,$B$47,F$45,$B$45,$A$111)*F$9</f>
        <v>0</v>
      </c>
      <c r="G113" s="10">
        <f ca="1">-_xll.DBR($B$41,$B$46,$B$43,$A113,$B$44,$B$47,G$45,$B$45,$A$111)*G$9</f>
        <v>0</v>
      </c>
      <c r="H113" s="10">
        <f ca="1">-_xll.DBR($B$41,$B$46,$B$43,$A113,$B$44,$B$47,H$45,$B$45,$A$111)*H$9</f>
        <v>0</v>
      </c>
      <c r="I113" s="10">
        <f ca="1">-_xll.DBR($B$41,$B$46,$B$43,$A113,$B$44,$B$47,I$45,$B$45,$A$111)*I$9</f>
        <v>0</v>
      </c>
      <c r="J113" s="10">
        <f ca="1">-_xll.DBR($B$41,$B$46,$B$43,$A113,$B$44,$B$47,J$45,$B$45,$A$111)*J$9</f>
        <v>0</v>
      </c>
      <c r="K113" s="10">
        <f ca="1">-_xll.DBR($B$41,$B$46,$B$43,$A113,$B$44,$B$47,K$45,$B$45,$A$111)*K$9</f>
        <v>0</v>
      </c>
      <c r="L113" s="10">
        <f ca="1">-_xll.DBR($B$41,$B$46,$B$43,$A113,$B$44,$B$47,L$45,$B$45,$A$111)*L$9</f>
        <v>0</v>
      </c>
      <c r="M113" s="10">
        <f ca="1">-_xll.DBR($B$41,$B$46,$B$43,$A113,$B$44,$B$47,M$45,$B$45,$A$111)*M$9</f>
        <v>0</v>
      </c>
      <c r="N113" s="140"/>
    </row>
    <row r="114" spans="1:14">
      <c r="A114" s="3" t="str">
        <f ca="1">_xll.SUBNM("tango_core_model:LTP_Components","","Growth_Plan_Orga","English")</f>
        <v>Organic Growth Plan</v>
      </c>
      <c r="B114" s="2"/>
      <c r="C114" s="2"/>
      <c r="D114" s="2"/>
      <c r="E114" s="2" t="s">
        <v>20</v>
      </c>
      <c r="F114" s="10">
        <f ca="1">-_xll.DBR($B$41,$B$46,$B$43,$A114,$B$44,$B$47,F$45,$B$45,$A$111)*F$9</f>
        <v>0</v>
      </c>
      <c r="G114" s="10">
        <f ca="1">-_xll.DBR($B$41,$B$46,$B$43,$A114,$B$44,$B$47,G$45,$B$45,$A$111)*G$9</f>
        <v>0</v>
      </c>
      <c r="H114" s="10">
        <f ca="1">-_xll.DBR($B$41,$B$46,$B$43,$A114,$B$44,$B$47,H$45,$B$45,$A$111)*H$9</f>
        <v>0</v>
      </c>
      <c r="I114" s="10">
        <f ca="1">-_xll.DBR($B$41,$B$46,$B$43,$A114,$B$44,$B$47,I$45,$B$45,$A$111)*I$9</f>
        <v>0</v>
      </c>
      <c r="J114" s="10">
        <f ca="1">-_xll.DBR($B$41,$B$46,$B$43,$A114,$B$44,$B$47,J$45,$B$45,$A$111)*J$9</f>
        <v>0</v>
      </c>
      <c r="K114" s="10">
        <f ca="1">-_xll.DBR($B$41,$B$46,$B$43,$A114,$B$44,$B$47,K$45,$B$45,$A$111)*K$9</f>
        <v>0</v>
      </c>
      <c r="L114" s="10">
        <f ca="1">-_xll.DBR($B$41,$B$46,$B$43,$A114,$B$44,$B$47,L$45,$B$45,$A$111)*L$9</f>
        <v>0</v>
      </c>
      <c r="M114" s="10">
        <f ca="1">-_xll.DBR($B$41,$B$46,$B$43,$A114,$B$44,$B$47,M$45,$B$45,$A$111)*M$9</f>
        <v>0</v>
      </c>
      <c r="N114" s="140"/>
    </row>
    <row r="115" spans="1:14">
      <c r="A115" s="3" t="str">
        <f ca="1">_xll.SUBNM("tango_core_model:LTP_Components","","Growth_Plan_Ext","English")</f>
        <v>External Growth Plan</v>
      </c>
      <c r="B115" s="2"/>
      <c r="C115" s="2"/>
      <c r="D115" s="2"/>
      <c r="E115" s="2" t="s">
        <v>21</v>
      </c>
      <c r="F115" s="10">
        <f ca="1">-_xll.DBR($B$41,$B$46,$B$43,$A115,$B$44,$B$47,F$45,$B$45,$A$111)*F$9</f>
        <v>0</v>
      </c>
      <c r="G115" s="10">
        <f ca="1">-_xll.DBR($B$41,$B$46,$B$43,$A115,$B$44,$B$47,G$45,$B$45,$A$111)*G$9</f>
        <v>0</v>
      </c>
      <c r="H115" s="10">
        <f ca="1">-_xll.DBR($B$41,$B$46,$B$43,$A115,$B$44,$B$47,H$45,$B$45,$A$111)*H$9</f>
        <v>0</v>
      </c>
      <c r="I115" s="10">
        <f ca="1">-_xll.DBR($B$41,$B$46,$B$43,$A115,$B$44,$B$47,I$45,$B$45,$A$111)*I$9</f>
        <v>0</v>
      </c>
      <c r="J115" s="10">
        <f ca="1">-_xll.DBR($B$41,$B$46,$B$43,$A115,$B$44,$B$47,J$45,$B$45,$A$111)*J$9</f>
        <v>0</v>
      </c>
      <c r="K115" s="10">
        <f ca="1">-_xll.DBR($B$41,$B$46,$B$43,$A115,$B$44,$B$47,K$45,$B$45,$A$111)*K$9</f>
        <v>0</v>
      </c>
      <c r="L115" s="10">
        <f ca="1">-_xll.DBR($B$41,$B$46,$B$43,$A115,$B$44,$B$47,L$45,$B$45,$A$111)*L$9</f>
        <v>0</v>
      </c>
      <c r="M115" s="10">
        <f ca="1">-_xll.DBR($B$41,$B$46,$B$43,$A115,$B$44,$B$47,M$45,$B$45,$A$111)*M$9</f>
        <v>0</v>
      </c>
      <c r="N115" s="140"/>
    </row>
    <row r="116" spans="1:14">
      <c r="A116" s="2"/>
      <c r="B116" s="2"/>
      <c r="C116" s="2"/>
      <c r="D116" s="2"/>
      <c r="E116" s="11" t="s">
        <v>16</v>
      </c>
      <c r="F116" s="12">
        <f t="shared" ref="F116:M116" ca="1" si="49">SUM(F113:F115)</f>
        <v>0</v>
      </c>
      <c r="G116" s="12">
        <f t="shared" ca="1" si="49"/>
        <v>0</v>
      </c>
      <c r="H116" s="12">
        <f t="shared" ca="1" si="49"/>
        <v>0</v>
      </c>
      <c r="I116" s="12">
        <f t="shared" ca="1" si="49"/>
        <v>0</v>
      </c>
      <c r="J116" s="12">
        <f t="shared" ca="1" si="49"/>
        <v>0</v>
      </c>
      <c r="K116" s="12">
        <f t="shared" ca="1" si="49"/>
        <v>0</v>
      </c>
      <c r="L116" s="12">
        <f t="shared" ca="1" si="49"/>
        <v>0</v>
      </c>
      <c r="M116" s="12">
        <f t="shared" ca="1" si="49"/>
        <v>0</v>
      </c>
      <c r="N116" s="141" t="str">
        <f ca="1">IFERROR(((M116/F116)^(1/7)-1),"-")</f>
        <v>-</v>
      </c>
    </row>
    <row r="117" spans="1:14">
      <c r="A117" s="2"/>
      <c r="B117" s="2"/>
      <c r="C117" s="2"/>
      <c r="D117" s="2"/>
      <c r="E117" s="2" t="s">
        <v>19</v>
      </c>
      <c r="F117" s="10">
        <f t="shared" ref="F117:M117" ca="1" si="50">F115+F114</f>
        <v>0</v>
      </c>
      <c r="G117" s="10">
        <f t="shared" ca="1" si="50"/>
        <v>0</v>
      </c>
      <c r="H117" s="10">
        <f t="shared" ca="1" si="50"/>
        <v>0</v>
      </c>
      <c r="I117" s="10">
        <f t="shared" ca="1" si="50"/>
        <v>0</v>
      </c>
      <c r="J117" s="10">
        <f t="shared" ca="1" si="50"/>
        <v>0</v>
      </c>
      <c r="K117" s="10">
        <f t="shared" ca="1" si="50"/>
        <v>0</v>
      </c>
      <c r="L117" s="10">
        <f t="shared" ca="1" si="50"/>
        <v>0</v>
      </c>
      <c r="M117" s="10">
        <f t="shared" ca="1" si="50"/>
        <v>0</v>
      </c>
      <c r="N117" s="140"/>
    </row>
    <row r="118" spans="1:14">
      <c r="A118" s="2"/>
      <c r="B118" s="2"/>
      <c r="C118" s="2"/>
      <c r="D118" s="133" t="s">
        <v>18</v>
      </c>
      <c r="E118" s="2" t="s">
        <v>109</v>
      </c>
      <c r="F118" s="13" t="str">
        <f ca="1">IFERROR(F113/F$53,"-")</f>
        <v>-</v>
      </c>
      <c r="G118" s="13" t="str">
        <f t="shared" ref="G118:M118" ca="1" si="51">IFERROR(G113/G$53,"-")</f>
        <v>-</v>
      </c>
      <c r="H118" s="13" t="str">
        <f t="shared" ca="1" si="51"/>
        <v>-</v>
      </c>
      <c r="I118" s="13" t="str">
        <f t="shared" ca="1" si="51"/>
        <v>-</v>
      </c>
      <c r="J118" s="13" t="str">
        <f t="shared" ca="1" si="51"/>
        <v>-</v>
      </c>
      <c r="K118" s="13" t="str">
        <f t="shared" ca="1" si="51"/>
        <v>-</v>
      </c>
      <c r="L118" s="13" t="str">
        <f t="shared" ca="1" si="51"/>
        <v>-</v>
      </c>
      <c r="M118" s="13" t="str">
        <f t="shared" ca="1" si="51"/>
        <v>-</v>
      </c>
      <c r="N118" s="141"/>
    </row>
    <row r="119" spans="1:14">
      <c r="A119" s="2"/>
      <c r="B119" s="2"/>
      <c r="C119" s="2"/>
      <c r="D119" s="133" t="s">
        <v>20</v>
      </c>
      <c r="E119" s="2" t="s">
        <v>109</v>
      </c>
      <c r="F119" s="13" t="str">
        <f ca="1">IFERROR(F114/F$54,"-")</f>
        <v>-</v>
      </c>
      <c r="G119" s="13" t="str">
        <f t="shared" ref="G119:M119" ca="1" si="52">IFERROR(G114/G$54,"-")</f>
        <v>-</v>
      </c>
      <c r="H119" s="13" t="str">
        <f t="shared" ca="1" si="52"/>
        <v>-</v>
      </c>
      <c r="I119" s="13" t="str">
        <f t="shared" ca="1" si="52"/>
        <v>-</v>
      </c>
      <c r="J119" s="13" t="str">
        <f t="shared" ca="1" si="52"/>
        <v>-</v>
      </c>
      <c r="K119" s="13" t="str">
        <f t="shared" ca="1" si="52"/>
        <v>-</v>
      </c>
      <c r="L119" s="13" t="str">
        <f t="shared" ca="1" si="52"/>
        <v>-</v>
      </c>
      <c r="M119" s="13" t="str">
        <f t="shared" ca="1" si="52"/>
        <v>-</v>
      </c>
      <c r="N119" s="141"/>
    </row>
    <row r="120" spans="1:14">
      <c r="A120" s="2"/>
      <c r="B120" s="2"/>
      <c r="C120" s="2"/>
      <c r="D120" s="133" t="s">
        <v>21</v>
      </c>
      <c r="E120" s="2" t="s">
        <v>109</v>
      </c>
      <c r="F120" s="13" t="str">
        <f ca="1">IFERROR(F115/F$55,"-")</f>
        <v>-</v>
      </c>
      <c r="G120" s="13" t="str">
        <f t="shared" ref="G120:M120" ca="1" si="53">IFERROR(G115/G$55,"-")</f>
        <v>-</v>
      </c>
      <c r="H120" s="13" t="str">
        <f t="shared" ca="1" si="53"/>
        <v>-</v>
      </c>
      <c r="I120" s="13" t="str">
        <f t="shared" ca="1" si="53"/>
        <v>-</v>
      </c>
      <c r="J120" s="13" t="str">
        <f t="shared" ca="1" si="53"/>
        <v>-</v>
      </c>
      <c r="K120" s="13" t="str">
        <f t="shared" ca="1" si="53"/>
        <v>-</v>
      </c>
      <c r="L120" s="13" t="str">
        <f t="shared" ca="1" si="53"/>
        <v>-</v>
      </c>
      <c r="M120" s="13" t="str">
        <f t="shared" ca="1" si="53"/>
        <v>-</v>
      </c>
      <c r="N120" s="141"/>
    </row>
    <row r="121" spans="1:14">
      <c r="A121" s="2"/>
      <c r="B121" s="2"/>
      <c r="C121" s="2"/>
      <c r="D121" s="133" t="s">
        <v>16</v>
      </c>
      <c r="E121" s="2" t="s">
        <v>109</v>
      </c>
      <c r="F121" s="13" t="str">
        <f ca="1">IFERROR(F116/F$56,"-")</f>
        <v>-</v>
      </c>
      <c r="G121" s="13" t="str">
        <f t="shared" ref="G121:M121" ca="1" si="54">IFERROR(G116/G$56,"-")</f>
        <v>-</v>
      </c>
      <c r="H121" s="13" t="str">
        <f t="shared" ca="1" si="54"/>
        <v>-</v>
      </c>
      <c r="I121" s="13" t="str">
        <f t="shared" ca="1" si="54"/>
        <v>-</v>
      </c>
      <c r="J121" s="13" t="str">
        <f t="shared" ca="1" si="54"/>
        <v>-</v>
      </c>
      <c r="K121" s="13" t="str">
        <f t="shared" ca="1" si="54"/>
        <v>-</v>
      </c>
      <c r="L121" s="13" t="str">
        <f t="shared" ca="1" si="54"/>
        <v>-</v>
      </c>
      <c r="M121" s="13" t="str">
        <f t="shared" ca="1" si="54"/>
        <v>-</v>
      </c>
      <c r="N121" s="140"/>
    </row>
    <row r="122" spans="1:14">
      <c r="A122" s="2"/>
      <c r="B122" s="2"/>
      <c r="C122" s="2"/>
      <c r="D122" s="133" t="s">
        <v>19</v>
      </c>
      <c r="E122" s="2" t="s">
        <v>109</v>
      </c>
      <c r="F122" s="13" t="str">
        <f ca="1">IFERROR(F117/F$57,"-")</f>
        <v>-</v>
      </c>
      <c r="G122" s="13" t="str">
        <f t="shared" ref="G122:M122" ca="1" si="55">IFERROR(G117/G$57,"-")</f>
        <v>-</v>
      </c>
      <c r="H122" s="13" t="str">
        <f t="shared" ca="1" si="55"/>
        <v>-</v>
      </c>
      <c r="I122" s="13" t="str">
        <f t="shared" ca="1" si="55"/>
        <v>-</v>
      </c>
      <c r="J122" s="13" t="str">
        <f t="shared" ca="1" si="55"/>
        <v>-</v>
      </c>
      <c r="K122" s="13" t="str">
        <f t="shared" ca="1" si="55"/>
        <v>-</v>
      </c>
      <c r="L122" s="13" t="str">
        <f t="shared" ca="1" si="55"/>
        <v>-</v>
      </c>
      <c r="M122" s="13" t="str">
        <f t="shared" ca="1" si="55"/>
        <v>-</v>
      </c>
      <c r="N122" s="140"/>
    </row>
    <row r="123" spans="1:1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140"/>
    </row>
    <row r="124" spans="1:14">
      <c r="A124" s="230" t="str">
        <f ca="1">_xll.SUBNM("tango_core_model:Indicator_LTP","","TCI1A","French")</f>
        <v>TOTAL CAPITAUX EMPLOYES incluant IFRS16</v>
      </c>
      <c r="B124" s="231" t="s">
        <v>102</v>
      </c>
      <c r="C124" s="2"/>
      <c r="D124" s="2"/>
      <c r="E124" s="5" t="str">
        <f>B124&amp;" (M"&amp;Currency&amp;")"</f>
        <v>CAPEM (MEUR)</v>
      </c>
      <c r="F124" s="6"/>
      <c r="G124" s="6"/>
      <c r="H124" s="6"/>
      <c r="I124" s="6"/>
      <c r="J124" s="6"/>
      <c r="K124" s="6"/>
      <c r="L124" s="6"/>
      <c r="M124" s="6"/>
      <c r="N124" s="140"/>
    </row>
    <row r="125" spans="1:14">
      <c r="A125" s="2"/>
      <c r="B125" s="2"/>
      <c r="C125" s="2"/>
      <c r="D125" s="2"/>
      <c r="E125" s="8" t="str">
        <f>"In M"&amp;Currency</f>
        <v>In MEUR</v>
      </c>
      <c r="F125" s="9" t="str">
        <f t="shared" ref="F125:M125" si="56">RIGHT(F$45,4)</f>
        <v>2022</v>
      </c>
      <c r="G125" s="9" t="str">
        <f t="shared" si="56"/>
        <v>2023</v>
      </c>
      <c r="H125" s="9" t="str">
        <f t="shared" si="56"/>
        <v>2024</v>
      </c>
      <c r="I125" s="9" t="str">
        <f t="shared" si="56"/>
        <v>2025</v>
      </c>
      <c r="J125" s="9" t="str">
        <f t="shared" si="56"/>
        <v>2026</v>
      </c>
      <c r="K125" s="9" t="str">
        <f t="shared" si="56"/>
        <v>2027</v>
      </c>
      <c r="L125" s="9" t="str">
        <f t="shared" si="56"/>
        <v>2028</v>
      </c>
      <c r="M125" s="9" t="str">
        <f t="shared" si="56"/>
        <v>2029</v>
      </c>
      <c r="N125" s="140"/>
    </row>
    <row r="126" spans="1:14">
      <c r="A126" s="3" t="str">
        <f ca="1">_xll.DBRA("tango_core_model:LTP_components","ZGP&amp;DispCountry_Plans","French")</f>
        <v>PBZ &amp; Cessions (Pays)</v>
      </c>
      <c r="B126" s="2"/>
      <c r="C126" s="2"/>
      <c r="D126" s="2"/>
      <c r="E126" s="2" t="s">
        <v>18</v>
      </c>
      <c r="F126" s="10">
        <f ca="1">_xll.DBR($B$41,$B$46,$B$43,$A126,$B$44,$B$47,F$45,$B$45,$A$124)*F$8</f>
        <v>0</v>
      </c>
      <c r="G126" s="10">
        <f ca="1">_xll.DBR($B$41,$B$46,$B$43,$A126,$B$44,$B$47,G$45,$B$45,$A$124)*G$8</f>
        <v>0</v>
      </c>
      <c r="H126" s="10">
        <f ca="1">_xll.DBR($B$41,$B$46,$B$43,$A126,$B$44,$B$47,H$45,$B$45,$A$124)*H$8</f>
        <v>0</v>
      </c>
      <c r="I126" s="10">
        <f ca="1">_xll.DBR($B$41,$B$46,$B$43,$A126,$B$44,$B$47,I$45,$B$45,$A$124)*I$8</f>
        <v>0</v>
      </c>
      <c r="J126" s="10">
        <f ca="1">_xll.DBR($B$41,$B$46,$B$43,$A126,$B$44,$B$47,J$45,$B$45,$A$124)*J$8</f>
        <v>0</v>
      </c>
      <c r="K126" s="10">
        <f ca="1">_xll.DBR($B$41,$B$46,$B$43,$A126,$B$44,$B$47,K$45,$B$45,$A$124)*K$8</f>
        <v>0</v>
      </c>
      <c r="L126" s="10">
        <f ca="1">_xll.DBR($B$41,$B$46,$B$43,$A126,$B$44,$B$47,L$45,$B$45,$A$124)*L$8</f>
        <v>0</v>
      </c>
      <c r="M126" s="10">
        <f ca="1">_xll.DBR($B$41,$B$46,$B$43,$A126,$B$44,$B$47,M$45,$B$45,$A$124)*M$8</f>
        <v>0</v>
      </c>
      <c r="N126" s="140"/>
    </row>
    <row r="127" spans="1:14">
      <c r="A127" s="3" t="str">
        <f ca="1">_xll.SUBNM("tango_core_model:LTP_Components","","Growth_Plan_Orga","English")</f>
        <v>Organic Growth Plan</v>
      </c>
      <c r="B127" s="2"/>
      <c r="C127" s="2"/>
      <c r="D127" s="2"/>
      <c r="E127" s="2" t="s">
        <v>20</v>
      </c>
      <c r="F127" s="10">
        <f ca="1">_xll.DBR($B$41,$B$46,$B$43,$A127,$B$44,$B$47,F$45,$B$45,$A$124)*F$8</f>
        <v>0</v>
      </c>
      <c r="G127" s="10">
        <f ca="1">_xll.DBR($B$41,$B$46,$B$43,$A127,$B$44,$B$47,G$45,$B$45,$A$124)*G$8</f>
        <v>0</v>
      </c>
      <c r="H127" s="10">
        <f ca="1">_xll.DBR($B$41,$B$46,$B$43,$A127,$B$44,$B$47,H$45,$B$45,$A$124)*H$8</f>
        <v>0</v>
      </c>
      <c r="I127" s="10">
        <f ca="1">_xll.DBR($B$41,$B$46,$B$43,$A127,$B$44,$B$47,I$45,$B$45,$A$124)*I$8</f>
        <v>0</v>
      </c>
      <c r="J127" s="10">
        <f ca="1">_xll.DBR($B$41,$B$46,$B$43,$A127,$B$44,$B$47,J$45,$B$45,$A$124)*J$8</f>
        <v>0</v>
      </c>
      <c r="K127" s="10">
        <f ca="1">_xll.DBR($B$41,$B$46,$B$43,$A127,$B$44,$B$47,K$45,$B$45,$A$124)*K$8</f>
        <v>0</v>
      </c>
      <c r="L127" s="10">
        <f ca="1">_xll.DBR($B$41,$B$46,$B$43,$A127,$B$44,$B$47,L$45,$B$45,$A$124)*L$8</f>
        <v>0</v>
      </c>
      <c r="M127" s="10">
        <f ca="1">_xll.DBR($B$41,$B$46,$B$43,$A127,$B$44,$B$47,M$45,$B$45,$A$124)*M$8</f>
        <v>0</v>
      </c>
      <c r="N127" s="140"/>
    </row>
    <row r="128" spans="1:14">
      <c r="A128" s="3" t="str">
        <f ca="1">_xll.SUBNM("tango_core_model:LTP_Components","","Growth_Plan_Ext","English")</f>
        <v>External Growth Plan</v>
      </c>
      <c r="B128" s="2"/>
      <c r="C128" s="2"/>
      <c r="D128" s="2"/>
      <c r="E128" s="2" t="s">
        <v>21</v>
      </c>
      <c r="F128" s="10">
        <f ca="1">_xll.DBR($B$41,$B$46,$B$43,$A128,$B$44,$B$47,F$45,$B$45,$A$124)*F$8</f>
        <v>0</v>
      </c>
      <c r="G128" s="10">
        <f ca="1">_xll.DBR($B$41,$B$46,$B$43,$A128,$B$44,$B$47,G$45,$B$45,$A$124)*G$8</f>
        <v>0</v>
      </c>
      <c r="H128" s="10">
        <f ca="1">_xll.DBR($B$41,$B$46,$B$43,$A128,$B$44,$B$47,H$45,$B$45,$A$124)*H$8</f>
        <v>0</v>
      </c>
      <c r="I128" s="10">
        <f ca="1">_xll.DBR($B$41,$B$46,$B$43,$A128,$B$44,$B$47,I$45,$B$45,$A$124)*I$8</f>
        <v>0</v>
      </c>
      <c r="J128" s="10">
        <f ca="1">_xll.DBR($B$41,$B$46,$B$43,$A128,$B$44,$B$47,J$45,$B$45,$A$124)*J$8</f>
        <v>0</v>
      </c>
      <c r="K128" s="10">
        <f ca="1">_xll.DBR($B$41,$B$46,$B$43,$A128,$B$44,$B$47,K$45,$B$45,$A$124)*K$8</f>
        <v>0</v>
      </c>
      <c r="L128" s="10">
        <f ca="1">_xll.DBR($B$41,$B$46,$B$43,$A128,$B$44,$B$47,L$45,$B$45,$A$124)*L$8</f>
        <v>0</v>
      </c>
      <c r="M128" s="10">
        <f ca="1">_xll.DBR($B$41,$B$46,$B$43,$A128,$B$44,$B$47,M$45,$B$45,$A$124)*M$8</f>
        <v>0</v>
      </c>
      <c r="N128" s="140"/>
    </row>
    <row r="129" spans="1:14">
      <c r="A129" s="2"/>
      <c r="B129" s="2"/>
      <c r="C129" s="2"/>
      <c r="D129" s="2"/>
      <c r="E129" s="11" t="s">
        <v>16</v>
      </c>
      <c r="F129" s="12">
        <f t="shared" ref="F129:L129" ca="1" si="57">SUM(F126:F128)</f>
        <v>0</v>
      </c>
      <c r="G129" s="12">
        <f t="shared" ca="1" si="57"/>
        <v>0</v>
      </c>
      <c r="H129" s="12">
        <f t="shared" ca="1" si="57"/>
        <v>0</v>
      </c>
      <c r="I129" s="12">
        <f t="shared" ca="1" si="57"/>
        <v>0</v>
      </c>
      <c r="J129" s="12">
        <f t="shared" ca="1" si="57"/>
        <v>0</v>
      </c>
      <c r="K129" s="12">
        <f t="shared" ca="1" si="57"/>
        <v>0</v>
      </c>
      <c r="L129" s="12">
        <f t="shared" ca="1" si="57"/>
        <v>0</v>
      </c>
      <c r="M129" s="12">
        <f ca="1">SUM(M126:M128)</f>
        <v>0</v>
      </c>
      <c r="N129" s="141" t="str">
        <f ca="1">IFERROR(((M129/F129)^(1/7)-1),"-")</f>
        <v>-</v>
      </c>
    </row>
    <row r="130" spans="1:14">
      <c r="A130" s="2"/>
      <c r="B130" s="2"/>
      <c r="C130" s="2"/>
      <c r="D130" s="2"/>
      <c r="E130" s="2" t="s">
        <v>19</v>
      </c>
      <c r="F130" s="10">
        <f t="shared" ref="F130:M130" ca="1" si="58">F128+F127</f>
        <v>0</v>
      </c>
      <c r="G130" s="10">
        <f t="shared" ca="1" si="58"/>
        <v>0</v>
      </c>
      <c r="H130" s="10">
        <f t="shared" ca="1" si="58"/>
        <v>0</v>
      </c>
      <c r="I130" s="10">
        <f t="shared" ca="1" si="58"/>
        <v>0</v>
      </c>
      <c r="J130" s="10">
        <f t="shared" ca="1" si="58"/>
        <v>0</v>
      </c>
      <c r="K130" s="10">
        <f t="shared" ca="1" si="58"/>
        <v>0</v>
      </c>
      <c r="L130" s="10">
        <f t="shared" ca="1" si="58"/>
        <v>0</v>
      </c>
      <c r="M130" s="10">
        <f t="shared" ca="1" si="58"/>
        <v>0</v>
      </c>
      <c r="N130" s="140"/>
    </row>
    <row r="131" spans="1:1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140"/>
    </row>
    <row r="132" spans="1:14">
      <c r="A132" s="230" t="s">
        <v>23</v>
      </c>
      <c r="B132" s="231" t="s">
        <v>187</v>
      </c>
      <c r="C132" s="2"/>
      <c r="D132" s="2"/>
      <c r="E132" s="5" t="str">
        <f>B132&amp;" (M"&amp;Currency&amp;")"</f>
        <v>Net Income Group Share (MEUR)</v>
      </c>
      <c r="F132" s="6"/>
      <c r="G132" s="6"/>
      <c r="H132" s="6"/>
      <c r="I132" s="6"/>
      <c r="J132" s="6"/>
      <c r="K132" s="6"/>
      <c r="L132" s="6"/>
      <c r="M132" s="6"/>
      <c r="N132" s="140"/>
    </row>
    <row r="133" spans="1:14">
      <c r="A133" s="2"/>
      <c r="B133" s="2"/>
      <c r="C133" s="2"/>
      <c r="D133" s="2"/>
      <c r="E133" s="8" t="str">
        <f>"In M"&amp;Currency</f>
        <v>In MEUR</v>
      </c>
      <c r="F133" s="9" t="str">
        <f t="shared" ref="F133:M133" si="59">RIGHT(F$45,4)</f>
        <v>2022</v>
      </c>
      <c r="G133" s="9" t="str">
        <f t="shared" si="59"/>
        <v>2023</v>
      </c>
      <c r="H133" s="9" t="str">
        <f t="shared" si="59"/>
        <v>2024</v>
      </c>
      <c r="I133" s="9" t="str">
        <f t="shared" si="59"/>
        <v>2025</v>
      </c>
      <c r="J133" s="9" t="str">
        <f t="shared" si="59"/>
        <v>2026</v>
      </c>
      <c r="K133" s="9" t="str">
        <f t="shared" si="59"/>
        <v>2027</v>
      </c>
      <c r="L133" s="9" t="str">
        <f t="shared" si="59"/>
        <v>2028</v>
      </c>
      <c r="M133" s="9" t="str">
        <f t="shared" si="59"/>
        <v>2029</v>
      </c>
      <c r="N133" s="140"/>
    </row>
    <row r="134" spans="1:14">
      <c r="A134" s="3" t="str">
        <f ca="1">_xll.DBRA("tango_core_model:LTP_components","ZGP&amp;DispCountry_Plans","French")</f>
        <v>PBZ &amp; Cessions (Pays)</v>
      </c>
      <c r="B134" s="2"/>
      <c r="C134" s="2"/>
      <c r="D134" s="2"/>
      <c r="E134" s="2" t="s">
        <v>18</v>
      </c>
      <c r="F134" s="10">
        <f ca="1">_xll.DBR($B$41,$B$46,$B$43,$A134,$B$44,$B$47,F$45,$B$45,$A$132)*F$9</f>
        <v>0</v>
      </c>
      <c r="G134" s="10">
        <f ca="1">_xll.DBR($B$41,$B$46,$B$43,$A134,$B$44,$B$47,G$45,$B$45,$A$132)*G$9</f>
        <v>0</v>
      </c>
      <c r="H134" s="10">
        <f ca="1">_xll.DBR($B$41,$B$46,$B$43,$A134,$B$44,$B$47,H$45,$B$45,$A$132)*H$9</f>
        <v>0</v>
      </c>
      <c r="I134" s="10">
        <f ca="1">_xll.DBR($B$41,$B$46,$B$43,$A134,$B$44,$B$47,I$45,$B$45,$A$132)*I$9</f>
        <v>0</v>
      </c>
      <c r="J134" s="10">
        <f ca="1">_xll.DBR($B$41,$B$46,$B$43,$A134,$B$44,$B$47,J$45,$B$45,$A$132)*J$9</f>
        <v>0</v>
      </c>
      <c r="K134" s="10">
        <f ca="1">_xll.DBR($B$41,$B$46,$B$43,$A134,$B$44,$B$47,K$45,$B$45,$A$132)*K$9</f>
        <v>0</v>
      </c>
      <c r="L134" s="10">
        <f ca="1">_xll.DBR($B$41,$B$46,$B$43,$A134,$B$44,$B$47,L$45,$B$45,$A$132)*L$9</f>
        <v>0</v>
      </c>
      <c r="M134" s="10">
        <f ca="1">_xll.DBR($B$41,$B$46,$B$43,$A134,$B$44,$B$47,M$45,$B$45,$A$132)*M$9</f>
        <v>0</v>
      </c>
      <c r="N134" s="140"/>
    </row>
    <row r="135" spans="1:14">
      <c r="A135" s="3" t="str">
        <f ca="1">_xll.SUBNM("tango_core_model:LTP_Components","","Growth_Plan_Orga","English")</f>
        <v>Organic Growth Plan</v>
      </c>
      <c r="B135" s="2"/>
      <c r="C135" s="2"/>
      <c r="D135" s="2"/>
      <c r="E135" s="2" t="s">
        <v>20</v>
      </c>
      <c r="F135" s="10">
        <f ca="1">_xll.DBR($B$41,$B$46,$B$43,$A135,$B$44,$B$47,F$45,$B$45,$A$132)*F$9</f>
        <v>0</v>
      </c>
      <c r="G135" s="10">
        <f ca="1">_xll.DBR($B$41,$B$46,$B$43,$A135,$B$44,$B$47,G$45,$B$45,$A$132)*G$9</f>
        <v>0</v>
      </c>
      <c r="H135" s="10">
        <f ca="1">_xll.DBR($B$41,$B$46,$B$43,$A135,$B$44,$B$47,H$45,$B$45,$A$132)*H$9</f>
        <v>0</v>
      </c>
      <c r="I135" s="10">
        <f ca="1">_xll.DBR($B$41,$B$46,$B$43,$A135,$B$44,$B$47,I$45,$B$45,$A$132)*I$9</f>
        <v>0</v>
      </c>
      <c r="J135" s="10">
        <f ca="1">_xll.DBR($B$41,$B$46,$B$43,$A135,$B$44,$B$47,J$45,$B$45,$A$132)*J$9</f>
        <v>0</v>
      </c>
      <c r="K135" s="10">
        <f ca="1">_xll.DBR($B$41,$B$46,$B$43,$A135,$B$44,$B$47,K$45,$B$45,$A$132)*K$9</f>
        <v>0</v>
      </c>
      <c r="L135" s="10">
        <f ca="1">_xll.DBR($B$41,$B$46,$B$43,$A135,$B$44,$B$47,L$45,$B$45,$A$132)*L$9</f>
        <v>0</v>
      </c>
      <c r="M135" s="10">
        <f ca="1">_xll.DBR($B$41,$B$46,$B$43,$A135,$B$44,$B$47,M$45,$B$45,$A$132)*M$9</f>
        <v>0</v>
      </c>
      <c r="N135" s="140"/>
    </row>
    <row r="136" spans="1:14">
      <c r="A136" s="3" t="str">
        <f ca="1">_xll.SUBNM("tango_core_model:LTP_Components","","Growth_Plan_Ext","English")</f>
        <v>External Growth Plan</v>
      </c>
      <c r="B136" s="2"/>
      <c r="C136" s="2"/>
      <c r="D136" s="2"/>
      <c r="E136" s="2" t="s">
        <v>21</v>
      </c>
      <c r="F136" s="10">
        <f ca="1">_xll.DBR($B$41,$B$46,$B$43,$A136,$B$44,$B$47,F$45,$B$45,$A$132)*F$9</f>
        <v>0</v>
      </c>
      <c r="G136" s="10">
        <f ca="1">_xll.DBR($B$41,$B$46,$B$43,$A136,$B$44,$B$47,G$45,$B$45,$A$132)*G$9</f>
        <v>0</v>
      </c>
      <c r="H136" s="10">
        <f ca="1">_xll.DBR($B$41,$B$46,$B$43,$A136,$B$44,$B$47,H$45,$B$45,$A$132)*H$9</f>
        <v>0</v>
      </c>
      <c r="I136" s="10">
        <f ca="1">_xll.DBR($B$41,$B$46,$B$43,$A136,$B$44,$B$47,I$45,$B$45,$A$132)*I$9</f>
        <v>0</v>
      </c>
      <c r="J136" s="10">
        <f ca="1">_xll.DBR($B$41,$B$46,$B$43,$A136,$B$44,$B$47,J$45,$B$45,$A$132)*J$9</f>
        <v>0</v>
      </c>
      <c r="K136" s="10">
        <f ca="1">_xll.DBR($B$41,$B$46,$B$43,$A136,$B$44,$B$47,K$45,$B$45,$A$132)*K$9</f>
        <v>0</v>
      </c>
      <c r="L136" s="10">
        <f ca="1">_xll.DBR($B$41,$B$46,$B$43,$A136,$B$44,$B$47,L$45,$B$45,$A$132)*L$9</f>
        <v>0</v>
      </c>
      <c r="M136" s="10">
        <f ca="1">_xll.DBR($B$41,$B$46,$B$43,$A136,$B$44,$B$47,M$45,$B$45,$A$132)*M$9</f>
        <v>0</v>
      </c>
      <c r="N136" s="140"/>
    </row>
    <row r="137" spans="1:14">
      <c r="A137" s="2"/>
      <c r="B137" s="2"/>
      <c r="C137" s="2"/>
      <c r="D137" s="2"/>
      <c r="E137" s="11" t="s">
        <v>16</v>
      </c>
      <c r="F137" s="12">
        <f t="shared" ref="F137:M137" ca="1" si="60">SUM(F134:F136)</f>
        <v>0</v>
      </c>
      <c r="G137" s="12">
        <f t="shared" ca="1" si="60"/>
        <v>0</v>
      </c>
      <c r="H137" s="12">
        <f t="shared" ca="1" si="60"/>
        <v>0</v>
      </c>
      <c r="I137" s="12">
        <f t="shared" ca="1" si="60"/>
        <v>0</v>
      </c>
      <c r="J137" s="12">
        <f t="shared" ca="1" si="60"/>
        <v>0</v>
      </c>
      <c r="K137" s="12">
        <f t="shared" ca="1" si="60"/>
        <v>0</v>
      </c>
      <c r="L137" s="12">
        <f t="shared" ca="1" si="60"/>
        <v>0</v>
      </c>
      <c r="M137" s="12">
        <f t="shared" ca="1" si="60"/>
        <v>0</v>
      </c>
      <c r="N137" s="141" t="str">
        <f ca="1">IFERROR(((M137/F137)^(1/7)-1),"-")</f>
        <v>-</v>
      </c>
    </row>
    <row r="138" spans="1:14">
      <c r="A138" s="2"/>
      <c r="B138" s="2"/>
      <c r="C138" s="2"/>
      <c r="D138" s="2"/>
      <c r="E138" s="2" t="s">
        <v>19</v>
      </c>
      <c r="F138" s="10">
        <f t="shared" ref="F138:M138" ca="1" si="61">F136+F135</f>
        <v>0</v>
      </c>
      <c r="G138" s="10">
        <f t="shared" ca="1" si="61"/>
        <v>0</v>
      </c>
      <c r="H138" s="10">
        <f t="shared" ca="1" si="61"/>
        <v>0</v>
      </c>
      <c r="I138" s="10">
        <f t="shared" ca="1" si="61"/>
        <v>0</v>
      </c>
      <c r="J138" s="10">
        <f t="shared" ca="1" si="61"/>
        <v>0</v>
      </c>
      <c r="K138" s="10">
        <f t="shared" ca="1" si="61"/>
        <v>0</v>
      </c>
      <c r="L138" s="10">
        <f t="shared" ca="1" si="61"/>
        <v>0</v>
      </c>
      <c r="M138" s="10">
        <f t="shared" ca="1" si="61"/>
        <v>0</v>
      </c>
      <c r="N138" s="140"/>
    </row>
    <row r="139" spans="1:14">
      <c r="A139" s="2"/>
      <c r="B139" s="2"/>
      <c r="C139" s="2"/>
      <c r="D139" s="2"/>
      <c r="E139" s="2" t="s">
        <v>24</v>
      </c>
      <c r="F139" s="13" t="str">
        <f t="shared" ref="F139:M139" ca="1" si="62">IFERROR(F137/F56,"-")</f>
        <v>-</v>
      </c>
      <c r="G139" s="13" t="str">
        <f t="shared" ca="1" si="62"/>
        <v>-</v>
      </c>
      <c r="H139" s="13" t="str">
        <f t="shared" ca="1" si="62"/>
        <v>-</v>
      </c>
      <c r="I139" s="13" t="str">
        <f t="shared" ca="1" si="62"/>
        <v>-</v>
      </c>
      <c r="J139" s="13" t="str">
        <f t="shared" ca="1" si="62"/>
        <v>-</v>
      </c>
      <c r="K139" s="13" t="str">
        <f t="shared" ca="1" si="62"/>
        <v>-</v>
      </c>
      <c r="L139" s="13" t="str">
        <f t="shared" ca="1" si="62"/>
        <v>-</v>
      </c>
      <c r="M139" s="13" t="str">
        <f t="shared" ca="1" si="62"/>
        <v>-</v>
      </c>
      <c r="N139" s="140"/>
    </row>
    <row r="140" spans="1:1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140"/>
    </row>
    <row r="141" spans="1:1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140"/>
    </row>
    <row r="142" spans="1:14">
      <c r="A142" s="230" t="str">
        <f ca="1">_xll.SUBNM("tango_core_model:Indicator_LTP","","TCI2","French")</f>
        <v>ENDETTEMENT FINANCIER NET (EFN)</v>
      </c>
      <c r="B142" s="231" t="s">
        <v>60</v>
      </c>
      <c r="C142" s="2"/>
      <c r="D142" s="2"/>
      <c r="E142" s="5" t="str">
        <f>B142&amp;" (M"&amp;Currency&amp;")"</f>
        <v>NFD (MEUR)</v>
      </c>
      <c r="F142" s="6"/>
      <c r="G142" s="6"/>
      <c r="H142" s="6"/>
      <c r="I142" s="6"/>
      <c r="J142" s="6"/>
      <c r="K142" s="6"/>
      <c r="L142" s="6"/>
      <c r="M142" s="6"/>
      <c r="N142" s="140"/>
    </row>
    <row r="143" spans="1:14">
      <c r="A143" s="2"/>
      <c r="B143" s="2"/>
      <c r="C143" s="2"/>
      <c r="D143" s="2"/>
      <c r="E143" s="8" t="str">
        <f>"In M"&amp;Currency</f>
        <v>In MEUR</v>
      </c>
      <c r="F143" s="9" t="str">
        <f t="shared" ref="F143:M143" si="63">RIGHT(F$45,4)</f>
        <v>2022</v>
      </c>
      <c r="G143" s="9" t="str">
        <f t="shared" si="63"/>
        <v>2023</v>
      </c>
      <c r="H143" s="9" t="str">
        <f t="shared" si="63"/>
        <v>2024</v>
      </c>
      <c r="I143" s="9" t="str">
        <f t="shared" si="63"/>
        <v>2025</v>
      </c>
      <c r="J143" s="9" t="str">
        <f t="shared" si="63"/>
        <v>2026</v>
      </c>
      <c r="K143" s="9" t="str">
        <f t="shared" si="63"/>
        <v>2027</v>
      </c>
      <c r="L143" s="9" t="str">
        <f t="shared" si="63"/>
        <v>2028</v>
      </c>
      <c r="M143" s="9" t="str">
        <f t="shared" si="63"/>
        <v>2029</v>
      </c>
      <c r="N143" s="140"/>
    </row>
    <row r="144" spans="1:14">
      <c r="A144" s="3" t="str">
        <f ca="1">_xll.DBRA("tango_core_model:LTP_components","ZGP&amp;DispCountry_Plans","French")</f>
        <v>PBZ &amp; Cessions (Pays)</v>
      </c>
      <c r="B144" s="2"/>
      <c r="C144" s="2"/>
      <c r="D144" s="2"/>
      <c r="E144" s="2" t="s">
        <v>18</v>
      </c>
      <c r="F144" s="10">
        <f ca="1">-_xll.DBR($B$41,$B$46,$B$43,$A144,$B$44,$B$47,F$45,$B$45,$A$142)*F$8</f>
        <v>0</v>
      </c>
      <c r="G144" s="10">
        <f ca="1">-_xll.DBR($B$41,$B$46,$B$43,$A144,$B$44,$B$47,G$45,$B$45,$A$142)*G$8</f>
        <v>0</v>
      </c>
      <c r="H144" s="10">
        <f ca="1">-_xll.DBR($B$41,$B$46,$B$43,$A144,$B$44,$B$47,H$45,$B$45,$A$142)*H$8</f>
        <v>0</v>
      </c>
      <c r="I144" s="10">
        <f ca="1">-_xll.DBR($B$41,$B$46,$B$43,$A144,$B$44,$B$47,I$45,$B$45,$A$142)*I$8</f>
        <v>0</v>
      </c>
      <c r="J144" s="10">
        <f ca="1">-_xll.DBR($B$41,$B$46,$B$43,$A144,$B$44,$B$47,J$45,$B$45,$A$142)*J$8</f>
        <v>0</v>
      </c>
      <c r="K144" s="10">
        <f ca="1">-_xll.DBR($B$41,$B$46,$B$43,$A144,$B$44,$B$47,K$45,$B$45,$A$142)*K$8</f>
        <v>0</v>
      </c>
      <c r="L144" s="10">
        <f ca="1">-_xll.DBR($B$41,$B$46,$B$43,$A144,$B$44,$B$47,L$45,$B$45,$A$142)*L$8</f>
        <v>0</v>
      </c>
      <c r="M144" s="10">
        <f ca="1">-_xll.DBR($B$41,$B$46,$B$43,$A144,$B$44,$B$47,M$45,$B$45,$A$142)*M$8</f>
        <v>0</v>
      </c>
      <c r="N144" s="140"/>
    </row>
    <row r="145" spans="1:14">
      <c r="A145" s="3" t="str">
        <f ca="1">_xll.SUBNM("tango_core_model:LTP_Components","","Growth_Plan_Orga","English")</f>
        <v>Organic Growth Plan</v>
      </c>
      <c r="B145" s="2"/>
      <c r="C145" s="2"/>
      <c r="D145" s="2"/>
      <c r="E145" s="2" t="s">
        <v>20</v>
      </c>
      <c r="F145" s="10">
        <f ca="1">-_xll.DBR($B$41,$B$46,$B$43,$A145,$B$44,$B$47,F$45,$B$45,$A$142)*F$8</f>
        <v>0</v>
      </c>
      <c r="G145" s="10">
        <f ca="1">-_xll.DBR($B$41,$B$46,$B$43,$A145,$B$44,$B$47,G$45,$B$45,$A$142)*G$8</f>
        <v>0</v>
      </c>
      <c r="H145" s="10">
        <f ca="1">-_xll.DBR($B$41,$B$46,$B$43,$A145,$B$44,$B$47,H$45,$B$45,$A$142)*H$8</f>
        <v>0</v>
      </c>
      <c r="I145" s="10">
        <f ca="1">-_xll.DBR($B$41,$B$46,$B$43,$A145,$B$44,$B$47,I$45,$B$45,$A$142)*I$8</f>
        <v>0</v>
      </c>
      <c r="J145" s="10">
        <f ca="1">-_xll.DBR($B$41,$B$46,$B$43,$A145,$B$44,$B$47,J$45,$B$45,$A$142)*J$8</f>
        <v>0</v>
      </c>
      <c r="K145" s="10">
        <f ca="1">-_xll.DBR($B$41,$B$46,$B$43,$A145,$B$44,$B$47,K$45,$B$45,$A$142)*K$8</f>
        <v>0</v>
      </c>
      <c r="L145" s="10">
        <f ca="1">-_xll.DBR($B$41,$B$46,$B$43,$A145,$B$44,$B$47,L$45,$B$45,$A$142)*L$8</f>
        <v>0</v>
      </c>
      <c r="M145" s="10">
        <f ca="1">-_xll.DBR($B$41,$B$46,$B$43,$A145,$B$44,$B$47,M$45,$B$45,$A$142)*M$8</f>
        <v>0</v>
      </c>
      <c r="N145" s="140"/>
    </row>
    <row r="146" spans="1:14">
      <c r="A146" s="3" t="str">
        <f ca="1">_xll.SUBNM("tango_core_model:LTP_Components","","Growth_Plan_Ext","English")</f>
        <v>External Growth Plan</v>
      </c>
      <c r="B146" s="2"/>
      <c r="C146" s="2"/>
      <c r="D146" s="2"/>
      <c r="E146" s="2" t="s">
        <v>21</v>
      </c>
      <c r="F146" s="10">
        <f ca="1">-_xll.DBR($B$41,$B$46,$B$43,$A146,$B$44,$B$47,F$45,$B$45,$A$142)*F$8</f>
        <v>0</v>
      </c>
      <c r="G146" s="10">
        <f ca="1">-_xll.DBR($B$41,$B$46,$B$43,$A146,$B$44,$B$47,G$45,$B$45,$A$142)*G$8</f>
        <v>0</v>
      </c>
      <c r="H146" s="10">
        <f ca="1">-_xll.DBR($B$41,$B$46,$B$43,$A146,$B$44,$B$47,H$45,$B$45,$A$142)*H$8</f>
        <v>0</v>
      </c>
      <c r="I146" s="10">
        <f ca="1">-_xll.DBR($B$41,$B$46,$B$43,$A146,$B$44,$B$47,I$45,$B$45,$A$142)*I$8</f>
        <v>0</v>
      </c>
      <c r="J146" s="10">
        <f ca="1">-_xll.DBR($B$41,$B$46,$B$43,$A146,$B$44,$B$47,J$45,$B$45,$A$142)*J$8</f>
        <v>0</v>
      </c>
      <c r="K146" s="10">
        <f ca="1">-_xll.DBR($B$41,$B$46,$B$43,$A146,$B$44,$B$47,K$45,$B$45,$A$142)*K$8</f>
        <v>0</v>
      </c>
      <c r="L146" s="10">
        <f ca="1">-_xll.DBR($B$41,$B$46,$B$43,$A146,$B$44,$B$47,L$45,$B$45,$A$142)*L$8</f>
        <v>0</v>
      </c>
      <c r="M146" s="10">
        <f ca="1">-_xll.DBR($B$41,$B$46,$B$43,$A146,$B$44,$B$47,M$45,$B$45,$A$142)*M$8</f>
        <v>0</v>
      </c>
      <c r="N146" s="140"/>
    </row>
    <row r="147" spans="1:14">
      <c r="A147" s="2"/>
      <c r="B147" s="2"/>
      <c r="C147" s="2"/>
      <c r="D147" s="2"/>
      <c r="E147" s="11" t="s">
        <v>16</v>
      </c>
      <c r="F147" s="12">
        <f t="shared" ref="F147:M147" ca="1" si="64">SUM(F144:F146)</f>
        <v>0</v>
      </c>
      <c r="G147" s="12">
        <f t="shared" ca="1" si="64"/>
        <v>0</v>
      </c>
      <c r="H147" s="12">
        <f t="shared" ca="1" si="64"/>
        <v>0</v>
      </c>
      <c r="I147" s="12">
        <f t="shared" ca="1" si="64"/>
        <v>0</v>
      </c>
      <c r="J147" s="12">
        <f t="shared" ca="1" si="64"/>
        <v>0</v>
      </c>
      <c r="K147" s="12">
        <f t="shared" ca="1" si="64"/>
        <v>0</v>
      </c>
      <c r="L147" s="12">
        <f t="shared" ca="1" si="64"/>
        <v>0</v>
      </c>
      <c r="M147" s="12">
        <f t="shared" ca="1" si="64"/>
        <v>0</v>
      </c>
      <c r="N147" s="141" t="str">
        <f ca="1">IFERROR(((M147/F147)^(1/7)-1),"-")</f>
        <v>-</v>
      </c>
    </row>
    <row r="148" spans="1:14">
      <c r="A148" s="2"/>
      <c r="B148" s="2"/>
      <c r="C148" s="2"/>
      <c r="D148" s="2"/>
      <c r="E148" s="2" t="s">
        <v>19</v>
      </c>
      <c r="F148" s="10">
        <f t="shared" ref="F148:M148" ca="1" si="65">F146+F145</f>
        <v>0</v>
      </c>
      <c r="G148" s="10">
        <f t="shared" ca="1" si="65"/>
        <v>0</v>
      </c>
      <c r="H148" s="10">
        <f t="shared" ca="1" si="65"/>
        <v>0</v>
      </c>
      <c r="I148" s="10">
        <f t="shared" ca="1" si="65"/>
        <v>0</v>
      </c>
      <c r="J148" s="10">
        <f t="shared" ca="1" si="65"/>
        <v>0</v>
      </c>
      <c r="K148" s="10">
        <f t="shared" ca="1" si="65"/>
        <v>0</v>
      </c>
      <c r="L148" s="10">
        <f t="shared" ca="1" si="65"/>
        <v>0</v>
      </c>
      <c r="M148" s="10">
        <f t="shared" ca="1" si="65"/>
        <v>0</v>
      </c>
      <c r="N148" s="140"/>
    </row>
    <row r="149" spans="1:14">
      <c r="A149" s="2"/>
      <c r="B149" s="2"/>
      <c r="C149" s="2"/>
      <c r="D149" s="2"/>
      <c r="E149" s="2" t="s">
        <v>105</v>
      </c>
      <c r="F149" s="14" t="e">
        <f t="shared" ref="F149:M149" ca="1" si="66">F147/F64</f>
        <v>#DIV/0!</v>
      </c>
      <c r="G149" s="14" t="e">
        <f t="shared" ca="1" si="66"/>
        <v>#DIV/0!</v>
      </c>
      <c r="H149" s="14" t="e">
        <f t="shared" ca="1" si="66"/>
        <v>#DIV/0!</v>
      </c>
      <c r="I149" s="14" t="e">
        <f t="shared" ca="1" si="66"/>
        <v>#DIV/0!</v>
      </c>
      <c r="J149" s="14" t="e">
        <f t="shared" ca="1" si="66"/>
        <v>#DIV/0!</v>
      </c>
      <c r="K149" s="14" t="e">
        <f t="shared" ca="1" si="66"/>
        <v>#DIV/0!</v>
      </c>
      <c r="L149" s="14" t="e">
        <f t="shared" ca="1" si="66"/>
        <v>#DIV/0!</v>
      </c>
      <c r="M149" s="14" t="e">
        <f t="shared" ca="1" si="66"/>
        <v>#DIV/0!</v>
      </c>
      <c r="N149" s="140"/>
    </row>
    <row r="150" spans="1:14">
      <c r="A150" s="4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140"/>
    </row>
    <row r="151" spans="1:1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140"/>
    </row>
    <row r="152" spans="1:14">
      <c r="A152" s="230"/>
      <c r="B152" s="231"/>
      <c r="C152" s="2"/>
      <c r="D152" s="2"/>
      <c r="E152" s="5"/>
      <c r="F152" s="6"/>
      <c r="G152" s="6"/>
      <c r="H152" s="6"/>
      <c r="I152" s="6"/>
      <c r="J152" s="6"/>
      <c r="K152" s="6"/>
      <c r="L152" s="6"/>
      <c r="M152" s="6"/>
      <c r="N152" s="140"/>
    </row>
    <row r="153" spans="1:14">
      <c r="A153" s="2"/>
      <c r="B153" s="2"/>
      <c r="C153" s="2"/>
      <c r="D153" s="2"/>
      <c r="E153" s="8"/>
      <c r="F153" s="9"/>
      <c r="G153" s="9"/>
      <c r="H153" s="9"/>
      <c r="I153" s="9"/>
      <c r="J153" s="9"/>
      <c r="K153" s="9"/>
      <c r="L153" s="9"/>
      <c r="M153" s="9"/>
      <c r="N153" s="140"/>
    </row>
    <row r="154" spans="1:14">
      <c r="A154" s="3"/>
      <c r="B154" s="2"/>
      <c r="C154" s="2"/>
      <c r="D154" s="2"/>
      <c r="E154" s="2"/>
      <c r="F154" s="10"/>
      <c r="G154" s="10"/>
      <c r="H154" s="10"/>
      <c r="I154" s="10"/>
      <c r="J154" s="10"/>
      <c r="K154" s="10"/>
      <c r="L154" s="10"/>
      <c r="M154" s="10"/>
      <c r="N154" s="140"/>
    </row>
    <row r="155" spans="1:14">
      <c r="A155" s="3"/>
      <c r="B155" s="2"/>
      <c r="C155" s="2"/>
      <c r="D155" s="2"/>
      <c r="E155" s="2"/>
      <c r="F155" s="10"/>
      <c r="G155" s="10"/>
      <c r="H155" s="10"/>
      <c r="I155" s="10"/>
      <c r="J155" s="10"/>
      <c r="K155" s="10"/>
      <c r="L155" s="10"/>
      <c r="M155" s="10"/>
      <c r="N155" s="140"/>
    </row>
    <row r="156" spans="1:14">
      <c r="A156" s="3"/>
      <c r="B156" s="2"/>
      <c r="C156" s="2"/>
      <c r="D156" s="2"/>
      <c r="E156" s="2"/>
      <c r="F156" s="10"/>
      <c r="G156" s="10"/>
      <c r="H156" s="10"/>
      <c r="I156" s="10"/>
      <c r="J156" s="10"/>
      <c r="K156" s="10"/>
      <c r="L156" s="10"/>
      <c r="M156" s="10"/>
      <c r="N156" s="140"/>
    </row>
    <row r="157" spans="1:14">
      <c r="A157" s="2"/>
      <c r="B157" s="2"/>
      <c r="C157" s="2"/>
      <c r="D157" s="2"/>
      <c r="E157" s="11"/>
      <c r="F157" s="55"/>
      <c r="G157" s="55"/>
      <c r="H157" s="12"/>
      <c r="I157" s="12"/>
      <c r="J157" s="12"/>
      <c r="K157" s="12"/>
      <c r="L157" s="12"/>
      <c r="M157" s="12"/>
      <c r="N157" s="141" t="str">
        <f>IFERROR(((M157/F157)^(1/7)-1),"-")</f>
        <v>-</v>
      </c>
    </row>
    <row r="158" spans="1:14">
      <c r="A158" s="2"/>
      <c r="B158" s="2"/>
      <c r="C158" s="2"/>
      <c r="D158" s="2"/>
      <c r="E158" s="2"/>
      <c r="F158" s="10"/>
      <c r="G158" s="10"/>
      <c r="H158" s="10"/>
      <c r="I158" s="10"/>
      <c r="J158" s="10"/>
      <c r="K158" s="10"/>
      <c r="L158" s="10"/>
      <c r="M158" s="10"/>
      <c r="N158" s="140"/>
    </row>
    <row r="159" spans="1:14">
      <c r="A159" s="2"/>
      <c r="B159" s="2"/>
      <c r="C159" s="2"/>
      <c r="D159" s="133"/>
      <c r="E159" s="2"/>
      <c r="F159" s="13"/>
      <c r="G159" s="13"/>
      <c r="H159" s="13"/>
      <c r="I159" s="13"/>
      <c r="J159" s="13"/>
      <c r="K159" s="13"/>
      <c r="L159" s="13"/>
      <c r="M159" s="13"/>
      <c r="N159" s="141"/>
    </row>
    <row r="160" spans="1:14">
      <c r="A160" s="2"/>
      <c r="B160" s="2"/>
      <c r="C160" s="2"/>
      <c r="D160" s="133"/>
      <c r="E160" s="2"/>
      <c r="F160" s="13"/>
      <c r="G160" s="13"/>
      <c r="H160" s="13"/>
      <c r="I160" s="13"/>
      <c r="J160" s="13"/>
      <c r="K160" s="13"/>
      <c r="L160" s="13"/>
      <c r="M160" s="13"/>
      <c r="N160" s="141"/>
    </row>
    <row r="161" spans="1:14">
      <c r="A161" s="2"/>
      <c r="B161" s="2"/>
      <c r="C161" s="2"/>
      <c r="D161" s="133"/>
      <c r="E161" s="2"/>
      <c r="F161" s="13"/>
      <c r="G161" s="13"/>
      <c r="H161" s="13"/>
      <c r="I161" s="13"/>
      <c r="J161" s="13"/>
      <c r="K161" s="13"/>
      <c r="L161" s="13"/>
      <c r="M161" s="13"/>
      <c r="N161" s="141"/>
    </row>
    <row r="162" spans="1:14">
      <c r="A162" s="2"/>
      <c r="B162" s="2"/>
      <c r="C162" s="2"/>
      <c r="D162" s="133"/>
      <c r="E162" s="2"/>
      <c r="F162" s="13"/>
      <c r="G162" s="13"/>
      <c r="H162" s="13"/>
      <c r="I162" s="13"/>
      <c r="J162" s="13"/>
      <c r="K162" s="13"/>
      <c r="L162" s="13"/>
      <c r="M162" s="13"/>
      <c r="N162" s="140"/>
    </row>
    <row r="163" spans="1:14">
      <c r="A163" s="4"/>
      <c r="B163" s="2"/>
      <c r="C163" s="2"/>
      <c r="D163" s="133"/>
      <c r="E163" s="2"/>
      <c r="F163" s="13"/>
      <c r="G163" s="13"/>
      <c r="H163" s="13"/>
      <c r="I163" s="13"/>
      <c r="J163" s="13"/>
      <c r="K163" s="13"/>
      <c r="L163" s="13"/>
      <c r="M163" s="13"/>
      <c r="N163" s="140"/>
    </row>
    <row r="164" spans="1:1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140"/>
    </row>
    <row r="165" spans="1:1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140"/>
    </row>
    <row r="166" spans="1:14">
      <c r="A166" s="230" t="str">
        <f ca="1">_xll.SUBNM("tango_core_model:Indicator_LTP","","NFI400","French")</f>
        <v>FREE CASH FLOW OPERATIONNEL</v>
      </c>
      <c r="B166" s="231" t="s">
        <v>103</v>
      </c>
      <c r="C166" s="2"/>
      <c r="D166" s="2"/>
      <c r="E166" s="5" t="str">
        <f>B166&amp;" (M"&amp;Currency&amp;")"</f>
        <v>Operating FCF (MEUR)</v>
      </c>
      <c r="F166" s="6"/>
      <c r="G166" s="6"/>
      <c r="H166" s="6"/>
      <c r="I166" s="6"/>
      <c r="J166" s="6"/>
      <c r="K166" s="6"/>
      <c r="L166" s="6"/>
      <c r="M166" s="6"/>
      <c r="N166" s="140"/>
    </row>
    <row r="167" spans="1:14">
      <c r="A167" s="2"/>
      <c r="B167" s="2"/>
      <c r="C167" s="2"/>
      <c r="D167" s="2"/>
      <c r="E167" s="8" t="str">
        <f>"In M"&amp;Currency</f>
        <v>In MEUR</v>
      </c>
      <c r="F167" s="9" t="str">
        <f t="shared" ref="F167:M167" si="67">RIGHT(F$45,4)</f>
        <v>2022</v>
      </c>
      <c r="G167" s="9" t="str">
        <f t="shared" si="67"/>
        <v>2023</v>
      </c>
      <c r="H167" s="9" t="str">
        <f t="shared" si="67"/>
        <v>2024</v>
      </c>
      <c r="I167" s="9" t="str">
        <f t="shared" si="67"/>
        <v>2025</v>
      </c>
      <c r="J167" s="9" t="str">
        <f t="shared" si="67"/>
        <v>2026</v>
      </c>
      <c r="K167" s="9" t="str">
        <f t="shared" si="67"/>
        <v>2027</v>
      </c>
      <c r="L167" s="9" t="str">
        <f t="shared" si="67"/>
        <v>2028</v>
      </c>
      <c r="M167" s="9" t="str">
        <f t="shared" si="67"/>
        <v>2029</v>
      </c>
      <c r="N167" s="140"/>
    </row>
    <row r="168" spans="1:14">
      <c r="A168" s="3" t="str">
        <f ca="1">_xll.DBRA("tango_core_model:LTP_components","ZGP&amp;DispCountry_Plans","French")</f>
        <v>PBZ &amp; Cessions (Pays)</v>
      </c>
      <c r="B168" s="2"/>
      <c r="C168" s="2"/>
      <c r="D168" s="2"/>
      <c r="E168" s="2" t="s">
        <v>18</v>
      </c>
      <c r="F168" s="10">
        <f ca="1">_xll.DBR($B$41,$B$46,$B$43,$A168,$B$44,$B$47,F$45,$B$45,$A$166)*F$9</f>
        <v>0</v>
      </c>
      <c r="G168" s="10">
        <f ca="1">_xll.DBR($B$41,$B$46,$B$43,$A168,$B$44,$B$47,G$45,$B$45,$A$166)*G$9</f>
        <v>0</v>
      </c>
      <c r="H168" s="10">
        <f ca="1">_xll.DBR($B$41,$B$46,$B$43,$A168,$B$44,$B$47,H$45,$B$45,$A$166)*H$9</f>
        <v>0</v>
      </c>
      <c r="I168" s="10">
        <f ca="1">_xll.DBR($B$41,$B$46,$B$43,$A168,$B$44,$B$47,I$45,$B$45,$A$166)*I$9</f>
        <v>0</v>
      </c>
      <c r="J168" s="10">
        <f ca="1">_xll.DBR($B$41,$B$46,$B$43,$A168,$B$44,$B$47,J$45,$B$45,$A$166)*J$9</f>
        <v>0</v>
      </c>
      <c r="K168" s="10">
        <f ca="1">_xll.DBR($B$41,$B$46,$B$43,$A168,$B$44,$B$47,K$45,$B$45,$A$166)*K$9</f>
        <v>0</v>
      </c>
      <c r="L168" s="10">
        <f ca="1">_xll.DBR($B$41,$B$46,$B$43,$A168,$B$44,$B$47,L$45,$B$45,$A$166)*L$9</f>
        <v>0</v>
      </c>
      <c r="M168" s="10">
        <f ca="1">_xll.DBR($B$41,$B$46,$B$43,$A168,$B$44,$B$47,M$45,$B$45,$A$166)*M$9</f>
        <v>0</v>
      </c>
      <c r="N168" s="140"/>
    </row>
    <row r="169" spans="1:14">
      <c r="A169" s="3" t="str">
        <f ca="1">_xll.SUBNM("tango_core_model:LTP_Components","","Growth_Plan_Orga","English")</f>
        <v>Organic Growth Plan</v>
      </c>
      <c r="B169" s="2"/>
      <c r="C169" s="2"/>
      <c r="D169" s="2"/>
      <c r="E169" s="2" t="s">
        <v>20</v>
      </c>
      <c r="F169" s="10">
        <f ca="1">_xll.DBR($B$41,$B$46,$B$43,$A169,$B$44,$B$47,F$45,$B$45,$A$166)*F$9</f>
        <v>0</v>
      </c>
      <c r="G169" s="10">
        <f ca="1">_xll.DBR($B$41,$B$46,$B$43,$A169,$B$44,$B$47,G$45,$B$45,$A$166)*G$9</f>
        <v>0</v>
      </c>
      <c r="H169" s="10">
        <f ca="1">_xll.DBR($B$41,$B$46,$B$43,$A169,$B$44,$B$47,H$45,$B$45,$A$166)*H$9</f>
        <v>0</v>
      </c>
      <c r="I169" s="10">
        <f ca="1">_xll.DBR($B$41,$B$46,$B$43,$A169,$B$44,$B$47,I$45,$B$45,$A$166)*I$9</f>
        <v>0</v>
      </c>
      <c r="J169" s="10">
        <f ca="1">_xll.DBR($B$41,$B$46,$B$43,$A169,$B$44,$B$47,J$45,$B$45,$A$166)*J$9</f>
        <v>0</v>
      </c>
      <c r="K169" s="10">
        <f ca="1">_xll.DBR($B$41,$B$46,$B$43,$A169,$B$44,$B$47,K$45,$B$45,$A$166)*K$9</f>
        <v>0</v>
      </c>
      <c r="L169" s="10">
        <f ca="1">_xll.DBR($B$41,$B$46,$B$43,$A169,$B$44,$B$47,L$45,$B$45,$A$166)*L$9</f>
        <v>0</v>
      </c>
      <c r="M169" s="10">
        <f ca="1">_xll.DBR($B$41,$B$46,$B$43,$A169,$B$44,$B$47,M$45,$B$45,$A$166)*M$9</f>
        <v>0</v>
      </c>
      <c r="N169" s="140"/>
    </row>
    <row r="170" spans="1:14">
      <c r="A170" s="3" t="str">
        <f ca="1">_xll.SUBNM("tango_core_model:LTP_Components","","Growth_Plan_Ext","English")</f>
        <v>External Growth Plan</v>
      </c>
      <c r="B170" s="2"/>
      <c r="C170" s="2"/>
      <c r="D170" s="2"/>
      <c r="E170" s="2" t="s">
        <v>21</v>
      </c>
      <c r="F170" s="10">
        <f ca="1">_xll.DBR($B$41,$B$46,$B$43,$A170,$B$44,$B$47,F$45,$B$45,$A$166)*F$9</f>
        <v>0</v>
      </c>
      <c r="G170" s="10">
        <f ca="1">_xll.DBR($B$41,$B$46,$B$43,$A170,$B$44,$B$47,G$45,$B$45,$A$166)*G$9</f>
        <v>0</v>
      </c>
      <c r="H170" s="10">
        <f ca="1">_xll.DBR($B$41,$B$46,$B$43,$A170,$B$44,$B$47,H$45,$B$45,$A$166)*H$9</f>
        <v>0</v>
      </c>
      <c r="I170" s="10">
        <f ca="1">_xll.DBR($B$41,$B$46,$B$43,$A170,$B$44,$B$47,I$45,$B$45,$A$166)*I$9</f>
        <v>0</v>
      </c>
      <c r="J170" s="10">
        <f ca="1">_xll.DBR($B$41,$B$46,$B$43,$A170,$B$44,$B$47,J$45,$B$45,$A$166)*J$9</f>
        <v>0</v>
      </c>
      <c r="K170" s="10">
        <f ca="1">_xll.DBR($B$41,$B$46,$B$43,$A170,$B$44,$B$47,K$45,$B$45,$A$166)*K$9</f>
        <v>0</v>
      </c>
      <c r="L170" s="10">
        <f ca="1">_xll.DBR($B$41,$B$46,$B$43,$A170,$B$44,$B$47,L$45,$B$45,$A$166)*L$9</f>
        <v>0</v>
      </c>
      <c r="M170" s="10">
        <f ca="1">_xll.DBR($B$41,$B$46,$B$43,$A170,$B$44,$B$47,M$45,$B$45,$A$166)*M$9</f>
        <v>0</v>
      </c>
      <c r="N170" s="140"/>
    </row>
    <row r="171" spans="1:14">
      <c r="A171" s="2"/>
      <c r="B171" s="2"/>
      <c r="C171" s="2"/>
      <c r="D171" s="2"/>
      <c r="E171" s="11" t="s">
        <v>16</v>
      </c>
      <c r="F171" s="12">
        <f t="shared" ref="F171:M171" ca="1" si="68">SUM(F168:F170)</f>
        <v>0</v>
      </c>
      <c r="G171" s="12">
        <f t="shared" ca="1" si="68"/>
        <v>0</v>
      </c>
      <c r="H171" s="12">
        <f t="shared" ca="1" si="68"/>
        <v>0</v>
      </c>
      <c r="I171" s="12">
        <f t="shared" ca="1" si="68"/>
        <v>0</v>
      </c>
      <c r="J171" s="12">
        <f t="shared" ca="1" si="68"/>
        <v>0</v>
      </c>
      <c r="K171" s="12">
        <f t="shared" ca="1" si="68"/>
        <v>0</v>
      </c>
      <c r="L171" s="12">
        <f t="shared" ca="1" si="68"/>
        <v>0</v>
      </c>
      <c r="M171" s="12">
        <f t="shared" ca="1" si="68"/>
        <v>0</v>
      </c>
      <c r="N171" s="141" t="str">
        <f ca="1">IFERROR(((M171/F171)^(1/7)-1),"-")</f>
        <v>-</v>
      </c>
    </row>
    <row r="172" spans="1:14">
      <c r="A172" s="2"/>
      <c r="B172" s="2"/>
      <c r="C172" s="2"/>
      <c r="D172" s="2"/>
      <c r="E172" s="2" t="s">
        <v>19</v>
      </c>
      <c r="F172" s="10">
        <f t="shared" ref="F172:M172" ca="1" si="69">F170+F169</f>
        <v>0</v>
      </c>
      <c r="G172" s="10">
        <f t="shared" ca="1" si="69"/>
        <v>0</v>
      </c>
      <c r="H172" s="10">
        <f t="shared" ca="1" si="69"/>
        <v>0</v>
      </c>
      <c r="I172" s="10">
        <f t="shared" ca="1" si="69"/>
        <v>0</v>
      </c>
      <c r="J172" s="10">
        <f t="shared" ca="1" si="69"/>
        <v>0</v>
      </c>
      <c r="K172" s="10">
        <f t="shared" ca="1" si="69"/>
        <v>0</v>
      </c>
      <c r="L172" s="10">
        <f t="shared" ca="1" si="69"/>
        <v>0</v>
      </c>
      <c r="M172" s="10">
        <f t="shared" ca="1" si="69"/>
        <v>0</v>
      </c>
      <c r="N172" s="140"/>
    </row>
    <row r="173" spans="1:1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140"/>
    </row>
    <row r="174" spans="1:14">
      <c r="A174" s="230" t="str">
        <f ca="1">_xll.SUBNM("tango_core_model:Indicator_LTP","","EBITDAR","French")</f>
        <v>EBITDAR</v>
      </c>
      <c r="B174" s="231" t="s">
        <v>104</v>
      </c>
      <c r="C174" s="2"/>
      <c r="D174" s="2"/>
      <c r="E174" s="5" t="str">
        <f>B174&amp;" (M"&amp;Currency&amp;")"</f>
        <v>EBITDAR (MEUR)</v>
      </c>
      <c r="F174" s="6"/>
      <c r="G174" s="6"/>
      <c r="H174" s="6"/>
      <c r="I174" s="6"/>
      <c r="J174" s="6"/>
      <c r="K174" s="6"/>
      <c r="L174" s="6"/>
      <c r="M174" s="6"/>
      <c r="N174" s="140"/>
    </row>
    <row r="175" spans="1:14">
      <c r="A175" s="2"/>
      <c r="B175" s="2"/>
      <c r="C175" s="2"/>
      <c r="D175" s="2"/>
      <c r="E175" s="8" t="str">
        <f>"In M"&amp;Currency</f>
        <v>In MEUR</v>
      </c>
      <c r="F175" s="9" t="str">
        <f t="shared" ref="F175:M175" si="70">RIGHT(F$45,4)</f>
        <v>2022</v>
      </c>
      <c r="G175" s="9" t="str">
        <f t="shared" si="70"/>
        <v>2023</v>
      </c>
      <c r="H175" s="9" t="str">
        <f t="shared" si="70"/>
        <v>2024</v>
      </c>
      <c r="I175" s="9" t="str">
        <f t="shared" si="70"/>
        <v>2025</v>
      </c>
      <c r="J175" s="9" t="str">
        <f t="shared" si="70"/>
        <v>2026</v>
      </c>
      <c r="K175" s="9" t="str">
        <f t="shared" si="70"/>
        <v>2027</v>
      </c>
      <c r="L175" s="9" t="str">
        <f t="shared" si="70"/>
        <v>2028</v>
      </c>
      <c r="M175" s="9" t="str">
        <f t="shared" si="70"/>
        <v>2029</v>
      </c>
      <c r="N175" s="140"/>
    </row>
    <row r="176" spans="1:14">
      <c r="A176" s="3" t="str">
        <f ca="1">_xll.DBRA("tango_core_model:LTP_components","ZGP&amp;DispCountry_Plans","French")</f>
        <v>PBZ &amp; Cessions (Pays)</v>
      </c>
      <c r="B176" s="2"/>
      <c r="C176" s="2"/>
      <c r="D176" s="2"/>
      <c r="E176" s="2" t="s">
        <v>18</v>
      </c>
      <c r="F176" s="10">
        <f ca="1">_xll.DBR($B$41,$B$46,$B$43,$A176,$B$44,$B$47,F$45,$B$45,$A$174)*F$9</f>
        <v>0</v>
      </c>
      <c r="G176" s="10">
        <f ca="1">_xll.DBR($B$41,$B$46,$B$43,$A176,$B$44,$B$47,G$45,$B$45,$A$174)*G$9</f>
        <v>0</v>
      </c>
      <c r="H176" s="10">
        <f ca="1">_xll.DBR($B$41,$B$46,$B$43,$A176,$B$44,$B$47,H$45,$B$45,$A$174)*H$9</f>
        <v>0</v>
      </c>
      <c r="I176" s="10">
        <f ca="1">_xll.DBR($B$41,$B$46,$B$43,$A176,$B$44,$B$47,I$45,$B$45,$A$174)*I$9</f>
        <v>0</v>
      </c>
      <c r="J176" s="10">
        <f ca="1">_xll.DBR($B$41,$B$46,$B$43,$A176,$B$44,$B$47,J$45,$B$45,$A$174)*J$9</f>
        <v>0</v>
      </c>
      <c r="K176" s="10">
        <f ca="1">_xll.DBR($B$41,$B$46,$B$43,$A176,$B$44,$B$47,K$45,$B$45,$A$174)*K$9</f>
        <v>0</v>
      </c>
      <c r="L176" s="10">
        <f ca="1">_xll.DBR($B$41,$B$46,$B$43,$A176,$B$44,$B$47,L$45,$B$45,$A$174)*L$9</f>
        <v>0</v>
      </c>
      <c r="M176" s="10">
        <f ca="1">_xll.DBR($B$41,$B$46,$B$43,$A176,$B$44,$B$47,M$45,$B$45,$A$174)*M$9</f>
        <v>0</v>
      </c>
      <c r="N176" s="140"/>
    </row>
    <row r="177" spans="1:14">
      <c r="A177" s="3" t="str">
        <f ca="1">_xll.SUBNM("tango_core_model:LTP_Components","","Growth_Plan_Orga","English")</f>
        <v>Organic Growth Plan</v>
      </c>
      <c r="B177" s="2"/>
      <c r="C177" s="2"/>
      <c r="D177" s="2"/>
      <c r="E177" s="2" t="s">
        <v>20</v>
      </c>
      <c r="F177" s="10">
        <f ca="1">_xll.DBR($B$41,$B$46,$B$43,$A177,$B$44,$B$47,F$45,$B$45,$A$174)*F$9</f>
        <v>0</v>
      </c>
      <c r="G177" s="10">
        <f ca="1">_xll.DBR($B$41,$B$46,$B$43,$A177,$B$44,$B$47,G$45,$B$45,$A$174)*G$9</f>
        <v>0</v>
      </c>
      <c r="H177" s="10">
        <f ca="1">_xll.DBR($B$41,$B$46,$B$43,$A177,$B$44,$B$47,H$45,$B$45,$A$174)*H$9</f>
        <v>0</v>
      </c>
      <c r="I177" s="10">
        <f ca="1">_xll.DBR($B$41,$B$46,$B$43,$A177,$B$44,$B$47,I$45,$B$45,$A$174)*I$9</f>
        <v>0</v>
      </c>
      <c r="J177" s="10">
        <f ca="1">_xll.DBR($B$41,$B$46,$B$43,$A177,$B$44,$B$47,J$45,$B$45,$A$174)*J$9</f>
        <v>0</v>
      </c>
      <c r="K177" s="10">
        <f ca="1">_xll.DBR($B$41,$B$46,$B$43,$A177,$B$44,$B$47,K$45,$B$45,$A$174)*K$9</f>
        <v>0</v>
      </c>
      <c r="L177" s="10">
        <f ca="1">_xll.DBR($B$41,$B$46,$B$43,$A177,$B$44,$B$47,L$45,$B$45,$A$174)*L$9</f>
        <v>0</v>
      </c>
      <c r="M177" s="10">
        <f ca="1">_xll.DBR($B$41,$B$46,$B$43,$A177,$B$44,$B$47,M$45,$B$45,$A$174)*M$9</f>
        <v>0</v>
      </c>
      <c r="N177" s="140"/>
    </row>
    <row r="178" spans="1:14">
      <c r="A178" s="3" t="str">
        <f ca="1">_xll.SUBNM("tango_core_model:LTP_Components","","Growth_Plan_Ext","English")</f>
        <v>External Growth Plan</v>
      </c>
      <c r="B178" s="2"/>
      <c r="C178" s="2"/>
      <c r="D178" s="2"/>
      <c r="E178" s="2" t="s">
        <v>21</v>
      </c>
      <c r="F178" s="10">
        <f ca="1">_xll.DBR($B$41,$B$46,$B$43,$A178,$B$44,$B$47,F$45,$B$45,$A$174)*F$9</f>
        <v>0</v>
      </c>
      <c r="G178" s="10">
        <f ca="1">_xll.DBR($B$41,$B$46,$B$43,$A178,$B$44,$B$47,G$45,$B$45,$A$174)*G$9</f>
        <v>0</v>
      </c>
      <c r="H178" s="10">
        <f ca="1">_xll.DBR($B$41,$B$46,$B$43,$A178,$B$44,$B$47,H$45,$B$45,$A$174)*H$9</f>
        <v>0</v>
      </c>
      <c r="I178" s="10">
        <f ca="1">_xll.DBR($B$41,$B$46,$B$43,$A178,$B$44,$B$47,I$45,$B$45,$A$174)*I$9</f>
        <v>0</v>
      </c>
      <c r="J178" s="10">
        <f ca="1">_xll.DBR($B$41,$B$46,$B$43,$A178,$B$44,$B$47,J$45,$B$45,$A$174)*J$9</f>
        <v>0</v>
      </c>
      <c r="K178" s="10">
        <f ca="1">_xll.DBR($B$41,$B$46,$B$43,$A178,$B$44,$B$47,K$45,$B$45,$A$174)*K$9</f>
        <v>0</v>
      </c>
      <c r="L178" s="10">
        <f ca="1">_xll.DBR($B$41,$B$46,$B$43,$A178,$B$44,$B$47,L$45,$B$45,$A$174)*L$9</f>
        <v>0</v>
      </c>
      <c r="M178" s="10">
        <f ca="1">_xll.DBR($B$41,$B$46,$B$43,$A178,$B$44,$B$47,M$45,$B$45,$A$174)*M$9</f>
        <v>0</v>
      </c>
      <c r="N178" s="140"/>
    </row>
    <row r="179" spans="1:14">
      <c r="A179" s="2"/>
      <c r="B179" s="2"/>
      <c r="C179" s="2"/>
      <c r="D179" s="2"/>
      <c r="E179" s="11" t="s">
        <v>16</v>
      </c>
      <c r="F179" s="12">
        <f t="shared" ref="F179:M179" ca="1" si="71">SUM(F176:F178)</f>
        <v>0</v>
      </c>
      <c r="G179" s="12">
        <f t="shared" ca="1" si="71"/>
        <v>0</v>
      </c>
      <c r="H179" s="12">
        <f t="shared" ca="1" si="71"/>
        <v>0</v>
      </c>
      <c r="I179" s="12">
        <f t="shared" ca="1" si="71"/>
        <v>0</v>
      </c>
      <c r="J179" s="12">
        <f t="shared" ca="1" si="71"/>
        <v>0</v>
      </c>
      <c r="K179" s="12">
        <f t="shared" ca="1" si="71"/>
        <v>0</v>
      </c>
      <c r="L179" s="12">
        <f t="shared" ca="1" si="71"/>
        <v>0</v>
      </c>
      <c r="M179" s="12">
        <f t="shared" ca="1" si="71"/>
        <v>0</v>
      </c>
      <c r="N179" s="141" t="str">
        <f ca="1">IFERROR(((M179/F179)^(1/7)-1),"-")</f>
        <v>-</v>
      </c>
    </row>
    <row r="180" spans="1:14">
      <c r="A180" s="2"/>
      <c r="B180" s="2"/>
      <c r="C180" s="2"/>
      <c r="D180" s="2"/>
      <c r="E180" s="2" t="s">
        <v>19</v>
      </c>
      <c r="F180" s="10">
        <f t="shared" ref="F180:M180" ca="1" si="72">F178+F177</f>
        <v>0</v>
      </c>
      <c r="G180" s="10">
        <f t="shared" ca="1" si="72"/>
        <v>0</v>
      </c>
      <c r="H180" s="10">
        <f t="shared" ca="1" si="72"/>
        <v>0</v>
      </c>
      <c r="I180" s="10">
        <f t="shared" ca="1" si="72"/>
        <v>0</v>
      </c>
      <c r="J180" s="10">
        <f t="shared" ca="1" si="72"/>
        <v>0</v>
      </c>
      <c r="K180" s="10">
        <f t="shared" ca="1" si="72"/>
        <v>0</v>
      </c>
      <c r="L180" s="10">
        <f t="shared" ca="1" si="72"/>
        <v>0</v>
      </c>
      <c r="M180" s="10">
        <f t="shared" ca="1" si="72"/>
        <v>0</v>
      </c>
      <c r="N180" s="140"/>
    </row>
    <row r="181" spans="1:14">
      <c r="A181" s="2"/>
      <c r="B181" s="2"/>
      <c r="C181" s="2"/>
      <c r="D181" s="133" t="s">
        <v>18</v>
      </c>
      <c r="E181" s="2" t="s">
        <v>110</v>
      </c>
      <c r="F181" s="13" t="str">
        <f ca="1">IFERROR(F176/F$53,"-")</f>
        <v>-</v>
      </c>
      <c r="G181" s="13" t="str">
        <f t="shared" ref="G181:M181" ca="1" si="73">IFERROR(G176/G$53,"-")</f>
        <v>-</v>
      </c>
      <c r="H181" s="13" t="str">
        <f t="shared" ca="1" si="73"/>
        <v>-</v>
      </c>
      <c r="I181" s="13" t="str">
        <f t="shared" ca="1" si="73"/>
        <v>-</v>
      </c>
      <c r="J181" s="13" t="str">
        <f t="shared" ca="1" si="73"/>
        <v>-</v>
      </c>
      <c r="K181" s="13" t="str">
        <f t="shared" ca="1" si="73"/>
        <v>-</v>
      </c>
      <c r="L181" s="13" t="str">
        <f t="shared" ca="1" si="73"/>
        <v>-</v>
      </c>
      <c r="M181" s="13" t="str">
        <f t="shared" ca="1" si="73"/>
        <v>-</v>
      </c>
      <c r="N181" s="140"/>
    </row>
    <row r="182" spans="1:14">
      <c r="A182" s="2"/>
      <c r="B182" s="2"/>
      <c r="C182" s="2"/>
      <c r="D182" s="133" t="s">
        <v>20</v>
      </c>
      <c r="E182" s="2" t="s">
        <v>110</v>
      </c>
      <c r="F182" s="13" t="str">
        <f ca="1">IFERROR(F177/F$54,"-")</f>
        <v>-</v>
      </c>
      <c r="G182" s="13" t="str">
        <f t="shared" ref="G182:M182" ca="1" si="74">IFERROR(G177/G$54,"-")</f>
        <v>-</v>
      </c>
      <c r="H182" s="13" t="str">
        <f t="shared" ca="1" si="74"/>
        <v>-</v>
      </c>
      <c r="I182" s="13" t="str">
        <f t="shared" ca="1" si="74"/>
        <v>-</v>
      </c>
      <c r="J182" s="13" t="str">
        <f t="shared" ca="1" si="74"/>
        <v>-</v>
      </c>
      <c r="K182" s="13" t="str">
        <f t="shared" ca="1" si="74"/>
        <v>-</v>
      </c>
      <c r="L182" s="13" t="str">
        <f t="shared" ca="1" si="74"/>
        <v>-</v>
      </c>
      <c r="M182" s="13" t="str">
        <f t="shared" ca="1" si="74"/>
        <v>-</v>
      </c>
      <c r="N182" s="140"/>
    </row>
    <row r="183" spans="1:14">
      <c r="A183" s="2"/>
      <c r="B183" s="2"/>
      <c r="C183" s="2"/>
      <c r="D183" s="133" t="s">
        <v>21</v>
      </c>
      <c r="E183" s="2" t="s">
        <v>110</v>
      </c>
      <c r="F183" s="13" t="str">
        <f ca="1">IFERROR(F178/F$55,"-")</f>
        <v>-</v>
      </c>
      <c r="G183" s="13" t="str">
        <f t="shared" ref="G183:M183" ca="1" si="75">IFERROR(G178/G$55,"-")</f>
        <v>-</v>
      </c>
      <c r="H183" s="13" t="str">
        <f t="shared" ca="1" si="75"/>
        <v>-</v>
      </c>
      <c r="I183" s="13" t="str">
        <f t="shared" ca="1" si="75"/>
        <v>-</v>
      </c>
      <c r="J183" s="13" t="str">
        <f t="shared" ca="1" si="75"/>
        <v>-</v>
      </c>
      <c r="K183" s="13" t="str">
        <f t="shared" ca="1" si="75"/>
        <v>-</v>
      </c>
      <c r="L183" s="13" t="str">
        <f t="shared" ca="1" si="75"/>
        <v>-</v>
      </c>
      <c r="M183" s="13" t="str">
        <f t="shared" ca="1" si="75"/>
        <v>-</v>
      </c>
      <c r="N183" s="140"/>
    </row>
    <row r="184" spans="1:14">
      <c r="A184" s="2"/>
      <c r="B184" s="2"/>
      <c r="C184" s="2"/>
      <c r="D184" s="133" t="s">
        <v>16</v>
      </c>
      <c r="E184" s="2" t="s">
        <v>110</v>
      </c>
      <c r="F184" s="13" t="str">
        <f ca="1">IFERROR(F179/F$56,"-")</f>
        <v>-</v>
      </c>
      <c r="G184" s="13" t="str">
        <f t="shared" ref="G184:M184" ca="1" si="76">IFERROR(G179/G$56,"-")</f>
        <v>-</v>
      </c>
      <c r="H184" s="13" t="str">
        <f t="shared" ca="1" si="76"/>
        <v>-</v>
      </c>
      <c r="I184" s="13" t="str">
        <f t="shared" ca="1" si="76"/>
        <v>-</v>
      </c>
      <c r="J184" s="13" t="str">
        <f t="shared" ca="1" si="76"/>
        <v>-</v>
      </c>
      <c r="K184" s="13" t="str">
        <f t="shared" ca="1" si="76"/>
        <v>-</v>
      </c>
      <c r="L184" s="13" t="str">
        <f t="shared" ca="1" si="76"/>
        <v>-</v>
      </c>
      <c r="M184" s="13" t="str">
        <f t="shared" ca="1" si="76"/>
        <v>-</v>
      </c>
      <c r="N184" s="140"/>
    </row>
    <row r="185" spans="1:14">
      <c r="A185" s="2"/>
      <c r="B185" s="2"/>
      <c r="C185" s="2"/>
      <c r="D185" s="133" t="s">
        <v>19</v>
      </c>
      <c r="E185" s="2" t="s">
        <v>110</v>
      </c>
      <c r="F185" s="13" t="str">
        <f ca="1">IFERROR(F180/F$57,"-")</f>
        <v>-</v>
      </c>
      <c r="G185" s="13" t="str">
        <f t="shared" ref="G185:M185" ca="1" si="77">IFERROR(G180/G$57,"-")</f>
        <v>-</v>
      </c>
      <c r="H185" s="13" t="str">
        <f t="shared" ca="1" si="77"/>
        <v>-</v>
      </c>
      <c r="I185" s="13" t="str">
        <f t="shared" ca="1" si="77"/>
        <v>-</v>
      </c>
      <c r="J185" s="13" t="str">
        <f t="shared" ca="1" si="77"/>
        <v>-</v>
      </c>
      <c r="K185" s="13" t="str">
        <f t="shared" ca="1" si="77"/>
        <v>-</v>
      </c>
      <c r="L185" s="13" t="str">
        <f t="shared" ca="1" si="77"/>
        <v>-</v>
      </c>
      <c r="M185" s="13" t="str">
        <f t="shared" ca="1" si="77"/>
        <v>-</v>
      </c>
      <c r="N185" s="140"/>
    </row>
    <row r="186" spans="1:1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140"/>
    </row>
    <row r="187" spans="1:1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140"/>
    </row>
    <row r="191" spans="1:14">
      <c r="A191" s="484" t="s">
        <v>111</v>
      </c>
      <c r="B191" s="484"/>
    </row>
    <row r="193" spans="4:17">
      <c r="N193"/>
      <c r="O193" s="138"/>
    </row>
    <row r="194" spans="4:17">
      <c r="N194"/>
      <c r="O194" s="138"/>
    </row>
    <row r="195" spans="4:17">
      <c r="D195" s="15"/>
      <c r="E195" s="16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42"/>
    </row>
    <row r="196" spans="4:17" ht="24" thickBot="1">
      <c r="D196" s="17"/>
      <c r="E196" s="18" t="s">
        <v>25</v>
      </c>
      <c r="F196" s="19" t="s">
        <v>26</v>
      </c>
      <c r="G196" s="19" t="s">
        <v>27</v>
      </c>
      <c r="H196" s="19" t="s">
        <v>28</v>
      </c>
      <c r="I196" s="19" t="s">
        <v>29</v>
      </c>
      <c r="J196" s="19" t="s">
        <v>30</v>
      </c>
      <c r="K196" s="20" t="s">
        <v>31</v>
      </c>
      <c r="L196" s="20"/>
      <c r="M196" s="20"/>
      <c r="N196" s="20"/>
      <c r="O196" s="20"/>
      <c r="P196" s="17"/>
      <c r="Q196" s="143"/>
    </row>
    <row r="197" spans="4:17">
      <c r="D197" s="22" t="str">
        <f>O64&amp;" "&amp;G60</f>
        <v xml:space="preserve"> 2023</v>
      </c>
      <c r="E197" s="23">
        <f ca="1">G74</f>
        <v>0</v>
      </c>
      <c r="F197" s="24">
        <f ca="1">E197</f>
        <v>0</v>
      </c>
      <c r="G197" s="25">
        <f ca="1">F197</f>
        <v>0</v>
      </c>
      <c r="H197" s="25"/>
      <c r="I197" s="25"/>
      <c r="J197" s="25"/>
      <c r="K197" s="26"/>
      <c r="L197" s="27" t="s">
        <v>32</v>
      </c>
      <c r="M197" s="20"/>
      <c r="N197" s="20"/>
      <c r="O197" s="20"/>
      <c r="P197" s="17"/>
      <c r="Q197" s="143"/>
    </row>
    <row r="198" spans="4:17">
      <c r="D198" s="28" t="str">
        <f t="shared" ref="D198:D203" si="78">"Var "&amp;RIGHT(D197,2)&amp;"-"&amp;(RIGHT(D197,2)+1)</f>
        <v>Var 23-24</v>
      </c>
      <c r="E198" s="29">
        <f ca="1">H$74-G$74</f>
        <v>0</v>
      </c>
      <c r="F198" s="30"/>
      <c r="G198" s="25">
        <f t="shared" ref="G198:G203" ca="1" si="79">G197+H197-I198</f>
        <v>0</v>
      </c>
      <c r="H198" s="26">
        <f t="shared" ref="H198:H203" ca="1" si="80">IF(E198&gt;0, E198, 0)</f>
        <v>0</v>
      </c>
      <c r="I198" s="26">
        <f t="shared" ref="I198:I203" ca="1" si="81">IF(E198&lt;=0,-E198, 0)</f>
        <v>0</v>
      </c>
      <c r="J198" s="25"/>
      <c r="K198" s="26">
        <f ca="1">SUM($E$197:E198)</f>
        <v>0</v>
      </c>
      <c r="L198" s="20"/>
      <c r="M198" s="20"/>
      <c r="N198" s="20"/>
      <c r="O198" s="20"/>
      <c r="P198" s="17"/>
      <c r="Q198" s="143"/>
    </row>
    <row r="199" spans="4:17">
      <c r="D199" s="28" t="str">
        <f t="shared" si="78"/>
        <v>Var 24-25</v>
      </c>
      <c r="E199" s="29">
        <f ca="1">I$74-H$74</f>
        <v>0</v>
      </c>
      <c r="F199" s="30"/>
      <c r="G199" s="25">
        <f t="shared" ca="1" si="79"/>
        <v>0</v>
      </c>
      <c r="H199" s="26">
        <f t="shared" ca="1" si="80"/>
        <v>0</v>
      </c>
      <c r="I199" s="26">
        <f t="shared" ca="1" si="81"/>
        <v>0</v>
      </c>
      <c r="J199" s="25"/>
      <c r="K199" s="26">
        <f ca="1">SUM($E$197:E199)</f>
        <v>0</v>
      </c>
      <c r="L199" s="20"/>
      <c r="M199" s="20"/>
      <c r="N199" s="20"/>
      <c r="O199" s="20"/>
      <c r="P199" s="17"/>
      <c r="Q199" s="143"/>
    </row>
    <row r="200" spans="4:17">
      <c r="D200" s="28" t="str">
        <f t="shared" si="78"/>
        <v>Var 25-26</v>
      </c>
      <c r="E200" s="29">
        <f ca="1">J$74-I$74</f>
        <v>0</v>
      </c>
      <c r="F200" s="30"/>
      <c r="G200" s="25">
        <f t="shared" ca="1" si="79"/>
        <v>0</v>
      </c>
      <c r="H200" s="26">
        <f t="shared" ca="1" si="80"/>
        <v>0</v>
      </c>
      <c r="I200" s="26">
        <f t="shared" ca="1" si="81"/>
        <v>0</v>
      </c>
      <c r="J200" s="25"/>
      <c r="K200" s="26">
        <f ca="1">SUM($E$197:E200)</f>
        <v>0</v>
      </c>
      <c r="L200" s="20"/>
      <c r="M200" s="20"/>
      <c r="N200" s="20"/>
      <c r="O200" s="20"/>
      <c r="P200" s="17"/>
      <c r="Q200" s="143"/>
    </row>
    <row r="201" spans="4:17">
      <c r="D201" s="28" t="str">
        <f t="shared" si="78"/>
        <v>Var 26-27</v>
      </c>
      <c r="E201" s="29">
        <f ca="1">K$74-J$74</f>
        <v>0</v>
      </c>
      <c r="F201" s="30"/>
      <c r="G201" s="25">
        <f t="shared" ca="1" si="79"/>
        <v>0</v>
      </c>
      <c r="H201" s="26">
        <f t="shared" ca="1" si="80"/>
        <v>0</v>
      </c>
      <c r="I201" s="26">
        <f t="shared" ca="1" si="81"/>
        <v>0</v>
      </c>
      <c r="J201" s="25"/>
      <c r="K201" s="26">
        <f ca="1">SUM($E$197:E201)</f>
        <v>0</v>
      </c>
      <c r="L201" s="20"/>
      <c r="M201" s="20"/>
      <c r="N201" s="20"/>
      <c r="O201" s="20"/>
      <c r="P201" s="17"/>
      <c r="Q201" s="143"/>
    </row>
    <row r="202" spans="4:17">
      <c r="D202" s="28" t="str">
        <f t="shared" si="78"/>
        <v>Var 27-28</v>
      </c>
      <c r="E202" s="29">
        <f ca="1">L$74-K$74</f>
        <v>0</v>
      </c>
      <c r="F202" s="30"/>
      <c r="G202" s="25">
        <f t="shared" ca="1" si="79"/>
        <v>0</v>
      </c>
      <c r="H202" s="26">
        <f t="shared" ca="1" si="80"/>
        <v>0</v>
      </c>
      <c r="I202" s="26">
        <f t="shared" ca="1" si="81"/>
        <v>0</v>
      </c>
      <c r="J202" s="25"/>
      <c r="K202" s="26">
        <f ca="1">SUM($E$197:E202)</f>
        <v>0</v>
      </c>
      <c r="L202" s="20"/>
      <c r="M202" s="20"/>
      <c r="N202" s="20"/>
      <c r="O202" s="20"/>
      <c r="P202" s="17"/>
      <c r="Q202" s="143"/>
    </row>
    <row r="203" spans="4:17" ht="15.75" thickBot="1">
      <c r="D203" s="28" t="str">
        <f t="shared" si="78"/>
        <v>Var 28-29</v>
      </c>
      <c r="E203" s="29">
        <f ca="1">M$74-L$74</f>
        <v>0</v>
      </c>
      <c r="F203" s="30"/>
      <c r="G203" s="25">
        <f t="shared" ca="1" si="79"/>
        <v>0</v>
      </c>
      <c r="H203" s="26">
        <f t="shared" ca="1" si="80"/>
        <v>0</v>
      </c>
      <c r="I203" s="26">
        <f t="shared" ca="1" si="81"/>
        <v>0</v>
      </c>
      <c r="J203" s="25"/>
      <c r="K203" s="26">
        <f ca="1">SUM($E$197:E203)</f>
        <v>0</v>
      </c>
      <c r="L203" s="20"/>
      <c r="M203" s="20"/>
      <c r="N203" s="20"/>
      <c r="O203" s="20"/>
      <c r="P203" s="17"/>
      <c r="Q203" s="143"/>
    </row>
    <row r="204" spans="4:17">
      <c r="D204" s="22" t="str">
        <f>O64&amp;" "&amp;M60</f>
        <v xml:space="preserve"> 2029</v>
      </c>
      <c r="E204" s="31">
        <f ca="1">SUM(E197:E203)</f>
        <v>0</v>
      </c>
      <c r="F204" s="30"/>
      <c r="G204" s="25"/>
      <c r="H204" s="25"/>
      <c r="I204" s="25"/>
      <c r="J204" s="25">
        <f ca="1">K203</f>
        <v>0</v>
      </c>
      <c r="K204" s="26"/>
      <c r="L204" s="27" t="s">
        <v>33</v>
      </c>
      <c r="M204" s="20"/>
      <c r="N204" s="20"/>
      <c r="O204" s="20"/>
      <c r="P204" s="17"/>
      <c r="Q204" s="143"/>
    </row>
    <row r="205" spans="4:17" ht="15.75" thickBot="1">
      <c r="D205" s="17"/>
      <c r="E205" s="17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17"/>
      <c r="Q205" s="143"/>
    </row>
    <row r="206" spans="4:17" ht="15.75" thickBot="1">
      <c r="D206" s="32" t="s">
        <v>34</v>
      </c>
      <c r="E206" s="33"/>
      <c r="F206" s="34">
        <f>K205</f>
        <v>0</v>
      </c>
      <c r="G206" s="35"/>
      <c r="H206" s="36"/>
      <c r="I206" s="37"/>
      <c r="J206" s="38"/>
      <c r="K206" s="39"/>
      <c r="L206" s="27" t="s">
        <v>35</v>
      </c>
      <c r="M206" s="20"/>
      <c r="N206" s="20"/>
      <c r="O206" s="20"/>
      <c r="P206" s="17"/>
      <c r="Q206" s="143"/>
    </row>
    <row r="207" spans="4:17">
      <c r="D207" s="21"/>
      <c r="E207" s="21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21"/>
      <c r="Q207" s="143"/>
    </row>
    <row r="208" spans="4:17"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21"/>
      <c r="Q208" s="143"/>
    </row>
    <row r="209" spans="1:18"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21"/>
      <c r="Q209" s="143"/>
    </row>
    <row r="210" spans="1:18">
      <c r="A210" s="15"/>
      <c r="B210" s="15"/>
      <c r="C210" s="15"/>
      <c r="D210" s="15"/>
      <c r="E210" s="15"/>
      <c r="F210" s="15"/>
      <c r="G210" s="15"/>
      <c r="H210" s="15"/>
      <c r="I210" s="15"/>
      <c r="J210" s="21"/>
      <c r="K210" s="21"/>
      <c r="L210" s="21"/>
      <c r="M210" s="15"/>
      <c r="N210" s="21"/>
      <c r="O210" s="143"/>
    </row>
    <row r="211" spans="1:18">
      <c r="A211" s="15"/>
      <c r="B211" s="15"/>
      <c r="C211" s="15"/>
      <c r="D211" s="15"/>
      <c r="E211" s="15"/>
      <c r="F211" s="15"/>
      <c r="G211" s="15"/>
      <c r="H211" s="15"/>
      <c r="I211" s="21"/>
      <c r="J211" s="21"/>
      <c r="K211" s="21"/>
      <c r="L211" s="15"/>
      <c r="M211" s="21"/>
      <c r="N211" s="143"/>
    </row>
    <row r="212" spans="1:18">
      <c r="A212" s="40"/>
      <c r="B212" s="40"/>
      <c r="C212" s="40"/>
      <c r="D212" s="40"/>
      <c r="E212" s="40"/>
      <c r="F212" s="40"/>
      <c r="G212" s="40"/>
      <c r="H212" s="40"/>
    </row>
    <row r="213" spans="1:18">
      <c r="A213" s="40"/>
      <c r="B213" s="40"/>
      <c r="C213" s="40"/>
      <c r="D213" s="40"/>
      <c r="E213" s="40"/>
      <c r="F213" s="40"/>
      <c r="G213" s="40"/>
      <c r="H213" s="40"/>
    </row>
    <row r="214" spans="1:18">
      <c r="A214" s="3" t="str">
        <f ca="1">_xll.DBRA("tango_core_model:LTP_components","ZGP&amp;DispCountry_Plans","French")</f>
        <v>PBZ &amp; Cessions (Pays)</v>
      </c>
      <c r="B214" s="126" t="s">
        <v>115</v>
      </c>
      <c r="C214" s="2"/>
      <c r="D214" s="2"/>
      <c r="E214" s="229" t="str">
        <f>"In (M"&amp;Currency&amp;")"</f>
        <v>In (MEUR)</v>
      </c>
      <c r="F214" s="229" t="str">
        <f t="shared" ref="F214:M214" si="82">RIGHT(F$45,4)</f>
        <v>2022</v>
      </c>
      <c r="G214" s="229" t="str">
        <f t="shared" si="82"/>
        <v>2023</v>
      </c>
      <c r="H214" s="229" t="str">
        <f t="shared" si="82"/>
        <v>2024</v>
      </c>
      <c r="I214" s="229" t="str">
        <f t="shared" si="82"/>
        <v>2025</v>
      </c>
      <c r="J214" s="229" t="str">
        <f t="shared" si="82"/>
        <v>2026</v>
      </c>
      <c r="K214" s="229" t="str">
        <f t="shared" si="82"/>
        <v>2027</v>
      </c>
      <c r="L214" s="229" t="str">
        <f t="shared" si="82"/>
        <v>2028</v>
      </c>
      <c r="M214" s="229" t="str">
        <f t="shared" si="82"/>
        <v>2029</v>
      </c>
      <c r="N214" s="140"/>
    </row>
    <row r="215" spans="1:18" ht="15.75">
      <c r="A215" s="3" t="s">
        <v>197</v>
      </c>
      <c r="D215" s="2"/>
      <c r="E215" s="56" t="str">
        <f ca="1">_xll.DBRA("tango_core_model:Indicator_LTP",A215,"english")</f>
        <v>CAFOP before Management fees</v>
      </c>
      <c r="F215" s="241">
        <f ca="1">_xll.DBR($B$41,$B$46,$B$43,$A$214,$B$44,$B$47,F$45,$B$45,$A215)*F$9</f>
        <v>0</v>
      </c>
      <c r="G215" s="241">
        <f ca="1">_xll.DBR($B$41,$B$46,$B$43,$A$214,$B$44,$B$47,G$45,$B$45,$A215)*G$9</f>
        <v>0</v>
      </c>
      <c r="H215" s="241">
        <f ca="1">_xll.DBR($B$41,$B$46,$B$43,$A$214,$B$44,$B$47,H$45,$B$45,$A215)*H$9</f>
        <v>0</v>
      </c>
      <c r="I215" s="241">
        <f ca="1">_xll.DBR($B$41,$B$46,$B$43,$A$214,$B$44,$B$47,I$45,$B$45,$A215)*I$9</f>
        <v>0</v>
      </c>
      <c r="J215" s="241">
        <f ca="1">_xll.DBR($B$41,$B$46,$B$43,$A$214,$B$44,$B$47,J$45,$B$45,$A215)*J$9</f>
        <v>0</v>
      </c>
      <c r="K215" s="241">
        <f ca="1">_xll.DBR($B$41,$B$46,$B$43,$A$214,$B$44,$B$47,K$45,$B$45,$A215)*K$9</f>
        <v>0</v>
      </c>
      <c r="L215" s="241">
        <f ca="1">_xll.DBR($B$41,$B$46,$B$43,$A$214,$B$44,$B$47,L$45,$B$45,$A215)*L$9</f>
        <v>0</v>
      </c>
      <c r="M215" s="241">
        <f ca="1">_xll.DBR($B$41,$B$46,$B$43,$A$214,$B$44,$B$47,M$45,$B$45,$A215)*M$9</f>
        <v>0</v>
      </c>
      <c r="N215" s="140"/>
    </row>
    <row r="216" spans="1:18" ht="15.75">
      <c r="A216" s="3" t="s">
        <v>113</v>
      </c>
      <c r="B216" t="s">
        <v>208</v>
      </c>
      <c r="D216" s="2"/>
      <c r="E216" s="144" t="str">
        <f ca="1">_xll.DBRA("tango_core_model:Indicator_LTP",B216,"english")</f>
        <v>Amortization</v>
      </c>
      <c r="F216" s="242">
        <f ca="1">-_xll.DBR($B$41,$B$46,$B$43,$A$214,$B$44,$B$47,F$45,$B$45,$B216)*F$9-_xll.DBR($B$41,$B$46,$B$43,$A$214,$B$44,$B$47,F$45,$B$45,$A216)*F$9</f>
        <v>0</v>
      </c>
      <c r="G216" s="242">
        <f ca="1">-_xll.DBR($B$41,$B$46,$B$43,$A$214,$B$44,$B$47,G$45,$B$45,$B216)*G$9-_xll.DBR($B$41,$B$46,$B$43,$A$214,$B$44,$B$47,G$45,$B$45,$A216)*G$9</f>
        <v>0</v>
      </c>
      <c r="H216" s="242">
        <f ca="1">-_xll.DBR($B$41,$B$46,$B$43,$A$214,$B$44,$B$47,H$45,$B$45,$B216)*H$9-_xll.DBR($B$41,$B$46,$B$43,$A$214,$B$44,$B$47,H$45,$B$45,$A216)*H$9</f>
        <v>0</v>
      </c>
      <c r="I216" s="242">
        <f ca="1">-_xll.DBR($B$41,$B$46,$B$43,$A$214,$B$44,$B$47,I$45,$B$45,$B216)*I$9-_xll.DBR($B$41,$B$46,$B$43,$A$214,$B$44,$B$47,I$45,$B$45,$A216)*I$9</f>
        <v>0</v>
      </c>
      <c r="J216" s="242">
        <f ca="1">-_xll.DBR($B$41,$B$46,$B$43,$A$214,$B$44,$B$47,J$45,$B$45,$B216)*J$9-_xll.DBR($B$41,$B$46,$B$43,$A$214,$B$44,$B$47,J$45,$B$45,$A216)*J$9</f>
        <v>0</v>
      </c>
      <c r="K216" s="242">
        <f ca="1">-_xll.DBR($B$41,$B$46,$B$43,$A$214,$B$44,$B$47,K$45,$B$45,$B216)*K$9-_xll.DBR($B$41,$B$46,$B$43,$A$214,$B$44,$B$47,K$45,$B$45,$A216)*K$9</f>
        <v>0</v>
      </c>
      <c r="L216" s="242">
        <f ca="1">-_xll.DBR($B$41,$B$46,$B$43,$A$214,$B$44,$B$47,L$45,$B$45,$B216)*L$9-_xll.DBR($B$41,$B$46,$B$43,$A$214,$B$44,$B$47,L$45,$B$45,$A216)*L$9</f>
        <v>0</v>
      </c>
      <c r="M216" s="242">
        <f ca="1">-_xll.DBR($B$41,$B$46,$B$43,$A$214,$B$44,$B$47,M$45,$B$45,$B216)*M$9-_xll.DBR($B$41,$B$46,$B$43,$A$214,$B$44,$B$47,M$45,$B$45,$A216)*M$9</f>
        <v>0</v>
      </c>
      <c r="N216" s="140"/>
    </row>
    <row r="217" spans="1:18" ht="15.75">
      <c r="A217" s="3" t="s">
        <v>114</v>
      </c>
      <c r="B217" t="s">
        <v>209</v>
      </c>
      <c r="D217" s="2"/>
      <c r="E217" s="144" t="str">
        <f ca="1">_xll.DBRA("tango_core_model:Indicator_LTP",B217,"english")</f>
        <v>Provisions</v>
      </c>
      <c r="F217" s="242">
        <f ca="1">-_xll.DBR($B$41,$B$46,$B$43,$A$214,$B$44,$B$47,F$45,$B$45,$B217)*F$9-_xll.DBR($B$41,$B$46,$B$43,$A$214,$B$44,$B$47,F$45,$B$45,$A217)*F$9</f>
        <v>0</v>
      </c>
      <c r="G217" s="242">
        <f ca="1">-_xll.DBR($B$41,$B$46,$B$43,$A$214,$B$44,$B$47,G$45,$B$45,$B217)*G$9-_xll.DBR($B$41,$B$46,$B$43,$A$214,$B$44,$B$47,G$45,$B$45,$A217)*G$9</f>
        <v>0</v>
      </c>
      <c r="H217" s="242">
        <f ca="1">-_xll.DBR($B$41,$B$46,$B$43,$A$214,$B$44,$B$47,H$45,$B$45,$B217)*H$9-_xll.DBR($B$41,$B$46,$B$43,$A$214,$B$44,$B$47,H$45,$B$45,$A217)*H$9</f>
        <v>0</v>
      </c>
      <c r="I217" s="242">
        <f ca="1">-_xll.DBR($B$41,$B$46,$B$43,$A$214,$B$44,$B$47,I$45,$B$45,$B217)*I$9-_xll.DBR($B$41,$B$46,$B$43,$A$214,$B$44,$B$47,I$45,$B$45,$A217)*I$9</f>
        <v>0</v>
      </c>
      <c r="J217" s="242">
        <f ca="1">-_xll.DBR($B$41,$B$46,$B$43,$A$214,$B$44,$B$47,J$45,$B$45,$B217)*J$9-_xll.DBR($B$41,$B$46,$B$43,$A$214,$B$44,$B$47,J$45,$B$45,$A217)*J$9</f>
        <v>0</v>
      </c>
      <c r="K217" s="242">
        <f ca="1">-_xll.DBR($B$41,$B$46,$B$43,$A$214,$B$44,$B$47,K$45,$B$45,$B217)*K$9-_xll.DBR($B$41,$B$46,$B$43,$A$214,$B$44,$B$47,K$45,$B$45,$A217)*K$9</f>
        <v>0</v>
      </c>
      <c r="L217" s="242">
        <f ca="1">-_xll.DBR($B$41,$B$46,$B$43,$A$214,$B$44,$B$47,L$45,$B$45,$B217)*L$9-_xll.DBR($B$41,$B$46,$B$43,$A$214,$B$44,$B$47,L$45,$B$45,$A217)*L$9</f>
        <v>0</v>
      </c>
      <c r="M217" s="242">
        <f ca="1">-_xll.DBR($B$41,$B$46,$B$43,$A$214,$B$44,$B$47,M$45,$B$45,$B217)*M$9-_xll.DBR($B$41,$B$46,$B$43,$A$214,$B$44,$B$47,M$45,$B$45,$A217)*M$9</f>
        <v>0</v>
      </c>
      <c r="N217" s="145" t="e">
        <f ca="1">-_xll.DBR($B$41,$B$46,$B$43,$A$214,$B$44,$B$47,N$45,$B$45,$B217)*N$9-_xll.DBR($B$41,$B$46,$B$43,$A$214,$B$44,$B$47,N$45,$B$45,$A217)*N$9</f>
        <v>#VALUE!</v>
      </c>
      <c r="O217" s="145" t="e">
        <f ca="1">-_xll.DBR($B$41,$B$46,$B$43,$A$214,$B$44,$B$47,O$45,$B$45,$B217)*O$9-_xll.DBR($B$41,$B$46,$B$43,$A$214,$B$44,$B$47,O$45,$B$45,$A217)*O$9</f>
        <v>#VALUE!</v>
      </c>
    </row>
    <row r="218" spans="1:18" ht="15.75" customHeight="1">
      <c r="A218" s="3" t="s">
        <v>211</v>
      </c>
      <c r="B218" t="s">
        <v>210</v>
      </c>
      <c r="D218" s="2"/>
      <c r="E218" s="144" t="str">
        <f ca="1">_xll.DBRA("tango_core_model:Indicator_LTP",B218,"english")</f>
        <v>Profit or loss of associates &amp; JV</v>
      </c>
      <c r="F218" s="242">
        <f ca="1">_xll.DBR($B$41,$B$46,$B$43,$A$214,$B$44,$B$47,F$45,$B$45,$B218)*F$9+_xll.DBR($B$41,$B$46,$B$43,$A$214,$B$44,$B$47,F$45,$B$45,$A218)*F$9</f>
        <v>0</v>
      </c>
      <c r="G218" s="242">
        <f ca="1">_xll.DBR($B$41,$B$46,$B$43,$A$214,$B$44,$B$47,G$45,$B$45,$B218)*G$9+_xll.DBR($B$41,$B$46,$B$43,$A$214,$B$44,$B$47,G$45,$B$45,$A218)*G$9</f>
        <v>0</v>
      </c>
      <c r="H218" s="242">
        <f ca="1">_xll.DBR($B$41,$B$46,$B$43,$A$214,$B$44,$B$47,H$45,$B$45,$B218)*H$9+_xll.DBR($B$41,$B$46,$B$43,$A$214,$B$44,$B$47,H$45,$B$45,$A218)*H$9</f>
        <v>0</v>
      </c>
      <c r="I218" s="242">
        <f ca="1">_xll.DBR($B$41,$B$46,$B$43,$A$214,$B$44,$B$47,I$45,$B$45,$B218)*I$9+_xll.DBR($B$41,$B$46,$B$43,$A$214,$B$44,$B$47,I$45,$B$45,$A218)*I$9</f>
        <v>0</v>
      </c>
      <c r="J218" s="242">
        <f ca="1">_xll.DBR($B$41,$B$46,$B$43,$A$214,$B$44,$B$47,J$45,$B$45,$B218)*J$9+_xll.DBR($B$41,$B$46,$B$43,$A$214,$B$44,$B$47,J$45,$B$45,$A218)*J$9</f>
        <v>0</v>
      </c>
      <c r="K218" s="242">
        <f ca="1">_xll.DBR($B$41,$B$46,$B$43,$A$214,$B$44,$B$47,K$45,$B$45,$B218)*K$9+_xll.DBR($B$41,$B$46,$B$43,$A$214,$B$44,$B$47,K$45,$B$45,$A218)*K$9</f>
        <v>0</v>
      </c>
      <c r="L218" s="242">
        <f ca="1">_xll.DBR($B$41,$B$46,$B$43,$A$214,$B$44,$B$47,L$45,$B$45,$B218)*L$9+_xll.DBR($B$41,$B$46,$B$43,$A$214,$B$44,$B$47,L$45,$B$45,$A218)*L$9</f>
        <v>0</v>
      </c>
      <c r="M218" s="242">
        <f ca="1">_xll.DBR($B$41,$B$46,$B$43,$A$214,$B$44,$B$47,M$45,$B$45,$B218)*M$9+_xll.DBR($B$41,$B$46,$B$43,$A$214,$B$44,$B$47,M$45,$B$45,$A218)*M$9</f>
        <v>0</v>
      </c>
      <c r="N218" s="140"/>
    </row>
    <row r="219" spans="1:18" ht="15.75">
      <c r="A219" s="3"/>
      <c r="B219" t="s">
        <v>212</v>
      </c>
      <c r="D219" s="2"/>
      <c r="E219" s="144" t="str">
        <f ca="1">_xll.DBRA("tango_core_model:Indicator_LTP",B219,"english")</f>
        <v>Other non cash items (Gain or loss on sales, Impairment)</v>
      </c>
      <c r="F219" s="242">
        <f ca="1">F220-F215-SUM(F216:F218)</f>
        <v>0</v>
      </c>
      <c r="G219" s="242">
        <f t="shared" ref="G219:M219" ca="1" si="83">G220-G215-SUM(G216:G218)</f>
        <v>0</v>
      </c>
      <c r="H219" s="242">
        <f t="shared" ca="1" si="83"/>
        <v>0</v>
      </c>
      <c r="I219" s="242">
        <f t="shared" ca="1" si="83"/>
        <v>0</v>
      </c>
      <c r="J219" s="242">
        <f t="shared" ca="1" si="83"/>
        <v>0</v>
      </c>
      <c r="K219" s="242">
        <f t="shared" ca="1" si="83"/>
        <v>0</v>
      </c>
      <c r="L219" s="242">
        <f t="shared" ca="1" si="83"/>
        <v>0</v>
      </c>
      <c r="M219" s="242">
        <f t="shared" ca="1" si="83"/>
        <v>0</v>
      </c>
      <c r="N219" s="140"/>
    </row>
    <row r="220" spans="1:18" ht="15.75">
      <c r="A220" s="3" t="s">
        <v>192</v>
      </c>
      <c r="B220" s="2"/>
      <c r="C220" s="2"/>
      <c r="D220" s="2"/>
      <c r="E220" s="56" t="str">
        <f ca="1">_xll.DBRA("tango_core_model:Indicator_LTP",A220,"english")</f>
        <v>RESOP before Management fees</v>
      </c>
      <c r="F220" s="241">
        <f ca="1">_xll.DBR($B$41,$B$46,$B$43,$A$214,$B$44,$B$47,F$45,$B$45,$A220)*F$9</f>
        <v>0</v>
      </c>
      <c r="G220" s="241">
        <f ca="1">_xll.DBR($B$41,$B$46,$B$43,$A$214,$B$44,$B$47,G$45,$B$45,$A220)*G$9</f>
        <v>0</v>
      </c>
      <c r="H220" s="241">
        <f ca="1">_xll.DBR($B$41,$B$46,$B$43,$A$214,$B$44,$B$47,H$45,$B$45,$A220)*H$9</f>
        <v>0</v>
      </c>
      <c r="I220" s="241">
        <f ca="1">_xll.DBR($B$41,$B$46,$B$43,$A$214,$B$44,$B$47,I$45,$B$45,$A220)*I$9</f>
        <v>0</v>
      </c>
      <c r="J220" s="241">
        <f ca="1">_xll.DBR($B$41,$B$46,$B$43,$A$214,$B$44,$B$47,J$45,$B$45,$A220)*J$9</f>
        <v>0</v>
      </c>
      <c r="K220" s="241">
        <f ca="1">_xll.DBR($B$41,$B$46,$B$43,$A$214,$B$44,$B$47,K$45,$B$45,$A220)*K$9</f>
        <v>0</v>
      </c>
      <c r="L220" s="241">
        <f ca="1">_xll.DBR($B$41,$B$46,$B$43,$A$214,$B$44,$B$47,L$45,$B$45,$A220)*L$9</f>
        <v>0</v>
      </c>
      <c r="M220" s="241">
        <f ca="1">_xll.DBR($B$41,$B$46,$B$43,$A$214,$B$44,$B$47,M$45,$B$45,$A220)*M$9</f>
        <v>0</v>
      </c>
      <c r="N220" s="140"/>
    </row>
    <row r="222" spans="1:18" s="150" customFormat="1" ht="15.75">
      <c r="A222" s="146"/>
      <c r="B222" s="146"/>
      <c r="C222" s="146"/>
      <c r="D222" s="146"/>
      <c r="E222" s="147" t="s">
        <v>112</v>
      </c>
      <c r="F222" s="148">
        <f t="shared" ref="F222:M222" ca="1" si="84">SUM(F215:F219)-F220</f>
        <v>0</v>
      </c>
      <c r="G222" s="148">
        <f t="shared" ca="1" si="84"/>
        <v>0</v>
      </c>
      <c r="H222" s="148">
        <f t="shared" ca="1" si="84"/>
        <v>0</v>
      </c>
      <c r="I222" s="148">
        <f t="shared" ca="1" si="84"/>
        <v>0</v>
      </c>
      <c r="J222" s="148">
        <f t="shared" ca="1" si="84"/>
        <v>0</v>
      </c>
      <c r="K222" s="148">
        <f t="shared" ca="1" si="84"/>
        <v>0</v>
      </c>
      <c r="L222" s="148">
        <f t="shared" ca="1" si="84"/>
        <v>0</v>
      </c>
      <c r="M222" s="148">
        <f t="shared" ca="1" si="84"/>
        <v>0</v>
      </c>
      <c r="N222" s="149" t="str">
        <f ca="1">IFERROR(((M222/F222)^(1/7)-1),"-")</f>
        <v>-</v>
      </c>
      <c r="R222"/>
    </row>
    <row r="223" spans="1:18" ht="15.75" customHeight="1"/>
    <row r="226" spans="18:18">
      <c r="R226" s="150"/>
    </row>
  </sheetData>
  <protectedRanges>
    <protectedRange sqref="Q44 U44 Z44 AL38" name="Plage2"/>
  </protectedRanges>
  <mergeCells count="4">
    <mergeCell ref="A1:B1"/>
    <mergeCell ref="A40:B40"/>
    <mergeCell ref="F2:K2"/>
    <mergeCell ref="A191:B191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5BC84F43-BD47-4DF5-8C5A-1B6D6C61F93F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F18:L18</xm:sqref>
        </x14:conditionalFormatting>
        <x14:conditionalFormatting xmlns:xm="http://schemas.microsoft.com/office/excel/2006/main">
          <x14:cfRule type="iconSet" priority="5" id="{CE83EC3F-967F-4E28-B4C3-24E60F54B41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F24:L24</xm:sqref>
        </x14:conditionalFormatting>
        <x14:conditionalFormatting xmlns:xm="http://schemas.microsoft.com/office/excel/2006/main">
          <x14:cfRule type="iconSet" priority="3" id="{6AE8834A-B271-4BB9-8331-5696490B4BFE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F30:L31</xm:sqref>
        </x14:conditionalFormatting>
        <x14:conditionalFormatting xmlns:xm="http://schemas.microsoft.com/office/excel/2006/main">
          <x14:cfRule type="iconSet" priority="2" id="{47532E6A-B071-4191-B8B0-927D0DE47C93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F36:L36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D24" sqref="D24"/>
    </sheetView>
  </sheetViews>
  <sheetFormatPr baseColWidth="10" defaultRowHeight="15"/>
  <cols>
    <col min="26" max="26" width="5.7109375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4" sqref="D24"/>
    </sheetView>
  </sheetViews>
  <sheetFormatPr baseColWidth="10" defaultRowHeight="15"/>
  <cols>
    <col min="26" max="26" width="5.7109375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4" sqref="D24"/>
    </sheetView>
  </sheetViews>
  <sheetFormatPr baseColWidth="10" defaultRowHeight="15"/>
  <cols>
    <col min="26" max="26" width="5.71093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b49a2378-73c7-4e4c-bff8-b85a2f404b86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8D25331-54FA-4F18-803B-4C342D01E9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8E886F4-0AA0-48FA-91B8-2BFB030EF382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59A6D20B-4FBE-4D10-943C-070CCEEA0CB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1D6232E-34B6-4C10-9C28-BD5873D3F7BC}">
  <ds:schemaRefs>
    <ds:schemaRef ds:uri="http://purl.org/dc/elements/1.1/"/>
    <ds:schemaRef ds:uri="7ab32658-e8b5-4d7e-b280-1fb722dd2be1"/>
    <ds:schemaRef ds:uri="http://schemas.microsoft.com/office/2006/documentManagement/types"/>
    <ds:schemaRef ds:uri="37c46d26-95e5-4380-a06b-df42f7fe1bef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17</vt:i4>
      </vt:variant>
    </vt:vector>
  </HeadingPairs>
  <TitlesOfParts>
    <vt:vector size="39" baseType="lpstr">
      <vt:lpstr>Context</vt:lpstr>
      <vt:lpstr>Plan Output</vt:lpstr>
      <vt:lpstr>Page 8 - comparison country lev</vt:lpstr>
      <vt:lpstr>Page 8a - comparison activity</vt:lpstr>
      <vt:lpstr>Page 5 - market outlook</vt:lpstr>
      <vt:lpstr>Page 10 - key ind total LTP 1</vt:lpstr>
      <vt:lpstr>Page 11 - Key ind total LTP 2</vt:lpstr>
      <vt:lpstr>Page 12 - Revenue bridge total</vt:lpstr>
      <vt:lpstr>Page 14 - Renewals &amp; losses</vt:lpstr>
      <vt:lpstr>Page 14 - ZGP revenue</vt:lpstr>
      <vt:lpstr>Page 15 - ZGP EBIT</vt:lpstr>
      <vt:lpstr>Page 15 - ZGP EBIT bridge</vt:lpstr>
      <vt:lpstr>Page 16 - ZGP invest</vt:lpstr>
      <vt:lpstr>Page 18 - model a</vt:lpstr>
      <vt:lpstr>Page 18 - model b</vt:lpstr>
      <vt:lpstr>Page 19 - Organic Growth</vt:lpstr>
      <vt:lpstr>Page 20 - Organic Growth invest</vt:lpstr>
      <vt:lpstr>External growth</vt:lpstr>
      <vt:lpstr>Base</vt:lpstr>
      <vt:lpstr>Feuil1</vt:lpstr>
      <vt:lpstr>Feuil2</vt:lpstr>
      <vt:lpstr>Feuil4</vt:lpstr>
      <vt:lpstr>Activity</vt:lpstr>
      <vt:lpstr>AutoRefresh_Output</vt:lpstr>
      <vt:lpstr>'Plan Output'!ctx_activity_Context</vt:lpstr>
      <vt:lpstr>'Plan Output'!ctx_legal_Context</vt:lpstr>
      <vt:lpstr>Currency</vt:lpstr>
      <vt:lpstr>Currency_list</vt:lpstr>
      <vt:lpstr>Current_Version</vt:lpstr>
      <vt:lpstr>Devise</vt:lpstr>
      <vt:lpstr>Language</vt:lpstr>
      <vt:lpstr>Legal_organization</vt:lpstr>
      <vt:lpstr>LY_Version</vt:lpstr>
      <vt:lpstr>N</vt:lpstr>
      <vt:lpstr>'Plan Output'!Print_Area</vt:lpstr>
      <vt:lpstr>'Plan Output'!Server</vt:lpstr>
      <vt:lpstr>xActualPhase</vt:lpstr>
      <vt:lpstr>xServer</vt:lpstr>
      <vt:lpstr>'Plan Output'!Zone_d_impression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pierre.talgorn</dc:creator>
  <cp:lastModifiedBy>MARTINEAU, Julie</cp:lastModifiedBy>
  <cp:lastPrinted>2021-10-12T16:07:41Z</cp:lastPrinted>
  <dcterms:created xsi:type="dcterms:W3CDTF">2014-04-28T17:19:46Z</dcterms:created>
  <dcterms:modified xsi:type="dcterms:W3CDTF">2023-07-26T16:11:02Z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