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195" windowWidth="18105" windowHeight="9540" tabRatio="745"/>
  </bookViews>
  <sheets>
    <sheet name="Context" sheetId="61" r:id="rId1"/>
    <sheet name="Country" sheetId="65" r:id="rId2"/>
    <sheet name="Contracts" sheetId="66" r:id="rId3"/>
    <sheet name="active form contrat" sheetId="67" state="hidden" r:id="rId4"/>
    <sheet name="{PL}PickLst" sheetId="68" state="hidden" r:id="rId5"/>
  </sheets>
  <definedNames>
    <definedName name="_Order1" hidden="1">255</definedName>
    <definedName name="_Order2" hidden="1">255</definedName>
    <definedName name="Activity_1">Context!$E$20</definedName>
    <definedName name="Activity_2">Context!$F$20</definedName>
    <definedName name="Activity_3">Context!$G$20</definedName>
    <definedName name="Actual_Month">Context!$E$64</definedName>
    <definedName name="Country">Context!$E$7</definedName>
    <definedName name="Cube">Context!$E$5</definedName>
    <definedName name="Devise">Context!$E$9</definedName>
    <definedName name="Gaap">Context!$E$13</definedName>
    <definedName name="Integration_Rate">Context!$E$22</definedName>
    <definedName name="Language">Context!$E$11</definedName>
    <definedName name="Local_Gaap_Mgmt_tool">Context!$E$21:$E$24</definedName>
    <definedName name="Management_Organization">Context!$E$24</definedName>
    <definedName name="PriorYear">Context!$E$65</definedName>
    <definedName name="Server">Context!#REF!</definedName>
    <definedName name="TM1REBUILDOPTION">0</definedName>
    <definedName name="TM1RPTDATARNG1" localSheetId="3">'active form contrat'!$22:$22</definedName>
    <definedName name="TM1RPTFMTIDCOL" localSheetId="3">'active form contrat'!$A$1:$A$8</definedName>
    <definedName name="TM1RPTFMTRNG" localSheetId="3">'active form contrat'!$B$1:$C$8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E64" i="61" l="1"/>
  <c r="E16" i="61"/>
  <c r="E65" i="61"/>
  <c r="G16" i="61"/>
  <c r="F16" i="61"/>
  <c r="B9" i="67"/>
  <c r="C12" i="67"/>
  <c r="E13" i="61"/>
  <c r="C13" i="67"/>
  <c r="C14" i="67"/>
  <c r="C15" i="67"/>
  <c r="F13" i="67"/>
  <c r="C20" i="67"/>
  <c r="F14" i="67"/>
  <c r="C21" i="67"/>
  <c r="F12" i="67"/>
  <c r="C19" i="67"/>
  <c r="G42" i="61"/>
  <c r="F42" i="61"/>
  <c r="E42" i="61"/>
  <c r="D17" i="66"/>
  <c r="B3" i="65"/>
  <c r="AF6" i="65"/>
  <c r="B5" i="65"/>
  <c r="B4" i="65"/>
  <c r="E22" i="61"/>
  <c r="B6" i="65"/>
  <c r="AF7" i="65"/>
  <c r="E24" i="61"/>
  <c r="B9" i="65"/>
  <c r="AF4" i="65"/>
  <c r="G17" i="61"/>
  <c r="AF5" i="65"/>
  <c r="E9" i="61"/>
  <c r="AF8" i="65"/>
  <c r="AF38" i="65"/>
  <c r="AF39" i="65"/>
  <c r="AF36" i="65"/>
  <c r="AF88" i="65"/>
  <c r="AF17" i="65"/>
  <c r="AF89" i="65"/>
  <c r="AE6" i="65"/>
  <c r="AE7" i="65"/>
  <c r="AE4" i="65"/>
  <c r="AE5" i="65"/>
  <c r="AE8" i="65"/>
  <c r="AE38" i="65"/>
  <c r="AE39" i="65"/>
  <c r="AE36" i="65"/>
  <c r="AE88" i="65"/>
  <c r="AE17" i="65"/>
  <c r="AE89" i="65"/>
  <c r="AD7" i="65"/>
  <c r="AD4" i="65"/>
  <c r="AD5" i="65"/>
  <c r="AD8" i="65"/>
  <c r="AD38" i="65"/>
  <c r="AD39" i="65"/>
  <c r="AD36" i="65"/>
  <c r="AD88" i="65"/>
  <c r="AD17" i="65"/>
  <c r="AD89" i="65"/>
  <c r="E41" i="61"/>
  <c r="E49" i="61"/>
  <c r="E51" i="61"/>
  <c r="E45" i="61"/>
  <c r="E20" i="61"/>
  <c r="H6" i="65"/>
  <c r="H7" i="65"/>
  <c r="H4" i="65"/>
  <c r="H5" i="65"/>
  <c r="H8" i="65"/>
  <c r="H38" i="65"/>
  <c r="H39" i="65"/>
  <c r="H36" i="65"/>
  <c r="F41" i="61"/>
  <c r="F49" i="61"/>
  <c r="F51" i="61"/>
  <c r="F45" i="61"/>
  <c r="F20" i="61"/>
  <c r="N6" i="65"/>
  <c r="N7" i="65"/>
  <c r="N4" i="65"/>
  <c r="N5" i="65"/>
  <c r="N8" i="65"/>
  <c r="N38" i="65"/>
  <c r="N39" i="65"/>
  <c r="N36" i="65"/>
  <c r="G41" i="61"/>
  <c r="G49" i="61"/>
  <c r="G51" i="61"/>
  <c r="G45" i="61"/>
  <c r="G20" i="61"/>
  <c r="T6" i="65"/>
  <c r="T7" i="65"/>
  <c r="T4" i="65"/>
  <c r="T5" i="65"/>
  <c r="T8" i="65"/>
  <c r="T38" i="65"/>
  <c r="T39" i="65"/>
  <c r="T36" i="65"/>
  <c r="Z36" i="65"/>
  <c r="Z88" i="65"/>
  <c r="H17" i="65"/>
  <c r="N17" i="65"/>
  <c r="T17" i="65"/>
  <c r="Z17" i="65"/>
  <c r="Z89" i="65"/>
  <c r="G6" i="65"/>
  <c r="G7" i="65"/>
  <c r="G4" i="65"/>
  <c r="G5" i="65"/>
  <c r="G8" i="65"/>
  <c r="G38" i="65"/>
  <c r="G39" i="65"/>
  <c r="G36" i="65"/>
  <c r="M6" i="65"/>
  <c r="M7" i="65"/>
  <c r="M4" i="65"/>
  <c r="M5" i="65"/>
  <c r="M8" i="65"/>
  <c r="M38" i="65"/>
  <c r="M39" i="65"/>
  <c r="M36" i="65"/>
  <c r="S6" i="65"/>
  <c r="S7" i="65"/>
  <c r="S4" i="65"/>
  <c r="S5" i="65"/>
  <c r="S8" i="65"/>
  <c r="S38" i="65"/>
  <c r="S39" i="65"/>
  <c r="S36" i="65"/>
  <c r="Y36" i="65"/>
  <c r="Y88" i="65"/>
  <c r="G17" i="65"/>
  <c r="M17" i="65"/>
  <c r="S17" i="65"/>
  <c r="Y17" i="65"/>
  <c r="Y89" i="65"/>
  <c r="F6" i="65"/>
  <c r="F7" i="65"/>
  <c r="F4" i="65"/>
  <c r="F5" i="65"/>
  <c r="F8" i="65"/>
  <c r="F38" i="65"/>
  <c r="F39" i="65"/>
  <c r="F36" i="65"/>
  <c r="L6" i="65"/>
  <c r="L7" i="65"/>
  <c r="L4" i="65"/>
  <c r="L5" i="65"/>
  <c r="L8" i="65"/>
  <c r="L38" i="65"/>
  <c r="L39" i="65"/>
  <c r="L36" i="65"/>
  <c r="R6" i="65"/>
  <c r="R7" i="65"/>
  <c r="R4" i="65"/>
  <c r="R5" i="65"/>
  <c r="R8" i="65"/>
  <c r="R38" i="65"/>
  <c r="R39" i="65"/>
  <c r="R36" i="65"/>
  <c r="X36" i="65"/>
  <c r="X88" i="65"/>
  <c r="F17" i="65"/>
  <c r="L17" i="65"/>
  <c r="R17" i="65"/>
  <c r="X17" i="65"/>
  <c r="X89" i="65"/>
  <c r="T88" i="65"/>
  <c r="T89" i="65"/>
  <c r="S88" i="65"/>
  <c r="S89" i="65"/>
  <c r="R88" i="65"/>
  <c r="R89" i="65"/>
  <c r="N88" i="65"/>
  <c r="N89" i="65"/>
  <c r="M88" i="65"/>
  <c r="M89" i="65"/>
  <c r="L88" i="65"/>
  <c r="L89" i="65"/>
  <c r="H88" i="65"/>
  <c r="H89" i="65"/>
  <c r="G88" i="65"/>
  <c r="G89" i="65"/>
  <c r="F88" i="65"/>
  <c r="F89" i="65"/>
  <c r="AF80" i="65"/>
  <c r="AF81" i="65"/>
  <c r="AE80" i="65"/>
  <c r="AE81" i="65"/>
  <c r="AD80" i="65"/>
  <c r="AD81" i="65"/>
  <c r="H80" i="65"/>
  <c r="N80" i="65"/>
  <c r="T80" i="65"/>
  <c r="Z80" i="65"/>
  <c r="Z81" i="65"/>
  <c r="G80" i="65"/>
  <c r="M80" i="65"/>
  <c r="S80" i="65"/>
  <c r="Y80" i="65"/>
  <c r="Y81" i="65"/>
  <c r="F80" i="65"/>
  <c r="L80" i="65"/>
  <c r="R80" i="65"/>
  <c r="X80" i="65"/>
  <c r="X81" i="65"/>
  <c r="T81" i="65"/>
  <c r="S81" i="65"/>
  <c r="R81" i="65"/>
  <c r="N81" i="65"/>
  <c r="M81" i="65"/>
  <c r="L81" i="65"/>
  <c r="H81" i="65"/>
  <c r="G81" i="65"/>
  <c r="F81" i="65"/>
  <c r="AD75" i="65"/>
  <c r="AD77" i="65"/>
  <c r="AD78" i="65"/>
  <c r="AF75" i="65"/>
  <c r="AF77" i="65"/>
  <c r="AF78" i="65"/>
  <c r="AH78" i="65"/>
  <c r="AE75" i="65"/>
  <c r="AE77" i="65"/>
  <c r="AE78" i="65"/>
  <c r="AG78" i="65"/>
  <c r="F75" i="65"/>
  <c r="L75" i="65"/>
  <c r="R75" i="65"/>
  <c r="X75" i="65"/>
  <c r="F77" i="65"/>
  <c r="L77" i="65"/>
  <c r="R77" i="65"/>
  <c r="X77" i="65"/>
  <c r="X78" i="65"/>
  <c r="H75" i="65"/>
  <c r="N75" i="65"/>
  <c r="T75" i="65"/>
  <c r="Z75" i="65"/>
  <c r="H77" i="65"/>
  <c r="N77" i="65"/>
  <c r="T77" i="65"/>
  <c r="Z77" i="65"/>
  <c r="Z78" i="65"/>
  <c r="AB78" i="65"/>
  <c r="G75" i="65"/>
  <c r="M75" i="65"/>
  <c r="S75" i="65"/>
  <c r="Y75" i="65"/>
  <c r="G77" i="65"/>
  <c r="M77" i="65"/>
  <c r="S77" i="65"/>
  <c r="Y77" i="65"/>
  <c r="Y78" i="65"/>
  <c r="AA78" i="65"/>
  <c r="R78" i="65"/>
  <c r="T78" i="65"/>
  <c r="V78" i="65"/>
  <c r="S78" i="65"/>
  <c r="U78" i="65"/>
  <c r="L78" i="65"/>
  <c r="N78" i="65"/>
  <c r="P78" i="65"/>
  <c r="M78" i="65"/>
  <c r="O78" i="65"/>
  <c r="F78" i="65"/>
  <c r="H78" i="65"/>
  <c r="J78" i="65"/>
  <c r="G78" i="65"/>
  <c r="I78" i="65"/>
  <c r="AD68" i="65"/>
  <c r="AD76" i="65"/>
  <c r="AF68" i="65"/>
  <c r="AF76" i="65"/>
  <c r="AH76" i="65"/>
  <c r="AE68" i="65"/>
  <c r="AE76" i="65"/>
  <c r="AG76" i="65"/>
  <c r="F68" i="65"/>
  <c r="L68" i="65"/>
  <c r="R68" i="65"/>
  <c r="X68" i="65"/>
  <c r="X76" i="65"/>
  <c r="H68" i="65"/>
  <c r="N68" i="65"/>
  <c r="T68" i="65"/>
  <c r="Z68" i="65"/>
  <c r="Z76" i="65"/>
  <c r="AB76" i="65"/>
  <c r="G68" i="65"/>
  <c r="M68" i="65"/>
  <c r="S68" i="65"/>
  <c r="Y68" i="65"/>
  <c r="Y76" i="65"/>
  <c r="AA76" i="65"/>
  <c r="R76" i="65"/>
  <c r="T76" i="65"/>
  <c r="V76" i="65"/>
  <c r="S76" i="65"/>
  <c r="U76" i="65"/>
  <c r="L76" i="65"/>
  <c r="N76" i="65"/>
  <c r="P76" i="65"/>
  <c r="M76" i="65"/>
  <c r="O76" i="65"/>
  <c r="F76" i="65"/>
  <c r="H76" i="65"/>
  <c r="J76" i="65"/>
  <c r="G76" i="65"/>
  <c r="I76" i="65"/>
  <c r="AF66" i="65"/>
  <c r="AF67" i="65"/>
  <c r="AE66" i="65"/>
  <c r="AE67" i="65"/>
  <c r="AD66" i="65"/>
  <c r="AD67" i="65"/>
  <c r="H66" i="65"/>
  <c r="N66" i="65"/>
  <c r="T66" i="65"/>
  <c r="Z66" i="65"/>
  <c r="Z67" i="65"/>
  <c r="G66" i="65"/>
  <c r="M66" i="65"/>
  <c r="S66" i="65"/>
  <c r="Y66" i="65"/>
  <c r="Y67" i="65"/>
  <c r="F66" i="65"/>
  <c r="L66" i="65"/>
  <c r="R66" i="65"/>
  <c r="X66" i="65"/>
  <c r="X67" i="65"/>
  <c r="T67" i="65"/>
  <c r="S67" i="65"/>
  <c r="R67" i="65"/>
  <c r="N67" i="65"/>
  <c r="M67" i="65"/>
  <c r="L67" i="65"/>
  <c r="H67" i="65"/>
  <c r="G67" i="65"/>
  <c r="F67" i="65"/>
  <c r="AF57" i="65"/>
  <c r="AF58" i="65"/>
  <c r="AE57" i="65"/>
  <c r="AE58" i="65"/>
  <c r="AD57" i="65"/>
  <c r="AD58" i="65"/>
  <c r="H57" i="65"/>
  <c r="N57" i="65"/>
  <c r="T57" i="65"/>
  <c r="Z57" i="65"/>
  <c r="Z58" i="65"/>
  <c r="G57" i="65"/>
  <c r="M57" i="65"/>
  <c r="S57" i="65"/>
  <c r="Y57" i="65"/>
  <c r="Y58" i="65"/>
  <c r="F57" i="65"/>
  <c r="L57" i="65"/>
  <c r="R57" i="65"/>
  <c r="X57" i="65"/>
  <c r="X58" i="65"/>
  <c r="T58" i="65"/>
  <c r="S58" i="65"/>
  <c r="R58" i="65"/>
  <c r="N58" i="65"/>
  <c r="M58" i="65"/>
  <c r="L58" i="65"/>
  <c r="H58" i="65"/>
  <c r="G58" i="65"/>
  <c r="F58" i="65"/>
  <c r="AD63" i="65"/>
  <c r="AD64" i="65"/>
  <c r="AF63" i="65"/>
  <c r="AF64" i="65"/>
  <c r="AH64" i="65"/>
  <c r="AE63" i="65"/>
  <c r="AE64" i="65"/>
  <c r="AG64" i="65"/>
  <c r="F63" i="65"/>
  <c r="L63" i="65"/>
  <c r="R63" i="65"/>
  <c r="X63" i="65"/>
  <c r="X64" i="65"/>
  <c r="H63" i="65"/>
  <c r="N63" i="65"/>
  <c r="T63" i="65"/>
  <c r="Z63" i="65"/>
  <c r="Z64" i="65"/>
  <c r="AB64" i="65"/>
  <c r="G63" i="65"/>
  <c r="M63" i="65"/>
  <c r="S63" i="65"/>
  <c r="Y63" i="65"/>
  <c r="Y64" i="65"/>
  <c r="AA64" i="65"/>
  <c r="R64" i="65"/>
  <c r="T64" i="65"/>
  <c r="V64" i="65"/>
  <c r="S64" i="65"/>
  <c r="U64" i="65"/>
  <c r="L64" i="65"/>
  <c r="N64" i="65"/>
  <c r="P64" i="65"/>
  <c r="M64" i="65"/>
  <c r="O64" i="65"/>
  <c r="F64" i="65"/>
  <c r="H64" i="65"/>
  <c r="J64" i="65"/>
  <c r="G64" i="65"/>
  <c r="I64" i="65"/>
  <c r="AF48" i="65"/>
  <c r="AF49" i="65"/>
  <c r="AE48" i="65"/>
  <c r="AE49" i="65"/>
  <c r="AD48" i="65"/>
  <c r="AD49" i="65"/>
  <c r="H48" i="65"/>
  <c r="N48" i="65"/>
  <c r="T48" i="65"/>
  <c r="Z48" i="65"/>
  <c r="Z49" i="65"/>
  <c r="G48" i="65"/>
  <c r="M48" i="65"/>
  <c r="S48" i="65"/>
  <c r="Y48" i="65"/>
  <c r="Y49" i="65"/>
  <c r="F48" i="65"/>
  <c r="L48" i="65"/>
  <c r="R48" i="65"/>
  <c r="X48" i="65"/>
  <c r="X49" i="65"/>
  <c r="T49" i="65"/>
  <c r="S49" i="65"/>
  <c r="R49" i="65"/>
  <c r="N49" i="65"/>
  <c r="M49" i="65"/>
  <c r="L49" i="65"/>
  <c r="H49" i="65"/>
  <c r="G49" i="65"/>
  <c r="F49" i="65"/>
  <c r="AF37" i="65"/>
  <c r="AE37" i="65"/>
  <c r="AD37" i="65"/>
  <c r="Z37" i="65"/>
  <c r="Y37" i="65"/>
  <c r="X37" i="65"/>
  <c r="T37" i="65"/>
  <c r="S37" i="65"/>
  <c r="R37" i="65"/>
  <c r="N37" i="65"/>
  <c r="M37" i="65"/>
  <c r="L37" i="65"/>
  <c r="H37" i="65"/>
  <c r="G37" i="65"/>
  <c r="F37" i="65"/>
  <c r="AF33" i="65"/>
  <c r="AF34" i="65"/>
  <c r="AE33" i="65"/>
  <c r="AE34" i="65"/>
  <c r="AD33" i="65"/>
  <c r="AD34" i="65"/>
  <c r="H33" i="65"/>
  <c r="N33" i="65"/>
  <c r="T33" i="65"/>
  <c r="Z33" i="65"/>
  <c r="Z34" i="65"/>
  <c r="G33" i="65"/>
  <c r="M33" i="65"/>
  <c r="S33" i="65"/>
  <c r="Y33" i="65"/>
  <c r="Y34" i="65"/>
  <c r="F33" i="65"/>
  <c r="L33" i="65"/>
  <c r="R33" i="65"/>
  <c r="X33" i="65"/>
  <c r="X34" i="65"/>
  <c r="T34" i="65"/>
  <c r="S34" i="65"/>
  <c r="R34" i="65"/>
  <c r="N34" i="65"/>
  <c r="M34" i="65"/>
  <c r="L34" i="65"/>
  <c r="H34" i="65"/>
  <c r="G34" i="65"/>
  <c r="F34" i="65"/>
  <c r="B5" i="66"/>
  <c r="B4" i="66"/>
  <c r="B6" i="66"/>
  <c r="AX4" i="66"/>
  <c r="AX5" i="66"/>
  <c r="AX6" i="66"/>
  <c r="AX7" i="66"/>
  <c r="B3" i="66"/>
  <c r="B7" i="66"/>
  <c r="AX17" i="66"/>
  <c r="AX18" i="66"/>
  <c r="AX19" i="66"/>
  <c r="AX20" i="66"/>
  <c r="AX21" i="66"/>
  <c r="AX22" i="66"/>
  <c r="AX23" i="66"/>
  <c r="AX24" i="66"/>
  <c r="AX25" i="66"/>
  <c r="AX26" i="66"/>
  <c r="AX27" i="66"/>
  <c r="AX28" i="66"/>
  <c r="AX29" i="66"/>
  <c r="AX30" i="66"/>
  <c r="AX31" i="66"/>
  <c r="AX32" i="66"/>
  <c r="AX33" i="66"/>
  <c r="AX34" i="66"/>
  <c r="AX35" i="66"/>
  <c r="AX36" i="66"/>
  <c r="AX37" i="66"/>
  <c r="AX38" i="66"/>
  <c r="AZ4" i="66"/>
  <c r="AZ5" i="66"/>
  <c r="AY6" i="66"/>
  <c r="AZ6" i="66"/>
  <c r="AZ7" i="66"/>
  <c r="AZ17" i="66"/>
  <c r="AZ18" i="66"/>
  <c r="AZ19" i="66"/>
  <c r="AZ20" i="66"/>
  <c r="AZ21" i="66"/>
  <c r="AZ22" i="66"/>
  <c r="AZ23" i="66"/>
  <c r="AZ24" i="66"/>
  <c r="AZ25" i="66"/>
  <c r="AZ26" i="66"/>
  <c r="AZ27" i="66"/>
  <c r="AZ28" i="66"/>
  <c r="AZ29" i="66"/>
  <c r="AZ30" i="66"/>
  <c r="AZ31" i="66"/>
  <c r="AZ32" i="66"/>
  <c r="AZ33" i="66"/>
  <c r="AZ34" i="66"/>
  <c r="AZ35" i="66"/>
  <c r="AZ36" i="66"/>
  <c r="AZ37" i="66"/>
  <c r="AZ38" i="66"/>
  <c r="BB38" i="66"/>
  <c r="AY4" i="66"/>
  <c r="AY5" i="66"/>
  <c r="AY7" i="66"/>
  <c r="AY17" i="66"/>
  <c r="AY18" i="66"/>
  <c r="AY19" i="66"/>
  <c r="AY20" i="66"/>
  <c r="AY21" i="66"/>
  <c r="AY22" i="66"/>
  <c r="AY23" i="66"/>
  <c r="AY24" i="66"/>
  <c r="AY25" i="66"/>
  <c r="AY26" i="66"/>
  <c r="AY27" i="66"/>
  <c r="AY28" i="66"/>
  <c r="AY29" i="66"/>
  <c r="AY30" i="66"/>
  <c r="AY31" i="66"/>
  <c r="AY32" i="66"/>
  <c r="AY33" i="66"/>
  <c r="AY34" i="66"/>
  <c r="AY35" i="66"/>
  <c r="AY36" i="66"/>
  <c r="AY37" i="66"/>
  <c r="AY38" i="66"/>
  <c r="BA38" i="66"/>
  <c r="AR4" i="66"/>
  <c r="AR5" i="66"/>
  <c r="AR6" i="66"/>
  <c r="AR7" i="66"/>
  <c r="AR17" i="66"/>
  <c r="AR18" i="66"/>
  <c r="AR19" i="66"/>
  <c r="AR20" i="66"/>
  <c r="AR21" i="66"/>
  <c r="AR22" i="66"/>
  <c r="AR23" i="66"/>
  <c r="AR24" i="66"/>
  <c r="AR25" i="66"/>
  <c r="AR26" i="66"/>
  <c r="AR27" i="66"/>
  <c r="AR28" i="66"/>
  <c r="AR29" i="66"/>
  <c r="AR30" i="66"/>
  <c r="AR31" i="66"/>
  <c r="AR32" i="66"/>
  <c r="AR33" i="66"/>
  <c r="AR34" i="66"/>
  <c r="AR35" i="66"/>
  <c r="AR36" i="66"/>
  <c r="AR37" i="66"/>
  <c r="AR38" i="66"/>
  <c r="AT4" i="66"/>
  <c r="AT5" i="66"/>
  <c r="AS6" i="66"/>
  <c r="AT6" i="66"/>
  <c r="AT7" i="66"/>
  <c r="AT17" i="66"/>
  <c r="AT18" i="66"/>
  <c r="AT19" i="66"/>
  <c r="AT20" i="66"/>
  <c r="AT21" i="66"/>
  <c r="AT22" i="66"/>
  <c r="AT23" i="66"/>
  <c r="AT24" i="66"/>
  <c r="AT25" i="66"/>
  <c r="AT26" i="66"/>
  <c r="AT27" i="66"/>
  <c r="AT28" i="66"/>
  <c r="AT29" i="66"/>
  <c r="AT30" i="66"/>
  <c r="AT31" i="66"/>
  <c r="AT32" i="66"/>
  <c r="AT33" i="66"/>
  <c r="AT34" i="66"/>
  <c r="AT35" i="66"/>
  <c r="AT36" i="66"/>
  <c r="AT37" i="66"/>
  <c r="AT38" i="66"/>
  <c r="AV38" i="66"/>
  <c r="AS4" i="66"/>
  <c r="AS5" i="66"/>
  <c r="AS7" i="66"/>
  <c r="AS17" i="66"/>
  <c r="AS18" i="66"/>
  <c r="AS19" i="66"/>
  <c r="AS20" i="66"/>
  <c r="AS21" i="66"/>
  <c r="AS22" i="66"/>
  <c r="AS23" i="66"/>
  <c r="AS24" i="66"/>
  <c r="AS25" i="66"/>
  <c r="AS26" i="66"/>
  <c r="AS27" i="66"/>
  <c r="AS28" i="66"/>
  <c r="AS29" i="66"/>
  <c r="AS30" i="66"/>
  <c r="AS31" i="66"/>
  <c r="AS32" i="66"/>
  <c r="AS33" i="66"/>
  <c r="AS34" i="66"/>
  <c r="AS35" i="66"/>
  <c r="AS36" i="66"/>
  <c r="AS37" i="66"/>
  <c r="AS38" i="66"/>
  <c r="AU38" i="66"/>
  <c r="AL4" i="66"/>
  <c r="AL5" i="66"/>
  <c r="AL6" i="66"/>
  <c r="AL7" i="66"/>
  <c r="AL17" i="66"/>
  <c r="AL18" i="66"/>
  <c r="AL19" i="66"/>
  <c r="AL20" i="66"/>
  <c r="AL21" i="66"/>
  <c r="AL22" i="66"/>
  <c r="AL23" i="66"/>
  <c r="AL24" i="66"/>
  <c r="AL25" i="66"/>
  <c r="AL26" i="66"/>
  <c r="AL27" i="66"/>
  <c r="AL28" i="66"/>
  <c r="AL29" i="66"/>
  <c r="AL30" i="66"/>
  <c r="AL31" i="66"/>
  <c r="AL32" i="66"/>
  <c r="AL33" i="66"/>
  <c r="AL34" i="66"/>
  <c r="AL35" i="66"/>
  <c r="AL36" i="66"/>
  <c r="AL37" i="66"/>
  <c r="AL38" i="66"/>
  <c r="AN4" i="66"/>
  <c r="AN5" i="66"/>
  <c r="AM6" i="66"/>
  <c r="AN6" i="66"/>
  <c r="AN7" i="66"/>
  <c r="AN17" i="66"/>
  <c r="AN18" i="66"/>
  <c r="AN19" i="66"/>
  <c r="AN20" i="66"/>
  <c r="AN21" i="66"/>
  <c r="AN22" i="66"/>
  <c r="AN23" i="66"/>
  <c r="AN24" i="66"/>
  <c r="AN25" i="66"/>
  <c r="AN26" i="66"/>
  <c r="AN27" i="66"/>
  <c r="AN28" i="66"/>
  <c r="AN29" i="66"/>
  <c r="AN30" i="66"/>
  <c r="AN31" i="66"/>
  <c r="AN32" i="66"/>
  <c r="AN33" i="66"/>
  <c r="AN34" i="66"/>
  <c r="AN35" i="66"/>
  <c r="AN36" i="66"/>
  <c r="AN37" i="66"/>
  <c r="AN38" i="66"/>
  <c r="AP38" i="66"/>
  <c r="AM4" i="66"/>
  <c r="AM5" i="66"/>
  <c r="AM7" i="66"/>
  <c r="AM17" i="66"/>
  <c r="AM18" i="66"/>
  <c r="AM19" i="66"/>
  <c r="AM20" i="66"/>
  <c r="AM21" i="66"/>
  <c r="AM22" i="66"/>
  <c r="AM23" i="66"/>
  <c r="AM24" i="66"/>
  <c r="AM25" i="66"/>
  <c r="AM26" i="66"/>
  <c r="AM27" i="66"/>
  <c r="AM28" i="66"/>
  <c r="AM29" i="66"/>
  <c r="AM30" i="66"/>
  <c r="AM31" i="66"/>
  <c r="AM32" i="66"/>
  <c r="AM33" i="66"/>
  <c r="AM34" i="66"/>
  <c r="AM35" i="66"/>
  <c r="AM36" i="66"/>
  <c r="AM37" i="66"/>
  <c r="AM38" i="66"/>
  <c r="AO38" i="66"/>
  <c r="AE4" i="66"/>
  <c r="AE5" i="66"/>
  <c r="AE6" i="66"/>
  <c r="AE7" i="66"/>
  <c r="AE17" i="66"/>
  <c r="AE18" i="66"/>
  <c r="AE19" i="66"/>
  <c r="AE20" i="66"/>
  <c r="AE21" i="66"/>
  <c r="AE22" i="66"/>
  <c r="AE23" i="66"/>
  <c r="AE24" i="66"/>
  <c r="AE25" i="66"/>
  <c r="AE26" i="66"/>
  <c r="AE27" i="66"/>
  <c r="AE28" i="66"/>
  <c r="AE29" i="66"/>
  <c r="AE30" i="66"/>
  <c r="AE31" i="66"/>
  <c r="AE32" i="66"/>
  <c r="AE33" i="66"/>
  <c r="AE34" i="66"/>
  <c r="AE35" i="66"/>
  <c r="AE36" i="66"/>
  <c r="AE37" i="66"/>
  <c r="AE38" i="66"/>
  <c r="AG4" i="66"/>
  <c r="AG5" i="66"/>
  <c r="AF6" i="66"/>
  <c r="AG6" i="66"/>
  <c r="AG7" i="66"/>
  <c r="AG17" i="66"/>
  <c r="AG18" i="66"/>
  <c r="AG19" i="66"/>
  <c r="AG20" i="66"/>
  <c r="AG21" i="66"/>
  <c r="AG22" i="66"/>
  <c r="AG23" i="66"/>
  <c r="AG24" i="66"/>
  <c r="AG25" i="66"/>
  <c r="AG26" i="66"/>
  <c r="AG27" i="66"/>
  <c r="AG28" i="66"/>
  <c r="AG29" i="66"/>
  <c r="AG30" i="66"/>
  <c r="AG31" i="66"/>
  <c r="AG32" i="66"/>
  <c r="AG33" i="66"/>
  <c r="AG34" i="66"/>
  <c r="AG35" i="66"/>
  <c r="AG36" i="66"/>
  <c r="AG37" i="66"/>
  <c r="AG38" i="66"/>
  <c r="AJ38" i="66"/>
  <c r="AI38" i="66"/>
  <c r="AF4" i="66"/>
  <c r="AF5" i="66"/>
  <c r="AF7" i="66"/>
  <c r="AF17" i="66"/>
  <c r="AF18" i="66"/>
  <c r="AF19" i="66"/>
  <c r="AF20" i="66"/>
  <c r="AF21" i="66"/>
  <c r="AF22" i="66"/>
  <c r="AF23" i="66"/>
  <c r="AF24" i="66"/>
  <c r="AF25" i="66"/>
  <c r="AF26" i="66"/>
  <c r="AF27" i="66"/>
  <c r="AF28" i="66"/>
  <c r="AF29" i="66"/>
  <c r="AF30" i="66"/>
  <c r="AF31" i="66"/>
  <c r="AF32" i="66"/>
  <c r="AF33" i="66"/>
  <c r="AF34" i="66"/>
  <c r="AF35" i="66"/>
  <c r="AF36" i="66"/>
  <c r="AF37" i="66"/>
  <c r="AF38" i="66"/>
  <c r="AH38" i="66"/>
  <c r="Y4" i="66"/>
  <c r="Y5" i="66"/>
  <c r="Y6" i="66"/>
  <c r="Y7" i="66"/>
  <c r="Y17" i="66"/>
  <c r="Y18" i="66"/>
  <c r="Y19" i="66"/>
  <c r="Y20" i="66"/>
  <c r="Y21" i="66"/>
  <c r="Y22" i="66"/>
  <c r="Y23" i="66"/>
  <c r="Y24" i="66"/>
  <c r="Y25" i="66"/>
  <c r="Y26" i="66"/>
  <c r="Y27" i="66"/>
  <c r="Y28" i="66"/>
  <c r="Y29" i="66"/>
  <c r="Y30" i="66"/>
  <c r="Y31" i="66"/>
  <c r="Y32" i="66"/>
  <c r="Y33" i="66"/>
  <c r="Y34" i="66"/>
  <c r="Y35" i="66"/>
  <c r="Y36" i="66"/>
  <c r="Y37" i="66"/>
  <c r="Y38" i="66"/>
  <c r="AA4" i="66"/>
  <c r="AA5" i="66"/>
  <c r="Z6" i="66"/>
  <c r="AA6" i="66"/>
  <c r="AA7" i="66"/>
  <c r="AA17" i="66"/>
  <c r="AA18" i="66"/>
  <c r="AA19" i="66"/>
  <c r="AA20" i="66"/>
  <c r="AA21" i="66"/>
  <c r="AA22" i="66"/>
  <c r="AA23" i="66"/>
  <c r="AA24" i="66"/>
  <c r="AA25" i="66"/>
  <c r="AA26" i="66"/>
  <c r="AA27" i="66"/>
  <c r="AA28" i="66"/>
  <c r="AA29" i="66"/>
  <c r="AA30" i="66"/>
  <c r="AA31" i="66"/>
  <c r="AA32" i="66"/>
  <c r="AA33" i="66"/>
  <c r="AA34" i="66"/>
  <c r="AA35" i="66"/>
  <c r="AA36" i="66"/>
  <c r="AA37" i="66"/>
  <c r="AA38" i="66"/>
  <c r="AC38" i="66"/>
  <c r="Z4" i="66"/>
  <c r="Z5" i="66"/>
  <c r="Z7" i="66"/>
  <c r="Z17" i="66"/>
  <c r="Z18" i="66"/>
  <c r="Z19" i="66"/>
  <c r="Z20" i="66"/>
  <c r="Z21" i="66"/>
  <c r="Z22" i="66"/>
  <c r="Z23" i="66"/>
  <c r="Z24" i="66"/>
  <c r="Z25" i="66"/>
  <c r="Z26" i="66"/>
  <c r="Z27" i="66"/>
  <c r="Z28" i="66"/>
  <c r="Z29" i="66"/>
  <c r="Z30" i="66"/>
  <c r="Z31" i="66"/>
  <c r="Z32" i="66"/>
  <c r="Z33" i="66"/>
  <c r="Z34" i="66"/>
  <c r="Z35" i="66"/>
  <c r="Z36" i="66"/>
  <c r="Z37" i="66"/>
  <c r="Z38" i="66"/>
  <c r="AB38" i="66"/>
  <c r="S4" i="66"/>
  <c r="S5" i="66"/>
  <c r="S6" i="66"/>
  <c r="S7" i="66"/>
  <c r="S17" i="66"/>
  <c r="S18" i="66"/>
  <c r="S19" i="66"/>
  <c r="S20" i="66"/>
  <c r="S21" i="66"/>
  <c r="S22" i="66"/>
  <c r="S23" i="66"/>
  <c r="S24" i="66"/>
  <c r="S25" i="66"/>
  <c r="S26" i="66"/>
  <c r="S27" i="66"/>
  <c r="S28" i="66"/>
  <c r="S29" i="66"/>
  <c r="S30" i="66"/>
  <c r="S31" i="66"/>
  <c r="S32" i="66"/>
  <c r="S33" i="66"/>
  <c r="S34" i="66"/>
  <c r="S35" i="66"/>
  <c r="S36" i="66"/>
  <c r="S37" i="66"/>
  <c r="S38" i="66"/>
  <c r="U4" i="66"/>
  <c r="U5" i="66"/>
  <c r="T6" i="66"/>
  <c r="U6" i="66"/>
  <c r="U7" i="66"/>
  <c r="U17" i="66"/>
  <c r="U18" i="66"/>
  <c r="U19" i="66"/>
  <c r="U20" i="66"/>
  <c r="U21" i="66"/>
  <c r="U22" i="66"/>
  <c r="U23" i="66"/>
  <c r="U24" i="66"/>
  <c r="U25" i="66"/>
  <c r="U26" i="66"/>
  <c r="U27" i="66"/>
  <c r="U28" i="66"/>
  <c r="U29" i="66"/>
  <c r="U30" i="66"/>
  <c r="U31" i="66"/>
  <c r="U32" i="66"/>
  <c r="U33" i="66"/>
  <c r="U34" i="66"/>
  <c r="U35" i="66"/>
  <c r="U36" i="66"/>
  <c r="U37" i="66"/>
  <c r="U38" i="66"/>
  <c r="W38" i="66"/>
  <c r="T4" i="66"/>
  <c r="T5" i="66"/>
  <c r="T7" i="66"/>
  <c r="T17" i="66"/>
  <c r="T18" i="66"/>
  <c r="T19" i="66"/>
  <c r="T20" i="66"/>
  <c r="T21" i="66"/>
  <c r="T22" i="66"/>
  <c r="T23" i="66"/>
  <c r="T24" i="66"/>
  <c r="T25" i="66"/>
  <c r="T26" i="66"/>
  <c r="T27" i="66"/>
  <c r="T28" i="66"/>
  <c r="T29" i="66"/>
  <c r="T30" i="66"/>
  <c r="T31" i="66"/>
  <c r="T32" i="66"/>
  <c r="T33" i="66"/>
  <c r="T34" i="66"/>
  <c r="T35" i="66"/>
  <c r="T36" i="66"/>
  <c r="T37" i="66"/>
  <c r="T38" i="66"/>
  <c r="V38" i="66"/>
  <c r="M4" i="66"/>
  <c r="M5" i="66"/>
  <c r="M6" i="66"/>
  <c r="M7" i="66"/>
  <c r="M17" i="66"/>
  <c r="M18" i="66"/>
  <c r="M19" i="66"/>
  <c r="M20" i="66"/>
  <c r="M21" i="66"/>
  <c r="M22" i="66"/>
  <c r="M23" i="66"/>
  <c r="M24" i="66"/>
  <c r="M25" i="66"/>
  <c r="M26" i="66"/>
  <c r="M27" i="66"/>
  <c r="M28" i="66"/>
  <c r="M29" i="66"/>
  <c r="M30" i="66"/>
  <c r="M31" i="66"/>
  <c r="M32" i="66"/>
  <c r="M33" i="66"/>
  <c r="M34" i="66"/>
  <c r="M35" i="66"/>
  <c r="M36" i="66"/>
  <c r="M37" i="66"/>
  <c r="M38" i="66"/>
  <c r="O4" i="66"/>
  <c r="O5" i="66"/>
  <c r="N6" i="66"/>
  <c r="O6" i="66"/>
  <c r="O7" i="66"/>
  <c r="O17" i="66"/>
  <c r="O18" i="66"/>
  <c r="O19" i="66"/>
  <c r="O20" i="66"/>
  <c r="O21" i="66"/>
  <c r="O22" i="66"/>
  <c r="O23" i="66"/>
  <c r="O24" i="66"/>
  <c r="O25" i="66"/>
  <c r="O26" i="66"/>
  <c r="O27" i="66"/>
  <c r="O28" i="66"/>
  <c r="O29" i="66"/>
  <c r="O30" i="66"/>
  <c r="O31" i="66"/>
  <c r="O32" i="66"/>
  <c r="O33" i="66"/>
  <c r="O34" i="66"/>
  <c r="O35" i="66"/>
  <c r="O36" i="66"/>
  <c r="O37" i="66"/>
  <c r="O38" i="66"/>
  <c r="Q38" i="66"/>
  <c r="N4" i="66"/>
  <c r="N5" i="66"/>
  <c r="N7" i="66"/>
  <c r="N17" i="66"/>
  <c r="N18" i="66"/>
  <c r="N19" i="66"/>
  <c r="N20" i="66"/>
  <c r="N21" i="66"/>
  <c r="N22" i="66"/>
  <c r="N23" i="66"/>
  <c r="N24" i="66"/>
  <c r="N25" i="66"/>
  <c r="N26" i="66"/>
  <c r="N27" i="66"/>
  <c r="N28" i="66"/>
  <c r="N29" i="66"/>
  <c r="N30" i="66"/>
  <c r="N31" i="66"/>
  <c r="N32" i="66"/>
  <c r="N33" i="66"/>
  <c r="N34" i="66"/>
  <c r="N35" i="66"/>
  <c r="N36" i="66"/>
  <c r="N37" i="66"/>
  <c r="N38" i="66"/>
  <c r="P38" i="66"/>
  <c r="G4" i="66"/>
  <c r="G5" i="66"/>
  <c r="G7" i="66"/>
  <c r="G17" i="66"/>
  <c r="G18" i="66"/>
  <c r="G19" i="66"/>
  <c r="G20" i="66"/>
  <c r="G21" i="66"/>
  <c r="G22" i="66"/>
  <c r="G23" i="66"/>
  <c r="G24" i="66"/>
  <c r="G25" i="66"/>
  <c r="G26" i="66"/>
  <c r="G27" i="66"/>
  <c r="G28" i="66"/>
  <c r="G29" i="66"/>
  <c r="G30" i="66"/>
  <c r="G31" i="66"/>
  <c r="G32" i="66"/>
  <c r="G33" i="66"/>
  <c r="G34" i="66"/>
  <c r="G35" i="66"/>
  <c r="G36" i="66"/>
  <c r="G37" i="66"/>
  <c r="G38" i="66"/>
  <c r="I4" i="66"/>
  <c r="I5" i="66"/>
  <c r="I7" i="66"/>
  <c r="H6" i="66"/>
  <c r="I6" i="66"/>
  <c r="I17" i="66"/>
  <c r="I18" i="66"/>
  <c r="I19" i="66"/>
  <c r="I20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6" i="66"/>
  <c r="I37" i="66"/>
  <c r="I38" i="66"/>
  <c r="K38" i="66"/>
  <c r="H4" i="66"/>
  <c r="H5" i="66"/>
  <c r="H7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5" i="66"/>
  <c r="H36" i="66"/>
  <c r="H37" i="66"/>
  <c r="H38" i="66"/>
  <c r="J38" i="66"/>
  <c r="BB37" i="66"/>
  <c r="BA37" i="66"/>
  <c r="AV37" i="66"/>
  <c r="AU37" i="66"/>
  <c r="AP37" i="66"/>
  <c r="AO37" i="66"/>
  <c r="AJ37" i="66"/>
  <c r="AI37" i="66"/>
  <c r="AH37" i="66"/>
  <c r="AC37" i="66"/>
  <c r="AB37" i="66"/>
  <c r="W37" i="66"/>
  <c r="V37" i="66"/>
  <c r="Q37" i="66"/>
  <c r="P37" i="66"/>
  <c r="K37" i="66"/>
  <c r="J37" i="66"/>
  <c r="BB36" i="66"/>
  <c r="BA36" i="66"/>
  <c r="AV36" i="66"/>
  <c r="AU36" i="66"/>
  <c r="AP36" i="66"/>
  <c r="AO36" i="66"/>
  <c r="AJ36" i="66"/>
  <c r="AI36" i="66"/>
  <c r="AH36" i="66"/>
  <c r="AC36" i="66"/>
  <c r="AB36" i="66"/>
  <c r="W36" i="66"/>
  <c r="V36" i="66"/>
  <c r="Q36" i="66"/>
  <c r="P36" i="66"/>
  <c r="K36" i="66"/>
  <c r="J36" i="66"/>
  <c r="BB35" i="66"/>
  <c r="BA35" i="66"/>
  <c r="AV35" i="66"/>
  <c r="AU35" i="66"/>
  <c r="AP35" i="66"/>
  <c r="AO35" i="66"/>
  <c r="AJ35" i="66"/>
  <c r="AI35" i="66"/>
  <c r="AH35" i="66"/>
  <c r="AC35" i="66"/>
  <c r="AB35" i="66"/>
  <c r="W35" i="66"/>
  <c r="V35" i="66"/>
  <c r="Q35" i="66"/>
  <c r="P35" i="66"/>
  <c r="K35" i="66"/>
  <c r="J35" i="66"/>
  <c r="BB34" i="66"/>
  <c r="BA34" i="66"/>
  <c r="AV34" i="66"/>
  <c r="AU34" i="66"/>
  <c r="AP34" i="66"/>
  <c r="AO34" i="66"/>
  <c r="AJ34" i="66"/>
  <c r="AI34" i="66"/>
  <c r="AH34" i="66"/>
  <c r="AC34" i="66"/>
  <c r="AB34" i="66"/>
  <c r="W34" i="66"/>
  <c r="V34" i="66"/>
  <c r="Q34" i="66"/>
  <c r="P34" i="66"/>
  <c r="K34" i="66"/>
  <c r="J34" i="66"/>
  <c r="BB33" i="66"/>
  <c r="BA33" i="66"/>
  <c r="AV33" i="66"/>
  <c r="AU33" i="66"/>
  <c r="AP33" i="66"/>
  <c r="AO33" i="66"/>
  <c r="AJ33" i="66"/>
  <c r="AI33" i="66"/>
  <c r="AH33" i="66"/>
  <c r="AC33" i="66"/>
  <c r="AB33" i="66"/>
  <c r="W33" i="66"/>
  <c r="V33" i="66"/>
  <c r="Q33" i="66"/>
  <c r="P33" i="66"/>
  <c r="K33" i="66"/>
  <c r="J33" i="66"/>
  <c r="BB32" i="66"/>
  <c r="BA32" i="66"/>
  <c r="AV32" i="66"/>
  <c r="AU32" i="66"/>
  <c r="AP32" i="66"/>
  <c r="AO32" i="66"/>
  <c r="AJ32" i="66"/>
  <c r="AI32" i="66"/>
  <c r="AH32" i="66"/>
  <c r="AC32" i="66"/>
  <c r="AB32" i="66"/>
  <c r="W32" i="66"/>
  <c r="V32" i="66"/>
  <c r="Q32" i="66"/>
  <c r="P32" i="66"/>
  <c r="K32" i="66"/>
  <c r="J32" i="66"/>
  <c r="BB31" i="66"/>
  <c r="BA31" i="66"/>
  <c r="AV31" i="66"/>
  <c r="AU31" i="66"/>
  <c r="AP31" i="66"/>
  <c r="AO31" i="66"/>
  <c r="AJ31" i="66"/>
  <c r="AI31" i="66"/>
  <c r="AH31" i="66"/>
  <c r="AC31" i="66"/>
  <c r="AB31" i="66"/>
  <c r="W31" i="66"/>
  <c r="V31" i="66"/>
  <c r="Q31" i="66"/>
  <c r="P31" i="66"/>
  <c r="K31" i="66"/>
  <c r="J31" i="66"/>
  <c r="BB30" i="66"/>
  <c r="BA30" i="66"/>
  <c r="AV30" i="66"/>
  <c r="AU30" i="66"/>
  <c r="AP30" i="66"/>
  <c r="AO30" i="66"/>
  <c r="AJ30" i="66"/>
  <c r="AI30" i="66"/>
  <c r="AH30" i="66"/>
  <c r="AC30" i="66"/>
  <c r="AB30" i="66"/>
  <c r="W30" i="66"/>
  <c r="V30" i="66"/>
  <c r="Q30" i="66"/>
  <c r="P30" i="66"/>
  <c r="K30" i="66"/>
  <c r="J30" i="66"/>
  <c r="BB29" i="66"/>
  <c r="BA29" i="66"/>
  <c r="AV29" i="66"/>
  <c r="AU29" i="66"/>
  <c r="AP29" i="66"/>
  <c r="AO29" i="66"/>
  <c r="AJ29" i="66"/>
  <c r="AI29" i="66"/>
  <c r="AH29" i="66"/>
  <c r="AC29" i="66"/>
  <c r="AB29" i="66"/>
  <c r="W29" i="66"/>
  <c r="V29" i="66"/>
  <c r="Q29" i="66"/>
  <c r="P29" i="66"/>
  <c r="K29" i="66"/>
  <c r="J29" i="66"/>
  <c r="BB28" i="66"/>
  <c r="BA28" i="66"/>
  <c r="AV28" i="66"/>
  <c r="AU28" i="66"/>
  <c r="AP28" i="66"/>
  <c r="AO28" i="66"/>
  <c r="AJ28" i="66"/>
  <c r="AI28" i="66"/>
  <c r="AH28" i="66"/>
  <c r="AC28" i="66"/>
  <c r="AB28" i="66"/>
  <c r="W28" i="66"/>
  <c r="V28" i="66"/>
  <c r="Q28" i="66"/>
  <c r="P28" i="66"/>
  <c r="K28" i="66"/>
  <c r="J28" i="66"/>
  <c r="BB27" i="66"/>
  <c r="BA27" i="66"/>
  <c r="AV27" i="66"/>
  <c r="AU27" i="66"/>
  <c r="AP27" i="66"/>
  <c r="AO27" i="66"/>
  <c r="AJ27" i="66"/>
  <c r="AI27" i="66"/>
  <c r="AH27" i="66"/>
  <c r="AC27" i="66"/>
  <c r="AB27" i="66"/>
  <c r="W27" i="66"/>
  <c r="V27" i="66"/>
  <c r="Q27" i="66"/>
  <c r="P27" i="66"/>
  <c r="K27" i="66"/>
  <c r="J27" i="66"/>
  <c r="BB26" i="66"/>
  <c r="BA26" i="66"/>
  <c r="AV26" i="66"/>
  <c r="AU26" i="66"/>
  <c r="AP26" i="66"/>
  <c r="AO26" i="66"/>
  <c r="AJ26" i="66"/>
  <c r="AI26" i="66"/>
  <c r="AH26" i="66"/>
  <c r="AC26" i="66"/>
  <c r="AB26" i="66"/>
  <c r="W26" i="66"/>
  <c r="V26" i="66"/>
  <c r="Q26" i="66"/>
  <c r="P26" i="66"/>
  <c r="K26" i="66"/>
  <c r="J26" i="66"/>
  <c r="BB25" i="66"/>
  <c r="BA25" i="66"/>
  <c r="AV25" i="66"/>
  <c r="AU25" i="66"/>
  <c r="AP25" i="66"/>
  <c r="AO25" i="66"/>
  <c r="AJ25" i="66"/>
  <c r="AI25" i="66"/>
  <c r="AH25" i="66"/>
  <c r="AC25" i="66"/>
  <c r="AB25" i="66"/>
  <c r="W25" i="66"/>
  <c r="V25" i="66"/>
  <c r="Q25" i="66"/>
  <c r="P25" i="66"/>
  <c r="K25" i="66"/>
  <c r="J25" i="66"/>
  <c r="BB24" i="66"/>
  <c r="BA24" i="66"/>
  <c r="AV24" i="66"/>
  <c r="AU24" i="66"/>
  <c r="AP24" i="66"/>
  <c r="AO24" i="66"/>
  <c r="AJ24" i="66"/>
  <c r="AI24" i="66"/>
  <c r="AH24" i="66"/>
  <c r="AC24" i="66"/>
  <c r="AB24" i="66"/>
  <c r="W24" i="66"/>
  <c r="V24" i="66"/>
  <c r="Q24" i="66"/>
  <c r="P24" i="66"/>
  <c r="K24" i="66"/>
  <c r="J24" i="66"/>
  <c r="BB23" i="66"/>
  <c r="BA23" i="66"/>
  <c r="AV23" i="66"/>
  <c r="AU23" i="66"/>
  <c r="AP23" i="66"/>
  <c r="AO23" i="66"/>
  <c r="AJ23" i="66"/>
  <c r="AI23" i="66"/>
  <c r="AH23" i="66"/>
  <c r="AC23" i="66"/>
  <c r="AB23" i="66"/>
  <c r="W23" i="66"/>
  <c r="V23" i="66"/>
  <c r="Q23" i="66"/>
  <c r="P23" i="66"/>
  <c r="K23" i="66"/>
  <c r="J23" i="66"/>
  <c r="BB22" i="66"/>
  <c r="BA22" i="66"/>
  <c r="AV22" i="66"/>
  <c r="AU22" i="66"/>
  <c r="AP22" i="66"/>
  <c r="AO22" i="66"/>
  <c r="AJ22" i="66"/>
  <c r="AI22" i="66"/>
  <c r="AH22" i="66"/>
  <c r="AC22" i="66"/>
  <c r="AB22" i="66"/>
  <c r="W22" i="66"/>
  <c r="V22" i="66"/>
  <c r="Q22" i="66"/>
  <c r="P22" i="66"/>
  <c r="K22" i="66"/>
  <c r="J22" i="66"/>
  <c r="BB21" i="66"/>
  <c r="BA21" i="66"/>
  <c r="AV21" i="66"/>
  <c r="AU21" i="66"/>
  <c r="AP21" i="66"/>
  <c r="AO21" i="66"/>
  <c r="AJ21" i="66"/>
  <c r="AI21" i="66"/>
  <c r="AH21" i="66"/>
  <c r="AC21" i="66"/>
  <c r="AB21" i="66"/>
  <c r="W21" i="66"/>
  <c r="V21" i="66"/>
  <c r="Q21" i="66"/>
  <c r="P21" i="66"/>
  <c r="K21" i="66"/>
  <c r="J21" i="66"/>
  <c r="BB20" i="66"/>
  <c r="BA20" i="66"/>
  <c r="AV20" i="66"/>
  <c r="AU20" i="66"/>
  <c r="AP20" i="66"/>
  <c r="AO20" i="66"/>
  <c r="AJ20" i="66"/>
  <c r="AI20" i="66"/>
  <c r="AH20" i="66"/>
  <c r="AC20" i="66"/>
  <c r="AB20" i="66"/>
  <c r="W20" i="66"/>
  <c r="V20" i="66"/>
  <c r="Q20" i="66"/>
  <c r="P20" i="66"/>
  <c r="K20" i="66"/>
  <c r="J20" i="66"/>
  <c r="BB19" i="66"/>
  <c r="BA19" i="66"/>
  <c r="AV19" i="66"/>
  <c r="AU19" i="66"/>
  <c r="AP19" i="66"/>
  <c r="AO19" i="66"/>
  <c r="AJ19" i="66"/>
  <c r="AI19" i="66"/>
  <c r="AH19" i="66"/>
  <c r="AC19" i="66"/>
  <c r="AB19" i="66"/>
  <c r="W19" i="66"/>
  <c r="V19" i="66"/>
  <c r="Q19" i="66"/>
  <c r="P19" i="66"/>
  <c r="K19" i="66"/>
  <c r="J19" i="66"/>
  <c r="BB18" i="66"/>
  <c r="BA18" i="66"/>
  <c r="AV18" i="66"/>
  <c r="AU18" i="66"/>
  <c r="AP18" i="66"/>
  <c r="AO18" i="66"/>
  <c r="AJ18" i="66"/>
  <c r="AI18" i="66"/>
  <c r="AH18" i="66"/>
  <c r="AC18" i="66"/>
  <c r="AB18" i="66"/>
  <c r="W18" i="66"/>
  <c r="V18" i="66"/>
  <c r="Q18" i="66"/>
  <c r="P18" i="66"/>
  <c r="K18" i="66"/>
  <c r="J18" i="66"/>
  <c r="BB17" i="66"/>
  <c r="BA17" i="66"/>
  <c r="AV17" i="66"/>
  <c r="AU17" i="66"/>
  <c r="AP17" i="66"/>
  <c r="AO17" i="66"/>
  <c r="AJ17" i="66"/>
  <c r="AI17" i="66"/>
  <c r="AH17" i="66"/>
  <c r="AC17" i="66"/>
  <c r="AB17" i="66"/>
  <c r="W17" i="66"/>
  <c r="V17" i="66"/>
  <c r="Q17" i="66"/>
  <c r="P17" i="66"/>
  <c r="K17" i="66"/>
  <c r="J17" i="66"/>
  <c r="AD109" i="65"/>
  <c r="AF109" i="65"/>
  <c r="AH109" i="65"/>
  <c r="AE109" i="65"/>
  <c r="AG109" i="65"/>
  <c r="F109" i="65"/>
  <c r="L109" i="65"/>
  <c r="R109" i="65"/>
  <c r="X109" i="65"/>
  <c r="H109" i="65"/>
  <c r="N109" i="65"/>
  <c r="T109" i="65"/>
  <c r="Z109" i="65"/>
  <c r="AB109" i="65"/>
  <c r="G109" i="65"/>
  <c r="M109" i="65"/>
  <c r="S109" i="65"/>
  <c r="Y109" i="65"/>
  <c r="AA109" i="65"/>
  <c r="AD108" i="65"/>
  <c r="AF108" i="65"/>
  <c r="AH108" i="65"/>
  <c r="AE108" i="65"/>
  <c r="AG108" i="65"/>
  <c r="F108" i="65"/>
  <c r="L108" i="65"/>
  <c r="R108" i="65"/>
  <c r="X108" i="65"/>
  <c r="H108" i="65"/>
  <c r="N108" i="65"/>
  <c r="T108" i="65"/>
  <c r="Z108" i="65"/>
  <c r="AB108" i="65"/>
  <c r="G108" i="65"/>
  <c r="M108" i="65"/>
  <c r="S108" i="65"/>
  <c r="Y108" i="65"/>
  <c r="AA108" i="65"/>
  <c r="AD107" i="65"/>
  <c r="AF107" i="65"/>
  <c r="AH107" i="65"/>
  <c r="AE107" i="65"/>
  <c r="AG107" i="65"/>
  <c r="X107" i="65"/>
  <c r="Z107" i="65"/>
  <c r="AB107" i="65"/>
  <c r="Y107" i="65"/>
  <c r="AA107" i="65"/>
  <c r="AD106" i="65"/>
  <c r="AF106" i="65"/>
  <c r="AH106" i="65"/>
  <c r="AE106" i="65"/>
  <c r="AG106" i="65"/>
  <c r="F106" i="65"/>
  <c r="L106" i="65"/>
  <c r="R106" i="65"/>
  <c r="X106" i="65"/>
  <c r="H106" i="65"/>
  <c r="N106" i="65"/>
  <c r="T106" i="65"/>
  <c r="Z106" i="65"/>
  <c r="AB106" i="65"/>
  <c r="G106" i="65"/>
  <c r="M106" i="65"/>
  <c r="S106" i="65"/>
  <c r="Y106" i="65"/>
  <c r="AA106" i="65"/>
  <c r="AD105" i="65"/>
  <c r="AF105" i="65"/>
  <c r="AH105" i="65"/>
  <c r="AE105" i="65"/>
  <c r="AG105" i="65"/>
  <c r="F105" i="65"/>
  <c r="L105" i="65"/>
  <c r="R105" i="65"/>
  <c r="X105" i="65"/>
  <c r="H105" i="65"/>
  <c r="N105" i="65"/>
  <c r="T105" i="65"/>
  <c r="Z105" i="65"/>
  <c r="AB105" i="65"/>
  <c r="G105" i="65"/>
  <c r="M105" i="65"/>
  <c r="S105" i="65"/>
  <c r="Y105" i="65"/>
  <c r="AA105" i="65"/>
  <c r="AD104" i="65"/>
  <c r="AF104" i="65"/>
  <c r="AH104" i="65"/>
  <c r="AE104" i="65"/>
  <c r="AG104" i="65"/>
  <c r="F104" i="65"/>
  <c r="L104" i="65"/>
  <c r="R104" i="65"/>
  <c r="X104" i="65"/>
  <c r="H104" i="65"/>
  <c r="N104" i="65"/>
  <c r="T104" i="65"/>
  <c r="Z104" i="65"/>
  <c r="AB104" i="65"/>
  <c r="G104" i="65"/>
  <c r="M104" i="65"/>
  <c r="S104" i="65"/>
  <c r="Y104" i="65"/>
  <c r="AA104" i="65"/>
  <c r="AD103" i="65"/>
  <c r="AF103" i="65"/>
  <c r="AH103" i="65"/>
  <c r="AE103" i="65"/>
  <c r="AG103" i="65"/>
  <c r="F103" i="65"/>
  <c r="L103" i="65"/>
  <c r="R103" i="65"/>
  <c r="X103" i="65"/>
  <c r="H103" i="65"/>
  <c r="N103" i="65"/>
  <c r="T103" i="65"/>
  <c r="Z103" i="65"/>
  <c r="AB103" i="65"/>
  <c r="G103" i="65"/>
  <c r="M103" i="65"/>
  <c r="S103" i="65"/>
  <c r="Y103" i="65"/>
  <c r="AA103" i="65"/>
  <c r="AD102" i="65"/>
  <c r="AF102" i="65"/>
  <c r="AH102" i="65"/>
  <c r="AE102" i="65"/>
  <c r="AG102" i="65"/>
  <c r="F102" i="65"/>
  <c r="L102" i="65"/>
  <c r="R102" i="65"/>
  <c r="X102" i="65"/>
  <c r="H102" i="65"/>
  <c r="N102" i="65"/>
  <c r="T102" i="65"/>
  <c r="Z102" i="65"/>
  <c r="AB102" i="65"/>
  <c r="G102" i="65"/>
  <c r="M102" i="65"/>
  <c r="S102" i="65"/>
  <c r="Y102" i="65"/>
  <c r="AA102" i="65"/>
  <c r="AD101" i="65"/>
  <c r="AF101" i="65"/>
  <c r="AH101" i="65"/>
  <c r="AE101" i="65"/>
  <c r="AG101" i="65"/>
  <c r="F101" i="65"/>
  <c r="L101" i="65"/>
  <c r="R101" i="65"/>
  <c r="X101" i="65"/>
  <c r="H101" i="65"/>
  <c r="N101" i="65"/>
  <c r="T101" i="65"/>
  <c r="Z101" i="65"/>
  <c r="AB101" i="65"/>
  <c r="G101" i="65"/>
  <c r="M101" i="65"/>
  <c r="S101" i="65"/>
  <c r="Y101" i="65"/>
  <c r="AA101" i="65"/>
  <c r="AD100" i="65"/>
  <c r="AF100" i="65"/>
  <c r="AH100" i="65"/>
  <c r="AE100" i="65"/>
  <c r="AG100" i="65"/>
  <c r="F100" i="65"/>
  <c r="L100" i="65"/>
  <c r="R100" i="65"/>
  <c r="X100" i="65"/>
  <c r="H100" i="65"/>
  <c r="N100" i="65"/>
  <c r="T100" i="65"/>
  <c r="Z100" i="65"/>
  <c r="AB100" i="65"/>
  <c r="G100" i="65"/>
  <c r="M100" i="65"/>
  <c r="S100" i="65"/>
  <c r="Y100" i="65"/>
  <c r="AA100" i="65"/>
  <c r="AD99" i="65"/>
  <c r="AF99" i="65"/>
  <c r="AH99" i="65"/>
  <c r="AE99" i="65"/>
  <c r="AG99" i="65"/>
  <c r="F99" i="65"/>
  <c r="L99" i="65"/>
  <c r="R99" i="65"/>
  <c r="X99" i="65"/>
  <c r="H99" i="65"/>
  <c r="N99" i="65"/>
  <c r="T99" i="65"/>
  <c r="Z99" i="65"/>
  <c r="AB99" i="65"/>
  <c r="G99" i="65"/>
  <c r="M99" i="65"/>
  <c r="S99" i="65"/>
  <c r="Y99" i="65"/>
  <c r="AA99" i="65"/>
  <c r="AD98" i="65"/>
  <c r="AF98" i="65"/>
  <c r="AH98" i="65"/>
  <c r="AE98" i="65"/>
  <c r="AG98" i="65"/>
  <c r="X98" i="65"/>
  <c r="Z98" i="65"/>
  <c r="AB98" i="65"/>
  <c r="Y98" i="65"/>
  <c r="AA98" i="65"/>
  <c r="AD97" i="65"/>
  <c r="AF97" i="65"/>
  <c r="AH97" i="65"/>
  <c r="AE97" i="65"/>
  <c r="AG97" i="65"/>
  <c r="F97" i="65"/>
  <c r="L97" i="65"/>
  <c r="R97" i="65"/>
  <c r="X97" i="65"/>
  <c r="H97" i="65"/>
  <c r="N97" i="65"/>
  <c r="T97" i="65"/>
  <c r="Z97" i="65"/>
  <c r="AB97" i="65"/>
  <c r="G97" i="65"/>
  <c r="M97" i="65"/>
  <c r="S97" i="65"/>
  <c r="Y97" i="65"/>
  <c r="AA97" i="65"/>
  <c r="AD96" i="65"/>
  <c r="AF96" i="65"/>
  <c r="AH96" i="65"/>
  <c r="AE96" i="65"/>
  <c r="AG96" i="65"/>
  <c r="F96" i="65"/>
  <c r="L96" i="65"/>
  <c r="R96" i="65"/>
  <c r="X96" i="65"/>
  <c r="H96" i="65"/>
  <c r="N96" i="65"/>
  <c r="T96" i="65"/>
  <c r="Z96" i="65"/>
  <c r="AB96" i="65"/>
  <c r="G96" i="65"/>
  <c r="M96" i="65"/>
  <c r="S96" i="65"/>
  <c r="Y96" i="65"/>
  <c r="AA96" i="65"/>
  <c r="AD95" i="65"/>
  <c r="AF95" i="65"/>
  <c r="AH95" i="65"/>
  <c r="AE95" i="65"/>
  <c r="AG95" i="65"/>
  <c r="F95" i="65"/>
  <c r="L95" i="65"/>
  <c r="R95" i="65"/>
  <c r="X95" i="65"/>
  <c r="H95" i="65"/>
  <c r="N95" i="65"/>
  <c r="T95" i="65"/>
  <c r="Z95" i="65"/>
  <c r="AB95" i="65"/>
  <c r="G95" i="65"/>
  <c r="M95" i="65"/>
  <c r="S95" i="65"/>
  <c r="Y95" i="65"/>
  <c r="AA95" i="65"/>
  <c r="AD94" i="65"/>
  <c r="AF94" i="65"/>
  <c r="AH94" i="65"/>
  <c r="AE94" i="65"/>
  <c r="AG94" i="65"/>
  <c r="F94" i="65"/>
  <c r="L94" i="65"/>
  <c r="R94" i="65"/>
  <c r="X94" i="65"/>
  <c r="H94" i="65"/>
  <c r="N94" i="65"/>
  <c r="T94" i="65"/>
  <c r="Z94" i="65"/>
  <c r="AB94" i="65"/>
  <c r="G94" i="65"/>
  <c r="M94" i="65"/>
  <c r="S94" i="65"/>
  <c r="Y94" i="65"/>
  <c r="AA94" i="65"/>
  <c r="AD93" i="65"/>
  <c r="AF93" i="65"/>
  <c r="AH93" i="65"/>
  <c r="AE93" i="65"/>
  <c r="AG93" i="65"/>
  <c r="F93" i="65"/>
  <c r="L93" i="65"/>
  <c r="R93" i="65"/>
  <c r="X93" i="65"/>
  <c r="H93" i="65"/>
  <c r="N93" i="65"/>
  <c r="T93" i="65"/>
  <c r="Z93" i="65"/>
  <c r="AB93" i="65"/>
  <c r="G93" i="65"/>
  <c r="M93" i="65"/>
  <c r="S93" i="65"/>
  <c r="Y93" i="65"/>
  <c r="AA93" i="65"/>
  <c r="AD92" i="65"/>
  <c r="AF92" i="65"/>
  <c r="AH92" i="65"/>
  <c r="AE92" i="65"/>
  <c r="AG92" i="65"/>
  <c r="F92" i="65"/>
  <c r="L92" i="65"/>
  <c r="R92" i="65"/>
  <c r="X92" i="65"/>
  <c r="H92" i="65"/>
  <c r="N92" i="65"/>
  <c r="T92" i="65"/>
  <c r="Z92" i="65"/>
  <c r="AB92" i="65"/>
  <c r="G92" i="65"/>
  <c r="M92" i="65"/>
  <c r="S92" i="65"/>
  <c r="Y92" i="65"/>
  <c r="AA92" i="65"/>
  <c r="AD91" i="65"/>
  <c r="AF91" i="65"/>
  <c r="AH91" i="65"/>
  <c r="AE91" i="65"/>
  <c r="AG91" i="65"/>
  <c r="F91" i="65"/>
  <c r="L91" i="65"/>
  <c r="R91" i="65"/>
  <c r="X91" i="65"/>
  <c r="H91" i="65"/>
  <c r="N91" i="65"/>
  <c r="T91" i="65"/>
  <c r="Z91" i="65"/>
  <c r="AB91" i="65"/>
  <c r="G91" i="65"/>
  <c r="M91" i="65"/>
  <c r="S91" i="65"/>
  <c r="Y91" i="65"/>
  <c r="AA91" i="65"/>
  <c r="AD90" i="65"/>
  <c r="AF90" i="65"/>
  <c r="AH90" i="65"/>
  <c r="AE90" i="65"/>
  <c r="AG90" i="65"/>
  <c r="F90" i="65"/>
  <c r="L90" i="65"/>
  <c r="R90" i="65"/>
  <c r="X90" i="65"/>
  <c r="H90" i="65"/>
  <c r="N90" i="65"/>
  <c r="T90" i="65"/>
  <c r="Z90" i="65"/>
  <c r="AB90" i="65"/>
  <c r="G90" i="65"/>
  <c r="M90" i="65"/>
  <c r="S90" i="65"/>
  <c r="Y90" i="65"/>
  <c r="AA90" i="65"/>
  <c r="AH88" i="65"/>
  <c r="AG88" i="65"/>
  <c r="AB88" i="65"/>
  <c r="AA88" i="65"/>
  <c r="AD83" i="65"/>
  <c r="AD84" i="65"/>
  <c r="AD82" i="65"/>
  <c r="AD85" i="65"/>
  <c r="AD86" i="65"/>
  <c r="AF83" i="65"/>
  <c r="AF84" i="65"/>
  <c r="AF82" i="65"/>
  <c r="AF85" i="65"/>
  <c r="AF86" i="65"/>
  <c r="AH86" i="65"/>
  <c r="AE83" i="65"/>
  <c r="AE84" i="65"/>
  <c r="AE82" i="65"/>
  <c r="AE85" i="65"/>
  <c r="AE86" i="65"/>
  <c r="AG86" i="65"/>
  <c r="F83" i="65"/>
  <c r="L83" i="65"/>
  <c r="R83" i="65"/>
  <c r="X83" i="65"/>
  <c r="F84" i="65"/>
  <c r="L84" i="65"/>
  <c r="R84" i="65"/>
  <c r="X84" i="65"/>
  <c r="X82" i="65"/>
  <c r="F85" i="65"/>
  <c r="L85" i="65"/>
  <c r="R85" i="65"/>
  <c r="X85" i="65"/>
  <c r="X86" i="65"/>
  <c r="H83" i="65"/>
  <c r="N83" i="65"/>
  <c r="T83" i="65"/>
  <c r="Z83" i="65"/>
  <c r="H84" i="65"/>
  <c r="N84" i="65"/>
  <c r="T84" i="65"/>
  <c r="Z84" i="65"/>
  <c r="Z82" i="65"/>
  <c r="H85" i="65"/>
  <c r="N85" i="65"/>
  <c r="T85" i="65"/>
  <c r="Z85" i="65"/>
  <c r="Z86" i="65"/>
  <c r="AB86" i="65"/>
  <c r="G83" i="65"/>
  <c r="M83" i="65"/>
  <c r="S83" i="65"/>
  <c r="Y83" i="65"/>
  <c r="G84" i="65"/>
  <c r="M84" i="65"/>
  <c r="S84" i="65"/>
  <c r="Y84" i="65"/>
  <c r="Y82" i="65"/>
  <c r="G85" i="65"/>
  <c r="M85" i="65"/>
  <c r="S85" i="65"/>
  <c r="Y85" i="65"/>
  <c r="Y86" i="65"/>
  <c r="AA86" i="65"/>
  <c r="AH85" i="65"/>
  <c r="AG85" i="65"/>
  <c r="AB85" i="65"/>
  <c r="AA85" i="65"/>
  <c r="AH84" i="65"/>
  <c r="AG84" i="65"/>
  <c r="AB84" i="65"/>
  <c r="AA84" i="65"/>
  <c r="AH83" i="65"/>
  <c r="AG83" i="65"/>
  <c r="AB83" i="65"/>
  <c r="AA83" i="65"/>
  <c r="AH82" i="65"/>
  <c r="AG82" i="65"/>
  <c r="AB82" i="65"/>
  <c r="AA82" i="65"/>
  <c r="AH80" i="65"/>
  <c r="AG80" i="65"/>
  <c r="AB80" i="65"/>
  <c r="AA80" i="65"/>
  <c r="AH77" i="65"/>
  <c r="AG77" i="65"/>
  <c r="AB77" i="65"/>
  <c r="AA77" i="65"/>
  <c r="AH75" i="65"/>
  <c r="AG75" i="65"/>
  <c r="AB75" i="65"/>
  <c r="AA75" i="65"/>
  <c r="AD69" i="65"/>
  <c r="AD70" i="65"/>
  <c r="AD71" i="65"/>
  <c r="AD72" i="65"/>
  <c r="AD73" i="65"/>
  <c r="AD74" i="65"/>
  <c r="AF69" i="65"/>
  <c r="AF70" i="65"/>
  <c r="AF71" i="65"/>
  <c r="AF72" i="65"/>
  <c r="AF73" i="65"/>
  <c r="AF74" i="65"/>
  <c r="AH74" i="65"/>
  <c r="AE69" i="65"/>
  <c r="AE70" i="65"/>
  <c r="AE71" i="65"/>
  <c r="AE72" i="65"/>
  <c r="AE73" i="65"/>
  <c r="AE74" i="65"/>
  <c r="AG74" i="65"/>
  <c r="F69" i="65"/>
  <c r="F70" i="65"/>
  <c r="F71" i="65"/>
  <c r="F72" i="65"/>
  <c r="F73" i="65"/>
  <c r="F74" i="65"/>
  <c r="L69" i="65"/>
  <c r="L70" i="65"/>
  <c r="L71" i="65"/>
  <c r="L72" i="65"/>
  <c r="L73" i="65"/>
  <c r="L74" i="65"/>
  <c r="R69" i="65"/>
  <c r="R70" i="65"/>
  <c r="R71" i="65"/>
  <c r="R72" i="65"/>
  <c r="R73" i="65"/>
  <c r="R74" i="65"/>
  <c r="X74" i="65"/>
  <c r="H69" i="65"/>
  <c r="H70" i="65"/>
  <c r="H71" i="65"/>
  <c r="H72" i="65"/>
  <c r="H73" i="65"/>
  <c r="H74" i="65"/>
  <c r="N69" i="65"/>
  <c r="N70" i="65"/>
  <c r="N71" i="65"/>
  <c r="N72" i="65"/>
  <c r="N73" i="65"/>
  <c r="N74" i="65"/>
  <c r="T69" i="65"/>
  <c r="T70" i="65"/>
  <c r="T71" i="65"/>
  <c r="T72" i="65"/>
  <c r="T73" i="65"/>
  <c r="T74" i="65"/>
  <c r="Z74" i="65"/>
  <c r="AB74" i="65"/>
  <c r="G69" i="65"/>
  <c r="G70" i="65"/>
  <c r="G71" i="65"/>
  <c r="G72" i="65"/>
  <c r="G73" i="65"/>
  <c r="G74" i="65"/>
  <c r="M69" i="65"/>
  <c r="M70" i="65"/>
  <c r="M71" i="65"/>
  <c r="M72" i="65"/>
  <c r="M73" i="65"/>
  <c r="M74" i="65"/>
  <c r="S69" i="65"/>
  <c r="S70" i="65"/>
  <c r="S71" i="65"/>
  <c r="S72" i="65"/>
  <c r="S73" i="65"/>
  <c r="S74" i="65"/>
  <c r="Y74" i="65"/>
  <c r="AA74" i="65"/>
  <c r="AH73" i="65"/>
  <c r="AG73" i="65"/>
  <c r="X73" i="65"/>
  <c r="Z73" i="65"/>
  <c r="AB73" i="65"/>
  <c r="Y73" i="65"/>
  <c r="AA73" i="65"/>
  <c r="AH72" i="65"/>
  <c r="AG72" i="65"/>
  <c r="X72" i="65"/>
  <c r="Z72" i="65"/>
  <c r="AB72" i="65"/>
  <c r="Y72" i="65"/>
  <c r="AA72" i="65"/>
  <c r="AH71" i="65"/>
  <c r="AG71" i="65"/>
  <c r="X71" i="65"/>
  <c r="Z71" i="65"/>
  <c r="AB71" i="65"/>
  <c r="Y71" i="65"/>
  <c r="AA71" i="65"/>
  <c r="AH70" i="65"/>
  <c r="AG70" i="65"/>
  <c r="X70" i="65"/>
  <c r="Z70" i="65"/>
  <c r="AB70" i="65"/>
  <c r="Y70" i="65"/>
  <c r="AA70" i="65"/>
  <c r="AH69" i="65"/>
  <c r="AG69" i="65"/>
  <c r="X69" i="65"/>
  <c r="Z69" i="65"/>
  <c r="AB69" i="65"/>
  <c r="Y69" i="65"/>
  <c r="AA69" i="65"/>
  <c r="AH68" i="65"/>
  <c r="AG68" i="65"/>
  <c r="AB68" i="65"/>
  <c r="AA68" i="65"/>
  <c r="AH66" i="65"/>
  <c r="AG66" i="65"/>
  <c r="AB66" i="65"/>
  <c r="AA66" i="65"/>
  <c r="AH63" i="65"/>
  <c r="AG63" i="65"/>
  <c r="AB63" i="65"/>
  <c r="AA63" i="65"/>
  <c r="AD62" i="65"/>
  <c r="AF62" i="65"/>
  <c r="AH62" i="65"/>
  <c r="AE62" i="65"/>
  <c r="AG62" i="65"/>
  <c r="F62" i="65"/>
  <c r="L62" i="65"/>
  <c r="R62" i="65"/>
  <c r="X62" i="65"/>
  <c r="H62" i="65"/>
  <c r="N62" i="65"/>
  <c r="T62" i="65"/>
  <c r="Z62" i="65"/>
  <c r="AB62" i="65"/>
  <c r="G62" i="65"/>
  <c r="M62" i="65"/>
  <c r="S62" i="65"/>
  <c r="Y62" i="65"/>
  <c r="AA62" i="65"/>
  <c r="AD59" i="65"/>
  <c r="AD60" i="65"/>
  <c r="AD61" i="65"/>
  <c r="AF59" i="65"/>
  <c r="AF60" i="65"/>
  <c r="AF61" i="65"/>
  <c r="AH61" i="65"/>
  <c r="AE59" i="65"/>
  <c r="AE60" i="65"/>
  <c r="AE61" i="65"/>
  <c r="AG61" i="65"/>
  <c r="F59" i="65"/>
  <c r="L59" i="65"/>
  <c r="R59" i="65"/>
  <c r="X59" i="65"/>
  <c r="F60" i="65"/>
  <c r="L60" i="65"/>
  <c r="R60" i="65"/>
  <c r="X60" i="65"/>
  <c r="X61" i="65"/>
  <c r="H59" i="65"/>
  <c r="N59" i="65"/>
  <c r="T59" i="65"/>
  <c r="Z59" i="65"/>
  <c r="H60" i="65"/>
  <c r="N60" i="65"/>
  <c r="T60" i="65"/>
  <c r="Z60" i="65"/>
  <c r="Z61" i="65"/>
  <c r="AB61" i="65"/>
  <c r="G59" i="65"/>
  <c r="M59" i="65"/>
  <c r="S59" i="65"/>
  <c r="Y59" i="65"/>
  <c r="G60" i="65"/>
  <c r="M60" i="65"/>
  <c r="S60" i="65"/>
  <c r="Y60" i="65"/>
  <c r="Y61" i="65"/>
  <c r="AA61" i="65"/>
  <c r="AH60" i="65"/>
  <c r="AG60" i="65"/>
  <c r="AB60" i="65"/>
  <c r="AA60" i="65"/>
  <c r="AH59" i="65"/>
  <c r="AG59" i="65"/>
  <c r="AB59" i="65"/>
  <c r="AA59" i="65"/>
  <c r="AH57" i="65"/>
  <c r="AG57" i="65"/>
  <c r="AB57" i="65"/>
  <c r="AA57" i="65"/>
  <c r="AH48" i="65"/>
  <c r="AG48" i="65"/>
  <c r="AB48" i="65"/>
  <c r="AA48" i="65"/>
  <c r="AD46" i="65"/>
  <c r="AF46" i="65"/>
  <c r="AH46" i="65"/>
  <c r="AE46" i="65"/>
  <c r="AG46" i="65"/>
  <c r="F46" i="65"/>
  <c r="L46" i="65"/>
  <c r="R46" i="65"/>
  <c r="X46" i="65"/>
  <c r="H46" i="65"/>
  <c r="N46" i="65"/>
  <c r="T46" i="65"/>
  <c r="Z46" i="65"/>
  <c r="AB46" i="65"/>
  <c r="G46" i="65"/>
  <c r="M46" i="65"/>
  <c r="S46" i="65"/>
  <c r="Y46" i="65"/>
  <c r="AA46" i="65"/>
  <c r="AD44" i="65"/>
  <c r="AF44" i="65"/>
  <c r="AH44" i="65"/>
  <c r="AE44" i="65"/>
  <c r="AG44" i="65"/>
  <c r="F44" i="65"/>
  <c r="L44" i="65"/>
  <c r="R44" i="65"/>
  <c r="X44" i="65"/>
  <c r="H44" i="65"/>
  <c r="N44" i="65"/>
  <c r="T44" i="65"/>
  <c r="Z44" i="65"/>
  <c r="AB44" i="65"/>
  <c r="G44" i="65"/>
  <c r="M44" i="65"/>
  <c r="S44" i="65"/>
  <c r="Y44" i="65"/>
  <c r="AA44" i="65"/>
  <c r="AD43" i="65"/>
  <c r="AF43" i="65"/>
  <c r="AH43" i="65"/>
  <c r="AE43" i="65"/>
  <c r="AG43" i="65"/>
  <c r="F43" i="65"/>
  <c r="L43" i="65"/>
  <c r="R43" i="65"/>
  <c r="X43" i="65"/>
  <c r="H43" i="65"/>
  <c r="N43" i="65"/>
  <c r="T43" i="65"/>
  <c r="Z43" i="65"/>
  <c r="AB43" i="65"/>
  <c r="G43" i="65"/>
  <c r="M43" i="65"/>
  <c r="S43" i="65"/>
  <c r="Y43" i="65"/>
  <c r="AA43" i="65"/>
  <c r="AD42" i="65"/>
  <c r="AF42" i="65"/>
  <c r="AH42" i="65"/>
  <c r="AE42" i="65"/>
  <c r="AG42" i="65"/>
  <c r="F42" i="65"/>
  <c r="L42" i="65"/>
  <c r="R42" i="65"/>
  <c r="X42" i="65"/>
  <c r="H42" i="65"/>
  <c r="N42" i="65"/>
  <c r="T42" i="65"/>
  <c r="Z42" i="65"/>
  <c r="AB42" i="65"/>
  <c r="G42" i="65"/>
  <c r="M42" i="65"/>
  <c r="S42" i="65"/>
  <c r="Y42" i="65"/>
  <c r="AA42" i="65"/>
  <c r="AD41" i="65"/>
  <c r="AF41" i="65"/>
  <c r="AH41" i="65"/>
  <c r="AE41" i="65"/>
  <c r="AG41" i="65"/>
  <c r="F41" i="65"/>
  <c r="L41" i="65"/>
  <c r="R41" i="65"/>
  <c r="X41" i="65"/>
  <c r="H41" i="65"/>
  <c r="N41" i="65"/>
  <c r="T41" i="65"/>
  <c r="Z41" i="65"/>
  <c r="AB41" i="65"/>
  <c r="G41" i="65"/>
  <c r="M41" i="65"/>
  <c r="S41" i="65"/>
  <c r="Y41" i="65"/>
  <c r="AA41" i="65"/>
  <c r="AH39" i="65"/>
  <c r="AG39" i="65"/>
  <c r="X39" i="65"/>
  <c r="Z39" i="65"/>
  <c r="AB39" i="65"/>
  <c r="Y39" i="65"/>
  <c r="AA39" i="65"/>
  <c r="AH38" i="65"/>
  <c r="AG38" i="65"/>
  <c r="X38" i="65"/>
  <c r="Z38" i="65"/>
  <c r="AB38" i="65"/>
  <c r="Y38" i="65"/>
  <c r="AA38" i="65"/>
  <c r="AH36" i="65"/>
  <c r="AG36" i="65"/>
  <c r="AB36" i="65"/>
  <c r="AA36" i="65"/>
  <c r="AH33" i="65"/>
  <c r="AG33" i="65"/>
  <c r="AB33" i="65"/>
  <c r="AA33" i="65"/>
  <c r="AD31" i="65"/>
  <c r="AF31" i="65"/>
  <c r="AH31" i="65"/>
  <c r="AE31" i="65"/>
  <c r="AG31" i="65"/>
  <c r="F31" i="65"/>
  <c r="L31" i="65"/>
  <c r="R31" i="65"/>
  <c r="X31" i="65"/>
  <c r="H31" i="65"/>
  <c r="N31" i="65"/>
  <c r="T31" i="65"/>
  <c r="Z31" i="65"/>
  <c r="AB31" i="65"/>
  <c r="G31" i="65"/>
  <c r="M31" i="65"/>
  <c r="S31" i="65"/>
  <c r="Y31" i="65"/>
  <c r="AA31" i="65"/>
  <c r="AD30" i="65"/>
  <c r="AF30" i="65"/>
  <c r="AH30" i="65"/>
  <c r="AE30" i="65"/>
  <c r="AG30" i="65"/>
  <c r="F30" i="65"/>
  <c r="L30" i="65"/>
  <c r="R30" i="65"/>
  <c r="X30" i="65"/>
  <c r="H30" i="65"/>
  <c r="N30" i="65"/>
  <c r="T30" i="65"/>
  <c r="Z30" i="65"/>
  <c r="AB30" i="65"/>
  <c r="G30" i="65"/>
  <c r="M30" i="65"/>
  <c r="S30" i="65"/>
  <c r="Y30" i="65"/>
  <c r="AA30" i="65"/>
  <c r="AD29" i="65"/>
  <c r="AF29" i="65"/>
  <c r="AH29" i="65"/>
  <c r="AE29" i="65"/>
  <c r="AG29" i="65"/>
  <c r="F29" i="65"/>
  <c r="L29" i="65"/>
  <c r="R29" i="65"/>
  <c r="X29" i="65"/>
  <c r="H29" i="65"/>
  <c r="N29" i="65"/>
  <c r="T29" i="65"/>
  <c r="Z29" i="65"/>
  <c r="AB29" i="65"/>
  <c r="G29" i="65"/>
  <c r="M29" i="65"/>
  <c r="S29" i="65"/>
  <c r="Y29" i="65"/>
  <c r="AA29" i="65"/>
  <c r="AD28" i="65"/>
  <c r="AF28" i="65"/>
  <c r="AH28" i="65"/>
  <c r="AE28" i="65"/>
  <c r="AG28" i="65"/>
  <c r="F28" i="65"/>
  <c r="L28" i="65"/>
  <c r="R28" i="65"/>
  <c r="X28" i="65"/>
  <c r="H28" i="65"/>
  <c r="N28" i="65"/>
  <c r="T28" i="65"/>
  <c r="Z28" i="65"/>
  <c r="AB28" i="65"/>
  <c r="G28" i="65"/>
  <c r="M28" i="65"/>
  <c r="S28" i="65"/>
  <c r="Y28" i="65"/>
  <c r="AA28" i="65"/>
  <c r="AD27" i="65"/>
  <c r="AF27" i="65"/>
  <c r="AH27" i="65"/>
  <c r="AE27" i="65"/>
  <c r="AG27" i="65"/>
  <c r="F27" i="65"/>
  <c r="L27" i="65"/>
  <c r="R27" i="65"/>
  <c r="X27" i="65"/>
  <c r="H27" i="65"/>
  <c r="N27" i="65"/>
  <c r="T27" i="65"/>
  <c r="Z27" i="65"/>
  <c r="AB27" i="65"/>
  <c r="G27" i="65"/>
  <c r="M27" i="65"/>
  <c r="S27" i="65"/>
  <c r="Y27" i="65"/>
  <c r="AA27" i="65"/>
  <c r="AD26" i="65"/>
  <c r="AF26" i="65"/>
  <c r="AH26" i="65"/>
  <c r="AE26" i="65"/>
  <c r="AG26" i="65"/>
  <c r="F26" i="65"/>
  <c r="L26" i="65"/>
  <c r="R26" i="65"/>
  <c r="X26" i="65"/>
  <c r="H26" i="65"/>
  <c r="N26" i="65"/>
  <c r="T26" i="65"/>
  <c r="Z26" i="65"/>
  <c r="AB26" i="65"/>
  <c r="G26" i="65"/>
  <c r="M26" i="65"/>
  <c r="S26" i="65"/>
  <c r="Y26" i="65"/>
  <c r="AA26" i="65"/>
  <c r="AD25" i="65"/>
  <c r="AF25" i="65"/>
  <c r="AH25" i="65"/>
  <c r="AE25" i="65"/>
  <c r="AG25" i="65"/>
  <c r="F25" i="65"/>
  <c r="L25" i="65"/>
  <c r="R25" i="65"/>
  <c r="X25" i="65"/>
  <c r="H25" i="65"/>
  <c r="N25" i="65"/>
  <c r="T25" i="65"/>
  <c r="Z25" i="65"/>
  <c r="AB25" i="65"/>
  <c r="G25" i="65"/>
  <c r="M25" i="65"/>
  <c r="S25" i="65"/>
  <c r="Y25" i="65"/>
  <c r="AA25" i="65"/>
  <c r="AD24" i="65"/>
  <c r="AF24" i="65"/>
  <c r="AH24" i="65"/>
  <c r="AE24" i="65"/>
  <c r="AG24" i="65"/>
  <c r="F24" i="65"/>
  <c r="L24" i="65"/>
  <c r="R24" i="65"/>
  <c r="X24" i="65"/>
  <c r="H24" i="65"/>
  <c r="N24" i="65"/>
  <c r="T24" i="65"/>
  <c r="Z24" i="65"/>
  <c r="AB24" i="65"/>
  <c r="G24" i="65"/>
  <c r="M24" i="65"/>
  <c r="S24" i="65"/>
  <c r="Y24" i="65"/>
  <c r="AA24" i="65"/>
  <c r="AD18" i="65"/>
  <c r="AD19" i="65"/>
  <c r="AD20" i="65"/>
  <c r="AD21" i="65"/>
  <c r="AD22" i="65"/>
  <c r="AF18" i="65"/>
  <c r="AF19" i="65"/>
  <c r="AF20" i="65"/>
  <c r="AF21" i="65"/>
  <c r="AF22" i="65"/>
  <c r="AH22" i="65"/>
  <c r="AE18" i="65"/>
  <c r="AE19" i="65"/>
  <c r="AE20" i="65"/>
  <c r="AE21" i="65"/>
  <c r="AE22" i="65"/>
  <c r="AG22" i="65"/>
  <c r="F18" i="65"/>
  <c r="F19" i="65"/>
  <c r="F20" i="65"/>
  <c r="F21" i="65"/>
  <c r="F22" i="65"/>
  <c r="L18" i="65"/>
  <c r="L19" i="65"/>
  <c r="L20" i="65"/>
  <c r="L21" i="65"/>
  <c r="L22" i="65"/>
  <c r="R18" i="65"/>
  <c r="R19" i="65"/>
  <c r="R20" i="65"/>
  <c r="R21" i="65"/>
  <c r="R22" i="65"/>
  <c r="X22" i="65"/>
  <c r="H18" i="65"/>
  <c r="H19" i="65"/>
  <c r="H20" i="65"/>
  <c r="H21" i="65"/>
  <c r="H22" i="65"/>
  <c r="N18" i="65"/>
  <c r="N19" i="65"/>
  <c r="N20" i="65"/>
  <c r="N21" i="65"/>
  <c r="N22" i="65"/>
  <c r="T18" i="65"/>
  <c r="T19" i="65"/>
  <c r="T20" i="65"/>
  <c r="T21" i="65"/>
  <c r="T22" i="65"/>
  <c r="Z22" i="65"/>
  <c r="AB22" i="65"/>
  <c r="G18" i="65"/>
  <c r="G19" i="65"/>
  <c r="G20" i="65"/>
  <c r="G21" i="65"/>
  <c r="G22" i="65"/>
  <c r="M18" i="65"/>
  <c r="M19" i="65"/>
  <c r="M20" i="65"/>
  <c r="M21" i="65"/>
  <c r="M22" i="65"/>
  <c r="S18" i="65"/>
  <c r="S19" i="65"/>
  <c r="S20" i="65"/>
  <c r="S21" i="65"/>
  <c r="S22" i="65"/>
  <c r="Y22" i="65"/>
  <c r="AA22" i="65"/>
  <c r="AH21" i="65"/>
  <c r="AG21" i="65"/>
  <c r="X21" i="65"/>
  <c r="Z21" i="65"/>
  <c r="AB21" i="65"/>
  <c r="Y21" i="65"/>
  <c r="AA21" i="65"/>
  <c r="AH20" i="65"/>
  <c r="AG20" i="65"/>
  <c r="X20" i="65"/>
  <c r="Z20" i="65"/>
  <c r="AB20" i="65"/>
  <c r="Y20" i="65"/>
  <c r="AA20" i="65"/>
  <c r="AH19" i="65"/>
  <c r="AG19" i="65"/>
  <c r="X19" i="65"/>
  <c r="Z19" i="65"/>
  <c r="AB19" i="65"/>
  <c r="Y19" i="65"/>
  <c r="AA19" i="65"/>
  <c r="AH18" i="65"/>
  <c r="AG18" i="65"/>
  <c r="X18" i="65"/>
  <c r="Z18" i="65"/>
  <c r="AB18" i="65"/>
  <c r="Y18" i="65"/>
  <c r="AA18" i="65"/>
  <c r="AH17" i="65"/>
  <c r="AG17" i="65"/>
  <c r="AB17" i="65"/>
  <c r="AA17" i="65"/>
  <c r="V109" i="65"/>
  <c r="U109" i="65"/>
  <c r="V108" i="65"/>
  <c r="U108" i="65"/>
  <c r="R107" i="65"/>
  <c r="T107" i="65"/>
  <c r="V107" i="65"/>
  <c r="S107" i="65"/>
  <c r="U107" i="65"/>
  <c r="V106" i="65"/>
  <c r="U106" i="65"/>
  <c r="V105" i="65"/>
  <c r="U105" i="65"/>
  <c r="V104" i="65"/>
  <c r="U104" i="65"/>
  <c r="V103" i="65"/>
  <c r="U103" i="65"/>
  <c r="V102" i="65"/>
  <c r="U102" i="65"/>
  <c r="V101" i="65"/>
  <c r="U101" i="65"/>
  <c r="V100" i="65"/>
  <c r="U100" i="65"/>
  <c r="V99" i="65"/>
  <c r="U99" i="65"/>
  <c r="R98" i="65"/>
  <c r="T98" i="65"/>
  <c r="V98" i="65"/>
  <c r="S98" i="65"/>
  <c r="U98" i="65"/>
  <c r="V97" i="65"/>
  <c r="U97" i="65"/>
  <c r="V96" i="65"/>
  <c r="U96" i="65"/>
  <c r="V95" i="65"/>
  <c r="U95" i="65"/>
  <c r="V94" i="65"/>
  <c r="U94" i="65"/>
  <c r="V93" i="65"/>
  <c r="U93" i="65"/>
  <c r="V92" i="65"/>
  <c r="U92" i="65"/>
  <c r="V91" i="65"/>
  <c r="U91" i="65"/>
  <c r="V90" i="65"/>
  <c r="U90" i="65"/>
  <c r="V88" i="65"/>
  <c r="U88" i="65"/>
  <c r="R82" i="65"/>
  <c r="R86" i="65"/>
  <c r="T82" i="65"/>
  <c r="T86" i="65"/>
  <c r="V86" i="65"/>
  <c r="S82" i="65"/>
  <c r="S86" i="65"/>
  <c r="U86" i="65"/>
  <c r="V85" i="65"/>
  <c r="U85" i="65"/>
  <c r="V84" i="65"/>
  <c r="U84" i="65"/>
  <c r="V83" i="65"/>
  <c r="U83" i="65"/>
  <c r="V82" i="65"/>
  <c r="U82" i="65"/>
  <c r="V80" i="65"/>
  <c r="U80" i="65"/>
  <c r="V77" i="65"/>
  <c r="U77" i="65"/>
  <c r="V75" i="65"/>
  <c r="U75" i="65"/>
  <c r="V74" i="65"/>
  <c r="U74" i="65"/>
  <c r="V73" i="65"/>
  <c r="U73" i="65"/>
  <c r="V72" i="65"/>
  <c r="U72" i="65"/>
  <c r="V71" i="65"/>
  <c r="U71" i="65"/>
  <c r="V70" i="65"/>
  <c r="U70" i="65"/>
  <c r="V69" i="65"/>
  <c r="U69" i="65"/>
  <c r="V68" i="65"/>
  <c r="U68" i="65"/>
  <c r="V66" i="65"/>
  <c r="U66" i="65"/>
  <c r="V63" i="65"/>
  <c r="U63" i="65"/>
  <c r="V62" i="65"/>
  <c r="U62" i="65"/>
  <c r="R61" i="65"/>
  <c r="T61" i="65"/>
  <c r="V61" i="65"/>
  <c r="S61" i="65"/>
  <c r="U61" i="65"/>
  <c r="V60" i="65"/>
  <c r="U60" i="65"/>
  <c r="V59" i="65"/>
  <c r="U59" i="65"/>
  <c r="V57" i="65"/>
  <c r="U57" i="65"/>
  <c r="V48" i="65"/>
  <c r="U48" i="65"/>
  <c r="V46" i="65"/>
  <c r="U46" i="65"/>
  <c r="V44" i="65"/>
  <c r="U44" i="65"/>
  <c r="V43" i="65"/>
  <c r="U43" i="65"/>
  <c r="V42" i="65"/>
  <c r="U42" i="65"/>
  <c r="V41" i="65"/>
  <c r="U41" i="65"/>
  <c r="V39" i="65"/>
  <c r="U39" i="65"/>
  <c r="V38" i="65"/>
  <c r="U38" i="65"/>
  <c r="V36" i="65"/>
  <c r="U36" i="65"/>
  <c r="V33" i="65"/>
  <c r="U33" i="65"/>
  <c r="V31" i="65"/>
  <c r="U31" i="65"/>
  <c r="V30" i="65"/>
  <c r="U30" i="65"/>
  <c r="V29" i="65"/>
  <c r="U29" i="65"/>
  <c r="V28" i="65"/>
  <c r="U28" i="65"/>
  <c r="V27" i="65"/>
  <c r="U27" i="65"/>
  <c r="V26" i="65"/>
  <c r="U26" i="65"/>
  <c r="V25" i="65"/>
  <c r="U25" i="65"/>
  <c r="V24" i="65"/>
  <c r="U24" i="65"/>
  <c r="V22" i="65"/>
  <c r="U22" i="65"/>
  <c r="V21" i="65"/>
  <c r="U21" i="65"/>
  <c r="V20" i="65"/>
  <c r="U20" i="65"/>
  <c r="V19" i="65"/>
  <c r="U19" i="65"/>
  <c r="V18" i="65"/>
  <c r="U18" i="65"/>
  <c r="V17" i="65"/>
  <c r="U17" i="65"/>
  <c r="P109" i="65"/>
  <c r="O109" i="65"/>
  <c r="P108" i="65"/>
  <c r="O108" i="65"/>
  <c r="L107" i="65"/>
  <c r="N107" i="65"/>
  <c r="P107" i="65"/>
  <c r="M107" i="65"/>
  <c r="O107" i="65"/>
  <c r="P106" i="65"/>
  <c r="O106" i="65"/>
  <c r="P105" i="65"/>
  <c r="O105" i="65"/>
  <c r="P104" i="65"/>
  <c r="O104" i="65"/>
  <c r="P103" i="65"/>
  <c r="O103" i="65"/>
  <c r="P102" i="65"/>
  <c r="O102" i="65"/>
  <c r="P101" i="65"/>
  <c r="O101" i="65"/>
  <c r="P100" i="65"/>
  <c r="O100" i="65"/>
  <c r="P99" i="65"/>
  <c r="O99" i="65"/>
  <c r="L98" i="65"/>
  <c r="N98" i="65"/>
  <c r="P98" i="65"/>
  <c r="M98" i="65"/>
  <c r="O98" i="65"/>
  <c r="P97" i="65"/>
  <c r="O97" i="65"/>
  <c r="P96" i="65"/>
  <c r="O96" i="65"/>
  <c r="P95" i="65"/>
  <c r="O95" i="65"/>
  <c r="P94" i="65"/>
  <c r="O94" i="65"/>
  <c r="P93" i="65"/>
  <c r="O93" i="65"/>
  <c r="P92" i="65"/>
  <c r="O92" i="65"/>
  <c r="P91" i="65"/>
  <c r="O91" i="65"/>
  <c r="P90" i="65"/>
  <c r="O90" i="65"/>
  <c r="P88" i="65"/>
  <c r="O88" i="65"/>
  <c r="L82" i="65"/>
  <c r="L86" i="65"/>
  <c r="N82" i="65"/>
  <c r="N86" i="65"/>
  <c r="P86" i="65"/>
  <c r="M82" i="65"/>
  <c r="M86" i="65"/>
  <c r="O86" i="65"/>
  <c r="P85" i="65"/>
  <c r="O85" i="65"/>
  <c r="P84" i="65"/>
  <c r="O84" i="65"/>
  <c r="P83" i="65"/>
  <c r="O83" i="65"/>
  <c r="P82" i="65"/>
  <c r="O82" i="65"/>
  <c r="P80" i="65"/>
  <c r="O80" i="65"/>
  <c r="P77" i="65"/>
  <c r="O77" i="65"/>
  <c r="P75" i="65"/>
  <c r="O75" i="65"/>
  <c r="P74" i="65"/>
  <c r="O74" i="65"/>
  <c r="P73" i="65"/>
  <c r="O73" i="65"/>
  <c r="P72" i="65"/>
  <c r="O72" i="65"/>
  <c r="P71" i="65"/>
  <c r="O71" i="65"/>
  <c r="P70" i="65"/>
  <c r="O70" i="65"/>
  <c r="P69" i="65"/>
  <c r="O69" i="65"/>
  <c r="P68" i="65"/>
  <c r="O68" i="65"/>
  <c r="P66" i="65"/>
  <c r="O66" i="65"/>
  <c r="P63" i="65"/>
  <c r="O63" i="65"/>
  <c r="P62" i="65"/>
  <c r="O62" i="65"/>
  <c r="L61" i="65"/>
  <c r="N61" i="65"/>
  <c r="P61" i="65"/>
  <c r="M61" i="65"/>
  <c r="O61" i="65"/>
  <c r="P60" i="65"/>
  <c r="O60" i="65"/>
  <c r="P59" i="65"/>
  <c r="O59" i="65"/>
  <c r="P57" i="65"/>
  <c r="O57" i="65"/>
  <c r="P48" i="65"/>
  <c r="O48" i="65"/>
  <c r="P46" i="65"/>
  <c r="O46" i="65"/>
  <c r="P44" i="65"/>
  <c r="O44" i="65"/>
  <c r="P43" i="65"/>
  <c r="O43" i="65"/>
  <c r="P42" i="65"/>
  <c r="O42" i="65"/>
  <c r="P41" i="65"/>
  <c r="O41" i="65"/>
  <c r="P39" i="65"/>
  <c r="O39" i="65"/>
  <c r="P38" i="65"/>
  <c r="O38" i="65"/>
  <c r="P36" i="65"/>
  <c r="O36" i="65"/>
  <c r="P33" i="65"/>
  <c r="O33" i="65"/>
  <c r="P31" i="65"/>
  <c r="O31" i="65"/>
  <c r="P30" i="65"/>
  <c r="O30" i="65"/>
  <c r="P29" i="65"/>
  <c r="O29" i="65"/>
  <c r="P28" i="65"/>
  <c r="O28" i="65"/>
  <c r="P27" i="65"/>
  <c r="O27" i="65"/>
  <c r="P26" i="65"/>
  <c r="O26" i="65"/>
  <c r="P25" i="65"/>
  <c r="O25" i="65"/>
  <c r="P24" i="65"/>
  <c r="O24" i="65"/>
  <c r="P22" i="65"/>
  <c r="O22" i="65"/>
  <c r="P21" i="65"/>
  <c r="O21" i="65"/>
  <c r="P20" i="65"/>
  <c r="O20" i="65"/>
  <c r="P19" i="65"/>
  <c r="O19" i="65"/>
  <c r="P18" i="65"/>
  <c r="O18" i="65"/>
  <c r="P17" i="65"/>
  <c r="O17" i="65"/>
  <c r="J109" i="65"/>
  <c r="I109" i="65"/>
  <c r="J108" i="65"/>
  <c r="I108" i="65"/>
  <c r="F107" i="65"/>
  <c r="H107" i="65"/>
  <c r="J107" i="65"/>
  <c r="G107" i="65"/>
  <c r="I107" i="65"/>
  <c r="J106" i="65"/>
  <c r="I106" i="65"/>
  <c r="J105" i="65"/>
  <c r="I105" i="65"/>
  <c r="J104" i="65"/>
  <c r="I104" i="65"/>
  <c r="J103" i="65"/>
  <c r="I103" i="65"/>
  <c r="J102" i="65"/>
  <c r="I102" i="65"/>
  <c r="J101" i="65"/>
  <c r="I101" i="65"/>
  <c r="J100" i="65"/>
  <c r="I100" i="65"/>
  <c r="J99" i="65"/>
  <c r="I99" i="65"/>
  <c r="F98" i="65"/>
  <c r="H98" i="65"/>
  <c r="J98" i="65"/>
  <c r="G98" i="65"/>
  <c r="I98" i="65"/>
  <c r="J97" i="65"/>
  <c r="I97" i="65"/>
  <c r="J96" i="65"/>
  <c r="I96" i="65"/>
  <c r="J95" i="65"/>
  <c r="I95" i="65"/>
  <c r="J94" i="65"/>
  <c r="I94" i="65"/>
  <c r="J93" i="65"/>
  <c r="I93" i="65"/>
  <c r="J92" i="65"/>
  <c r="I92" i="65"/>
  <c r="J91" i="65"/>
  <c r="I91" i="65"/>
  <c r="J90" i="65"/>
  <c r="I90" i="65"/>
  <c r="J88" i="65"/>
  <c r="I88" i="65"/>
  <c r="F82" i="65"/>
  <c r="F86" i="65"/>
  <c r="H82" i="65"/>
  <c r="H86" i="65"/>
  <c r="J86" i="65"/>
  <c r="G82" i="65"/>
  <c r="G86" i="65"/>
  <c r="I86" i="65"/>
  <c r="J85" i="65"/>
  <c r="I85" i="65"/>
  <c r="J84" i="65"/>
  <c r="I84" i="65"/>
  <c r="J83" i="65"/>
  <c r="I83" i="65"/>
  <c r="J82" i="65"/>
  <c r="I82" i="65"/>
  <c r="J80" i="65"/>
  <c r="I80" i="65"/>
  <c r="J77" i="65"/>
  <c r="I77" i="65"/>
  <c r="J75" i="65"/>
  <c r="I75" i="65"/>
  <c r="J74" i="65"/>
  <c r="I74" i="65"/>
  <c r="J73" i="65"/>
  <c r="I73" i="65"/>
  <c r="J72" i="65"/>
  <c r="I72" i="65"/>
  <c r="J71" i="65"/>
  <c r="I71" i="65"/>
  <c r="J70" i="65"/>
  <c r="I70" i="65"/>
  <c r="J69" i="65"/>
  <c r="I69" i="65"/>
  <c r="J68" i="65"/>
  <c r="I68" i="65"/>
  <c r="J66" i="65"/>
  <c r="I66" i="65"/>
  <c r="J63" i="65"/>
  <c r="I63" i="65"/>
  <c r="J62" i="65"/>
  <c r="I62" i="65"/>
  <c r="F61" i="65"/>
  <c r="H61" i="65"/>
  <c r="J61" i="65"/>
  <c r="G61" i="65"/>
  <c r="I61" i="65"/>
  <c r="J60" i="65"/>
  <c r="I60" i="65"/>
  <c r="J59" i="65"/>
  <c r="I59" i="65"/>
  <c r="J57" i="65"/>
  <c r="I57" i="65"/>
  <c r="J48" i="65"/>
  <c r="I48" i="65"/>
  <c r="J46" i="65"/>
  <c r="I46" i="65"/>
  <c r="J44" i="65"/>
  <c r="I44" i="65"/>
  <c r="J43" i="65"/>
  <c r="I43" i="65"/>
  <c r="J42" i="65"/>
  <c r="I42" i="65"/>
  <c r="J41" i="65"/>
  <c r="I41" i="65"/>
  <c r="J39" i="65"/>
  <c r="I39" i="65"/>
  <c r="J38" i="65"/>
  <c r="I38" i="65"/>
  <c r="J36" i="65"/>
  <c r="I36" i="65"/>
  <c r="J33" i="65"/>
  <c r="I33" i="65"/>
  <c r="J31" i="65"/>
  <c r="I31" i="65"/>
  <c r="J30" i="65"/>
  <c r="I30" i="65"/>
  <c r="J29" i="65"/>
  <c r="I29" i="65"/>
  <c r="J28" i="65"/>
  <c r="I28" i="65"/>
  <c r="J27" i="65"/>
  <c r="I27" i="65"/>
  <c r="J26" i="65"/>
  <c r="I26" i="65"/>
  <c r="J25" i="65"/>
  <c r="I25" i="65"/>
  <c r="J24" i="65"/>
  <c r="I24" i="65"/>
  <c r="J22" i="65"/>
  <c r="I22" i="65"/>
  <c r="J21" i="65"/>
  <c r="I21" i="65"/>
  <c r="J20" i="65"/>
  <c r="I20" i="65"/>
  <c r="J19" i="65"/>
  <c r="I19" i="65"/>
  <c r="J18" i="65"/>
  <c r="I18" i="65"/>
  <c r="J17" i="65"/>
  <c r="I17" i="65"/>
  <c r="AZ14" i="66"/>
  <c r="AZ15" i="66"/>
  <c r="BB14" i="66"/>
  <c r="AY14" i="66"/>
  <c r="AY15" i="66"/>
  <c r="BA14" i="66"/>
  <c r="AT14" i="66"/>
  <c r="AT15" i="66"/>
  <c r="AV14" i="66"/>
  <c r="AS14" i="66"/>
  <c r="AS15" i="66"/>
  <c r="AU14" i="66"/>
  <c r="AN14" i="66"/>
  <c r="AN15" i="66"/>
  <c r="AP14" i="66"/>
  <c r="AM14" i="66"/>
  <c r="AM15" i="66"/>
  <c r="AO14" i="66"/>
  <c r="AG14" i="66"/>
  <c r="AG15" i="66"/>
  <c r="AI14" i="66"/>
  <c r="AF14" i="66"/>
  <c r="AF15" i="66"/>
  <c r="AH14" i="66"/>
  <c r="AA14" i="66"/>
  <c r="AA15" i="66"/>
  <c r="AC14" i="66"/>
  <c r="Z14" i="66"/>
  <c r="Z15" i="66"/>
  <c r="AB14" i="66"/>
  <c r="U14" i="66"/>
  <c r="U15" i="66"/>
  <c r="W14" i="66"/>
  <c r="T14" i="66"/>
  <c r="T15" i="66"/>
  <c r="V14" i="66"/>
  <c r="O14" i="66"/>
  <c r="O15" i="66"/>
  <c r="Q14" i="66"/>
  <c r="N14" i="66"/>
  <c r="N15" i="66"/>
  <c r="P14" i="66"/>
  <c r="I14" i="66"/>
  <c r="I15" i="66"/>
  <c r="K14" i="66"/>
  <c r="H14" i="66"/>
  <c r="H15" i="66"/>
  <c r="J14" i="66"/>
  <c r="AF14" i="65"/>
  <c r="AF15" i="65"/>
  <c r="AH14" i="65"/>
  <c r="AE14" i="65"/>
  <c r="AE15" i="65"/>
  <c r="AG14" i="65"/>
  <c r="Z4" i="65"/>
  <c r="Z14" i="65"/>
  <c r="Z5" i="65"/>
  <c r="Z15" i="65"/>
  <c r="AB14" i="65"/>
  <c r="Y4" i="65"/>
  <c r="Y14" i="65"/>
  <c r="Y5" i="65"/>
  <c r="Y15" i="65"/>
  <c r="AA14" i="65"/>
  <c r="T14" i="65"/>
  <c r="T15" i="65"/>
  <c r="V14" i="65"/>
  <c r="S14" i="65"/>
  <c r="S15" i="65"/>
  <c r="U14" i="65"/>
  <c r="N14" i="65"/>
  <c r="N15" i="65"/>
  <c r="P14" i="65"/>
  <c r="M14" i="65"/>
  <c r="M15" i="65"/>
  <c r="O14" i="65"/>
  <c r="H14" i="65"/>
  <c r="H15" i="65"/>
  <c r="J14" i="65"/>
  <c r="G14" i="65"/>
  <c r="G15" i="65"/>
  <c r="I14" i="65"/>
  <c r="BF38" i="66"/>
  <c r="BE38" i="66"/>
  <c r="BD38" i="66"/>
  <c r="BF37" i="66"/>
  <c r="BE37" i="66"/>
  <c r="BD37" i="66"/>
  <c r="BF36" i="66"/>
  <c r="BE36" i="66"/>
  <c r="BD36" i="66"/>
  <c r="BF35" i="66"/>
  <c r="BE35" i="66"/>
  <c r="BD35" i="66"/>
  <c r="BF34" i="66"/>
  <c r="BE34" i="66"/>
  <c r="BD34" i="66"/>
  <c r="BF33" i="66"/>
  <c r="BE33" i="66"/>
  <c r="BD33" i="66"/>
  <c r="BF32" i="66"/>
  <c r="BE32" i="66"/>
  <c r="BD32" i="66"/>
  <c r="BF31" i="66"/>
  <c r="BE31" i="66"/>
  <c r="BD31" i="66"/>
  <c r="BF30" i="66"/>
  <c r="BE30" i="66"/>
  <c r="BD30" i="66"/>
  <c r="BF29" i="66"/>
  <c r="BE29" i="66"/>
  <c r="BD29" i="66"/>
  <c r="BF28" i="66"/>
  <c r="BE28" i="66"/>
  <c r="BD28" i="66"/>
  <c r="BF27" i="66"/>
  <c r="BE27" i="66"/>
  <c r="BF26" i="66"/>
  <c r="BE26" i="66"/>
  <c r="BD26" i="66"/>
  <c r="BF25" i="66"/>
  <c r="BE25" i="66"/>
  <c r="BD25" i="66"/>
  <c r="BF24" i="66"/>
  <c r="BE24" i="66"/>
  <c r="BD24" i="66"/>
  <c r="BF23" i="66"/>
  <c r="BE23" i="66"/>
  <c r="BD23" i="66"/>
  <c r="BF22" i="66"/>
  <c r="BE22" i="66"/>
  <c r="BD22" i="66"/>
  <c r="BF21" i="66"/>
  <c r="BE21" i="66"/>
  <c r="BD21" i="66"/>
  <c r="BF20" i="66"/>
  <c r="BE20" i="66"/>
  <c r="BD20" i="66"/>
  <c r="BF19" i="66"/>
  <c r="BE19" i="66"/>
  <c r="BD19" i="66"/>
  <c r="BF18" i="66"/>
  <c r="BE18" i="66"/>
  <c r="BD18" i="66"/>
  <c r="BF17" i="66"/>
  <c r="BE17" i="66"/>
  <c r="BD17" i="66"/>
  <c r="BD27" i="66"/>
  <c r="B22" i="67"/>
  <c r="AX12" i="66"/>
  <c r="BD12" i="66"/>
  <c r="E52" i="61"/>
  <c r="E43" i="61"/>
  <c r="E50" i="61"/>
  <c r="E54" i="61"/>
  <c r="BD6" i="66"/>
  <c r="BF5" i="66"/>
  <c r="BF15" i="66"/>
  <c r="BE5" i="66"/>
  <c r="BE15" i="66"/>
  <c r="BD5" i="66"/>
  <c r="BD15" i="66"/>
  <c r="BF4" i="66"/>
  <c r="BF14" i="66"/>
  <c r="BE4" i="66"/>
  <c r="BE14" i="66"/>
  <c r="BD4" i="66"/>
  <c r="BD14" i="66"/>
  <c r="BF8" i="66"/>
  <c r="BE8" i="66"/>
  <c r="BD8" i="66"/>
  <c r="BF7" i="66"/>
  <c r="BE7" i="66"/>
  <c r="BD7" i="66"/>
  <c r="BE6" i="66"/>
  <c r="BF6" i="66"/>
  <c r="M12" i="66"/>
  <c r="G12" i="66"/>
  <c r="AR12" i="66"/>
  <c r="C1" i="66"/>
  <c r="D28" i="66"/>
  <c r="D29" i="66"/>
  <c r="D30" i="66"/>
  <c r="D31" i="66"/>
  <c r="D32" i="66"/>
  <c r="D33" i="66"/>
  <c r="D34" i="66"/>
  <c r="D35" i="66"/>
  <c r="D36" i="66"/>
  <c r="D37" i="66"/>
  <c r="D19" i="66"/>
  <c r="D20" i="66"/>
  <c r="D21" i="66"/>
  <c r="D22" i="66"/>
  <c r="D23" i="66"/>
  <c r="D24" i="66"/>
  <c r="D25" i="66"/>
  <c r="D26" i="66"/>
  <c r="D27" i="66"/>
  <c r="D18" i="66"/>
  <c r="E37" i="66"/>
  <c r="E36" i="66"/>
  <c r="E35" i="66"/>
  <c r="E34" i="66"/>
  <c r="E33" i="66"/>
  <c r="AX15" i="66"/>
  <c r="AX14" i="66"/>
  <c r="AZ8" i="66"/>
  <c r="AY8" i="66"/>
  <c r="AX8" i="66"/>
  <c r="AR15" i="66"/>
  <c r="AR14" i="66"/>
  <c r="AT8" i="66"/>
  <c r="AS8" i="66"/>
  <c r="AR8" i="66"/>
  <c r="E38" i="66"/>
  <c r="D38" i="66"/>
  <c r="AL15" i="66"/>
  <c r="AL14" i="66"/>
  <c r="AN8" i="66"/>
  <c r="AM8" i="66"/>
  <c r="AL8" i="66"/>
  <c r="AE15" i="66"/>
  <c r="AJ14" i="66"/>
  <c r="AE14" i="66"/>
  <c r="AG8" i="66"/>
  <c r="AF8" i="66"/>
  <c r="AE8" i="66"/>
  <c r="Y15" i="66"/>
  <c r="Y14" i="66"/>
  <c r="AA8" i="66"/>
  <c r="Z8" i="66"/>
  <c r="Y8" i="66"/>
  <c r="S15" i="66"/>
  <c r="S14" i="66"/>
  <c r="U8" i="66"/>
  <c r="T8" i="66"/>
  <c r="S8" i="66"/>
  <c r="M15" i="66"/>
  <c r="M14" i="66"/>
  <c r="O8" i="66"/>
  <c r="N8" i="66"/>
  <c r="M8" i="66"/>
  <c r="E28" i="66"/>
  <c r="E29" i="66"/>
  <c r="E30" i="66"/>
  <c r="E31" i="66"/>
  <c r="E32" i="66"/>
  <c r="E17" i="66"/>
  <c r="E19" i="66"/>
  <c r="E20" i="66"/>
  <c r="E21" i="66"/>
  <c r="E22" i="66"/>
  <c r="E23" i="66"/>
  <c r="E24" i="66"/>
  <c r="E25" i="66"/>
  <c r="E26" i="66"/>
  <c r="E27" i="66"/>
  <c r="E18" i="66"/>
  <c r="E11" i="67"/>
  <c r="C11" i="67"/>
  <c r="C22" i="67"/>
  <c r="A22" i="67"/>
  <c r="A5" i="67"/>
  <c r="A4" i="67"/>
  <c r="A3" i="67"/>
  <c r="A2" i="67"/>
  <c r="F52" i="61"/>
  <c r="F43" i="61"/>
  <c r="G52" i="61"/>
  <c r="G43" i="61"/>
  <c r="D74" i="65"/>
  <c r="D77" i="65"/>
  <c r="D75" i="65"/>
  <c r="R13" i="65"/>
  <c r="L13" i="65"/>
  <c r="F13" i="65"/>
  <c r="D37" i="65"/>
  <c r="E44" i="61"/>
  <c r="F44" i="61"/>
  <c r="F50" i="61"/>
  <c r="F54" i="61"/>
  <c r="G44" i="61"/>
  <c r="G50" i="61"/>
  <c r="G54" i="61"/>
  <c r="D34" i="65"/>
  <c r="D49" i="65"/>
  <c r="D58" i="65"/>
  <c r="D81" i="65"/>
  <c r="D89" i="65"/>
  <c r="D67" i="65"/>
  <c r="D63" i="65"/>
  <c r="D61" i="65"/>
  <c r="F59" i="61"/>
  <c r="E59" i="61"/>
  <c r="G59" i="61"/>
  <c r="G58" i="61"/>
  <c r="E58" i="61"/>
  <c r="F58" i="61"/>
  <c r="G57" i="61"/>
  <c r="F57" i="61"/>
  <c r="E57" i="61"/>
  <c r="G56" i="61"/>
  <c r="F56" i="61"/>
  <c r="E56" i="61"/>
  <c r="E55" i="61"/>
  <c r="G55" i="61"/>
  <c r="F55" i="61"/>
  <c r="G48" i="61"/>
  <c r="F48" i="61"/>
  <c r="E48" i="61"/>
  <c r="G47" i="61"/>
  <c r="F47" i="61"/>
  <c r="E47" i="61"/>
  <c r="D64" i="65"/>
  <c r="D30" i="65"/>
  <c r="D29" i="65"/>
  <c r="D28" i="65"/>
  <c r="D27" i="65"/>
  <c r="D98" i="65"/>
  <c r="D78" i="65"/>
  <c r="D76" i="65"/>
  <c r="D68" i="65"/>
  <c r="D57" i="65"/>
  <c r="G14" i="66"/>
  <c r="G10" i="66"/>
  <c r="G8" i="66"/>
  <c r="G15" i="66"/>
  <c r="E15" i="66"/>
  <c r="D14" i="66"/>
  <c r="I8" i="66"/>
  <c r="H8" i="66"/>
  <c r="D15" i="65"/>
  <c r="D55" i="65"/>
  <c r="D14" i="65"/>
  <c r="D54" i="65"/>
  <c r="AD13" i="65"/>
  <c r="AD53" i="65"/>
  <c r="X13" i="65"/>
  <c r="X53" i="65"/>
  <c r="R53" i="65"/>
  <c r="L53" i="65"/>
  <c r="F53" i="65"/>
  <c r="AH55" i="65"/>
  <c r="AG55" i="65"/>
  <c r="AF55" i="65"/>
  <c r="AE55" i="65"/>
  <c r="AD15" i="65"/>
  <c r="AD55" i="65"/>
  <c r="AH54" i="65"/>
  <c r="AG54" i="65"/>
  <c r="AF54" i="65"/>
  <c r="AE54" i="65"/>
  <c r="AD14" i="65"/>
  <c r="AD54" i="65"/>
  <c r="AB55" i="65"/>
  <c r="AA55" i="65"/>
  <c r="Z55" i="65"/>
  <c r="Y55" i="65"/>
  <c r="X5" i="65"/>
  <c r="X15" i="65"/>
  <c r="X55" i="65"/>
  <c r="AB54" i="65"/>
  <c r="AA54" i="65"/>
  <c r="Z54" i="65"/>
  <c r="Y54" i="65"/>
  <c r="X4" i="65"/>
  <c r="X14" i="65"/>
  <c r="X54" i="65"/>
  <c r="V55" i="65"/>
  <c r="U55" i="65"/>
  <c r="T55" i="65"/>
  <c r="S55" i="65"/>
  <c r="R15" i="65"/>
  <c r="R55" i="65"/>
  <c r="V54" i="65"/>
  <c r="U54" i="65"/>
  <c r="T54" i="65"/>
  <c r="S54" i="65"/>
  <c r="R14" i="65"/>
  <c r="R54" i="65"/>
  <c r="P55" i="65"/>
  <c r="O55" i="65"/>
  <c r="N55" i="65"/>
  <c r="M55" i="65"/>
  <c r="L15" i="65"/>
  <c r="L55" i="65"/>
  <c r="P54" i="65"/>
  <c r="O54" i="65"/>
  <c r="N54" i="65"/>
  <c r="M54" i="65"/>
  <c r="L14" i="65"/>
  <c r="L54" i="65"/>
  <c r="J55" i="65"/>
  <c r="I55" i="65"/>
  <c r="H55" i="65"/>
  <c r="G55" i="65"/>
  <c r="J54" i="65"/>
  <c r="I54" i="65"/>
  <c r="H54" i="65"/>
  <c r="G54" i="65"/>
  <c r="F15" i="65"/>
  <c r="F55" i="65"/>
  <c r="F14" i="65"/>
  <c r="F54" i="65"/>
  <c r="F51" i="65"/>
  <c r="D1" i="65"/>
  <c r="G53" i="61"/>
  <c r="F53" i="61"/>
  <c r="E53" i="61"/>
  <c r="F11" i="65"/>
  <c r="D109" i="65"/>
  <c r="D90" i="65"/>
  <c r="D108" i="65"/>
  <c r="D97" i="65"/>
  <c r="D106" i="65"/>
  <c r="D104" i="65"/>
  <c r="D103" i="65"/>
  <c r="D102" i="65"/>
  <c r="D101" i="65"/>
  <c r="D100" i="65"/>
  <c r="D96" i="65"/>
  <c r="D95" i="65"/>
  <c r="D99" i="65"/>
  <c r="D94" i="65"/>
  <c r="D93" i="65"/>
  <c r="D91" i="65"/>
  <c r="D92" i="65"/>
  <c r="D88" i="65"/>
  <c r="D105" i="65"/>
  <c r="D86" i="65"/>
  <c r="D85" i="65"/>
  <c r="D84" i="65"/>
  <c r="D83" i="65"/>
  <c r="D80" i="65"/>
  <c r="D73" i="65"/>
  <c r="D72" i="65"/>
  <c r="D71" i="65"/>
  <c r="D70" i="65"/>
  <c r="D69" i="65"/>
  <c r="D66" i="65"/>
  <c r="D62" i="65"/>
  <c r="D59" i="65"/>
  <c r="D26" i="65"/>
  <c r="D25" i="65"/>
  <c r="D60" i="65"/>
  <c r="D48" i="65"/>
  <c r="D46" i="65"/>
  <c r="D44" i="65"/>
  <c r="D43" i="65"/>
  <c r="D42" i="65"/>
  <c r="D39" i="65"/>
  <c r="D38" i="65"/>
  <c r="D33" i="65"/>
  <c r="D31" i="65"/>
  <c r="D24" i="65"/>
  <c r="D21" i="65"/>
  <c r="D20" i="65"/>
  <c r="D19" i="65"/>
  <c r="D18" i="65"/>
  <c r="D17" i="65"/>
  <c r="D41" i="65"/>
  <c r="D22" i="65"/>
  <c r="Z9" i="65"/>
  <c r="Y9" i="65"/>
  <c r="X9" i="65"/>
  <c r="Z8" i="65"/>
  <c r="Y8" i="65"/>
  <c r="X8" i="65"/>
  <c r="AF9" i="65"/>
  <c r="AE9" i="65"/>
  <c r="AD9" i="65"/>
  <c r="T9" i="65"/>
  <c r="S9" i="65"/>
  <c r="R9" i="65"/>
  <c r="N9" i="65"/>
  <c r="M9" i="65"/>
  <c r="L9" i="65"/>
  <c r="F9" i="65"/>
  <c r="H9" i="65"/>
  <c r="G9" i="65"/>
</calcChain>
</file>

<file path=xl/sharedStrings.xml><?xml version="1.0" encoding="utf-8"?>
<sst xmlns="http://schemas.openxmlformats.org/spreadsheetml/2006/main" count="235" uniqueCount="147">
  <si>
    <t>AUD</t>
  </si>
  <si>
    <t>SG&amp;A</t>
  </si>
  <si>
    <t>EUR</t>
  </si>
  <si>
    <t>Devise</t>
  </si>
  <si>
    <t>France</t>
  </si>
  <si>
    <t>USD</t>
  </si>
  <si>
    <t>Canada</t>
  </si>
  <si>
    <t>CAD</t>
  </si>
  <si>
    <t>GBP</t>
  </si>
  <si>
    <t>TOD France</t>
  </si>
  <si>
    <t>Portugal</t>
  </si>
  <si>
    <t>MAD</t>
  </si>
  <si>
    <t>CLP</t>
  </si>
  <si>
    <t>Eurolines</t>
  </si>
  <si>
    <t>SEK</t>
  </si>
  <si>
    <t>Connexxion NL</t>
  </si>
  <si>
    <t>VTNL</t>
  </si>
  <si>
    <t>Internorte</t>
  </si>
  <si>
    <t>[Begin Format Range]</t>
  </si>
  <si>
    <t>D</t>
  </si>
  <si>
    <t>N</t>
  </si>
  <si>
    <t>[End Format Range]</t>
  </si>
  <si>
    <t>Gaap</t>
  </si>
  <si>
    <t>Integration_Rate</t>
  </si>
  <si>
    <t>Activity</t>
  </si>
  <si>
    <t>Currency</t>
  </si>
  <si>
    <t>Legal_Organization</t>
  </si>
  <si>
    <t>CUBE:</t>
  </si>
  <si>
    <t>Management_Organization</t>
  </si>
  <si>
    <t>RESOP_bef_mgmt_fees</t>
  </si>
  <si>
    <t>TX_CLOTURE</t>
  </si>
  <si>
    <t>TX_MOYEN</t>
  </si>
  <si>
    <t>Periode</t>
  </si>
  <si>
    <t>Phase</t>
  </si>
  <si>
    <t>GROSS_MARGIN_dest</t>
  </si>
  <si>
    <t>TPL13_dest</t>
  </si>
  <si>
    <t>Cube</t>
  </si>
  <si>
    <t>TPL12_dest</t>
  </si>
  <si>
    <t>PL0000_TPL13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</si>
  <si>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</si>
  <si>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</si>
  <si>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</si>
  <si>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</si>
  <si>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</si>
  <si>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</si>
  <si>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</si>
  <si>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</si>
  <si>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PL0000_MGF</t>
  </si>
  <si>
    <t>PL0000_PU</t>
  </si>
  <si>
    <t>PL0000_RD</t>
  </si>
  <si>
    <t>PL0000_RM</t>
  </si>
  <si>
    <t>PL0000_SE</t>
  </si>
  <si>
    <t>PL0000_TD</t>
  </si>
  <si>
    <t>PL0000_TM</t>
  </si>
  <si>
    <t>Sélection du contexte / Context selection</t>
  </si>
  <si>
    <t>Considered</t>
  </si>
  <si>
    <t>Reference 1</t>
  </si>
  <si>
    <t>N-1</t>
  </si>
  <si>
    <t>Period</t>
  </si>
  <si>
    <t>Activity 1</t>
  </si>
  <si>
    <t>Activity 2</t>
  </si>
  <si>
    <t>Activity 3</t>
  </si>
  <si>
    <t>United States</t>
  </si>
  <si>
    <t>Ireland</t>
  </si>
  <si>
    <t>United Kingdom</t>
  </si>
  <si>
    <t>Germany</t>
  </si>
  <si>
    <t>Finland</t>
  </si>
  <si>
    <t>Sweden</t>
  </si>
  <si>
    <t>Australia and New Zealand</t>
  </si>
  <si>
    <t>Spain</t>
  </si>
  <si>
    <t>Chile</t>
  </si>
  <si>
    <t>Morocco</t>
  </si>
  <si>
    <t>TPL10_dest</t>
  </si>
  <si>
    <t>PL1003_RC_PR</t>
  </si>
  <si>
    <t>PL1003_RC_30</t>
  </si>
  <si>
    <t>PL1003_RC_SA</t>
  </si>
  <si>
    <t>PL1007_RC_OG</t>
  </si>
  <si>
    <t>PL0000_ST</t>
  </si>
  <si>
    <t>PL0000_DO</t>
  </si>
  <si>
    <t>PL0000_ET</t>
  </si>
  <si>
    <t>PL0000_FL</t>
  </si>
  <si>
    <t>PL0000_MF</t>
  </si>
  <si>
    <t>PL0000_TPL11</t>
  </si>
  <si>
    <t>TPL14_dest</t>
  </si>
  <si>
    <t>TPL15_dest</t>
  </si>
  <si>
    <t>TPL16_dest</t>
  </si>
  <si>
    <t>TPL11_dest</t>
  </si>
  <si>
    <t>TPL1_dest</t>
  </si>
  <si>
    <t>All activity</t>
  </si>
  <si>
    <t>PL0000_BD</t>
  </si>
  <si>
    <t>Tot_km</t>
  </si>
  <si>
    <t>Fuel_consu</t>
  </si>
  <si>
    <t>Tot_driv_hours</t>
  </si>
  <si>
    <t>PL0000_DO_CAFOP</t>
  </si>
  <si>
    <t>PL1110_DO_10</t>
  </si>
  <si>
    <t>PL0000_DO_RESOP</t>
  </si>
  <si>
    <t>PL1115_ET_80</t>
  </si>
  <si>
    <t>PL1115_ET_801</t>
  </si>
  <si>
    <t>PL1115_ET_802</t>
  </si>
  <si>
    <t>PL1115_ET_81</t>
  </si>
  <si>
    <t>PL1115_ET_82</t>
  </si>
  <si>
    <t>PL1115_ET_83</t>
  </si>
  <si>
    <t>PL1116_FL</t>
  </si>
  <si>
    <t>PL1115_FL_55</t>
  </si>
  <si>
    <t>PL1140_FL_05</t>
  </si>
  <si>
    <t>Operating Lease</t>
  </si>
  <si>
    <t>calc</t>
  </si>
  <si>
    <t>Local_Gaap_Mgmt_tool</t>
  </si>
  <si>
    <t>MLCL</t>
  </si>
  <si>
    <t>PL0000_TPL12</t>
  </si>
  <si>
    <t>Vector Reconciliation</t>
  </si>
  <si>
    <t>Country / Pays</t>
  </si>
  <si>
    <t>Currency / Devise</t>
  </si>
  <si>
    <t>Periods / Périodes</t>
  </si>
  <si>
    <t>Language / Langue</t>
  </si>
  <si>
    <t>Indicator</t>
  </si>
  <si>
    <t>On demand</t>
  </si>
  <si>
    <t>RAIL</t>
  </si>
  <si>
    <t>Transit</t>
  </si>
  <si>
    <t>tango_core_model:Report_PL</t>
  </si>
  <si>
    <t>{TM1FILTERBYLEVEL( {TM1SUBSETALL( [Management_Organization] )}, 0)}</t>
  </si>
  <si>
    <t>Tot_Act</t>
  </si>
  <si>
    <t>TopCOunt</t>
  </si>
  <si>
    <t>Contrat</t>
  </si>
  <si>
    <t>M</t>
  </si>
  <si>
    <t>E</t>
  </si>
  <si>
    <t>F</t>
  </si>
  <si>
    <t>O</t>
  </si>
  <si>
    <t>TPL10_dest_nosub</t>
  </si>
  <si>
    <t>TPL11_dest_nosub</t>
  </si>
  <si>
    <t>VTD_Corp</t>
  </si>
  <si>
    <t>BUDG_VC_TOT</t>
  </si>
  <si>
    <t>Mise à jour des données / Refresh Data</t>
  </si>
  <si>
    <t>Détail par pays / detail per country</t>
  </si>
  <si>
    <t>Dashboard</t>
  </si>
  <si>
    <t xml:space="preserve">        NB : data are extracted in EUR and converted in local currency</t>
  </si>
  <si>
    <t xml:space="preserve">        NB : the delta with vector data is calculated by entity. For entities multi activities, please analyse in local gaap management tool.</t>
  </si>
  <si>
    <t>English</t>
  </si>
  <si>
    <t>NA</t>
  </si>
  <si>
    <t/>
  </si>
  <si>
    <t>PL0000_Other</t>
  </si>
  <si>
    <t>FC_2_TOT</t>
  </si>
  <si>
    <t>FC_ALL</t>
  </si>
  <si>
    <t>FC_1_TOT</t>
  </si>
  <si>
    <t>ACT_TOT</t>
  </si>
  <si>
    <t>Actual Month</t>
  </si>
  <si>
    <t>Prior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</si>
</sst>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_);\(#,##0\)"/>
    <numFmt numFmtId="167" formatCode="#,##0.0"/>
    <numFmt numFmtId="168" formatCode="0.0%"/>
    <numFmt numFmtId="169" formatCode="_(* #,##0.0_%_);_(* \(#,##0.0_%\);_(* &quot; - &quot;_%_);_(@_)"/>
    <numFmt numFmtId="170" formatCode="_(* #,##0.0%_);_(* \(#,##0.0%\);_(* &quot; - &quot;\%_);_(@_)"/>
    <numFmt numFmtId="171" formatCode="_(* #,##0_);_(* \(#,##0\);_(* &quot; - &quot;_);_(@_)"/>
    <numFmt numFmtId="172" formatCode="_(* #,##0.0_);_(* \(#,##0.0\);_(* &quot; - &quot;_);_(@_)"/>
    <numFmt numFmtId="173" formatCode="_(* #,##0.00_);_(* \(#,##0.00\);_(* &quot; - &quot;_);_(@_)"/>
    <numFmt numFmtId="174" formatCode="_(* #,##0.000_);_(* \(#,##0.000\);_(* &quot; - &quot;_);_(@_)"/>
    <numFmt numFmtId="175" formatCode="#,##0;\(#,##0\);&quot;-&quot;"/>
    <numFmt numFmtId="176" formatCode="_-* #,##0_-;\-* #,##0_-;_-* &quot;-&quot;_-;_-@_-"/>
    <numFmt numFmtId="177" formatCode="#,##0.00;\(#,##0.00\)"/>
    <numFmt numFmtId="178" formatCode="###0.0%;\(###0.0%\)"/>
    <numFmt numFmtId="179" formatCode="[$-409]d/m/yy\ h:mm\ AM/PM;@"/>
    <numFmt numFmtId="180" formatCode="&quot;$&quot;\ \ \ #,##0;\(&quot;$&quot;\ \ \ #,##0\)"/>
    <numFmt numFmtId="181" formatCode="#,##0;\(#,##0\)"/>
    <numFmt numFmtId="182" formatCode="#,##0.0;\(#,##0.0\);\-"/>
    <numFmt numFmtId="183" formatCode="_-* #,##0.00\ _D_i_n_._-;\-* #,##0.00\ _D_i_n_._-;_-* &quot;-&quot;??\ _D_i_n_._-;_-@_-"/>
    <numFmt numFmtId="184" formatCode="_-* #,##0.00\ _F_-;\-* #,##0.00\ _F_-;_-* &quot;-&quot;??\ _F_-;_-@_-"/>
    <numFmt numFmtId="185" formatCode="_(&quot;$&quot;* #,##0.00_);_(&quot;$&quot;* \(#,##0.00\);_(&quot;$&quot;* &quot;-&quot;??_);_(@_)"/>
    <numFmt numFmtId="186" formatCode="_(* #,##0_);_(* \(#,##0\);_(* &quot;&quot;\ \-\ &quot;&quot;_);_(@_)"/>
    <numFmt numFmtId="187" formatCode="_(\ #,##0.0_%_);_(\ \(#,##0.0_%\);_(\ &quot; - &quot;_%_);_(@_)"/>
    <numFmt numFmtId="188" formatCode="_(\ #,##0.0%_);_(\ \(#,##0.0%\);_(\ &quot; - &quot;\%_);_(@_)"/>
    <numFmt numFmtId="189" formatCode="#,##0_);\(#,##0\);&quot; - &quot;_);@_)"/>
    <numFmt numFmtId="190" formatCode="\ #,##0.0_);\(#,##0.0\);&quot; - &quot;_);@_)"/>
    <numFmt numFmtId="191" formatCode="\ #,##0.00_);\(#,##0.00\);&quot; - &quot;_);@_)"/>
    <numFmt numFmtId="192" formatCode="\ #,##0.000_);\(#,##0.000\);&quot; - &quot;_);@_)"/>
    <numFmt numFmtId="193" formatCode="d\ mmmm\ yyyy"/>
    <numFmt numFmtId="194" formatCode="#,##0;[Red]\(#,##0\);0"/>
    <numFmt numFmtId="195" formatCode="#,##0.0_)\x;\(#,##0.0\)\x;#,##0.0_)\x;@_)_x"/>
    <numFmt numFmtId="196" formatCode="0.00;[Red]0.00"/>
    <numFmt numFmtId="197" formatCode="#,##0.0&quot; &quot;;\(#,##0.0\)&quot;&quot;;&quot;- &quot;"/>
    <numFmt numFmtId="198" formatCode="0.000"/>
    <numFmt numFmtId="199" formatCode="0.00000"/>
  </numFmts>
  <fonts count="16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SWISS"/>
    </font>
    <font>
      <b/>
      <sz val="16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i/>
      <sz val="11"/>
      <color indexed="23"/>
      <name val="Calibri"/>
      <family val="2"/>
      <charset val="238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2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63"/>
      <name val="Calibri"/>
      <family val="2"/>
      <charset val="238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56"/>
      <name val="Cambria"/>
      <family val="2"/>
      <charset val="238"/>
    </font>
    <font>
      <sz val="11"/>
      <color indexed="10"/>
      <name val="Calibri"/>
      <family val="2"/>
      <charset val="238"/>
    </font>
    <font>
      <b/>
      <sz val="14"/>
      <color indexed="32"/>
      <name val="Arial"/>
      <family val="2"/>
    </font>
    <font>
      <sz val="9"/>
      <name val="Calibri"/>
      <family val="2"/>
      <scheme val="minor"/>
    </font>
    <font>
      <b/>
      <sz val="14"/>
      <name val="Arial"/>
      <family val="2"/>
    </font>
    <font>
      <sz val="12"/>
      <name val="Times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sz val="10"/>
      <color indexed="32"/>
      <name val="Arial Narrow"/>
      <family val="2"/>
    </font>
    <font>
      <sz val="1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9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9"/>
      <color rgb="FFC00000"/>
      <name val="Calibri"/>
      <family val="2"/>
      <scheme val="minor"/>
    </font>
    <font>
      <i/>
      <sz val="9"/>
      <color rgb="FFC0000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rgb="FFD00000"/>
      <name val="Calibri"/>
      <family val="2"/>
      <scheme val="minor"/>
    </font>
    <font>
      <b/>
      <i/>
      <sz val="9"/>
      <name val="Calibri"/>
      <family val="2"/>
      <scheme val="minor"/>
    </font>
    <font>
      <i/>
      <sz val="9"/>
      <color rgb="FFE20000"/>
      <name val="Calibri"/>
      <family val="2"/>
      <scheme val="minor"/>
    </font>
    <font>
      <sz val="9"/>
      <color rgb="FF0070C0"/>
      <name val="Calibri"/>
      <family val="2"/>
      <scheme val="minor"/>
    </font>
    <font>
      <i/>
      <sz val="9"/>
      <color rgb="FF0070C0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i/>
      <sz val="12"/>
      <color rgb="FFC00000"/>
      <name val="Calibri"/>
      <family val="2"/>
      <scheme val="minor"/>
    </font>
    <font>
      <b/>
      <sz val="12"/>
      <color rgb="FFEA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2" tint="-0.499984740745262"/>
      <name val="Calibri"/>
      <family val="2"/>
      <scheme val="minor"/>
    </font>
    <font>
      <sz val="8"/>
      <color rgb="FFC00000"/>
      <name val="Calibri"/>
      <family val="2"/>
      <scheme val="minor"/>
    </font>
    <font>
      <i/>
      <sz val="8"/>
      <color rgb="FFC00000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EA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  <font>
      <i/>
      <sz val="10"/>
      <color rgb="FFC00000"/>
      <name val="Calibri"/>
      <family val="2"/>
      <scheme val="minor"/>
    </font>
    <font>
      <b/>
      <i/>
      <sz val="10"/>
      <color rgb="FFEA0000"/>
      <name val="Calibri"/>
      <family val="2"/>
      <scheme val="minor"/>
    </font>
    <font>
      <sz val="8"/>
      <name val="Calibri"/>
      <family val="2"/>
      <scheme val="minor"/>
    </font>
    <font>
      <i/>
      <sz val="8"/>
      <name val="Calibri"/>
      <family val="2"/>
      <scheme val="minor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sz val="15"/>
      <name val="Calibri"/>
      <family val="2"/>
      <scheme val="minor"/>
    </font>
    <font>
      <sz val="24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41"/>
        <bgColor indexed="64"/>
      </patternFill>
    </fill>
    <fill>
      <patternFill patternType="solid">
        <fgColor indexed="18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4D2D4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D8D6D8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theme="0"/>
        </stop>
        <stop position="0.5">
          <color rgb="FFFF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rgb="FFB5B8BF"/>
      </left>
      <right/>
      <top style="medium">
        <color rgb="FFB5B8BF"/>
      </top>
      <bottom style="medium">
        <color rgb="FFB5B8BF"/>
      </bottom>
      <diagonal/>
    </border>
    <border>
      <left/>
      <right/>
      <top style="medium">
        <color rgb="FFB5B8BF"/>
      </top>
      <bottom style="medium">
        <color rgb="FFB5B8BF"/>
      </bottom>
      <diagonal/>
    </border>
    <border>
      <left/>
      <right style="medium">
        <color rgb="FFB5B8BF"/>
      </right>
      <top style="medium">
        <color rgb="FFB5B8BF"/>
      </top>
      <bottom style="medium">
        <color rgb="FFB5B8BF"/>
      </bottom>
      <diagonal/>
    </border>
    <border>
      <left/>
      <right/>
      <top style="medium">
        <color rgb="FFB5B8BF"/>
      </top>
      <bottom/>
      <diagonal/>
    </border>
    <border>
      <left/>
      <right/>
      <top style="thin">
        <color rgb="FFD00000"/>
      </top>
      <bottom style="thin">
        <color rgb="FFD00000"/>
      </bottom>
      <diagonal/>
    </border>
    <border>
      <left style="double">
        <color rgb="FFE20000"/>
      </left>
      <right/>
      <top style="double">
        <color rgb="FFE20000"/>
      </top>
      <bottom style="medium">
        <color rgb="FFB5B8BF"/>
      </bottom>
      <diagonal/>
    </border>
    <border>
      <left/>
      <right/>
      <top style="double">
        <color rgb="FFE20000"/>
      </top>
      <bottom style="medium">
        <color rgb="FFB5B8BF"/>
      </bottom>
      <diagonal/>
    </border>
    <border>
      <left/>
      <right style="double">
        <color rgb="FFE20000"/>
      </right>
      <top style="double">
        <color rgb="FFE20000"/>
      </top>
      <bottom style="medium">
        <color rgb="FFB5B8BF"/>
      </bottom>
      <diagonal/>
    </border>
    <border>
      <left style="double">
        <color rgb="FFE20000"/>
      </left>
      <right/>
      <top/>
      <bottom/>
      <diagonal/>
    </border>
    <border>
      <left/>
      <right style="double">
        <color rgb="FFE20000"/>
      </right>
      <top style="medium">
        <color rgb="FFB5B8BF"/>
      </top>
      <bottom/>
      <diagonal/>
    </border>
    <border>
      <left/>
      <right style="double">
        <color rgb="FFE20000"/>
      </right>
      <top/>
      <bottom/>
      <diagonal/>
    </border>
    <border>
      <left style="double">
        <color rgb="FFE20000"/>
      </left>
      <right/>
      <top style="thin">
        <color rgb="FFD00000"/>
      </top>
      <bottom style="thin">
        <color rgb="FFD00000"/>
      </bottom>
      <diagonal/>
    </border>
    <border>
      <left/>
      <right style="double">
        <color rgb="FFE20000"/>
      </right>
      <top style="thin">
        <color rgb="FFD00000"/>
      </top>
      <bottom style="thin">
        <color rgb="FFD00000"/>
      </bottom>
      <diagonal/>
    </border>
    <border>
      <left style="double">
        <color rgb="FFE20000"/>
      </left>
      <right/>
      <top/>
      <bottom style="double">
        <color rgb="FFE20000"/>
      </bottom>
      <diagonal/>
    </border>
    <border>
      <left/>
      <right/>
      <top/>
      <bottom style="double">
        <color rgb="FFE20000"/>
      </bottom>
      <diagonal/>
    </border>
    <border>
      <left/>
      <right style="double">
        <color rgb="FFE20000"/>
      </right>
      <top/>
      <bottom style="double">
        <color rgb="FFE20000"/>
      </bottom>
      <diagonal/>
    </border>
    <border>
      <left/>
      <right/>
      <top/>
      <bottom style="medium">
        <color rgb="FFFF0000"/>
      </bottom>
      <diagonal/>
    </border>
    <border>
      <left style="double">
        <color rgb="FFD00000"/>
      </left>
      <right/>
      <top style="thin">
        <color rgb="FFD00000"/>
      </top>
      <bottom style="double">
        <color rgb="FFD00000"/>
      </bottom>
      <diagonal/>
    </border>
    <border>
      <left/>
      <right/>
      <top style="thin">
        <color rgb="FFD00000"/>
      </top>
      <bottom style="double">
        <color rgb="FFD00000"/>
      </bottom>
      <diagonal/>
    </border>
    <border>
      <left/>
      <right style="double">
        <color rgb="FFE20000"/>
      </right>
      <top style="thin">
        <color rgb="FFD00000"/>
      </top>
      <bottom style="double">
        <color rgb="FFD00000"/>
      </bottom>
      <diagonal/>
    </border>
    <border>
      <left style="medium">
        <color rgb="FFB5B8BF"/>
      </left>
      <right/>
      <top style="medium">
        <color rgb="FFB5B8BF"/>
      </top>
      <bottom/>
      <diagonal/>
    </border>
    <border>
      <left/>
      <right style="medium">
        <color rgb="FFB5B8BF"/>
      </right>
      <top style="medium">
        <color rgb="FFB5B8BF"/>
      </top>
      <bottom/>
      <diagonal/>
    </border>
    <border>
      <left style="medium">
        <color rgb="FFB5B8BF"/>
      </left>
      <right/>
      <top/>
      <bottom style="medium">
        <color rgb="FFB5B8BF"/>
      </bottom>
      <diagonal/>
    </border>
    <border>
      <left/>
      <right/>
      <top/>
      <bottom style="medium">
        <color rgb="FFB5B8BF"/>
      </bottom>
      <diagonal/>
    </border>
    <border>
      <left/>
      <right style="medium">
        <color rgb="FFB5B8BF"/>
      </right>
      <top/>
      <bottom style="medium">
        <color rgb="FFB5B8BF"/>
      </bottom>
      <diagonal/>
    </border>
    <border>
      <left style="medium">
        <color rgb="FFB5B8BF"/>
      </left>
      <right/>
      <top/>
      <bottom/>
      <diagonal/>
    </border>
    <border>
      <left/>
      <right style="medium">
        <color rgb="FFB5B8BF"/>
      </right>
      <top/>
      <bottom/>
      <diagonal/>
    </border>
  </borders>
  <cellStyleXfs count="447">
    <xf numFmtId="179" fontId="0" fillId="0" borderId="0"/>
    <xf numFmtId="179" fontId="8" fillId="0" borderId="0" applyFont="0" applyFill="0" applyBorder="0" applyAlignment="0" applyProtection="0"/>
    <xf numFmtId="179" fontId="12" fillId="0" borderId="0"/>
    <xf numFmtId="166" fontId="13" fillId="0" borderId="0"/>
    <xf numFmtId="179" fontId="11" fillId="0" borderId="0"/>
    <xf numFmtId="9" fontId="16" fillId="0" borderId="0" applyFont="0" applyFill="0" applyBorder="0" applyAlignment="0" applyProtection="0"/>
    <xf numFmtId="179" fontId="8" fillId="0" borderId="0"/>
    <xf numFmtId="179" fontId="18" fillId="10" borderId="0" applyNumberFormat="0" applyBorder="0" applyAlignment="0" applyProtection="0"/>
    <xf numFmtId="179" fontId="18" fillId="11" borderId="0" applyNumberFormat="0" applyBorder="0" applyAlignment="0" applyProtection="0"/>
    <xf numFmtId="179" fontId="18" fillId="12" borderId="0" applyNumberFormat="0" applyBorder="0" applyAlignment="0" applyProtection="0"/>
    <xf numFmtId="179" fontId="18" fillId="13" borderId="0" applyNumberFormat="0" applyBorder="0" applyAlignment="0" applyProtection="0"/>
    <xf numFmtId="179" fontId="18" fillId="14" borderId="0" applyNumberFormat="0" applyBorder="0" applyAlignment="0" applyProtection="0"/>
    <xf numFmtId="179" fontId="18" fillId="15" borderId="0" applyNumberFormat="0" applyBorder="0" applyAlignment="0" applyProtection="0"/>
    <xf numFmtId="179" fontId="18" fillId="16" borderId="0" applyNumberFormat="0" applyBorder="0" applyAlignment="0" applyProtection="0"/>
    <xf numFmtId="179" fontId="18" fillId="17" borderId="0" applyNumberFormat="0" applyBorder="0" applyAlignment="0" applyProtection="0"/>
    <xf numFmtId="179" fontId="18" fillId="18" borderId="0" applyNumberFormat="0" applyBorder="0" applyAlignment="0" applyProtection="0"/>
    <xf numFmtId="179" fontId="18" fillId="13" borderId="0" applyNumberFormat="0" applyBorder="0" applyAlignment="0" applyProtection="0"/>
    <xf numFmtId="179" fontId="18" fillId="16" borderId="0" applyNumberFormat="0" applyBorder="0" applyAlignment="0" applyProtection="0"/>
    <xf numFmtId="179" fontId="18" fillId="19" borderId="0" applyNumberFormat="0" applyBorder="0" applyAlignment="0" applyProtection="0"/>
    <xf numFmtId="179" fontId="19" fillId="20" borderId="0" applyNumberFormat="0" applyBorder="0" applyAlignment="0" applyProtection="0"/>
    <xf numFmtId="179" fontId="19" fillId="17" borderId="0" applyNumberFormat="0" applyBorder="0" applyAlignment="0" applyProtection="0"/>
    <xf numFmtId="179" fontId="19" fillId="18" borderId="0" applyNumberFormat="0" applyBorder="0" applyAlignment="0" applyProtection="0"/>
    <xf numFmtId="179" fontId="19" fillId="21" borderId="0" applyNumberFormat="0" applyBorder="0" applyAlignment="0" applyProtection="0"/>
    <xf numFmtId="179" fontId="19" fillId="22" borderId="0" applyNumberFormat="0" applyBorder="0" applyAlignment="0" applyProtection="0"/>
    <xf numFmtId="179" fontId="19" fillId="23" borderId="0" applyNumberFormat="0" applyBorder="0" applyAlignment="0" applyProtection="0"/>
    <xf numFmtId="179" fontId="20" fillId="11" borderId="0" applyNumberFormat="0" applyBorder="0" applyAlignment="0" applyProtection="0"/>
    <xf numFmtId="179" fontId="21" fillId="24" borderId="3" applyNumberFormat="0" applyAlignment="0" applyProtection="0"/>
    <xf numFmtId="179" fontId="22" fillId="25" borderId="4" applyNumberFormat="0" applyAlignment="0" applyProtection="0"/>
    <xf numFmtId="179" fontId="23" fillId="0" borderId="0" applyNumberFormat="0" applyFill="0" applyBorder="0" applyAlignment="0" applyProtection="0"/>
    <xf numFmtId="169" fontId="24" fillId="0" borderId="0">
      <alignment horizontal="right" vertical="top"/>
    </xf>
    <xf numFmtId="170" fontId="25" fillId="0" borderId="0">
      <alignment horizontal="right" vertical="top"/>
    </xf>
    <xf numFmtId="170" fontId="24" fillId="0" borderId="0">
      <alignment horizontal="right" vertical="top"/>
    </xf>
    <xf numFmtId="171" fontId="25" fillId="0" borderId="0" applyFill="0" applyBorder="0">
      <alignment horizontal="right" vertical="top"/>
    </xf>
    <xf numFmtId="172" fontId="25" fillId="0" borderId="0" applyFill="0" applyBorder="0">
      <alignment horizontal="right" vertical="top"/>
    </xf>
    <xf numFmtId="173" fontId="25" fillId="0" borderId="0" applyFill="0" applyBorder="0">
      <alignment horizontal="right" vertical="top"/>
    </xf>
    <xf numFmtId="174" fontId="25" fillId="0" borderId="0" applyFill="0" applyBorder="0">
      <alignment horizontal="right" vertical="top"/>
    </xf>
    <xf numFmtId="179" fontId="26" fillId="0" borderId="0">
      <alignment horizontal="center" wrapText="1"/>
    </xf>
    <xf numFmtId="175" fontId="27" fillId="0" borderId="0" applyFill="0" applyBorder="0">
      <alignment vertical="top"/>
    </xf>
    <xf numFmtId="175" fontId="28" fillId="0" borderId="0" applyFill="0" applyBorder="0" applyProtection="0">
      <alignment vertical="top"/>
    </xf>
    <xf numFmtId="175" fontId="29" fillId="0" borderId="0">
      <alignment vertical="top"/>
    </xf>
    <xf numFmtId="176" fontId="25" fillId="0" borderId="0" applyFill="0" applyBorder="0" applyAlignment="0" applyProtection="0">
      <alignment horizontal="right" vertical="top"/>
    </xf>
    <xf numFmtId="175" fontId="14" fillId="0" borderId="0"/>
    <xf numFmtId="179" fontId="25" fillId="0" borderId="0" applyFill="0" applyBorder="0">
      <alignment horizontal="left" vertical="top"/>
    </xf>
    <xf numFmtId="177" fontId="30" fillId="0" borderId="0"/>
    <xf numFmtId="178" fontId="30" fillId="0" borderId="0"/>
    <xf numFmtId="179" fontId="31" fillId="12" borderId="0" applyNumberFormat="0" applyBorder="0" applyAlignment="0" applyProtection="0"/>
    <xf numFmtId="179" fontId="32" fillId="0" borderId="5" applyNumberFormat="0" applyFill="0" applyAlignment="0" applyProtection="0"/>
    <xf numFmtId="179" fontId="33" fillId="0" borderId="6" applyNumberFormat="0" applyFill="0" applyAlignment="0" applyProtection="0"/>
    <xf numFmtId="179" fontId="34" fillId="0" borderId="7" applyNumberFormat="0" applyFill="0" applyAlignment="0" applyProtection="0"/>
    <xf numFmtId="179" fontId="34" fillId="0" borderId="0" applyNumberFormat="0" applyFill="0" applyBorder="0" applyAlignment="0" applyProtection="0"/>
    <xf numFmtId="179" fontId="35" fillId="15" borderId="3" applyNumberFormat="0" applyAlignment="0" applyProtection="0"/>
    <xf numFmtId="179" fontId="36" fillId="0" borderId="8" applyNumberFormat="0" applyFill="0" applyAlignment="0" applyProtection="0"/>
    <xf numFmtId="179" fontId="37" fillId="26" borderId="0" applyNumberFormat="0" applyBorder="0" applyAlignment="0" applyProtection="0"/>
    <xf numFmtId="179" fontId="12" fillId="0" borderId="0"/>
    <xf numFmtId="179" fontId="17" fillId="27" borderId="2" applyNumberFormat="0" applyFont="0" applyAlignment="0" applyProtection="0"/>
    <xf numFmtId="179" fontId="38" fillId="24" borderId="9" applyNumberFormat="0" applyAlignment="0" applyProtection="0"/>
    <xf numFmtId="179" fontId="39" fillId="0" borderId="0" applyNumberFormat="0" applyBorder="0" applyAlignment="0"/>
    <xf numFmtId="179" fontId="40" fillId="0" borderId="0" applyNumberFormat="0" applyBorder="0" applyAlignment="0"/>
    <xf numFmtId="179" fontId="41" fillId="0" borderId="0" applyNumberFormat="0" applyBorder="0" applyAlignment="0"/>
    <xf numFmtId="179" fontId="41" fillId="0" borderId="0" applyNumberFormat="0" applyBorder="0" applyAlignment="0"/>
    <xf numFmtId="179" fontId="42" fillId="0" borderId="0" applyNumberFormat="0" applyBorder="0" applyAlignment="0"/>
    <xf numFmtId="179" fontId="43" fillId="12" borderId="0" applyNumberFormat="0" applyBorder="0" applyAlignment="0"/>
    <xf numFmtId="179" fontId="44" fillId="12" borderId="0" applyNumberFormat="0" applyBorder="0" applyAlignment="0"/>
    <xf numFmtId="179" fontId="45" fillId="0" borderId="0" applyNumberFormat="0" applyBorder="0" applyAlignment="0"/>
    <xf numFmtId="179" fontId="45" fillId="0" borderId="0" applyNumberFormat="0" applyBorder="0" applyAlignment="0"/>
    <xf numFmtId="179" fontId="46" fillId="0" borderId="0" applyNumberFormat="0" applyFill="0" applyBorder="0" applyAlignment="0" applyProtection="0"/>
    <xf numFmtId="179" fontId="47" fillId="0" borderId="0" applyNumberFormat="0" applyFill="0" applyBorder="0" applyAlignment="0" applyProtection="0"/>
    <xf numFmtId="179" fontId="7" fillId="0" borderId="0"/>
    <xf numFmtId="0" fontId="8" fillId="0" borderId="0"/>
    <xf numFmtId="179" fontId="8" fillId="0" borderId="0"/>
    <xf numFmtId="0" fontId="8" fillId="0" borderId="0"/>
    <xf numFmtId="180" fontId="51" fillId="0" borderId="0" applyAlignment="0"/>
    <xf numFmtId="10" fontId="52" fillId="0" borderId="0"/>
    <xf numFmtId="9" fontId="53" fillId="0" borderId="0"/>
    <xf numFmtId="0" fontId="53" fillId="0" borderId="0"/>
    <xf numFmtId="1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181" fontId="53" fillId="0" borderId="0"/>
    <xf numFmtId="3" fontId="51" fillId="0" borderId="0"/>
    <xf numFmtId="2" fontId="51" fillId="0" borderId="0"/>
    <xf numFmtId="10" fontId="51" fillId="0" borderId="0" applyFont="0" applyBorder="0" applyAlignment="0">
      <alignment horizontal="centerContinuous"/>
    </xf>
    <xf numFmtId="0" fontId="54" fillId="0" borderId="13" applyFont="0" applyFill="0" applyBorder="0" applyAlignment="0" applyProtection="0"/>
    <xf numFmtId="181" fontId="53" fillId="0" borderId="0"/>
    <xf numFmtId="181" fontId="53" fillId="0" borderId="0"/>
    <xf numFmtId="181" fontId="53" fillId="0" borderId="0"/>
    <xf numFmtId="1" fontId="51" fillId="0" borderId="0" applyFont="0" applyAlignment="0">
      <alignment horizontal="centerContinuous"/>
    </xf>
    <xf numFmtId="0" fontId="55" fillId="0" borderId="11" applyFont="0">
      <alignment horizontal="centerContinuous"/>
    </xf>
    <xf numFmtId="0" fontId="56" fillId="0" borderId="0"/>
    <xf numFmtId="9" fontId="52" fillId="0" borderId="0"/>
    <xf numFmtId="0" fontId="52" fillId="0" borderId="0"/>
    <xf numFmtId="0" fontId="52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2" fillId="0" borderId="0"/>
    <xf numFmtId="0" fontId="52" fillId="0" borderId="0"/>
    <xf numFmtId="0" fontId="8" fillId="0" borderId="0"/>
    <xf numFmtId="0" fontId="53" fillId="0" borderId="0"/>
    <xf numFmtId="38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3" fillId="0" borderId="0"/>
    <xf numFmtId="0" fontId="55" fillId="0" borderId="11" applyNumberFormat="0" applyFill="0" applyAlignment="0" applyProtection="0"/>
    <xf numFmtId="0" fontId="57" fillId="0" borderId="11" applyNumberFormat="0" applyFont="0" applyFill="0" applyAlignment="0" applyProtection="0"/>
    <xf numFmtId="0" fontId="56" fillId="0" borderId="14"/>
    <xf numFmtId="0" fontId="53" fillId="0" borderId="11">
      <alignment horizontal="centerContinuous"/>
    </xf>
    <xf numFmtId="0" fontId="8" fillId="0" borderId="15" applyBorder="0">
      <alignment horizontal="centerContinuous"/>
    </xf>
    <xf numFmtId="0" fontId="53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0" fontId="52" fillId="0" borderId="0"/>
    <xf numFmtId="0" fontId="59" fillId="0" borderId="0"/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9" fillId="0" borderId="0"/>
    <xf numFmtId="37" fontId="53" fillId="0" borderId="0">
      <alignment horizontal="center"/>
    </xf>
    <xf numFmtId="0" fontId="55" fillId="0" borderId="0"/>
    <xf numFmtId="182" fontId="8" fillId="0" borderId="0">
      <alignment horizontal="right" wrapText="1"/>
    </xf>
    <xf numFmtId="0" fontId="53" fillId="0" borderId="0"/>
    <xf numFmtId="0" fontId="60" fillId="0" borderId="0" applyFont="0" applyFill="0" applyBorder="0" applyAlignment="0" applyProtection="0"/>
    <xf numFmtId="40" fontId="60" fillId="0" borderId="0" applyFont="0" applyFill="0" applyBorder="0" applyAlignment="0" applyProtection="0"/>
    <xf numFmtId="183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185" fontId="8" fillId="0" borderId="0" applyFont="0" applyFill="0" applyBorder="0" applyAlignment="0" applyProtection="0"/>
    <xf numFmtId="49" fontId="62" fillId="29" borderId="0">
      <alignment vertical="center"/>
    </xf>
    <xf numFmtId="0" fontId="53" fillId="0" borderId="0" applyFont="0" applyFill="0" applyBorder="0" applyAlignment="0" applyProtection="0"/>
    <xf numFmtId="186" fontId="9" fillId="28" borderId="0">
      <alignment horizontal="right"/>
    </xf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9" fontId="63" fillId="0" borderId="0" applyNumberFormat="0" applyFill="0" applyBorder="0" applyProtection="0">
      <alignment horizontal="center" vertical="top"/>
    </xf>
    <xf numFmtId="187" fontId="64" fillId="0" borderId="0" applyBorder="0">
      <alignment horizontal="right" vertical="top"/>
    </xf>
    <xf numFmtId="188" fontId="63" fillId="0" borderId="0" applyBorder="0">
      <alignment horizontal="right" vertical="top"/>
    </xf>
    <xf numFmtId="188" fontId="64" fillId="0" borderId="0" applyBorder="0">
      <alignment horizontal="right" vertical="top"/>
    </xf>
    <xf numFmtId="189" fontId="63" fillId="0" borderId="0" applyFill="0" applyBorder="0">
      <alignment horizontal="right" vertical="top"/>
    </xf>
    <xf numFmtId="190" fontId="63" fillId="0" borderId="0" applyFill="0" applyBorder="0">
      <alignment horizontal="right" vertical="top"/>
    </xf>
    <xf numFmtId="191" fontId="63" fillId="0" borderId="0" applyFill="0" applyBorder="0">
      <alignment horizontal="right" vertical="top"/>
    </xf>
    <xf numFmtId="192" fontId="63" fillId="0" borderId="0" applyFill="0" applyBorder="0">
      <alignment horizontal="right" vertical="top"/>
    </xf>
    <xf numFmtId="0" fontId="65" fillId="0" borderId="16">
      <alignment horizontal="right"/>
    </xf>
    <xf numFmtId="0" fontId="26" fillId="0" borderId="0">
      <alignment horizontal="center" wrapText="1"/>
    </xf>
    <xf numFmtId="175" fontId="66" fillId="0" borderId="16">
      <alignment horizontal="left"/>
    </xf>
    <xf numFmtId="0" fontId="67" fillId="0" borderId="0">
      <alignment vertical="center"/>
    </xf>
    <xf numFmtId="193" fontId="67" fillId="0" borderId="0">
      <alignment horizontal="left" vertical="center"/>
    </xf>
    <xf numFmtId="194" fontId="68" fillId="0" borderId="0">
      <alignment vertical="center"/>
    </xf>
    <xf numFmtId="0" fontId="50" fillId="0" borderId="0">
      <alignment vertical="center"/>
    </xf>
    <xf numFmtId="175" fontId="66" fillId="0" borderId="16">
      <alignment horizontal="left"/>
    </xf>
    <xf numFmtId="175" fontId="63" fillId="0" borderId="0">
      <alignment horizontal="center"/>
    </xf>
    <xf numFmtId="175" fontId="69" fillId="0" borderId="16">
      <alignment horizontal="center"/>
    </xf>
    <xf numFmtId="176" fontId="63" fillId="0" borderId="16" applyFill="0" applyBorder="0" applyProtection="0">
      <alignment horizontal="right" vertical="top"/>
    </xf>
    <xf numFmtId="175" fontId="70" fillId="0" borderId="0"/>
    <xf numFmtId="175" fontId="48" fillId="0" borderId="0"/>
    <xf numFmtId="175" fontId="8" fillId="0" borderId="0"/>
    <xf numFmtId="175" fontId="71" fillId="0" borderId="0">
      <alignment horizontal="left" vertical="top"/>
    </xf>
    <xf numFmtId="0" fontId="63" fillId="0" borderId="0" applyFill="0" applyBorder="0">
      <alignment horizontal="left" vertical="top" wrapText="1"/>
    </xf>
    <xf numFmtId="0" fontId="25" fillId="0" borderId="0" applyFill="0" applyBorder="0">
      <alignment horizontal="left" vertical="top"/>
    </xf>
    <xf numFmtId="0" fontId="72" fillId="0" borderId="0">
      <alignment horizontal="left" vertical="top" wrapText="1"/>
    </xf>
    <xf numFmtId="0" fontId="73" fillId="0" borderId="0">
      <alignment horizontal="left" vertical="top" wrapText="1"/>
    </xf>
    <xf numFmtId="0" fontId="64" fillId="0" borderId="0">
      <alignment horizontal="left" vertical="top" wrapText="1"/>
    </xf>
    <xf numFmtId="0" fontId="74" fillId="0" borderId="0" applyNumberFormat="0" applyFill="0" applyBorder="0" applyAlignment="0" applyProtection="0"/>
    <xf numFmtId="0" fontId="62" fillId="30" borderId="0">
      <alignment horizontal="right" vertical="center"/>
    </xf>
    <xf numFmtId="0" fontId="8" fillId="31" borderId="0"/>
    <xf numFmtId="0" fontId="75" fillId="0" borderId="0" applyNumberFormat="0" applyFill="0" applyProtection="0">
      <alignment horizontal="left"/>
    </xf>
    <xf numFmtId="0" fontId="76" fillId="0" borderId="0" applyNumberFormat="0" applyFill="0" applyBorder="0" applyAlignment="0" applyProtection="0"/>
    <xf numFmtId="0" fontId="53" fillId="16" borderId="0" applyNumberFormat="0" applyFont="0" applyBorder="0" applyAlignment="0">
      <protection locked="0"/>
    </xf>
    <xf numFmtId="0" fontId="52" fillId="0" borderId="0" applyNumberFormat="0" applyFill="0" applyBorder="0" applyAlignment="0">
      <protection locked="0"/>
    </xf>
    <xf numFmtId="0" fontId="77" fillId="0" borderId="0" applyNumberFormat="0" applyFill="0" applyBorder="0" applyAlignment="0"/>
    <xf numFmtId="38" fontId="78" fillId="0" borderId="0"/>
    <xf numFmtId="38" fontId="79" fillId="0" borderId="0"/>
    <xf numFmtId="38" fontId="80" fillId="0" borderId="0"/>
    <xf numFmtId="38" fontId="81" fillId="0" borderId="0"/>
    <xf numFmtId="0" fontId="82" fillId="0" borderId="0"/>
    <xf numFmtId="0" fontId="82" fillId="0" borderId="0"/>
    <xf numFmtId="0" fontId="62" fillId="5" borderId="0">
      <alignment horizontal="right" vertical="center"/>
    </xf>
    <xf numFmtId="165" fontId="6" fillId="0" borderId="0" applyFont="0" applyFill="0" applyBorder="0" applyAlignment="0" applyProtection="0"/>
    <xf numFmtId="195" fontId="8" fillId="0" borderId="0" applyFont="0" applyFill="0" applyBorder="0" applyAlignment="0" applyProtection="0"/>
    <xf numFmtId="49" fontId="83" fillId="29" borderId="0">
      <alignment horizontal="centerContinuous" vertical="center"/>
    </xf>
    <xf numFmtId="0" fontId="84" fillId="0" borderId="0"/>
    <xf numFmtId="0" fontId="56" fillId="0" borderId="0">
      <alignment horizontal="left"/>
    </xf>
    <xf numFmtId="0" fontId="12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7" fillId="28" borderId="0">
      <alignment horizontal="left" vertical="top" wrapText="1"/>
    </xf>
    <xf numFmtId="10" fontId="53" fillId="0" borderId="10"/>
    <xf numFmtId="10" fontId="53" fillId="0" borderId="10"/>
    <xf numFmtId="10" fontId="53" fillId="0" borderId="10"/>
    <xf numFmtId="10" fontId="53" fillId="0" borderId="10"/>
    <xf numFmtId="49" fontId="88" fillId="0" borderId="11" applyFill="0" applyProtection="0">
      <alignment vertical="center"/>
    </xf>
    <xf numFmtId="0" fontId="56" fillId="0" borderId="0"/>
    <xf numFmtId="0" fontId="89" fillId="0" borderId="0"/>
    <xf numFmtId="9" fontId="57" fillId="0" borderId="0" applyFont="0" applyFill="0" applyBorder="0" applyAlignment="0" applyProtection="0"/>
    <xf numFmtId="0" fontId="90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1" fillId="0" borderId="0" applyFont="0" applyFill="0" applyBorder="0" applyAlignment="0" applyProtection="0"/>
    <xf numFmtId="0" fontId="92" fillId="0" borderId="0" applyFont="0" applyFill="0" applyBorder="0" applyAlignment="0" applyProtection="0">
      <alignment horizontal="center"/>
    </xf>
    <xf numFmtId="0" fontId="92" fillId="0" borderId="0" applyFont="0" applyFill="0" applyBorder="0" applyAlignment="0" applyProtection="0">
      <alignment horizontal="center"/>
    </xf>
    <xf numFmtId="0" fontId="92" fillId="0" borderId="0" applyFont="0" applyFill="0" applyBorder="0" applyAlignment="0" applyProtection="0">
      <alignment horizont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3" fillId="0" borderId="11"/>
    <xf numFmtId="10" fontId="56" fillId="0" borderId="1"/>
    <xf numFmtId="10" fontId="8" fillId="0" borderId="0"/>
    <xf numFmtId="2" fontId="53" fillId="0" borderId="0">
      <alignment horizontal="right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0"/>
    <xf numFmtId="0" fontId="94" fillId="0" borderId="13">
      <protection locked="0"/>
    </xf>
    <xf numFmtId="0" fontId="94" fillId="0" borderId="13">
      <protection locked="0"/>
    </xf>
    <xf numFmtId="0" fontId="94" fillId="0" borderId="13">
      <protection locked="0"/>
    </xf>
    <xf numFmtId="0" fontId="94" fillId="0" borderId="13">
      <protection locked="0"/>
    </xf>
    <xf numFmtId="0" fontId="94" fillId="0" borderId="13">
      <protection locked="0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5" fillId="0" borderId="0">
      <alignment horizontal="center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10" fillId="30" borderId="17" applyNumberFormat="0" applyProtection="0">
      <alignment horizontal="left" vertical="center" indent="1"/>
    </xf>
    <xf numFmtId="196" fontId="39" fillId="32" borderId="17" applyProtection="0">
      <alignment horizontal="right" vertical="center"/>
    </xf>
    <xf numFmtId="0" fontId="96" fillId="31" borderId="0" applyNumberFormat="0" applyFont="0" applyBorder="0" applyAlignment="0" applyProtection="0"/>
    <xf numFmtId="0" fontId="62" fillId="29" borderId="0">
      <alignment horizontal="right" vertical="center"/>
    </xf>
    <xf numFmtId="0" fontId="8" fillId="0" borderId="0"/>
    <xf numFmtId="0" fontId="8" fillId="0" borderId="0"/>
    <xf numFmtId="0" fontId="39" fillId="0" borderId="0" applyNumberFormat="0" applyBorder="0" applyAlignment="0"/>
    <xf numFmtId="0" fontId="40" fillId="0" borderId="0" applyNumberFormat="0" applyBorder="0" applyAlignment="0"/>
    <xf numFmtId="0" fontId="41" fillId="0" borderId="0" applyNumberFormat="0" applyBorder="0" applyAlignment="0"/>
    <xf numFmtId="0" fontId="41" fillId="0" borderId="0" applyNumberFormat="0" applyBorder="0" applyAlignment="0"/>
    <xf numFmtId="0" fontId="42" fillId="0" borderId="0" applyNumberFormat="0" applyBorder="0" applyAlignment="0"/>
    <xf numFmtId="0" fontId="43" fillId="12" borderId="0" applyNumberFormat="0" applyBorder="0" applyAlignment="0"/>
    <xf numFmtId="0" fontId="44" fillId="12" borderId="0" applyNumberFormat="0" applyBorder="0" applyAlignment="0"/>
    <xf numFmtId="0" fontId="45" fillId="0" borderId="0" applyNumberFormat="0" applyBorder="0" applyAlignment="0"/>
    <xf numFmtId="0" fontId="45" fillId="0" borderId="0" applyNumberFormat="0" applyBorder="0" applyAlignment="0"/>
    <xf numFmtId="0" fontId="55" fillId="0" borderId="11">
      <alignment horizontal="center"/>
    </xf>
    <xf numFmtId="0" fontId="55" fillId="0" borderId="11">
      <alignment horizontal="center"/>
    </xf>
    <xf numFmtId="0" fontId="55" fillId="0" borderId="11">
      <alignment horizontal="center"/>
    </xf>
    <xf numFmtId="0" fontId="55" fillId="0" borderId="11">
      <alignment horizontal="center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"/>
    </xf>
    <xf numFmtId="0" fontId="15" fillId="28" borderId="0"/>
    <xf numFmtId="0" fontId="9" fillId="28" borderId="0">
      <alignment horizontal="left"/>
    </xf>
    <xf numFmtId="0" fontId="9" fillId="28" borderId="0">
      <alignment horizontal="left" indent="1"/>
    </xf>
    <xf numFmtId="0" fontId="9" fillId="28" borderId="0">
      <alignment horizontal="left" vertical="center" indent="2"/>
    </xf>
    <xf numFmtId="0" fontId="97" fillId="0" borderId="18" applyNumberFormat="0" applyFill="0" applyBorder="0" applyAlignment="0" applyProtection="0">
      <alignment horizontal="left"/>
    </xf>
    <xf numFmtId="0" fontId="57" fillId="0" borderId="19" applyNumberFormat="0" applyFont="0" applyFill="0" applyAlignment="0" applyProtection="0"/>
    <xf numFmtId="0" fontId="98" fillId="0" borderId="0"/>
    <xf numFmtId="1" fontId="99" fillId="0" borderId="11">
      <alignment horizontal="center"/>
    </xf>
    <xf numFmtId="197" fontId="53" fillId="0" borderId="0" applyFont="0" applyFill="0" applyBorder="0" applyAlignment="0" applyProtection="0">
      <alignment horizontal="right" vertical="center"/>
    </xf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</cellStyleXfs>
  <cellXfs count="281">
    <xf numFmtId="179" fontId="0" fillId="0" borderId="0" xfId="0"/>
    <xf numFmtId="179" fontId="49" fillId="0" borderId="0" xfId="0" applyFont="1" applyFill="1" applyBorder="1" applyAlignment="1">
      <alignment vertical="center"/>
    </xf>
    <xf numFmtId="179" fontId="107" fillId="35" borderId="0" xfId="0" applyFont="1" applyFill="1" applyBorder="1" applyAlignment="1">
      <alignment vertical="center"/>
    </xf>
    <xf numFmtId="179" fontId="107" fillId="0" borderId="0" xfId="0" applyFont="1" applyAlignment="1">
      <alignment vertical="center"/>
    </xf>
    <xf numFmtId="0" fontId="107" fillId="0" borderId="0" xfId="0" applyNumberFormat="1" applyFont="1" applyAlignment="1">
      <alignment vertical="center"/>
    </xf>
    <xf numFmtId="179" fontId="107" fillId="0" borderId="0" xfId="0" applyFont="1" applyAlignment="1">
      <alignment horizontal="right" vertical="center"/>
    </xf>
    <xf numFmtId="179" fontId="107" fillId="0" borderId="0" xfId="0" applyFont="1" applyFill="1" applyAlignment="1">
      <alignment horizontal="left"/>
    </xf>
    <xf numFmtId="179" fontId="107" fillId="35" borderId="0" xfId="0" applyFont="1" applyFill="1" applyBorder="1"/>
    <xf numFmtId="179" fontId="107" fillId="0" borderId="0" xfId="0" applyFont="1" applyFill="1"/>
    <xf numFmtId="179" fontId="108" fillId="35" borderId="0" xfId="0" applyFont="1" applyFill="1" applyBorder="1" applyAlignment="1">
      <alignment vertical="center"/>
    </xf>
    <xf numFmtId="179" fontId="108" fillId="0" borderId="0" xfId="0" applyFont="1" applyFill="1" applyAlignment="1">
      <alignment vertical="center"/>
    </xf>
    <xf numFmtId="179" fontId="100" fillId="0" borderId="0" xfId="0" applyFont="1" applyAlignment="1">
      <alignment horizontal="right"/>
    </xf>
    <xf numFmtId="179" fontId="107" fillId="0" borderId="0" xfId="0" applyFont="1"/>
    <xf numFmtId="0" fontId="109" fillId="0" borderId="0" xfId="0" applyNumberFormat="1" applyFont="1" applyAlignment="1">
      <alignment horizontal="center" vertical="center"/>
    </xf>
    <xf numFmtId="179" fontId="109" fillId="0" borderId="0" xfId="0" applyFont="1" applyAlignment="1">
      <alignment horizontal="center" vertical="center"/>
    </xf>
    <xf numFmtId="179" fontId="111" fillId="0" borderId="0" xfId="0" applyFont="1" applyAlignment="1">
      <alignment horizontal="right" vertical="center"/>
    </xf>
    <xf numFmtId="179" fontId="49" fillId="0" borderId="0" xfId="0" applyFont="1" applyAlignment="1">
      <alignment vertical="center" wrapText="1"/>
    </xf>
    <xf numFmtId="179" fontId="49" fillId="0" borderId="0" xfId="0" applyFont="1" applyFill="1" applyAlignment="1">
      <alignment vertical="center" wrapText="1"/>
    </xf>
    <xf numFmtId="179" fontId="103" fillId="0" borderId="0" xfId="0" applyFont="1" applyFill="1" applyBorder="1" applyAlignment="1">
      <alignment horizontal="center" vertical="center" wrapText="1"/>
    </xf>
    <xf numFmtId="2" fontId="49" fillId="0" borderId="0" xfId="0" applyNumberFormat="1" applyFont="1" applyFill="1" applyBorder="1" applyAlignment="1">
      <alignment horizontal="center" vertical="center" wrapText="1"/>
    </xf>
    <xf numFmtId="2" fontId="115" fillId="0" borderId="0" xfId="0" applyNumberFormat="1" applyFont="1" applyFill="1" applyBorder="1" applyAlignment="1">
      <alignment horizontal="center" vertical="center" wrapText="1"/>
    </xf>
    <xf numFmtId="2" fontId="116" fillId="0" borderId="0" xfId="0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 applyAlignment="1">
      <alignment horizontal="left" vertical="center" wrapText="1"/>
    </xf>
    <xf numFmtId="0" fontId="49" fillId="0" borderId="0" xfId="0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Alignment="1">
      <alignment vertical="center" wrapText="1"/>
    </xf>
    <xf numFmtId="179" fontId="49" fillId="0" borderId="0" xfId="0" applyFont="1" applyFill="1" applyBorder="1" applyAlignment="1">
      <alignment vertical="center" wrapText="1"/>
    </xf>
    <xf numFmtId="198" fontId="49" fillId="0" borderId="0" xfId="0" applyNumberFormat="1" applyFont="1" applyFill="1" applyAlignment="1">
      <alignment vertical="center"/>
    </xf>
    <xf numFmtId="0" fontId="49" fillId="0" borderId="0" xfId="0" applyNumberFormat="1" applyFont="1" applyFill="1" applyAlignment="1">
      <alignment vertical="center"/>
    </xf>
    <xf numFmtId="198" fontId="49" fillId="0" borderId="0" xfId="0" applyNumberFormat="1" applyFont="1" applyFill="1" applyBorder="1" applyAlignment="1">
      <alignment vertical="center"/>
    </xf>
    <xf numFmtId="179" fontId="49" fillId="0" borderId="0" xfId="0" applyFont="1" applyAlignment="1">
      <alignment vertical="center"/>
    </xf>
    <xf numFmtId="179" fontId="49" fillId="0" borderId="0" xfId="0" applyFont="1" applyFill="1" applyAlignment="1">
      <alignment vertical="center"/>
    </xf>
    <xf numFmtId="179" fontId="49" fillId="2" borderId="0" xfId="0" applyFont="1" applyFill="1" applyBorder="1" applyAlignment="1">
      <alignment horizontal="center" vertical="center" wrapText="1"/>
    </xf>
    <xf numFmtId="179" fontId="49" fillId="0" borderId="0" xfId="0" applyFont="1" applyFill="1" applyBorder="1" applyAlignment="1">
      <alignment horizontal="center" vertical="center" wrapText="1"/>
    </xf>
    <xf numFmtId="2" fontId="110" fillId="2" borderId="0" xfId="0" applyNumberFormat="1" applyFont="1" applyFill="1" applyBorder="1" applyAlignment="1">
      <alignment horizontal="center" vertical="center"/>
    </xf>
    <xf numFmtId="2" fontId="117" fillId="2" borderId="0" xfId="0" applyNumberFormat="1" applyFont="1" applyFill="1" applyBorder="1" applyAlignment="1">
      <alignment horizontal="center" vertical="center"/>
    </xf>
    <xf numFmtId="0" fontId="49" fillId="0" borderId="0" xfId="0" applyNumberFormat="1" applyFont="1" applyFill="1" applyBorder="1" applyAlignment="1">
      <alignment vertical="center" wrapText="1"/>
    </xf>
    <xf numFmtId="198" fontId="49" fillId="4" borderId="0" xfId="0" applyNumberFormat="1" applyFont="1" applyFill="1" applyBorder="1" applyAlignment="1">
      <alignment horizontal="center" vertical="center"/>
    </xf>
    <xf numFmtId="198" fontId="49" fillId="4" borderId="28" xfId="0" applyNumberFormat="1" applyFont="1" applyFill="1" applyBorder="1" applyAlignment="1">
      <alignment horizontal="center" vertical="center"/>
    </xf>
    <xf numFmtId="2" fontId="110" fillId="2" borderId="28" xfId="0" applyNumberFormat="1" applyFont="1" applyFill="1" applyBorder="1" applyAlignment="1">
      <alignment horizontal="center" vertical="center"/>
    </xf>
    <xf numFmtId="2" fontId="117" fillId="2" borderId="30" xfId="0" applyNumberFormat="1" applyFont="1" applyFill="1" applyBorder="1" applyAlignment="1">
      <alignment horizontal="center" vertical="center"/>
    </xf>
    <xf numFmtId="179" fontId="49" fillId="0" borderId="0" xfId="0" applyFont="1" applyBorder="1" applyAlignment="1">
      <alignment vertical="center"/>
    </xf>
    <xf numFmtId="0" fontId="118" fillId="0" borderId="0" xfId="0" applyNumberFormat="1" applyFont="1" applyFill="1" applyBorder="1" applyAlignment="1">
      <alignment vertical="center" wrapText="1"/>
    </xf>
    <xf numFmtId="179" fontId="118" fillId="6" borderId="24" xfId="0" applyFont="1" applyFill="1" applyBorder="1" applyAlignment="1">
      <alignment horizontal="left" vertical="center" wrapText="1"/>
    </xf>
    <xf numFmtId="179" fontId="118" fillId="0" borderId="0" xfId="0" applyFont="1" applyFill="1" applyBorder="1" applyAlignment="1">
      <alignment horizontal="left" vertical="center" wrapText="1"/>
    </xf>
    <xf numFmtId="167" fontId="118" fillId="6" borderId="24" xfId="0" applyNumberFormat="1" applyFont="1" applyFill="1" applyBorder="1" applyAlignment="1">
      <alignment vertical="center"/>
    </xf>
    <xf numFmtId="167" fontId="119" fillId="6" borderId="24" xfId="0" applyNumberFormat="1" applyFont="1" applyFill="1" applyBorder="1" applyAlignment="1">
      <alignment vertical="center"/>
    </xf>
    <xf numFmtId="167" fontId="118" fillId="6" borderId="31" xfId="0" applyNumberFormat="1" applyFont="1" applyFill="1" applyBorder="1" applyAlignment="1">
      <alignment vertical="center"/>
    </xf>
    <xf numFmtId="167" fontId="119" fillId="6" borderId="32" xfId="0" applyNumberFormat="1" applyFont="1" applyFill="1" applyBorder="1" applyAlignment="1">
      <alignment vertical="center"/>
    </xf>
    <xf numFmtId="179" fontId="118" fillId="0" borderId="0" xfId="0" applyFont="1" applyBorder="1" applyAlignment="1">
      <alignment vertical="center"/>
    </xf>
    <xf numFmtId="179" fontId="110" fillId="0" borderId="0" xfId="0" applyFont="1" applyFill="1" applyBorder="1" applyAlignment="1">
      <alignment horizontal="right" vertical="center" wrapText="1"/>
    </xf>
    <xf numFmtId="167" fontId="49" fillId="0" borderId="0" xfId="0" applyNumberFormat="1" applyFont="1" applyFill="1" applyBorder="1" applyAlignment="1">
      <alignment vertical="center"/>
    </xf>
    <xf numFmtId="167" fontId="117" fillId="0" borderId="0" xfId="0" applyNumberFormat="1" applyFont="1" applyFill="1" applyBorder="1" applyAlignment="1">
      <alignment vertical="center"/>
    </xf>
    <xf numFmtId="167" fontId="49" fillId="0" borderId="28" xfId="0" applyNumberFormat="1" applyFont="1" applyFill="1" applyBorder="1" applyAlignment="1">
      <alignment vertical="center"/>
    </xf>
    <xf numFmtId="167" fontId="117" fillId="0" borderId="30" xfId="0" applyNumberFormat="1" applyFont="1" applyFill="1" applyBorder="1" applyAlignment="1">
      <alignment vertical="center"/>
    </xf>
    <xf numFmtId="179" fontId="110" fillId="2" borderId="0" xfId="0" applyFont="1" applyFill="1" applyBorder="1" applyAlignment="1">
      <alignment horizontal="right" vertical="center" wrapText="1"/>
    </xf>
    <xf numFmtId="179" fontId="110" fillId="0" borderId="0" xfId="0" applyFont="1" applyBorder="1" applyAlignment="1">
      <alignment horizontal="right" vertical="center"/>
    </xf>
    <xf numFmtId="179" fontId="110" fillId="0" borderId="0" xfId="0" applyFont="1" applyFill="1" applyBorder="1" applyAlignment="1">
      <alignment horizontal="right" vertical="center"/>
    </xf>
    <xf numFmtId="167" fontId="120" fillId="0" borderId="0" xfId="0" applyNumberFormat="1" applyFont="1" applyFill="1" applyBorder="1" applyAlignment="1">
      <alignment vertical="center"/>
    </xf>
    <xf numFmtId="167" fontId="120" fillId="0" borderId="30" xfId="0" applyNumberFormat="1" applyFont="1" applyFill="1" applyBorder="1" applyAlignment="1">
      <alignment vertical="center"/>
    </xf>
    <xf numFmtId="179" fontId="117" fillId="0" borderId="0" xfId="0" applyFont="1" applyBorder="1" applyAlignment="1">
      <alignment vertical="center"/>
    </xf>
    <xf numFmtId="179" fontId="49" fillId="0" borderId="28" xfId="0" applyFont="1" applyBorder="1" applyAlignment="1">
      <alignment vertical="center"/>
    </xf>
    <xf numFmtId="179" fontId="117" fillId="0" borderId="30" xfId="0" applyFont="1" applyBorder="1" applyAlignment="1">
      <alignment vertical="center"/>
    </xf>
    <xf numFmtId="179" fontId="117" fillId="0" borderId="0" xfId="0" applyFont="1" applyAlignment="1">
      <alignment vertical="center"/>
    </xf>
    <xf numFmtId="0" fontId="121" fillId="0" borderId="0" xfId="0" applyNumberFormat="1" applyFont="1" applyFill="1" applyBorder="1" applyAlignment="1">
      <alignment vertical="center" wrapText="1"/>
    </xf>
    <xf numFmtId="179" fontId="121" fillId="0" borderId="0" xfId="0" applyFont="1" applyFill="1" applyBorder="1" applyAlignment="1">
      <alignment horizontal="left" vertical="center" wrapText="1"/>
    </xf>
    <xf numFmtId="168" fontId="121" fillId="0" borderId="0" xfId="5" applyNumberFormat="1" applyFont="1" applyFill="1" applyBorder="1" applyAlignment="1">
      <alignment vertical="center"/>
    </xf>
    <xf numFmtId="168" fontId="121" fillId="0" borderId="28" xfId="5" applyNumberFormat="1" applyFont="1" applyFill="1" applyBorder="1" applyAlignment="1">
      <alignment vertical="center"/>
    </xf>
    <xf numFmtId="179" fontId="121" fillId="0" borderId="0" xfId="0" applyFont="1" applyFill="1" applyBorder="1" applyAlignment="1">
      <alignment vertical="center"/>
    </xf>
    <xf numFmtId="167" fontId="117" fillId="0" borderId="34" xfId="0" applyNumberFormat="1" applyFont="1" applyFill="1" applyBorder="1" applyAlignment="1">
      <alignment vertical="center"/>
    </xf>
    <xf numFmtId="167" fontId="117" fillId="0" borderId="35" xfId="0" applyNumberFormat="1" applyFont="1" applyFill="1" applyBorder="1" applyAlignment="1">
      <alignment vertical="center"/>
    </xf>
    <xf numFmtId="198" fontId="49" fillId="8" borderId="0" xfId="0" applyNumberFormat="1" applyFont="1" applyFill="1" applyBorder="1" applyAlignment="1">
      <alignment vertical="center"/>
    </xf>
    <xf numFmtId="179" fontId="49" fillId="8" borderId="0" xfId="0" applyFont="1" applyFill="1" applyBorder="1" applyAlignment="1">
      <alignment vertical="center"/>
    </xf>
    <xf numFmtId="179" fontId="49" fillId="8" borderId="0" xfId="0" applyFont="1" applyFill="1" applyBorder="1" applyAlignment="1">
      <alignment vertical="center" wrapText="1"/>
    </xf>
    <xf numFmtId="0" fontId="110" fillId="0" borderId="0" xfId="0" applyNumberFormat="1" applyFont="1" applyFill="1" applyBorder="1" applyAlignment="1">
      <alignment horizontal="center" vertical="center" wrapText="1"/>
    </xf>
    <xf numFmtId="0" fontId="122" fillId="0" borderId="0" xfId="0" applyNumberFormat="1" applyFont="1" applyFill="1" applyBorder="1" applyAlignment="1">
      <alignment horizontal="center" vertical="center" wrapText="1"/>
    </xf>
    <xf numFmtId="198" fontId="110" fillId="8" borderId="0" xfId="0" applyNumberFormat="1" applyFont="1" applyFill="1" applyBorder="1" applyAlignment="1">
      <alignment vertical="center"/>
    </xf>
    <xf numFmtId="0" fontId="49" fillId="8" borderId="0" xfId="0" applyNumberFormat="1" applyFont="1" applyFill="1" applyBorder="1" applyAlignment="1">
      <alignment horizontal="left" vertical="center" wrapText="1"/>
    </xf>
    <xf numFmtId="198" fontId="110" fillId="8" borderId="0" xfId="0" applyNumberFormat="1" applyFont="1" applyFill="1" applyBorder="1" applyAlignment="1">
      <alignment horizontal="left" vertical="center" wrapText="1"/>
    </xf>
    <xf numFmtId="179" fontId="49" fillId="8" borderId="0" xfId="0" applyFont="1" applyFill="1" applyBorder="1" applyAlignment="1">
      <alignment horizontal="left" vertical="center"/>
    </xf>
    <xf numFmtId="0" fontId="123" fillId="0" borderId="0" xfId="0" applyNumberFormat="1" applyFont="1" applyFill="1" applyBorder="1" applyAlignment="1">
      <alignment vertical="center" wrapText="1"/>
    </xf>
    <xf numFmtId="179" fontId="123" fillId="0" borderId="0" xfId="0" applyFont="1" applyFill="1" applyBorder="1" applyAlignment="1">
      <alignment horizontal="right" vertical="center" wrapText="1"/>
    </xf>
    <xf numFmtId="167" fontId="123" fillId="0" borderId="0" xfId="0" applyNumberFormat="1" applyFont="1" applyFill="1" applyBorder="1" applyAlignment="1">
      <alignment vertical="center"/>
    </xf>
    <xf numFmtId="179" fontId="123" fillId="0" borderId="0" xfId="0" applyFont="1" applyBorder="1" applyAlignment="1">
      <alignment vertical="center"/>
    </xf>
    <xf numFmtId="179" fontId="113" fillId="6" borderId="24" xfId="0" applyFont="1" applyFill="1" applyBorder="1" applyAlignment="1">
      <alignment horizontal="left" vertical="center" wrapText="1"/>
    </xf>
    <xf numFmtId="179" fontId="113" fillId="0" borderId="0" xfId="0" applyFont="1" applyFill="1" applyBorder="1" applyAlignment="1">
      <alignment horizontal="left" vertical="center" wrapText="1"/>
    </xf>
    <xf numFmtId="167" fontId="113" fillId="6" borderId="24" xfId="0" applyNumberFormat="1" applyFont="1" applyFill="1" applyBorder="1" applyAlignment="1">
      <alignment vertical="center"/>
    </xf>
    <xf numFmtId="167" fontId="114" fillId="6" borderId="24" xfId="0" applyNumberFormat="1" applyFont="1" applyFill="1" applyBorder="1" applyAlignment="1">
      <alignment vertical="center"/>
    </xf>
    <xf numFmtId="179" fontId="113" fillId="0" borderId="0" xfId="0" applyFont="1" applyBorder="1" applyAlignment="1">
      <alignment vertical="center"/>
    </xf>
    <xf numFmtId="179" fontId="124" fillId="8" borderId="0" xfId="0" applyFont="1" applyFill="1" applyBorder="1" applyAlignment="1">
      <alignment horizontal="left" vertical="center"/>
    </xf>
    <xf numFmtId="0" fontId="124" fillId="0" borderId="0" xfId="0" applyNumberFormat="1" applyFont="1" applyFill="1" applyBorder="1" applyAlignment="1">
      <alignment horizontal="left" vertical="center" wrapText="1"/>
    </xf>
    <xf numFmtId="179" fontId="126" fillId="37" borderId="0" xfId="0" applyFont="1" applyFill="1" applyBorder="1" applyAlignment="1">
      <alignment vertical="center"/>
    </xf>
    <xf numFmtId="179" fontId="112" fillId="8" borderId="0" xfId="0" applyFont="1" applyFill="1" applyBorder="1" applyAlignment="1">
      <alignment vertical="center"/>
    </xf>
    <xf numFmtId="179" fontId="118" fillId="8" borderId="0" xfId="0" applyFont="1" applyFill="1" applyBorder="1" applyAlignment="1">
      <alignment vertical="center"/>
    </xf>
    <xf numFmtId="179" fontId="125" fillId="0" borderId="0" xfId="0" applyFont="1" applyFill="1" applyBorder="1" applyAlignment="1">
      <alignment horizontal="right" vertical="center" wrapText="1"/>
    </xf>
    <xf numFmtId="167" fontId="124" fillId="0" borderId="0" xfId="0" applyNumberFormat="1" applyFont="1" applyFill="1" applyBorder="1" applyAlignment="1">
      <alignment horizontal="right" vertical="center"/>
    </xf>
    <xf numFmtId="167" fontId="125" fillId="0" borderId="0" xfId="0" applyNumberFormat="1" applyFont="1" applyFill="1" applyBorder="1" applyAlignment="1">
      <alignment horizontal="right" vertical="center"/>
    </xf>
    <xf numFmtId="179" fontId="124" fillId="0" borderId="0" xfId="0" applyFont="1" applyBorder="1" applyAlignment="1">
      <alignment horizontal="right" vertical="center"/>
    </xf>
    <xf numFmtId="179" fontId="128" fillId="35" borderId="36" xfId="0" applyFont="1" applyFill="1" applyBorder="1" applyAlignment="1">
      <alignment vertical="center"/>
    </xf>
    <xf numFmtId="199" fontId="49" fillId="8" borderId="0" xfId="0" applyNumberFormat="1" applyFont="1" applyFill="1" applyBorder="1" applyAlignment="1">
      <alignment vertical="center"/>
    </xf>
    <xf numFmtId="199" fontId="49" fillId="0" borderId="0" xfId="0" applyNumberFormat="1" applyFont="1" applyFill="1" applyBorder="1" applyAlignment="1">
      <alignment vertical="center"/>
    </xf>
    <xf numFmtId="199" fontId="110" fillId="8" borderId="0" xfId="0" applyNumberFormat="1" applyFont="1" applyFill="1" applyBorder="1" applyAlignment="1">
      <alignment vertical="center"/>
    </xf>
    <xf numFmtId="199" fontId="49" fillId="0" borderId="0" xfId="0" applyNumberFormat="1" applyFont="1" applyAlignment="1">
      <alignment vertical="center"/>
    </xf>
    <xf numFmtId="199" fontId="49" fillId="8" borderId="0" xfId="0" applyNumberFormat="1" applyFont="1" applyFill="1" applyBorder="1" applyAlignment="1">
      <alignment horizontal="left" vertical="center" wrapText="1"/>
    </xf>
    <xf numFmtId="199" fontId="49" fillId="0" borderId="0" xfId="0" applyNumberFormat="1" applyFont="1" applyFill="1" applyBorder="1" applyAlignment="1">
      <alignment horizontal="left" vertical="center" wrapText="1"/>
    </xf>
    <xf numFmtId="167" fontId="124" fillId="0" borderId="28" xfId="0" applyNumberFormat="1" applyFont="1" applyFill="1" applyBorder="1" applyAlignment="1">
      <alignment horizontal="right" vertical="center"/>
    </xf>
    <xf numFmtId="167" fontId="125" fillId="0" borderId="30" xfId="0" applyNumberFormat="1" applyFont="1" applyFill="1" applyBorder="1" applyAlignment="1">
      <alignment horizontal="right" vertical="center"/>
    </xf>
    <xf numFmtId="167" fontId="123" fillId="0" borderId="28" xfId="0" applyNumberFormat="1" applyFont="1" applyFill="1" applyBorder="1" applyAlignment="1">
      <alignment vertical="center"/>
    </xf>
    <xf numFmtId="167" fontId="123" fillId="0" borderId="30" xfId="0" applyNumberFormat="1" applyFont="1" applyFill="1" applyBorder="1" applyAlignment="1">
      <alignment vertical="center"/>
    </xf>
    <xf numFmtId="179" fontId="49" fillId="8" borderId="0" xfId="0" applyFont="1" applyFill="1" applyBorder="1" applyAlignment="1">
      <alignment horizontal="right" vertical="center"/>
    </xf>
    <xf numFmtId="0" fontId="49" fillId="0" borderId="0" xfId="0" applyNumberFormat="1" applyFont="1" applyFill="1" applyBorder="1" applyAlignment="1">
      <alignment horizontal="right" vertical="center" wrapText="1"/>
    </xf>
    <xf numFmtId="179" fontId="110" fillId="7" borderId="0" xfId="0" applyFont="1" applyFill="1" applyBorder="1" applyAlignment="1">
      <alignment horizontal="right" vertical="center" wrapText="1"/>
    </xf>
    <xf numFmtId="167" fontId="49" fillId="7" borderId="0" xfId="0" applyNumberFormat="1" applyFont="1" applyFill="1" applyBorder="1" applyAlignment="1">
      <alignment horizontal="right" vertical="center"/>
    </xf>
    <xf numFmtId="167" fontId="117" fillId="7" borderId="0" xfId="0" applyNumberFormat="1" applyFont="1" applyFill="1" applyBorder="1" applyAlignment="1">
      <alignment horizontal="right" vertical="center"/>
    </xf>
    <xf numFmtId="167" fontId="49" fillId="7" borderId="28" xfId="0" applyNumberFormat="1" applyFont="1" applyFill="1" applyBorder="1" applyAlignment="1">
      <alignment horizontal="right" vertical="center"/>
    </xf>
    <xf numFmtId="167" fontId="117" fillId="7" borderId="30" xfId="0" applyNumberFormat="1" applyFont="1" applyFill="1" applyBorder="1" applyAlignment="1">
      <alignment horizontal="right" vertical="center"/>
    </xf>
    <xf numFmtId="179" fontId="49" fillId="0" borderId="0" xfId="0" applyFont="1" applyBorder="1" applyAlignment="1">
      <alignment horizontal="right" vertical="center"/>
    </xf>
    <xf numFmtId="0" fontId="129" fillId="0" borderId="0" xfId="0" applyNumberFormat="1" applyFont="1" applyFill="1" applyAlignment="1">
      <alignment horizontal="right" vertical="center" wrapText="1"/>
    </xf>
    <xf numFmtId="0" fontId="107" fillId="0" borderId="0" xfId="0" applyNumberFormat="1" applyFont="1" applyFill="1" applyBorder="1" applyAlignment="1">
      <alignment vertical="center" wrapText="1"/>
    </xf>
    <xf numFmtId="0" fontId="107" fillId="0" borderId="0" xfId="0" applyNumberFormat="1" applyFont="1" applyFill="1" applyAlignment="1">
      <alignment vertical="center" wrapText="1"/>
    </xf>
    <xf numFmtId="179" fontId="105" fillId="0" borderId="0" xfId="0" applyFont="1" applyFill="1" applyAlignment="1">
      <alignment vertical="center"/>
    </xf>
    <xf numFmtId="179" fontId="0" fillId="0" borderId="0" xfId="0" applyBorder="1"/>
    <xf numFmtId="179" fontId="127" fillId="0" borderId="0" xfId="0" applyFont="1" applyBorder="1"/>
    <xf numFmtId="0" fontId="49" fillId="0" borderId="0" xfId="0" applyNumberFormat="1" applyFont="1" applyFill="1" applyBorder="1" applyAlignment="1">
      <alignment vertical="center"/>
    </xf>
    <xf numFmtId="179" fontId="49" fillId="0" borderId="0" xfId="0" applyFont="1" applyBorder="1" applyAlignment="1">
      <alignment vertical="center" wrapText="1"/>
    </xf>
    <xf numFmtId="199" fontId="49" fillId="0" borderId="0" xfId="0" applyNumberFormat="1" applyFont="1" applyBorder="1" applyAlignment="1">
      <alignment vertical="center"/>
    </xf>
    <xf numFmtId="167" fontId="49" fillId="0" borderId="33" xfId="0" applyNumberFormat="1" applyFont="1" applyFill="1" applyBorder="1" applyAlignment="1">
      <alignment vertical="center"/>
    </xf>
    <xf numFmtId="167" fontId="49" fillId="0" borderId="34" xfId="0" applyNumberFormat="1" applyFont="1" applyFill="1" applyBorder="1" applyAlignment="1">
      <alignment vertical="center"/>
    </xf>
    <xf numFmtId="179" fontId="131" fillId="0" borderId="0" xfId="0" applyFont="1" applyAlignment="1">
      <alignment vertical="center"/>
    </xf>
    <xf numFmtId="4" fontId="123" fillId="0" borderId="0" xfId="0" applyNumberFormat="1" applyFont="1" applyFill="1" applyBorder="1" applyAlignment="1">
      <alignment vertical="center"/>
    </xf>
    <xf numFmtId="4" fontId="123" fillId="0" borderId="0" xfId="0" applyNumberFormat="1" applyFont="1" applyFill="1" applyBorder="1" applyAlignment="1">
      <alignment horizontal="right" vertical="center" wrapText="1"/>
    </xf>
    <xf numFmtId="4" fontId="123" fillId="0" borderId="28" xfId="0" applyNumberFormat="1" applyFont="1" applyFill="1" applyBorder="1" applyAlignment="1">
      <alignment vertical="center"/>
    </xf>
    <xf numFmtId="4" fontId="123" fillId="0" borderId="30" xfId="0" applyNumberFormat="1" applyFont="1" applyFill="1" applyBorder="1" applyAlignment="1">
      <alignment vertical="center"/>
    </xf>
    <xf numFmtId="179" fontId="133" fillId="37" borderId="0" xfId="0" applyFont="1" applyFill="1" applyBorder="1" applyAlignment="1">
      <alignment vertical="center"/>
    </xf>
    <xf numFmtId="0" fontId="134" fillId="0" borderId="0" xfId="0" applyNumberFormat="1" applyFont="1" applyFill="1" applyBorder="1" applyAlignment="1">
      <alignment vertical="center" wrapText="1"/>
    </xf>
    <xf numFmtId="179" fontId="134" fillId="6" borderId="24" xfId="0" applyFont="1" applyFill="1" applyBorder="1" applyAlignment="1">
      <alignment horizontal="left" vertical="center" wrapText="1"/>
    </xf>
    <xf numFmtId="179" fontId="134" fillId="0" borderId="0" xfId="0" applyFont="1" applyFill="1" applyBorder="1" applyAlignment="1">
      <alignment horizontal="left" vertical="center" wrapText="1"/>
    </xf>
    <xf numFmtId="167" fontId="134" fillId="6" borderId="24" xfId="0" applyNumberFormat="1" applyFont="1" applyFill="1" applyBorder="1" applyAlignment="1">
      <alignment vertical="center"/>
    </xf>
    <xf numFmtId="167" fontId="135" fillId="6" borderId="24" xfId="0" applyNumberFormat="1" applyFont="1" applyFill="1" applyBorder="1" applyAlignment="1">
      <alignment vertical="center"/>
    </xf>
    <xf numFmtId="167" fontId="134" fillId="6" borderId="31" xfId="0" applyNumberFormat="1" applyFont="1" applyFill="1" applyBorder="1" applyAlignment="1">
      <alignment vertical="center"/>
    </xf>
    <xf numFmtId="167" fontId="135" fillId="6" borderId="32" xfId="0" applyNumberFormat="1" applyFont="1" applyFill="1" applyBorder="1" applyAlignment="1">
      <alignment vertical="center"/>
    </xf>
    <xf numFmtId="179" fontId="134" fillId="0" borderId="0" xfId="0" applyFont="1" applyBorder="1" applyAlignment="1">
      <alignment vertical="center"/>
    </xf>
    <xf numFmtId="0" fontId="106" fillId="9" borderId="0" xfId="3" applyNumberFormat="1" applyFont="1" applyFill="1" applyBorder="1" applyAlignment="1" applyProtection="1">
      <alignment horizontal="center" vertical="center"/>
      <protection locked="0"/>
    </xf>
    <xf numFmtId="179" fontId="136" fillId="37" borderId="0" xfId="0" applyFont="1" applyFill="1" applyBorder="1" applyAlignment="1">
      <alignment vertical="center"/>
    </xf>
    <xf numFmtId="0" fontId="137" fillId="0" borderId="0" xfId="0" applyNumberFormat="1" applyFont="1" applyFill="1" applyBorder="1" applyAlignment="1">
      <alignment vertical="center" wrapText="1"/>
    </xf>
    <xf numFmtId="179" fontId="137" fillId="0" borderId="0" xfId="0" applyFont="1" applyFill="1" applyBorder="1" applyAlignment="1">
      <alignment horizontal="left" vertical="center" wrapText="1"/>
    </xf>
    <xf numFmtId="168" fontId="137" fillId="0" borderId="0" xfId="5" applyNumberFormat="1" applyFont="1" applyFill="1" applyBorder="1" applyAlignment="1">
      <alignment vertical="center"/>
    </xf>
    <xf numFmtId="167" fontId="137" fillId="0" borderId="0" xfId="0" applyNumberFormat="1" applyFont="1" applyFill="1" applyBorder="1" applyAlignment="1">
      <alignment vertical="center"/>
    </xf>
    <xf numFmtId="168" fontId="137" fillId="0" borderId="28" xfId="5" applyNumberFormat="1" applyFont="1" applyFill="1" applyBorder="1" applyAlignment="1">
      <alignment vertical="center"/>
    </xf>
    <xf numFmtId="167" fontId="137" fillId="0" borderId="30" xfId="0" applyNumberFormat="1" applyFont="1" applyFill="1" applyBorder="1" applyAlignment="1">
      <alignment vertical="center"/>
    </xf>
    <xf numFmtId="179" fontId="137" fillId="0" borderId="0" xfId="0" applyFont="1" applyFill="1" applyBorder="1" applyAlignment="1">
      <alignment vertical="center"/>
    </xf>
    <xf numFmtId="168" fontId="137" fillId="0" borderId="37" xfId="5" applyNumberFormat="1" applyFont="1" applyFill="1" applyBorder="1" applyAlignment="1">
      <alignment vertical="center"/>
    </xf>
    <xf numFmtId="168" fontId="137" fillId="0" borderId="38" xfId="5" applyNumberFormat="1" applyFont="1" applyFill="1" applyBorder="1" applyAlignment="1">
      <alignment vertical="center"/>
    </xf>
    <xf numFmtId="167" fontId="137" fillId="0" borderId="38" xfId="0" applyNumberFormat="1" applyFont="1" applyFill="1" applyBorder="1" applyAlignment="1">
      <alignment vertical="center"/>
    </xf>
    <xf numFmtId="167" fontId="137" fillId="0" borderId="39" xfId="0" applyNumberFormat="1" applyFont="1" applyFill="1" applyBorder="1" applyAlignment="1">
      <alignment vertical="center"/>
    </xf>
    <xf numFmtId="179" fontId="138" fillId="8" borderId="0" xfId="0" applyFont="1" applyFill="1" applyBorder="1" applyAlignment="1">
      <alignment vertical="center"/>
    </xf>
    <xf numFmtId="0" fontId="139" fillId="0" borderId="0" xfId="0" applyNumberFormat="1" applyFont="1" applyFill="1" applyBorder="1" applyAlignment="1">
      <alignment vertical="center" wrapText="1"/>
    </xf>
    <xf numFmtId="179" fontId="139" fillId="6" borderId="24" xfId="0" applyFont="1" applyFill="1" applyBorder="1" applyAlignment="1">
      <alignment horizontal="left" vertical="center" wrapText="1"/>
    </xf>
    <xf numFmtId="179" fontId="139" fillId="0" borderId="0" xfId="0" applyFont="1" applyFill="1" applyBorder="1" applyAlignment="1">
      <alignment horizontal="left" vertical="center" wrapText="1"/>
    </xf>
    <xf numFmtId="167" fontId="139" fillId="6" borderId="24" xfId="0" applyNumberFormat="1" applyFont="1" applyFill="1" applyBorder="1" applyAlignment="1">
      <alignment vertical="center"/>
    </xf>
    <xf numFmtId="167" fontId="140" fillId="6" borderId="24" xfId="0" applyNumberFormat="1" applyFont="1" applyFill="1" applyBorder="1" applyAlignment="1">
      <alignment vertical="center"/>
    </xf>
    <xf numFmtId="167" fontId="139" fillId="6" borderId="31" xfId="0" applyNumberFormat="1" applyFont="1" applyFill="1" applyBorder="1" applyAlignment="1">
      <alignment vertical="center"/>
    </xf>
    <xf numFmtId="167" fontId="140" fillId="6" borderId="32" xfId="0" applyNumberFormat="1" applyFont="1" applyFill="1" applyBorder="1" applyAlignment="1">
      <alignment vertical="center"/>
    </xf>
    <xf numFmtId="179" fontId="139" fillId="0" borderId="0" xfId="0" applyFont="1" applyBorder="1" applyAlignment="1">
      <alignment vertical="center"/>
    </xf>
    <xf numFmtId="0" fontId="104" fillId="0" borderId="0" xfId="0" applyNumberFormat="1" applyFont="1" applyFill="1" applyAlignment="1">
      <alignment vertical="center" wrapText="1"/>
    </xf>
    <xf numFmtId="179" fontId="141" fillId="37" borderId="0" xfId="0" applyFont="1" applyFill="1" applyBorder="1" applyAlignment="1">
      <alignment vertical="center"/>
    </xf>
    <xf numFmtId="179" fontId="139" fillId="39" borderId="24" xfId="0" applyFont="1" applyFill="1" applyBorder="1" applyAlignment="1">
      <alignment horizontal="left" vertical="center" wrapText="1"/>
    </xf>
    <xf numFmtId="167" fontId="139" fillId="39" borderId="24" xfId="0" applyNumberFormat="1" applyFont="1" applyFill="1" applyBorder="1" applyAlignment="1">
      <alignment vertical="center"/>
    </xf>
    <xf numFmtId="167" fontId="140" fillId="39" borderId="24" xfId="0" applyNumberFormat="1" applyFont="1" applyFill="1" applyBorder="1" applyAlignment="1">
      <alignment vertical="center"/>
    </xf>
    <xf numFmtId="167" fontId="139" fillId="39" borderId="31" xfId="0" applyNumberFormat="1" applyFont="1" applyFill="1" applyBorder="1" applyAlignment="1">
      <alignment vertical="center"/>
    </xf>
    <xf numFmtId="167" fontId="140" fillId="39" borderId="32" xfId="0" applyNumberFormat="1" applyFont="1" applyFill="1" applyBorder="1" applyAlignment="1">
      <alignment vertical="center"/>
    </xf>
    <xf numFmtId="0" fontId="2" fillId="0" borderId="0" xfId="446"/>
    <xf numFmtId="0" fontId="2" fillId="16" borderId="0" xfId="446" applyFill="1"/>
    <xf numFmtId="0" fontId="101" fillId="16" borderId="0" xfId="446" applyNumberFormat="1" applyFont="1" applyFill="1"/>
    <xf numFmtId="0" fontId="2" fillId="27" borderId="0" xfId="446" applyFill="1"/>
    <xf numFmtId="0" fontId="101" fillId="27" borderId="0" xfId="446" applyNumberFormat="1" applyFont="1" applyFill="1"/>
    <xf numFmtId="0" fontId="101" fillId="0" borderId="0" xfId="446" applyNumberFormat="1" applyFont="1"/>
    <xf numFmtId="0" fontId="100" fillId="0" borderId="0" xfId="446" applyFont="1"/>
    <xf numFmtId="0" fontId="102" fillId="33" borderId="0" xfId="446" applyFont="1" applyFill="1" applyAlignment="1">
      <alignment horizontal="center"/>
    </xf>
    <xf numFmtId="49" fontId="2" fillId="0" borderId="0" xfId="446" applyNumberFormat="1"/>
    <xf numFmtId="0" fontId="142" fillId="0" borderId="0" xfId="446" applyFont="1"/>
    <xf numFmtId="0" fontId="1" fillId="0" borderId="0" xfId="446" applyFont="1"/>
    <xf numFmtId="0" fontId="1" fillId="0" borderId="0" xfId="446" quotePrefix="1" applyFont="1"/>
    <xf numFmtId="0" fontId="2" fillId="3" borderId="0" xfId="446" applyFill="1"/>
    <xf numFmtId="0" fontId="1" fillId="3" borderId="0" xfId="446" quotePrefix="1" applyFont="1" applyFill="1"/>
    <xf numFmtId="0" fontId="2" fillId="0" borderId="0" xfId="446" applyFill="1"/>
    <xf numFmtId="199" fontId="49" fillId="0" borderId="0" xfId="0" applyNumberFormat="1" applyFont="1" applyFill="1" applyAlignment="1">
      <alignment vertical="center"/>
    </xf>
    <xf numFmtId="2" fontId="136" fillId="0" borderId="0" xfId="0" applyNumberFormat="1" applyFont="1" applyFill="1" applyBorder="1" applyAlignment="1">
      <alignment horizontal="center" vertical="center" wrapText="1"/>
    </xf>
    <xf numFmtId="2" fontId="103" fillId="0" borderId="0" xfId="0" applyNumberFormat="1" applyFont="1" applyFill="1" applyBorder="1" applyAlignment="1">
      <alignment horizontal="center" vertical="center" wrapText="1"/>
    </xf>
    <xf numFmtId="2" fontId="143" fillId="0" borderId="0" xfId="0" applyNumberFormat="1" applyFont="1" applyFill="1" applyBorder="1" applyAlignment="1">
      <alignment horizontal="center" vertical="center" wrapText="1"/>
    </xf>
    <xf numFmtId="0" fontId="136" fillId="0" borderId="0" xfId="0" applyNumberFormat="1" applyFont="1" applyFill="1" applyBorder="1" applyAlignment="1">
      <alignment horizontal="left" vertical="center" wrapText="1"/>
    </xf>
    <xf numFmtId="0" fontId="136" fillId="0" borderId="0" xfId="0" applyNumberFormat="1" applyFont="1" applyFill="1" applyBorder="1" applyAlignment="1">
      <alignment horizontal="center" vertical="center" wrapText="1"/>
    </xf>
    <xf numFmtId="0" fontId="137" fillId="0" borderId="0" xfId="0" applyNumberFormat="1" applyFont="1" applyFill="1" applyBorder="1" applyAlignment="1">
      <alignment horizontal="center" vertical="center" wrapText="1"/>
    </xf>
    <xf numFmtId="0" fontId="143" fillId="0" borderId="0" xfId="0" applyNumberFormat="1" applyFont="1" applyFill="1" applyBorder="1" applyAlignment="1">
      <alignment horizontal="center" vertical="center" wrapText="1"/>
    </xf>
    <xf numFmtId="0" fontId="144" fillId="0" borderId="0" xfId="0" applyNumberFormat="1" applyFont="1" applyFill="1" applyBorder="1" applyAlignment="1">
      <alignment vertical="center" wrapText="1"/>
    </xf>
    <xf numFmtId="0" fontId="144" fillId="0" borderId="0" xfId="0" applyNumberFormat="1" applyFont="1" applyFill="1" applyAlignment="1">
      <alignment vertical="center" wrapText="1"/>
    </xf>
    <xf numFmtId="0" fontId="144" fillId="0" borderId="0" xfId="0" applyNumberFormat="1" applyFont="1" applyFill="1" applyAlignment="1">
      <alignment horizontal="center" vertical="center" wrapText="1"/>
    </xf>
    <xf numFmtId="0" fontId="144" fillId="8" borderId="0" xfId="0" applyNumberFormat="1" applyFont="1" applyFill="1" applyBorder="1" applyAlignment="1">
      <alignment horizontal="left" vertical="center" wrapText="1"/>
    </xf>
    <xf numFmtId="0" fontId="144" fillId="8" borderId="0" xfId="0" applyNumberFormat="1" applyFont="1" applyFill="1" applyAlignment="1">
      <alignment vertical="center" wrapText="1"/>
    </xf>
    <xf numFmtId="167" fontId="113" fillId="39" borderId="0" xfId="0" applyNumberFormat="1" applyFont="1" applyFill="1" applyBorder="1" applyAlignment="1">
      <alignment horizontal="center" vertical="center" wrapText="1"/>
    </xf>
    <xf numFmtId="198" fontId="144" fillId="4" borderId="0" xfId="0" applyNumberFormat="1" applyFont="1" applyFill="1" applyBorder="1" applyAlignment="1">
      <alignment horizontal="center" vertical="center"/>
    </xf>
    <xf numFmtId="167" fontId="112" fillId="39" borderId="0" xfId="0" applyNumberFormat="1" applyFont="1" applyFill="1" applyBorder="1" applyAlignment="1">
      <alignment horizontal="center" vertical="center" wrapText="1"/>
    </xf>
    <xf numFmtId="0" fontId="114" fillId="0" borderId="0" xfId="0" applyNumberFormat="1" applyFont="1" applyFill="1" applyAlignment="1">
      <alignment horizontal="right" vertical="center" wrapText="1"/>
    </xf>
    <xf numFmtId="179" fontId="144" fillId="0" borderId="0" xfId="0" applyFont="1" applyFill="1" applyBorder="1" applyAlignment="1">
      <alignment vertical="center"/>
    </xf>
    <xf numFmtId="179" fontId="144" fillId="2" borderId="0" xfId="0" applyFont="1" applyFill="1" applyBorder="1" applyAlignment="1">
      <alignment horizontal="center" vertical="center" wrapText="1"/>
    </xf>
    <xf numFmtId="179" fontId="144" fillId="0" borderId="0" xfId="0" applyFont="1" applyFill="1" applyBorder="1" applyAlignment="1">
      <alignment horizontal="center" vertical="center" wrapText="1"/>
    </xf>
    <xf numFmtId="2" fontId="147" fillId="2" borderId="0" xfId="0" applyNumberFormat="1" applyFont="1" applyFill="1" applyBorder="1" applyAlignment="1">
      <alignment horizontal="center" vertical="center"/>
    </xf>
    <xf numFmtId="2" fontId="148" fillId="2" borderId="0" xfId="0" applyNumberFormat="1" applyFont="1" applyFill="1" applyBorder="1" applyAlignment="1">
      <alignment horizontal="center" vertical="center"/>
    </xf>
    <xf numFmtId="2" fontId="146" fillId="2" borderId="0" xfId="0" applyNumberFormat="1" applyFont="1" applyFill="1" applyBorder="1" applyAlignment="1">
      <alignment horizontal="center" vertical="center"/>
    </xf>
    <xf numFmtId="179" fontId="144" fillId="0" borderId="0" xfId="0" applyFont="1" applyBorder="1" applyAlignment="1">
      <alignment vertical="center"/>
    </xf>
    <xf numFmtId="0" fontId="144" fillId="8" borderId="0" xfId="0" applyNumberFormat="1" applyFont="1" applyFill="1" applyBorder="1" applyAlignment="1">
      <alignment vertical="center" wrapText="1"/>
    </xf>
    <xf numFmtId="199" fontId="144" fillId="8" borderId="0" xfId="0" applyNumberFormat="1" applyFont="1" applyFill="1" applyBorder="1" applyAlignment="1">
      <alignment vertical="center"/>
    </xf>
    <xf numFmtId="199" fontId="144" fillId="0" borderId="0" xfId="0" applyNumberFormat="1" applyFont="1" applyFill="1" applyBorder="1" applyAlignment="1">
      <alignment vertical="center"/>
    </xf>
    <xf numFmtId="3" fontId="148" fillId="0" borderId="0" xfId="0" applyNumberFormat="1" applyFont="1" applyFill="1" applyBorder="1" applyAlignment="1">
      <alignment horizontal="right" vertical="center" wrapText="1"/>
    </xf>
    <xf numFmtId="179" fontId="148" fillId="0" borderId="0" xfId="0" applyFont="1" applyFill="1" applyBorder="1" applyAlignment="1">
      <alignment horizontal="right" vertical="center" wrapText="1"/>
    </xf>
    <xf numFmtId="167" fontId="113" fillId="39" borderId="0" xfId="0" applyNumberFormat="1" applyFont="1" applyFill="1" applyBorder="1" applyAlignment="1">
      <alignment horizontal="right" vertical="center" wrapText="1"/>
    </xf>
    <xf numFmtId="167" fontId="144" fillId="0" borderId="0" xfId="0" applyNumberFormat="1" applyFont="1" applyFill="1" applyBorder="1" applyAlignment="1">
      <alignment vertical="center"/>
    </xf>
    <xf numFmtId="167" fontId="146" fillId="0" borderId="0" xfId="0" applyNumberFormat="1" applyFont="1" applyFill="1" applyBorder="1" applyAlignment="1">
      <alignment vertical="center"/>
    </xf>
    <xf numFmtId="167" fontId="112" fillId="40" borderId="0" xfId="0" applyNumberFormat="1" applyFont="1" applyFill="1" applyBorder="1" applyAlignment="1">
      <alignment horizontal="right" vertical="center" wrapText="1"/>
    </xf>
    <xf numFmtId="167" fontId="112" fillId="39" borderId="0" xfId="0" applyNumberFormat="1" applyFont="1" applyFill="1" applyBorder="1" applyAlignment="1">
      <alignment horizontal="right" vertical="center" wrapText="1"/>
    </xf>
    <xf numFmtId="179" fontId="148" fillId="0" borderId="0" xfId="0" applyFont="1" applyFill="1" applyBorder="1" applyAlignment="1">
      <alignment horizontal="right" vertical="center"/>
    </xf>
    <xf numFmtId="179" fontId="144" fillId="0" borderId="0" xfId="0" applyFont="1" applyFill="1" applyAlignment="1">
      <alignment vertical="center"/>
    </xf>
    <xf numFmtId="179" fontId="149" fillId="37" borderId="0" xfId="0" applyFont="1" applyFill="1" applyBorder="1" applyAlignment="1">
      <alignment vertical="center"/>
    </xf>
    <xf numFmtId="0" fontId="148" fillId="0" borderId="0" xfId="0" applyNumberFormat="1" applyFont="1" applyFill="1" applyBorder="1" applyAlignment="1">
      <alignment vertical="center" wrapText="1"/>
    </xf>
    <xf numFmtId="179" fontId="148" fillId="0" borderId="0" xfId="0" applyFont="1" applyFill="1" applyAlignment="1">
      <alignment vertical="center"/>
    </xf>
    <xf numFmtId="167" fontId="114" fillId="39" borderId="0" xfId="0" applyNumberFormat="1" applyFont="1" applyFill="1" applyBorder="1" applyAlignment="1">
      <alignment horizontal="right" vertical="center" wrapText="1"/>
    </xf>
    <xf numFmtId="167" fontId="148" fillId="0" borderId="0" xfId="0" applyNumberFormat="1" applyFont="1" applyFill="1" applyBorder="1" applyAlignment="1">
      <alignment vertical="center"/>
    </xf>
    <xf numFmtId="167" fontId="150" fillId="40" borderId="0" xfId="0" applyNumberFormat="1" applyFont="1" applyFill="1" applyBorder="1" applyAlignment="1">
      <alignment horizontal="right" vertical="center" wrapText="1"/>
    </xf>
    <xf numFmtId="167" fontId="150" fillId="39" borderId="0" xfId="0" applyNumberFormat="1" applyFont="1" applyFill="1" applyBorder="1" applyAlignment="1">
      <alignment horizontal="right" vertical="center" wrapText="1"/>
    </xf>
    <xf numFmtId="179" fontId="148" fillId="0" borderId="0" xfId="0" applyFont="1" applyBorder="1" applyAlignment="1">
      <alignment vertical="center"/>
    </xf>
    <xf numFmtId="179" fontId="144" fillId="0" borderId="0" xfId="0" applyFont="1" applyAlignment="1">
      <alignment vertical="center"/>
    </xf>
    <xf numFmtId="179" fontId="146" fillId="0" borderId="0" xfId="0" applyFont="1" applyAlignment="1">
      <alignment vertical="center"/>
    </xf>
    <xf numFmtId="168" fontId="150" fillId="39" borderId="0" xfId="5" applyNumberFormat="1" applyFont="1" applyFill="1" applyBorder="1" applyAlignment="1">
      <alignment horizontal="right" vertical="center" wrapText="1"/>
    </xf>
    <xf numFmtId="168" fontId="148" fillId="0" borderId="0" xfId="5" applyNumberFormat="1" applyFont="1" applyFill="1" applyBorder="1" applyAlignment="1">
      <alignment vertical="center"/>
    </xf>
    <xf numFmtId="167" fontId="150" fillId="39" borderId="0" xfId="0" applyNumberFormat="1" applyFont="1" applyFill="1" applyBorder="1" applyAlignment="1">
      <alignment horizontal="center" vertical="center" wrapText="1"/>
    </xf>
    <xf numFmtId="198" fontId="148" fillId="4" borderId="0" xfId="0" applyNumberFormat="1" applyFont="1" applyFill="1" applyBorder="1" applyAlignment="1">
      <alignment horizontal="center" vertical="center"/>
    </xf>
    <xf numFmtId="168" fontId="114" fillId="6" borderId="24" xfId="5" applyNumberFormat="1" applyFont="1" applyFill="1" applyBorder="1" applyAlignment="1">
      <alignment vertical="center"/>
    </xf>
    <xf numFmtId="0" fontId="152" fillId="0" borderId="0" xfId="0" applyNumberFormat="1" applyFont="1" applyFill="1" applyBorder="1" applyAlignment="1">
      <alignment vertical="center"/>
    </xf>
    <xf numFmtId="0" fontId="152" fillId="0" borderId="0" xfId="0" applyNumberFormat="1" applyFont="1" applyFill="1" applyBorder="1" applyAlignment="1">
      <alignment vertical="center" wrapText="1"/>
    </xf>
    <xf numFmtId="0" fontId="153" fillId="0" borderId="0" xfId="0" applyNumberFormat="1" applyFont="1" applyFill="1" applyBorder="1" applyAlignment="1">
      <alignment vertical="center" wrapText="1"/>
    </xf>
    <xf numFmtId="179" fontId="154" fillId="35" borderId="0" xfId="0" applyFont="1" applyFill="1" applyBorder="1" applyAlignment="1">
      <alignment vertical="center"/>
    </xf>
    <xf numFmtId="179" fontId="154" fillId="0" borderId="0" xfId="0" applyFont="1" applyAlignment="1">
      <alignment vertical="center"/>
    </xf>
    <xf numFmtId="179" fontId="156" fillId="0" borderId="0" xfId="0" applyFont="1" applyAlignment="1">
      <alignment vertical="center"/>
    </xf>
    <xf numFmtId="0" fontId="132" fillId="42" borderId="12" xfId="3" applyNumberFormat="1" applyFont="1" applyFill="1" applyBorder="1" applyAlignment="1" applyProtection="1">
      <alignment horizontal="center" vertical="center"/>
    </xf>
    <xf numFmtId="0" fontId="132" fillId="42" borderId="0" xfId="3" applyNumberFormat="1" applyFont="1" applyFill="1" applyBorder="1" applyAlignment="1" applyProtection="1">
      <alignment horizontal="center" vertical="center"/>
    </xf>
    <xf numFmtId="179" fontId="157" fillId="0" borderId="0" xfId="0" applyFont="1" applyFill="1" applyAlignment="1">
      <alignment horizontal="left"/>
    </xf>
    <xf numFmtId="179" fontId="158" fillId="0" borderId="0" xfId="0" applyFont="1" applyFill="1"/>
    <xf numFmtId="179" fontId="107" fillId="0" borderId="0" xfId="0" applyFont="1" applyFill="1" applyAlignment="1">
      <alignment horizontal="right"/>
    </xf>
    <xf numFmtId="179" fontId="111" fillId="0" borderId="0" xfId="0" applyFont="1" applyFill="1" applyAlignment="1">
      <alignment horizontal="right"/>
    </xf>
    <xf numFmtId="2" fontId="107" fillId="0" borderId="0" xfId="0" applyNumberFormat="1" applyFont="1" applyAlignment="1">
      <alignment vertical="center"/>
    </xf>
    <xf numFmtId="179" fontId="155" fillId="41" borderId="0" xfId="0" applyFont="1" applyFill="1" applyBorder="1" applyAlignment="1">
      <alignment horizontal="center" vertical="center"/>
    </xf>
    <xf numFmtId="198" fontId="117" fillId="4" borderId="23" xfId="0" applyNumberFormat="1" applyFont="1" applyFill="1" applyBorder="1" applyAlignment="1">
      <alignment horizontal="center" vertical="center" wrapText="1"/>
    </xf>
    <xf numFmtId="198" fontId="117" fillId="4" borderId="0" xfId="0" applyNumberFormat="1" applyFont="1" applyFill="1" applyBorder="1" applyAlignment="1">
      <alignment horizontal="center" vertical="center" wrapText="1"/>
    </xf>
    <xf numFmtId="0" fontId="106" fillId="34" borderId="25" xfId="246" applyFont="1" applyFill="1" applyBorder="1" applyAlignment="1">
      <alignment horizontal="center" vertical="center" wrapText="1"/>
    </xf>
    <xf numFmtId="0" fontId="106" fillId="34" borderId="26" xfId="246" applyFont="1" applyFill="1" applyBorder="1" applyAlignment="1">
      <alignment horizontal="center" vertical="center" wrapText="1"/>
    </xf>
    <xf numFmtId="0" fontId="106" fillId="34" borderId="27" xfId="246" applyFont="1" applyFill="1" applyBorder="1" applyAlignment="1">
      <alignment horizontal="center" vertical="center" wrapText="1"/>
    </xf>
    <xf numFmtId="198" fontId="117" fillId="4" borderId="29" xfId="0" applyNumberFormat="1" applyFont="1" applyFill="1" applyBorder="1" applyAlignment="1">
      <alignment horizontal="center" vertical="center" wrapText="1"/>
    </xf>
    <xf numFmtId="198" fontId="117" fillId="4" borderId="30" xfId="0" applyNumberFormat="1" applyFont="1" applyFill="1" applyBorder="1" applyAlignment="1">
      <alignment horizontal="center" vertical="center" wrapText="1"/>
    </xf>
    <xf numFmtId="0" fontId="130" fillId="36" borderId="20" xfId="246" applyFont="1" applyFill="1" applyBorder="1" applyAlignment="1">
      <alignment horizontal="center" vertical="center" wrapText="1"/>
    </xf>
    <xf numFmtId="0" fontId="130" fillId="36" borderId="21" xfId="246" applyFont="1" applyFill="1" applyBorder="1" applyAlignment="1">
      <alignment horizontal="center" vertical="center" wrapText="1"/>
    </xf>
    <xf numFmtId="0" fontId="130" fillId="36" borderId="22" xfId="246" applyFont="1" applyFill="1" applyBorder="1" applyAlignment="1">
      <alignment horizontal="center" vertical="center" wrapText="1"/>
    </xf>
    <xf numFmtId="179" fontId="108" fillId="38" borderId="0" xfId="0" applyFont="1" applyFill="1" applyAlignment="1">
      <alignment horizontal="center" vertical="center"/>
    </xf>
    <xf numFmtId="179" fontId="128" fillId="35" borderId="0" xfId="0" applyFont="1" applyFill="1" applyBorder="1" applyAlignment="1">
      <alignment horizontal="left" vertical="center"/>
    </xf>
    <xf numFmtId="198" fontId="146" fillId="4" borderId="23" xfId="0" applyNumberFormat="1" applyFont="1" applyFill="1" applyBorder="1" applyAlignment="1">
      <alignment horizontal="center" vertical="center" wrapText="1"/>
    </xf>
    <xf numFmtId="198" fontId="146" fillId="4" borderId="0" xfId="0" applyNumberFormat="1" applyFont="1" applyFill="1" applyBorder="1" applyAlignment="1">
      <alignment horizontal="center" vertical="center" wrapText="1"/>
    </xf>
    <xf numFmtId="0" fontId="114" fillId="0" borderId="0" xfId="0" applyNumberFormat="1" applyFont="1" applyFill="1" applyAlignment="1">
      <alignment horizontal="right" vertical="center" wrapText="1"/>
    </xf>
    <xf numFmtId="0" fontId="145" fillId="36" borderId="40" xfId="246" applyFont="1" applyFill="1" applyBorder="1" applyAlignment="1">
      <alignment horizontal="center" vertical="center" wrapText="1"/>
    </xf>
    <xf numFmtId="0" fontId="145" fillId="36" borderId="23" xfId="246" applyFont="1" applyFill="1" applyBorder="1" applyAlignment="1">
      <alignment horizontal="center" vertical="center" wrapText="1"/>
    </xf>
    <xf numFmtId="0" fontId="145" fillId="36" borderId="41" xfId="246" applyFont="1" applyFill="1" applyBorder="1" applyAlignment="1">
      <alignment horizontal="center" vertical="center" wrapText="1"/>
    </xf>
    <xf numFmtId="0" fontId="145" fillId="36" borderId="42" xfId="246" applyFont="1" applyFill="1" applyBorder="1" applyAlignment="1">
      <alignment horizontal="center" vertical="center" wrapText="1"/>
    </xf>
    <xf numFmtId="0" fontId="145" fillId="36" borderId="43" xfId="246" applyFont="1" applyFill="1" applyBorder="1" applyAlignment="1">
      <alignment horizontal="center" vertical="center" wrapText="1"/>
    </xf>
    <xf numFmtId="0" fontId="145" fillId="36" borderId="44" xfId="246" applyFont="1" applyFill="1" applyBorder="1" applyAlignment="1">
      <alignment horizontal="center" vertical="center" wrapText="1"/>
    </xf>
    <xf numFmtId="0" fontId="145" fillId="36" borderId="45" xfId="246" applyFont="1" applyFill="1" applyBorder="1" applyAlignment="1">
      <alignment horizontal="center" vertical="center" wrapText="1"/>
    </xf>
    <xf numFmtId="0" fontId="145" fillId="36" borderId="0" xfId="246" applyFont="1" applyFill="1" applyBorder="1" applyAlignment="1">
      <alignment horizontal="center" vertical="center" wrapText="1"/>
    </xf>
    <xf numFmtId="0" fontId="145" fillId="36" borderId="46" xfId="246" applyFont="1" applyFill="1" applyBorder="1" applyAlignment="1">
      <alignment horizontal="center" vertical="center" wrapText="1"/>
    </xf>
    <xf numFmtId="0" fontId="145" fillId="36" borderId="20" xfId="246" applyFont="1" applyFill="1" applyBorder="1" applyAlignment="1">
      <alignment horizontal="center" vertical="center" wrapText="1"/>
    </xf>
    <xf numFmtId="0" fontId="145" fillId="36" borderId="21" xfId="246" applyFont="1" applyFill="1" applyBorder="1" applyAlignment="1">
      <alignment horizontal="center" vertical="center" wrapText="1"/>
    </xf>
    <xf numFmtId="0" fontId="145" fillId="36" borderId="22" xfId="246" applyFont="1" applyFill="1" applyBorder="1" applyAlignment="1">
      <alignment horizontal="center" vertical="center" wrapText="1"/>
    </xf>
    <xf numFmtId="0" fontId="151" fillId="36" borderId="40" xfId="246" applyFont="1" applyFill="1" applyBorder="1" applyAlignment="1">
      <alignment horizontal="center" vertical="center" wrapText="1"/>
    </xf>
    <xf numFmtId="0" fontId="151" fillId="36" borderId="23" xfId="246" applyFont="1" applyFill="1" applyBorder="1" applyAlignment="1">
      <alignment horizontal="center" vertical="center" wrapText="1"/>
    </xf>
    <xf numFmtId="0" fontId="151" fillId="36" borderId="42" xfId="246" applyFont="1" applyFill="1" applyBorder="1" applyAlignment="1">
      <alignment horizontal="center" vertical="center" wrapText="1"/>
    </xf>
    <xf numFmtId="0" fontId="151" fillId="36" borderId="43" xfId="246" applyFont="1" applyFill="1" applyBorder="1" applyAlignment="1">
      <alignment horizontal="center" vertical="center" wrapText="1"/>
    </xf>
  </cellXfs>
  <cellStyles count="447">
    <cellStyle name="$   0,000" xfId="71"/>
    <cellStyle name="%" xfId="72"/>
    <cellStyle name="%0" xfId="73"/>
    <cellStyle name="%1" xfId="74"/>
    <cellStyle name="%2" xfId="75"/>
    <cellStyle name="£ BP" xfId="76"/>
    <cellStyle name="¥ JY" xfId="77"/>
    <cellStyle name="0" xfId="78"/>
    <cellStyle name="0,000" xfId="79"/>
    <cellStyle name="0.00" xfId="80"/>
    <cellStyle name="0.00%" xfId="81"/>
    <cellStyle name="0.0x" xfId="82"/>
    <cellStyle name="0_Actualisation provision contrat déficitaire SNCM 2010 V Def" xfId="83"/>
    <cellStyle name="0_Actualisation provision contrat déficitaire SNCM 2011 V3 30 05 2011" xfId="84"/>
    <cellStyle name="0_PPA SNCM - présentation CAC 28 06 2011" xfId="85"/>
    <cellStyle name="0_Simul location facturée par Trenitalia" xfId="86"/>
    <cellStyle name="20% - Accent1" xfId="7"/>
    <cellStyle name="20% - Accent2" xfId="8"/>
    <cellStyle name="20% - Accent3" xfId="9"/>
    <cellStyle name="20% - Accent4" xfId="10"/>
    <cellStyle name="20% - Accent5" xfId="11"/>
    <cellStyle name="20% - Accent6" xfId="12"/>
    <cellStyle name="40% - Accent1" xfId="13"/>
    <cellStyle name="40% - Accent2" xfId="14"/>
    <cellStyle name="40% - Accent3" xfId="15"/>
    <cellStyle name="40% - Accent4" xfId="16"/>
    <cellStyle name="40% - Accent5" xfId="17"/>
    <cellStyle name="40% - Accent6" xfId="18"/>
    <cellStyle name="60% - Accent1" xfId="19"/>
    <cellStyle name="60% - Accent2" xfId="20"/>
    <cellStyle name="60% - Accent3" xfId="21"/>
    <cellStyle name="60% - Accent4" xfId="22"/>
    <cellStyle name="60% - Accent5" xfId="23"/>
    <cellStyle name="60% - Accent6" xfId="24"/>
    <cellStyle name="at" xfId="87"/>
    <cellStyle name="b" xfId="88"/>
    <cellStyle name="b%0" xfId="89"/>
    <cellStyle name="b%1" xfId="90"/>
    <cellStyle name="b%2" xfId="91"/>
    <cellStyle name="b_Actualisation provision contrat déficitaire SNCM 2010 V Def" xfId="92"/>
    <cellStyle name="b_Actualisation provision contrat déficitaire SNCM 2011 V3 30 05 2011" xfId="93"/>
    <cellStyle name="b_LI819L_B13" xfId="94"/>
    <cellStyle name="b_PAO-CAF-RESOP_14_01_13 à 20h" xfId="95"/>
    <cellStyle name="b0" xfId="96"/>
    <cellStyle name="b09" xfId="97"/>
    <cellStyle name="b1" xfId="98"/>
    <cellStyle name="b2" xfId="99"/>
    <cellStyle name="Bad" xfId="25"/>
    <cellStyle name="Black" xfId="100"/>
    <cellStyle name="blue" xfId="101"/>
    <cellStyle name="bo" xfId="102"/>
    <cellStyle name="Bold/Border" xfId="103"/>
    <cellStyle name="Bottom" xfId="104"/>
    <cellStyle name="bout" xfId="105"/>
    <cellStyle name="bt" xfId="106"/>
    <cellStyle name="btit" xfId="107"/>
    <cellStyle name="Bullet" xfId="108"/>
    <cellStyle name="c" xfId="109"/>
    <cellStyle name="c_Actualisation provision contrat déficitaire SNCM 2010 V Def" xfId="110"/>
    <cellStyle name="c_Actualisation provision contrat déficitaire SNCM 2011 V3 30 05 2011" xfId="111"/>
    <cellStyle name="c_Grouse+Pelican" xfId="112"/>
    <cellStyle name="c_LI819L_B13" xfId="113"/>
    <cellStyle name="c_Macros" xfId="114"/>
    <cellStyle name="c_Macros (2)" xfId="115"/>
    <cellStyle name="c_Macros (2)_Actualisation provision contrat déficitaire SNCM 2010 V Def" xfId="116"/>
    <cellStyle name="c_Macros (2)_Actualisation provision contrat déficitaire SNCM 2011 V3 30 05 2011" xfId="117"/>
    <cellStyle name="c_Macros (2)_LI819L_B13" xfId="118"/>
    <cellStyle name="c_Macros (2)_PAO-CAF-RESOP_14_01_13 à 20h" xfId="119"/>
    <cellStyle name="c_Macros_Actualisation provision contrat déficitaire SNCM 2010 V Def" xfId="120"/>
    <cellStyle name="c_Macros_Actualisation provision contrat déficitaire SNCM 2011 V3 30 05 2011" xfId="121"/>
    <cellStyle name="c_Macros_LI819L_B13" xfId="122"/>
    <cellStyle name="c_Macros_PAO-CAF-RESOP_14_01_13 à 20h" xfId="123"/>
    <cellStyle name="c_Manager (2)" xfId="124"/>
    <cellStyle name="c_Manager (2)_Actualisation provision contrat déficitaire SNCM 2010 V Def" xfId="125"/>
    <cellStyle name="c_Manager (2)_Actualisation provision contrat déficitaire SNCM 2011 V3 30 05 2011" xfId="126"/>
    <cellStyle name="c_Manager (2)_LI819L_B13" xfId="127"/>
    <cellStyle name="c_Manager (2)_PAO-CAF-RESOP_14_01_13 à 20h" xfId="128"/>
    <cellStyle name="c_PAO-CAF-RESOP_14_01_13 à 20h" xfId="129"/>
    <cellStyle name="c0" xfId="130"/>
    <cellStyle name="cach" xfId="131"/>
    <cellStyle name="Calculation" xfId="26"/>
    <cellStyle name="Check Cell" xfId="27"/>
    <cellStyle name="chiffre" xfId="132"/>
    <cellStyle name="co" xfId="133"/>
    <cellStyle name="Comma [1]" xfId="134"/>
    <cellStyle name="Comma [2]" xfId="135"/>
    <cellStyle name="Comma 4" xfId="136"/>
    <cellStyle name="Comma 5" xfId="137"/>
    <cellStyle name="Comma_Axmann Utopia toolbox all_in_one" xfId="138"/>
    <cellStyle name="Currency [1]" xfId="139"/>
    <cellStyle name="Currency [2]" xfId="140"/>
    <cellStyle name="Currency_Axmann Utopia toolbox all_in_one" xfId="141"/>
    <cellStyle name="Currency-Denomination" xfId="142"/>
    <cellStyle name="Dash" xfId="143"/>
    <cellStyle name="Decimal_0dp" xfId="144"/>
    <cellStyle name="Dezimal__Utopia Index Index und Guidance (Deutsch)" xfId="145"/>
    <cellStyle name="Euro" xfId="1"/>
    <cellStyle name="Euro 2" xfId="146"/>
    <cellStyle name="Explanatory Text" xfId="28"/>
    <cellStyle name="EY Narrative text" xfId="147"/>
    <cellStyle name="EY%colcalc" xfId="29"/>
    <cellStyle name="EY%colcalc 2" xfId="148"/>
    <cellStyle name="EY%input" xfId="30"/>
    <cellStyle name="EY%input 2" xfId="149"/>
    <cellStyle name="EY%rowcalc" xfId="31"/>
    <cellStyle name="EY%rowcalc 2" xfId="150"/>
    <cellStyle name="EY0dp" xfId="32"/>
    <cellStyle name="EY0dp 2" xfId="151"/>
    <cellStyle name="EY1dp" xfId="33"/>
    <cellStyle name="EY1dp 2" xfId="152"/>
    <cellStyle name="EY2dp" xfId="34"/>
    <cellStyle name="EY2dp 2" xfId="153"/>
    <cellStyle name="EY3dp" xfId="35"/>
    <cellStyle name="EY3dp 2" xfId="154"/>
    <cellStyle name="EYColumnHeading" xfId="36"/>
    <cellStyle name="EYColumnHeading 2" xfId="155"/>
    <cellStyle name="EYColumnHeading 3" xfId="156"/>
    <cellStyle name="EYColumnHeadingItalic" xfId="157"/>
    <cellStyle name="EYCoverDatabookName" xfId="158"/>
    <cellStyle name="EYCoverDate" xfId="159"/>
    <cellStyle name="EYCoverDraft" xfId="160"/>
    <cellStyle name="EYCoverProjectName" xfId="161"/>
    <cellStyle name="EYCurrency" xfId="162"/>
    <cellStyle name="EYHeading1" xfId="37"/>
    <cellStyle name="EYheading2" xfId="38"/>
    <cellStyle name="EYheading3" xfId="39"/>
    <cellStyle name="EYNotes" xfId="163"/>
    <cellStyle name="EYNotesHeading" xfId="164"/>
    <cellStyle name="EYnumber" xfId="40"/>
    <cellStyle name="EYnumber 2" xfId="165"/>
    <cellStyle name="EYSectionHeading" xfId="166"/>
    <cellStyle name="EYSheetHeader1" xfId="41"/>
    <cellStyle name="EYSheetHeading" xfId="167"/>
    <cellStyle name="EYsmallheading" xfId="168"/>
    <cellStyle name="EYSource" xfId="169"/>
    <cellStyle name="EYtext" xfId="42"/>
    <cellStyle name="EYtext 2" xfId="170"/>
    <cellStyle name="EYtext 3" xfId="171"/>
    <cellStyle name="EYtextbold" xfId="172"/>
    <cellStyle name="EYtextbolditalic" xfId="173"/>
    <cellStyle name="EYtextitalic" xfId="174"/>
    <cellStyle name="Followed Hyperlink" xfId="175"/>
    <cellStyle name="Forecast Cell Column Heading" xfId="176"/>
    <cellStyle name="FormattingSheetDelimitor" xfId="177"/>
    <cellStyle name="FRxAmtStyle" xfId="43"/>
    <cellStyle name="FRxPcntStyle" xfId="44"/>
    <cellStyle name="Good" xfId="45"/>
    <cellStyle name="h" xfId="178"/>
    <cellStyle name="Heading 1" xfId="46"/>
    <cellStyle name="Heading 2" xfId="47"/>
    <cellStyle name="Heading 3" xfId="48"/>
    <cellStyle name="Heading 4" xfId="49"/>
    <cellStyle name="Hyperlink" xfId="179"/>
    <cellStyle name="Input" xfId="50"/>
    <cellStyle name="Input 2" xfId="180"/>
    <cellStyle name="InputBlueFont" xfId="181"/>
    <cellStyle name="InputBlueFontLocked" xfId="182"/>
    <cellStyle name="KPMG Heading 1" xfId="183"/>
    <cellStyle name="KPMG Heading 2" xfId="184"/>
    <cellStyle name="KPMG Heading 3" xfId="185"/>
    <cellStyle name="KPMG Heading 4" xfId="186"/>
    <cellStyle name="KPMG Normal" xfId="187"/>
    <cellStyle name="KPMG Normal Text" xfId="188"/>
    <cellStyle name="Linked Cell" xfId="51"/>
    <cellStyle name="LTM Cell Column Heading" xfId="189"/>
    <cellStyle name="Milliers 2" xfId="190"/>
    <cellStyle name="Multiple" xfId="191"/>
    <cellStyle name="Multiple Cell Column Heading" xfId="192"/>
    <cellStyle name="Navadno 2" xfId="193"/>
    <cellStyle name="Neutral" xfId="52"/>
    <cellStyle name="no" xfId="194"/>
    <cellStyle name="No-definido" xfId="53"/>
    <cellStyle name="Non d‚fini" xfId="2"/>
    <cellStyle name="Non d‚fini 2" xfId="195"/>
    <cellStyle name="Normal" xfId="0" builtinId="0"/>
    <cellStyle name="Normal - Style1" xfId="196"/>
    <cellStyle name="Normal - Style2" xfId="197"/>
    <cellStyle name="Normal - Style3" xfId="198"/>
    <cellStyle name="Normal - Style4" xfId="199"/>
    <cellStyle name="Normal - Style5" xfId="200"/>
    <cellStyle name="Normal - Style6" xfId="201"/>
    <cellStyle name="Normal - Style7" xfId="202"/>
    <cellStyle name="Normal - Style8" xfId="203"/>
    <cellStyle name="Normal 10" xfId="204"/>
    <cellStyle name="Normal 10 2" xfId="205"/>
    <cellStyle name="Normal 10 2 2" xfId="206"/>
    <cellStyle name="Normal 10 2 3" xfId="207"/>
    <cellStyle name="Normal 10 3" xfId="208"/>
    <cellStyle name="Normal 10 4" xfId="209"/>
    <cellStyle name="Normal 11" xfId="210"/>
    <cellStyle name="Normal 12" xfId="211"/>
    <cellStyle name="Normal 13" xfId="212"/>
    <cellStyle name="Normal 14" xfId="213"/>
    <cellStyle name="Normal 15" xfId="214"/>
    <cellStyle name="Normal 16" xfId="215"/>
    <cellStyle name="Normal 17" xfId="216"/>
    <cellStyle name="Normal 18" xfId="217"/>
    <cellStyle name="Normal 19" xfId="218"/>
    <cellStyle name="Normal 2" xfId="4"/>
    <cellStyle name="Normal 2 10" xfId="219"/>
    <cellStyle name="Normal 2 11" xfId="220"/>
    <cellStyle name="Normal 2 12" xfId="221"/>
    <cellStyle name="Normal 2 13" xfId="222"/>
    <cellStyle name="Normal 2 14" xfId="223"/>
    <cellStyle name="Normal 2 15" xfId="224"/>
    <cellStyle name="Normal 2 16" xfId="225"/>
    <cellStyle name="Normal 2 17" xfId="226"/>
    <cellStyle name="Normal 2 2" xfId="68"/>
    <cellStyle name="Normal 2 3" xfId="69"/>
    <cellStyle name="Normal 2 4" xfId="227"/>
    <cellStyle name="Normal 2 5" xfId="228"/>
    <cellStyle name="Normal 2 6" xfId="229"/>
    <cellStyle name="Normal 2 7" xfId="230"/>
    <cellStyle name="Normal 2 8" xfId="231"/>
    <cellStyle name="Normal 2 9" xfId="232"/>
    <cellStyle name="Normal 20" xfId="233"/>
    <cellStyle name="Normal 21" xfId="234"/>
    <cellStyle name="Normal 22" xfId="235"/>
    <cellStyle name="Normal 23" xfId="236"/>
    <cellStyle name="Normal 24" xfId="237"/>
    <cellStyle name="Normal 25" xfId="238"/>
    <cellStyle name="Normal 26" xfId="239"/>
    <cellStyle name="Normal 27" xfId="240"/>
    <cellStyle name="Normal 28" xfId="241"/>
    <cellStyle name="Normal 29" xfId="242"/>
    <cellStyle name="Normal 3" xfId="6"/>
    <cellStyle name="Normal 3 10" xfId="243"/>
    <cellStyle name="Normal 3 11" xfId="244"/>
    <cellStyle name="Normal 3 12" xfId="245"/>
    <cellStyle name="Normal 3 2" xfId="246"/>
    <cellStyle name="Normal 3 3" xfId="247"/>
    <cellStyle name="Normal 3 4" xfId="248"/>
    <cellStyle name="Normal 3 5" xfId="249"/>
    <cellStyle name="Normal 3 6" xfId="250"/>
    <cellStyle name="Normal 3 7" xfId="251"/>
    <cellStyle name="Normal 3 8" xfId="252"/>
    <cellStyle name="Normal 3 9" xfId="253"/>
    <cellStyle name="Normal 30" xfId="70"/>
    <cellStyle name="Normal 31" xfId="442"/>
    <cellStyle name="Normal 32" xfId="443"/>
    <cellStyle name="Normal 32 2" xfId="445"/>
    <cellStyle name="Normal 33" xfId="444"/>
    <cellStyle name="Normal 34" xfId="446"/>
    <cellStyle name="Normal 4" xfId="67"/>
    <cellStyle name="Normal 4 2" xfId="254"/>
    <cellStyle name="Normal 4 3" xfId="255"/>
    <cellStyle name="Normal 4_NBV" xfId="256"/>
    <cellStyle name="Normal 5" xfId="257"/>
    <cellStyle name="Normal 5 2" xfId="258"/>
    <cellStyle name="Normal 6" xfId="259"/>
    <cellStyle name="Normal 6 2" xfId="260"/>
    <cellStyle name="Normal 6 2 2" xfId="261"/>
    <cellStyle name="Normal 6 2 3" xfId="262"/>
    <cellStyle name="Normal 6 3" xfId="263"/>
    <cellStyle name="Normal 6 4" xfId="264"/>
    <cellStyle name="Normal 6 5" xfId="265"/>
    <cellStyle name="Normal 7" xfId="266"/>
    <cellStyle name="Normal 7 2" xfId="267"/>
    <cellStyle name="Normal 7 2 2" xfId="268"/>
    <cellStyle name="Normal 7 2 3" xfId="269"/>
    <cellStyle name="Normal 7 3" xfId="270"/>
    <cellStyle name="Normal 7 4" xfId="271"/>
    <cellStyle name="Normal 7 5" xfId="272"/>
    <cellStyle name="Normal 8" xfId="273"/>
    <cellStyle name="Normal 8 2" xfId="274"/>
    <cellStyle name="Normal 8 2 2" xfId="275"/>
    <cellStyle name="Normal 8 2 3" xfId="276"/>
    <cellStyle name="Normal 8 3" xfId="277"/>
    <cellStyle name="Normal 8 4" xfId="278"/>
    <cellStyle name="Normal 9" xfId="279"/>
    <cellStyle name="Normal 9 2" xfId="280"/>
    <cellStyle name="Normal 9 2 2" xfId="281"/>
    <cellStyle name="Normal 9 2 3" xfId="282"/>
    <cellStyle name="Normal 9 3" xfId="283"/>
    <cellStyle name="Normal 9 4" xfId="284"/>
    <cellStyle name="Normal_EBIT_EBITDA  groupe Actual 2003.12" xfId="3"/>
    <cellStyle name="Note" xfId="54"/>
    <cellStyle name="Notes_multi" xfId="285"/>
    <cellStyle name="Output" xfId="55"/>
    <cellStyle name="p" xfId="286"/>
    <cellStyle name="p_Actualisation provision contrat déficitaire SNCM 2010 V Def" xfId="287"/>
    <cellStyle name="p_Actualisation provision contrat déficitaire SNCM 2011 V3 30 05 2011" xfId="288"/>
    <cellStyle name="p_PPA SNCM - présentation CAC 28 06 2011" xfId="289"/>
    <cellStyle name="pb_page_heading_LS" xfId="290"/>
    <cellStyle name="pe" xfId="291"/>
    <cellStyle name="per" xfId="292"/>
    <cellStyle name="Percent [0]" xfId="293"/>
    <cellStyle name="Percent [1]" xfId="294"/>
    <cellStyle name="Percent [2]" xfId="295"/>
    <cellStyle name="Percent 2" xfId="296"/>
    <cellStyle name="Percent 2 2" xfId="297"/>
    <cellStyle name="Pound" xfId="298"/>
    <cellStyle name="Pound [1]" xfId="299"/>
    <cellStyle name="Pound [2]" xfId="300"/>
    <cellStyle name="Pourcentage" xfId="5" builtinId="5"/>
    <cellStyle name="Pourcentage 2" xfId="301"/>
    <cellStyle name="Pourcentage 2 2" xfId="302"/>
    <cellStyle name="Pourcentage 2 3" xfId="303"/>
    <cellStyle name="Pourcentage 2 4" xfId="304"/>
    <cellStyle name="Pourcentage 2 5" xfId="305"/>
    <cellStyle name="Pourcentage 2 6" xfId="306"/>
    <cellStyle name="Pourcentage 2 7" xfId="307"/>
    <cellStyle name="Pourcentage 2 8" xfId="308"/>
    <cellStyle name="Pourcentage 3" xfId="309"/>
    <cellStyle name="Pourcentage 4" xfId="310"/>
    <cellStyle name="Pourcentage 5" xfId="311"/>
    <cellStyle name="ptit" xfId="312"/>
    <cellStyle name="rat" xfId="313"/>
    <cellStyle name="rate" xfId="314"/>
    <cellStyle name="ratio" xfId="315"/>
    <cellStyle name="s" xfId="316"/>
    <cellStyle name="s_Actualisation provision contrat déficitaire SNCM 2010 V Def" xfId="317"/>
    <cellStyle name="s_Actualisation provision contrat déficitaire SNCM 2011 V3 30 05 2011" xfId="318"/>
    <cellStyle name="s_Assumptions" xfId="319"/>
    <cellStyle name="s_Assumptions_Actualisation provision contrat déficitaire SNCM 2010 V Def" xfId="320"/>
    <cellStyle name="s_Assumptions_Actualisation provision contrat déficitaire SNCM 2011 V3 30 05 2011" xfId="321"/>
    <cellStyle name="s_Assumptions_LI819L_B13" xfId="322"/>
    <cellStyle name="s_Assumptions_PAO-CAF-RESOP_14_01_13 à 20h" xfId="323"/>
    <cellStyle name="s_B_S_Ratios _B" xfId="324"/>
    <cellStyle name="s_B_S_Ratios _B_Actualisation provision contrat déficitaire SNCM 2010 V Def" xfId="325"/>
    <cellStyle name="s_B_S_Ratios _B_Actualisation provision contrat déficitaire SNCM 2011 V3 30 05 2011" xfId="326"/>
    <cellStyle name="s_B_S_Ratios _B_LI819L_B13" xfId="327"/>
    <cellStyle name="s_B_S_Ratios _B_PAO-CAF-RESOP_14_01_13 à 20h" xfId="328"/>
    <cellStyle name="s_B_S_Ratios_T" xfId="329"/>
    <cellStyle name="s_B_S_Ratios_T_Actualisation provision contrat déficitaire SNCM 2010 V Def" xfId="330"/>
    <cellStyle name="s_B_S_Ratios_T_Actualisation provision contrat déficitaire SNCM 2011 V3 30 05 2011" xfId="331"/>
    <cellStyle name="s_B_S_Ratios_T_LI819L_B13" xfId="332"/>
    <cellStyle name="s_B_S_Ratios_T_PAO-CAF-RESOP_14_01_13 à 20h" xfId="333"/>
    <cellStyle name="s_DCFLBO Code" xfId="334"/>
    <cellStyle name="s_DCFLBO Code_1" xfId="335"/>
    <cellStyle name="s_DCFLBO Code_1_Actualisation provision contrat déficitaire SNCM 2010 V Def" xfId="336"/>
    <cellStyle name="s_DCFLBO Code_1_Actualisation provision contrat déficitaire SNCM 2011 V3 30 05 2011" xfId="337"/>
    <cellStyle name="s_DCFLBO Code_1_LI819L_B13" xfId="338"/>
    <cellStyle name="s_DCFLBO Code_1_PAO-CAF-RESOP_14_01_13 à 20h" xfId="339"/>
    <cellStyle name="s_DCFLBO Code_Actualisation provision contrat déficitaire SNCM 2010 V Def" xfId="340"/>
    <cellStyle name="s_DCFLBO Code_Actualisation provision contrat déficitaire SNCM 2011 V3 30 05 2011" xfId="341"/>
    <cellStyle name="s_DCFLBO Code_LI819L_B13" xfId="342"/>
    <cellStyle name="s_DCFLBO Code_PAO-CAF-RESOP_14_01_13 à 20h" xfId="343"/>
    <cellStyle name="s_Dilution" xfId="344"/>
    <cellStyle name="s_Dilution_Actualisation provision contrat déficitaire SNCM 2010 V Def" xfId="345"/>
    <cellStyle name="s_Dilution_Actualisation provision contrat déficitaire SNCM 2011 V3 30 05 2011" xfId="346"/>
    <cellStyle name="s_Dilution_LI819L_B13" xfId="347"/>
    <cellStyle name="s_Dilution_PAO-CAF-RESOP_14_01_13 à 20h" xfId="348"/>
    <cellStyle name="s_Financials_B" xfId="349"/>
    <cellStyle name="s_Financials_B_Actualisation provision contrat déficitaire SNCM 2010 V Def" xfId="350"/>
    <cellStyle name="s_Financials_B_Actualisation provision contrat déficitaire SNCM 2011 V3 30 05 2011" xfId="351"/>
    <cellStyle name="s_Financials_B_LI819L_B13" xfId="352"/>
    <cellStyle name="s_Financials_B_PAO-CAF-RESOP_14_01_13 à 20h" xfId="353"/>
    <cellStyle name="s_Financials_T" xfId="354"/>
    <cellStyle name="s_Financials_T_Actualisation provision contrat déficitaire SNCM 2010 V Def" xfId="355"/>
    <cellStyle name="s_Financials_T_Actualisation provision contrat déficitaire SNCM 2011 V3 30 05 2011" xfId="356"/>
    <cellStyle name="s_Financials_T_LI819L_B13" xfId="357"/>
    <cellStyle name="s_Financials_T_PAO-CAF-RESOP_14_01_13 à 20h" xfId="358"/>
    <cellStyle name="s_Grouse+Pelican" xfId="359"/>
    <cellStyle name="s_LI819L_B13" xfId="360"/>
    <cellStyle name="s_Matrix_B" xfId="361"/>
    <cellStyle name="s_Matrix_B_Actualisation provision contrat déficitaire SNCM 2010 V Def" xfId="362"/>
    <cellStyle name="s_Matrix_B_Actualisation provision contrat déficitaire SNCM 2011 V3 30 05 2011" xfId="363"/>
    <cellStyle name="s_Matrix_B_LI819L_B13" xfId="364"/>
    <cellStyle name="s_Matrix_B_PAO-CAF-RESOP_14_01_13 à 20h" xfId="365"/>
    <cellStyle name="s_Matrix_T" xfId="366"/>
    <cellStyle name="s_Matrix_T_Actualisation provision contrat déficitaire SNCM 2010 V Def" xfId="367"/>
    <cellStyle name="s_Matrix_T_Actualisation provision contrat déficitaire SNCM 2011 V3 30 05 2011" xfId="368"/>
    <cellStyle name="s_Matrix_T_LI819L_B13" xfId="369"/>
    <cellStyle name="s_Matrix_T_PAO-CAF-RESOP_14_01_13 à 20h" xfId="370"/>
    <cellStyle name="s_Merger" xfId="371"/>
    <cellStyle name="s_Merger_Actualisation provision contrat déficitaire SNCM 2010 V Def" xfId="372"/>
    <cellStyle name="s_Merger_Actualisation provision contrat déficitaire SNCM 2011 V3 30 05 2011" xfId="373"/>
    <cellStyle name="s_Merger_LI819L_B13" xfId="374"/>
    <cellStyle name="s_Merger_PAO-CAF-RESOP_14_01_13 à 20h" xfId="375"/>
    <cellStyle name="s_model2" xfId="376"/>
    <cellStyle name="s_model2_Actualisation provision contrat déficitaire SNCM 2010 V Def" xfId="377"/>
    <cellStyle name="s_model2_Actualisation provision contrat déficitaire SNCM 2011 V3 30 05 2011" xfId="378"/>
    <cellStyle name="s_model2_LI819L_B13" xfId="379"/>
    <cellStyle name="s_model2_PAO-CAF-RESOP_14_01_13 à 20h" xfId="380"/>
    <cellStyle name="s_P_L_Ratios" xfId="381"/>
    <cellStyle name="s_P_L_Ratios_Actualisation provision contrat déficitaire SNCM 2010 V Def" xfId="382"/>
    <cellStyle name="s_P_L_Ratios_Actualisation provision contrat déficitaire SNCM 2011 V3 30 05 2011" xfId="383"/>
    <cellStyle name="s_P_L_Ratios_B" xfId="384"/>
    <cellStyle name="s_P_L_Ratios_B_Actualisation provision contrat déficitaire SNCM 2010 V Def" xfId="385"/>
    <cellStyle name="s_P_L_Ratios_B_Actualisation provision contrat déficitaire SNCM 2011 V3 30 05 2011" xfId="386"/>
    <cellStyle name="s_P_L_Ratios_B_LI819L_B13" xfId="387"/>
    <cellStyle name="s_P_L_Ratios_B_PAO-CAF-RESOP_14_01_13 à 20h" xfId="388"/>
    <cellStyle name="s_P_L_Ratios_LI819L_B13" xfId="389"/>
    <cellStyle name="s_P_L_Ratios_PAO-CAF-RESOP_14_01_13 à 20h" xfId="390"/>
    <cellStyle name="s_PAO-CAF-RESOP_14_01_13 à 20h" xfId="391"/>
    <cellStyle name="s_S_By_S" xfId="392"/>
    <cellStyle name="s_S_By_S_Actualisation provision contrat déficitaire SNCM 2010 V Def" xfId="393"/>
    <cellStyle name="s_S_By_S_Actualisation provision contrat déficitaire SNCM 2011 V3 30 05 2011" xfId="394"/>
    <cellStyle name="s_S_By_S_LI819L_B13" xfId="395"/>
    <cellStyle name="s_S_By_S_PAO-CAF-RESOP_14_01_13 à 20h" xfId="396"/>
    <cellStyle name="s_Sheet5" xfId="397"/>
    <cellStyle name="s_Sheet5_Actualisation provision contrat déficitaire SNCM 2010 V Def" xfId="398"/>
    <cellStyle name="s_Sheet5_Actualisation provision contrat déficitaire SNCM 2011 V3 30 05 2011" xfId="399"/>
    <cellStyle name="s_Sheet5_LI819L_B13" xfId="400"/>
    <cellStyle name="s_Sheet5_PAO-CAF-RESOP_14_01_13 à 20h" xfId="401"/>
    <cellStyle name="s_Valuation " xfId="402"/>
    <cellStyle name="s_Valuation _Actualisation provision contrat déficitaire SNCM 2010 V Def" xfId="403"/>
    <cellStyle name="s_Valuation _Actualisation provision contrat déficitaire SNCM 2011 V3 30 05 2011" xfId="404"/>
    <cellStyle name="s_Valuation _LI819L_B13" xfId="405"/>
    <cellStyle name="s_Valuation _PAO-CAF-RESOP_14_01_13 à 20h" xfId="406"/>
    <cellStyle name="SAPBEXHLevel1" xfId="407"/>
    <cellStyle name="SAPBEXstdData" xfId="408"/>
    <cellStyle name="Shading" xfId="409"/>
    <cellStyle name="Single Cell Column Heading" xfId="410"/>
    <cellStyle name="Standard__Utopia Index Index und Guidance (Deutsch)" xfId="411"/>
    <cellStyle name="Style 1" xfId="412"/>
    <cellStyle name="STYLE1" xfId="56"/>
    <cellStyle name="STYLE1 2" xfId="413"/>
    <cellStyle name="STYLE2" xfId="57"/>
    <cellStyle name="STYLE2 2" xfId="414"/>
    <cellStyle name="STYLE3" xfId="58"/>
    <cellStyle name="STYLE3 2" xfId="415"/>
    <cellStyle name="STYLE4" xfId="59"/>
    <cellStyle name="STYLE4 2" xfId="416"/>
    <cellStyle name="STYLE5" xfId="60"/>
    <cellStyle name="STYLE5 2" xfId="417"/>
    <cellStyle name="STYLE6" xfId="61"/>
    <cellStyle name="STYLE6 2" xfId="418"/>
    <cellStyle name="STYLE7" xfId="62"/>
    <cellStyle name="STYLE7 2" xfId="419"/>
    <cellStyle name="STYLE8" xfId="63"/>
    <cellStyle name="STYLE8 2" xfId="420"/>
    <cellStyle name="STYLE9" xfId="64"/>
    <cellStyle name="STYLE9 2" xfId="421"/>
    <cellStyle name="t" xfId="422"/>
    <cellStyle name="t_Actualisation provision contrat déficitaire SNCM 2010 V Def" xfId="423"/>
    <cellStyle name="t_Actualisation provision contrat déficitaire SNCM 2011 V3 30 05 2011" xfId="424"/>
    <cellStyle name="t_LI819L_B13" xfId="425"/>
    <cellStyle name="t_Manager" xfId="426"/>
    <cellStyle name="t_Manager_Actualisation provision contrat déficitaire SNCM 2010 V Def" xfId="427"/>
    <cellStyle name="t_Manager_Actualisation provision contrat déficitaire SNCM 2011 V3 30 05 2011" xfId="428"/>
    <cellStyle name="t_Manager_LI819L_B13" xfId="429"/>
    <cellStyle name="t_Manager_PAO-CAF-RESOP_14_01_13 à 20h" xfId="430"/>
    <cellStyle name="t_PAO-CAF-RESOP_14_01_13 à 20h" xfId="431"/>
    <cellStyle name="Text Level 1" xfId="432"/>
    <cellStyle name="Text Level 2" xfId="433"/>
    <cellStyle name="Text Level 3" xfId="434"/>
    <cellStyle name="Text Level 4" xfId="435"/>
    <cellStyle name="Title" xfId="65"/>
    <cellStyle name="Titles" xfId="436"/>
    <cellStyle name="Top_Double_Bottom" xfId="437"/>
    <cellStyle name="UNDERRUBRIK" xfId="438"/>
    <cellStyle name="Warning Text" xfId="66"/>
    <cellStyle name="Year" xfId="439"/>
    <cellStyle name="zoe" xfId="440"/>
    <cellStyle name="常规_Sheet1_Sub-consolidation Scope 2008 12 SX432 Lanzhou" xfId="44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1A5AD"/>
      <rgbColor rgb="0000FF00"/>
      <rgbColor rgb="000000FF"/>
      <rgbColor rgb="00FFFF00"/>
      <rgbColor rgb="00C7D3EB"/>
      <rgbColor rgb="0000FFFF"/>
      <rgbColor rgb="00C00000"/>
      <rgbColor rgb="007373A0"/>
      <rgbColor rgb="00000080"/>
      <rgbColor rgb="00F08214"/>
      <rgbColor rgb="00800080"/>
      <rgbColor rgb="0064B4E1"/>
      <rgbColor rgb="00C0C0C0"/>
      <rgbColor rgb="00646973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E4E5E8"/>
      <rgbColor rgb="00E3E9F5"/>
      <rgbColor rgb="00CED0D4"/>
      <rgbColor rgb="00A86E73"/>
      <rgbColor rgb="00666699"/>
      <rgbColor rgb="00829BB4"/>
      <rgbColor rgb="00A0B4DC"/>
      <rgbColor rgb="00339966"/>
      <rgbColor rgb="00829BB4"/>
      <rgbColor rgb="00646973"/>
      <rgbColor rgb="00FF0000"/>
      <rgbColor rgb="00993366"/>
      <rgbColor rgb="00333399"/>
      <rgbColor rgb="00333333"/>
    </indexedColors>
    <mruColors>
      <color rgb="FFD8D6D8"/>
      <color rgb="FFECECEC"/>
      <color rgb="FFEAEAEA"/>
      <color rgb="FFE20000"/>
      <color rgb="FFD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1</xdr:row>
      <xdr:rowOff>11906</xdr:rowOff>
    </xdr:from>
    <xdr:to>
      <xdr:col>1</xdr:col>
      <xdr:colOff>1615849</xdr:colOff>
      <xdr:row>60</xdr:row>
      <xdr:rowOff>11906</xdr:rowOff>
    </xdr:to>
    <xdr:sp macro="" textlink="">
      <xdr:nvSpPr>
        <xdr:cNvPr id="4" name="Flèche vers le bas 3"/>
        <xdr:cNvSpPr/>
      </xdr:nvSpPr>
      <xdr:spPr>
        <a:xfrm>
          <a:off x="366713" y="764381"/>
          <a:ext cx="1401536" cy="1251585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1</xdr:row>
      <xdr:rowOff>122469</xdr:rowOff>
    </xdr:from>
    <xdr:to>
      <xdr:col>1</xdr:col>
      <xdr:colOff>1235960</xdr:colOff>
      <xdr:row>3</xdr:row>
      <xdr:rowOff>127642</xdr:rowOff>
    </xdr:to>
    <xdr:sp macro="" textlink="">
      <xdr:nvSpPr>
        <xdr:cNvPr id="5" name="Oval 12"/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28</xdr:row>
      <xdr:rowOff>94571</xdr:rowOff>
    </xdr:from>
    <xdr:to>
      <xdr:col>1</xdr:col>
      <xdr:colOff>1235960</xdr:colOff>
      <xdr:row>30</xdr:row>
      <xdr:rowOff>99745</xdr:rowOff>
    </xdr:to>
    <xdr:sp macro="" textlink="">
      <xdr:nvSpPr>
        <xdr:cNvPr id="6" name="Oval 12"/>
        <xdr:cNvSpPr>
          <a:spLocks noChangeArrowheads="1"/>
        </xdr:cNvSpPr>
      </xdr:nvSpPr>
      <xdr:spPr bwMode="gray">
        <a:xfrm>
          <a:off x="746603" y="597149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</xdr:col>
      <xdr:colOff>594203</xdr:colOff>
      <xdr:row>35</xdr:row>
      <xdr:rowOff>94571</xdr:rowOff>
    </xdr:from>
    <xdr:to>
      <xdr:col>1</xdr:col>
      <xdr:colOff>1235960</xdr:colOff>
      <xdr:row>37</xdr:row>
      <xdr:rowOff>99745</xdr:rowOff>
    </xdr:to>
    <xdr:sp macro="" textlink="">
      <xdr:nvSpPr>
        <xdr:cNvPr id="7" name="Oval 12"/>
        <xdr:cNvSpPr>
          <a:spLocks noChangeArrowheads="1"/>
        </xdr:cNvSpPr>
      </xdr:nvSpPr>
      <xdr:spPr bwMode="gray">
        <a:xfrm>
          <a:off x="746603" y="772409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30</xdr:row>
          <xdr:rowOff>190500</xdr:rowOff>
        </xdr:from>
        <xdr:to>
          <xdr:col>5</xdr:col>
          <xdr:colOff>1047750</xdr:colOff>
          <xdr:row>33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10584</xdr:colOff>
      <xdr:row>0</xdr:row>
      <xdr:rowOff>0</xdr:rowOff>
    </xdr:from>
    <xdr:to>
      <xdr:col>3</xdr:col>
      <xdr:colOff>1619251</xdr:colOff>
      <xdr:row>1</xdr:row>
      <xdr:rowOff>69699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84"/>
        <a:stretch/>
      </xdr:blipFill>
      <xdr:spPr>
        <a:xfrm>
          <a:off x="10584" y="0"/>
          <a:ext cx="1608667" cy="574524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1524000</xdr:colOff>
      <xdr:row>10</xdr:row>
      <xdr:rowOff>31750</xdr:rowOff>
    </xdr:from>
    <xdr:to>
      <xdr:col>3</xdr:col>
      <xdr:colOff>2098675</xdr:colOff>
      <xdr:row>11</xdr:row>
      <xdr:rowOff>42334</xdr:rowOff>
    </xdr:to>
    <xdr:sp macro="" textlink="">
      <xdr:nvSpPr>
        <xdr:cNvPr id="4" name="Ellipse 3"/>
        <xdr:cNvSpPr/>
      </xdr:nvSpPr>
      <xdr:spPr>
        <a:xfrm>
          <a:off x="1524000" y="993775"/>
          <a:ext cx="574675" cy="515409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FF0000"/>
              </a:solidFill>
            </a:rPr>
            <a:t>1</a:t>
          </a:r>
        </a:p>
      </xdr:txBody>
    </xdr:sp>
    <xdr:clientData/>
  </xdr:twoCellAnchor>
  <xdr:twoCellAnchor editAs="oneCell">
    <xdr:from>
      <xdr:col>3</xdr:col>
      <xdr:colOff>1524000</xdr:colOff>
      <xdr:row>50</xdr:row>
      <xdr:rowOff>31750</xdr:rowOff>
    </xdr:from>
    <xdr:to>
      <xdr:col>3</xdr:col>
      <xdr:colOff>2098675</xdr:colOff>
      <xdr:row>51</xdr:row>
      <xdr:rowOff>42334</xdr:rowOff>
    </xdr:to>
    <xdr:sp macro="" textlink="">
      <xdr:nvSpPr>
        <xdr:cNvPr id="5" name="Ellipse 4"/>
        <xdr:cNvSpPr/>
      </xdr:nvSpPr>
      <xdr:spPr>
        <a:xfrm>
          <a:off x="1524000" y="8013700"/>
          <a:ext cx="574675" cy="515409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FF0000"/>
              </a:solidFill>
            </a:rPr>
            <a:t>2</a:t>
          </a:r>
        </a:p>
      </xdr:txBody>
    </xdr:sp>
    <xdr:clientData/>
  </xdr:twoCellAnchor>
  <xdr:twoCellAnchor>
    <xdr:from>
      <xdr:col>3</xdr:col>
      <xdr:colOff>19050</xdr:colOff>
      <xdr:row>25</xdr:row>
      <xdr:rowOff>0</xdr:rowOff>
    </xdr:from>
    <xdr:to>
      <xdr:col>3</xdr:col>
      <xdr:colOff>180975</xdr:colOff>
      <xdr:row>25</xdr:row>
      <xdr:rowOff>142875</xdr:rowOff>
    </xdr:to>
    <xdr:sp macro="" textlink="">
      <xdr:nvSpPr>
        <xdr:cNvPr id="8" name="Ellipse 7"/>
        <xdr:cNvSpPr/>
      </xdr:nvSpPr>
      <xdr:spPr>
        <a:xfrm>
          <a:off x="19050" y="4105275"/>
          <a:ext cx="161925" cy="142875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0000"/>
              </a:solidFill>
            </a:rPr>
            <a:t>D</a:t>
          </a:r>
        </a:p>
      </xdr:txBody>
    </xdr:sp>
    <xdr:clientData/>
  </xdr:twoCellAnchor>
  <xdr:twoCellAnchor>
    <xdr:from>
      <xdr:col>3</xdr:col>
      <xdr:colOff>19050</xdr:colOff>
      <xdr:row>26</xdr:row>
      <xdr:rowOff>0</xdr:rowOff>
    </xdr:from>
    <xdr:to>
      <xdr:col>3</xdr:col>
      <xdr:colOff>180975</xdr:colOff>
      <xdr:row>26</xdr:row>
      <xdr:rowOff>142875</xdr:rowOff>
    </xdr:to>
    <xdr:sp macro="" textlink="">
      <xdr:nvSpPr>
        <xdr:cNvPr id="9" name="Ellipse 8"/>
        <xdr:cNvSpPr/>
      </xdr:nvSpPr>
      <xdr:spPr>
        <a:xfrm>
          <a:off x="19050" y="4257675"/>
          <a:ext cx="161925" cy="142875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0000"/>
              </a:solidFill>
            </a:rPr>
            <a:t>M</a:t>
          </a:r>
        </a:p>
      </xdr:txBody>
    </xdr:sp>
    <xdr:clientData/>
  </xdr:twoCellAnchor>
  <xdr:twoCellAnchor>
    <xdr:from>
      <xdr:col>3</xdr:col>
      <xdr:colOff>19050</xdr:colOff>
      <xdr:row>27</xdr:row>
      <xdr:rowOff>0</xdr:rowOff>
    </xdr:from>
    <xdr:to>
      <xdr:col>3</xdr:col>
      <xdr:colOff>180975</xdr:colOff>
      <xdr:row>27</xdr:row>
      <xdr:rowOff>142875</xdr:rowOff>
    </xdr:to>
    <xdr:sp macro="" textlink="">
      <xdr:nvSpPr>
        <xdr:cNvPr id="10" name="Ellipse 9"/>
        <xdr:cNvSpPr/>
      </xdr:nvSpPr>
      <xdr:spPr>
        <a:xfrm>
          <a:off x="19050" y="4410075"/>
          <a:ext cx="161925" cy="142875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0000"/>
              </a:solidFill>
            </a:rPr>
            <a:t>E</a:t>
          </a:r>
        </a:p>
      </xdr:txBody>
    </xdr:sp>
    <xdr:clientData/>
  </xdr:twoCellAnchor>
  <xdr:twoCellAnchor>
    <xdr:from>
      <xdr:col>3</xdr:col>
      <xdr:colOff>19050</xdr:colOff>
      <xdr:row>28</xdr:row>
      <xdr:rowOff>0</xdr:rowOff>
    </xdr:from>
    <xdr:to>
      <xdr:col>3</xdr:col>
      <xdr:colOff>180975</xdr:colOff>
      <xdr:row>28</xdr:row>
      <xdr:rowOff>142875</xdr:rowOff>
    </xdr:to>
    <xdr:sp macro="" textlink="">
      <xdr:nvSpPr>
        <xdr:cNvPr id="11" name="Ellipse 10"/>
        <xdr:cNvSpPr/>
      </xdr:nvSpPr>
      <xdr:spPr>
        <a:xfrm>
          <a:off x="19050" y="4562475"/>
          <a:ext cx="161925" cy="142875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0000"/>
              </a:solidFill>
            </a:rPr>
            <a:t>F</a:t>
          </a:r>
        </a:p>
      </xdr:txBody>
    </xdr:sp>
    <xdr:clientData/>
  </xdr:twoCellAnchor>
  <xdr:twoCellAnchor>
    <xdr:from>
      <xdr:col>3</xdr:col>
      <xdr:colOff>19050</xdr:colOff>
      <xdr:row>29</xdr:row>
      <xdr:rowOff>0</xdr:rowOff>
    </xdr:from>
    <xdr:to>
      <xdr:col>3</xdr:col>
      <xdr:colOff>180975</xdr:colOff>
      <xdr:row>29</xdr:row>
      <xdr:rowOff>142875</xdr:rowOff>
    </xdr:to>
    <xdr:sp macro="" textlink="">
      <xdr:nvSpPr>
        <xdr:cNvPr id="12" name="Ellipse 11"/>
        <xdr:cNvSpPr/>
      </xdr:nvSpPr>
      <xdr:spPr>
        <a:xfrm>
          <a:off x="19050" y="4714875"/>
          <a:ext cx="161925" cy="142875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0000"/>
              </a:solidFill>
            </a:rPr>
            <a:t>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1227667</xdr:colOff>
      <xdr:row>1</xdr:row>
      <xdr:rowOff>79224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84"/>
        <a:stretch/>
      </xdr:blipFill>
      <xdr:spPr>
        <a:xfrm>
          <a:off x="0" y="0"/>
          <a:ext cx="1608667" cy="574524"/>
        </a:xfrm>
        <a:prstGeom prst="rect">
          <a:avLst/>
        </a:prstGeom>
      </xdr:spPr>
    </xdr:pic>
    <xdr:clientData/>
  </xdr:twoCellAnchor>
  <xdr:twoCellAnchor editAs="oneCell">
    <xdr:from>
      <xdr:col>4</xdr:col>
      <xdr:colOff>266700</xdr:colOff>
      <xdr:row>1</xdr:row>
      <xdr:rowOff>76200</xdr:rowOff>
    </xdr:from>
    <xdr:to>
      <xdr:col>4</xdr:col>
      <xdr:colOff>841375</xdr:colOff>
      <xdr:row>10</xdr:row>
      <xdr:rowOff>91546</xdr:rowOff>
    </xdr:to>
    <xdr:sp macro="" textlink="">
      <xdr:nvSpPr>
        <xdr:cNvPr id="4" name="Ellipse 3"/>
        <xdr:cNvSpPr/>
      </xdr:nvSpPr>
      <xdr:spPr>
        <a:xfrm>
          <a:off x="2028825" y="571500"/>
          <a:ext cx="574675" cy="510646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FF0000"/>
              </a:solidFill>
            </a:rPr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12</xdr:row>
      <xdr:rowOff>47625</xdr:rowOff>
    </xdr:from>
    <xdr:to>
      <xdr:col>9</xdr:col>
      <xdr:colOff>352425</xdr:colOff>
      <xdr:row>13</xdr:row>
      <xdr:rowOff>180975</xdr:rowOff>
    </xdr:to>
    <xdr:sp macro="[0]!MAJ_Contrat" textlink="">
      <xdr:nvSpPr>
        <xdr:cNvPr id="2" name="Pentagone 1"/>
        <xdr:cNvSpPr/>
      </xdr:nvSpPr>
      <xdr:spPr>
        <a:xfrm>
          <a:off x="9172575" y="628650"/>
          <a:ext cx="809625" cy="3333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A1:R81"/>
  <sheetViews>
    <sheetView showGridLines="0" tabSelected="1" zoomScale="70" zoomScaleNormal="70" workbookViewId="0">
      <selection activeCell="L34" sqref="L34"/>
    </sheetView>
  </sheetViews>
  <sheetFormatPr baseColWidth="10" defaultRowHeight="18" customHeight="1"/>
  <cols>
    <col min="1" max="1" width="2.28515625" style="2" customWidth="1"/>
    <col min="2" max="2" width="24.28515625" style="2" customWidth="1"/>
    <col min="3" max="3" width="31.7109375" style="3" customWidth="1"/>
    <col min="4" max="4" width="10" style="3" customWidth="1"/>
    <col min="5" max="5" width="30.5703125" style="3" bestFit="1" customWidth="1"/>
    <col min="6" max="8" width="24.42578125" style="3" customWidth="1"/>
    <col min="9" max="9" width="5.28515625" style="3" customWidth="1"/>
    <col min="10" max="10" width="15.42578125" style="3" customWidth="1"/>
    <col min="11" max="13" width="11.42578125" style="3"/>
    <col min="14" max="14" width="12.5703125" style="3" bestFit="1" customWidth="1"/>
    <col min="15" max="19" width="11.5703125" style="3" bestFit="1" customWidth="1"/>
    <col min="20" max="16384" width="11.42578125" style="3"/>
  </cols>
  <sheetData>
    <row r="1" spans="1:10" s="240" customFormat="1" ht="59.25" customHeight="1">
      <c r="A1" s="239"/>
      <c r="B1" s="249" t="s">
        <v>134</v>
      </c>
      <c r="C1" s="249"/>
      <c r="D1" s="249"/>
      <c r="E1" s="249"/>
      <c r="F1" s="249"/>
      <c r="G1" s="249"/>
      <c r="H1" s="249"/>
      <c r="I1" s="249"/>
    </row>
    <row r="3" spans="1:10" s="10" customFormat="1" ht="30" customHeight="1">
      <c r="A3" s="9"/>
      <c r="B3" s="9"/>
      <c r="C3" s="241" t="s">
        <v>54</v>
      </c>
      <c r="D3" s="241"/>
      <c r="E3" s="241"/>
      <c r="F3" s="241"/>
      <c r="G3" s="241"/>
      <c r="H3" s="241"/>
      <c r="I3" s="241"/>
      <c r="J3" s="241"/>
    </row>
    <row r="4" spans="1:10" s="12" customFormat="1" ht="18" customHeight="1" thickBot="1"/>
    <row r="5" spans="1:10" ht="18" customHeight="1" thickBot="1">
      <c r="C5" s="5" t="s">
        <v>36</v>
      </c>
      <c r="E5" s="242" t="s">
        <v>119</v>
      </c>
      <c r="G5" s="248"/>
    </row>
    <row r="6" spans="1:10" ht="8.1" customHeight="1" thickBot="1">
      <c r="C6" s="5"/>
      <c r="E6" s="4"/>
      <c r="G6" s="248"/>
    </row>
    <row r="7" spans="1:10" ht="18" customHeight="1" thickBot="1">
      <c r="C7" s="5" t="s">
        <v>111</v>
      </c>
      <c r="E7" s="242" t="s">
        <v>138</v>
      </c>
      <c r="G7" s="248"/>
    </row>
    <row r="8" spans="1:10" ht="8.1" customHeight="1" thickBot="1"/>
    <row r="9" spans="1:10" ht="18" customHeight="1" thickBot="1">
      <c r="C9" s="5" t="s">
        <v>112</v>
      </c>
      <c r="E9" s="242" t="str">
        <f ca="1">+VLOOKUP(Country,$D$40:$H$59,5,FALSE)</f>
        <v>EUR</v>
      </c>
    </row>
    <row r="10" spans="1:10" ht="8.1" customHeight="1" thickBot="1"/>
    <row r="11" spans="1:10" ht="18" customHeight="1" thickBot="1">
      <c r="C11" s="5" t="s">
        <v>114</v>
      </c>
      <c r="E11" s="242" t="s">
        <v>137</v>
      </c>
    </row>
    <row r="12" spans="1:10" ht="8.1" customHeight="1" thickBot="1">
      <c r="E12" s="127"/>
    </row>
    <row r="13" spans="1:10" ht="18" customHeight="1" thickBot="1">
      <c r="C13" s="5" t="s">
        <v>22</v>
      </c>
      <c r="D13" s="15"/>
      <c r="E13" s="242" t="str">
        <f ca="1">_xll.SUBNM("tango_core_model:Gaap","","Local_Gaap_Mgmt_tool","English")</f>
        <v>Local Gaap Management tool</v>
      </c>
    </row>
    <row r="14" spans="1:10" ht="8.1" customHeight="1"/>
    <row r="15" spans="1:10" ht="18" customHeight="1">
      <c r="C15" s="5" t="s">
        <v>113</v>
      </c>
      <c r="E15" s="13" t="s">
        <v>55</v>
      </c>
      <c r="F15" s="14" t="s">
        <v>56</v>
      </c>
      <c r="G15" s="14" t="s">
        <v>57</v>
      </c>
    </row>
    <row r="16" spans="1:10" ht="18" customHeight="1">
      <c r="C16" s="5"/>
      <c r="D16" s="11" t="s">
        <v>58</v>
      </c>
      <c r="E16" s="243" t="str">
        <f ca="1">_xll.SUBNM("tango_core_model:period","default",Actual_Month)</f>
        <v>2019.02_YTD</v>
      </c>
      <c r="F16" s="243" t="str">
        <f ca="1">_xll.SUBNM("tango_core_model:period","default",E16)</f>
        <v>2019.02_YTD</v>
      </c>
      <c r="G16" s="243" t="str">
        <f ca="1">_xll.SUBNM("tango_core_model:period","default",PriorYear)</f>
        <v>2018.02_YTD</v>
      </c>
    </row>
    <row r="17" spans="1:18" ht="18" customHeight="1">
      <c r="C17" s="5"/>
      <c r="D17" s="11" t="s">
        <v>33</v>
      </c>
      <c r="E17" s="243" t="s">
        <v>144</v>
      </c>
      <c r="F17" s="243" t="s">
        <v>131</v>
      </c>
      <c r="G17" s="243" t="str">
        <f ca="1">_xll.SUBNM("tango_core_model:Phase","","ACT_TOT")</f>
        <v>ACT_TOT</v>
      </c>
    </row>
    <row r="18" spans="1:18" ht="8.1" customHeight="1">
      <c r="C18" s="5"/>
      <c r="E18" s="4"/>
    </row>
    <row r="19" spans="1:18" ht="18" customHeight="1">
      <c r="C19" s="5" t="s">
        <v>24</v>
      </c>
      <c r="E19" s="13" t="s">
        <v>59</v>
      </c>
      <c r="F19" s="13" t="s">
        <v>60</v>
      </c>
      <c r="G19" s="13" t="s">
        <v>61</v>
      </c>
      <c r="H19" s="14"/>
    </row>
    <row r="20" spans="1:18" ht="18" customHeight="1">
      <c r="C20" s="5"/>
      <c r="D20" s="11" t="s">
        <v>24</v>
      </c>
      <c r="E20" s="243" t="str">
        <f ca="1">VLOOKUP(Country,$D$41:$G$59,2,FALSE)</f>
        <v>Urban</v>
      </c>
      <c r="F20" s="243" t="str">
        <f ca="1">VLOOKUP(Country,$D$41:$G$59,3,FALSE)</f>
        <v>Regional Coach</v>
      </c>
      <c r="G20" s="243" t="str">
        <f ca="1">VLOOKUP(Country,$D$41:$G$59,4,FALSE)</f>
        <v>Suburban</v>
      </c>
      <c r="H20" s="14"/>
    </row>
    <row r="21" spans="1:18" ht="8.1" customHeight="1">
      <c r="C21" s="5"/>
      <c r="D21" s="5"/>
      <c r="E21" s="127"/>
    </row>
    <row r="22" spans="1:18" ht="18" hidden="1" customHeight="1" thickBot="1">
      <c r="C22" s="15" t="s">
        <v>23</v>
      </c>
      <c r="D22" s="15"/>
      <c r="E22" s="242" t="str">
        <f ca="1">_xll.SUBNM("tango_core_model:Integration_Rate","","APP")</f>
        <v>APP</v>
      </c>
    </row>
    <row r="23" spans="1:18" ht="8.1" hidden="1" customHeight="1" thickBot="1">
      <c r="C23" s="5"/>
      <c r="D23" s="5"/>
      <c r="E23" s="127"/>
    </row>
    <row r="24" spans="1:18" ht="18" hidden="1" customHeight="1" thickBot="1">
      <c r="C24" s="15" t="s">
        <v>28</v>
      </c>
      <c r="D24" s="15"/>
      <c r="E24" s="242" t="str">
        <f ca="1">_xll.SUBNM("tango_core_model:Management_Organization","","VTD_corp",Language)</f>
        <v>TRANSDEV All</v>
      </c>
      <c r="N24" s="8"/>
      <c r="O24" s="8"/>
      <c r="P24" s="8"/>
    </row>
    <row r="25" spans="1:18" ht="8.1" customHeight="1">
      <c r="C25" s="5"/>
      <c r="D25" s="5"/>
      <c r="E25" s="127"/>
    </row>
    <row r="26" spans="1:18" ht="18" customHeight="1">
      <c r="C26" s="5"/>
      <c r="E26" s="6"/>
      <c r="N26" s="8"/>
      <c r="O26" s="8"/>
      <c r="P26" s="8"/>
    </row>
    <row r="27" spans="1:18" ht="18" customHeight="1">
      <c r="D27" s="244" t="s">
        <v>135</v>
      </c>
      <c r="N27" s="8"/>
      <c r="O27" s="8"/>
      <c r="P27" s="8"/>
    </row>
    <row r="28" spans="1:18" s="12" customFormat="1" ht="18" customHeight="1">
      <c r="D28" s="244" t="s">
        <v>136</v>
      </c>
      <c r="N28" s="8"/>
      <c r="O28" s="8"/>
      <c r="P28" s="8"/>
      <c r="Q28" s="3"/>
      <c r="R28" s="3"/>
    </row>
    <row r="29" spans="1:18" s="12" customFormat="1" ht="18" customHeight="1">
      <c r="N29" s="8"/>
      <c r="O29" s="8"/>
      <c r="P29" s="8"/>
      <c r="Q29" s="3"/>
      <c r="R29" s="3"/>
    </row>
    <row r="30" spans="1:18" s="10" customFormat="1" ht="30" customHeight="1">
      <c r="A30" s="9"/>
      <c r="B30" s="9"/>
      <c r="C30" s="241" t="s">
        <v>132</v>
      </c>
      <c r="D30" s="245"/>
      <c r="E30" s="245"/>
      <c r="F30" s="241"/>
      <c r="G30" s="241"/>
      <c r="H30" s="241"/>
      <c r="I30" s="241"/>
      <c r="J30" s="241"/>
    </row>
    <row r="31" spans="1:18" s="12" customFormat="1" ht="18" customHeight="1">
      <c r="N31" s="8"/>
      <c r="O31" s="8"/>
      <c r="P31" s="8"/>
      <c r="Q31" s="3"/>
      <c r="R31" s="3"/>
    </row>
    <row r="32" spans="1:18" s="12" customFormat="1" ht="18" customHeight="1">
      <c r="N32" s="8"/>
      <c r="O32" s="8"/>
      <c r="P32" s="8"/>
      <c r="Q32" s="3"/>
      <c r="R32" s="3"/>
    </row>
    <row r="33" spans="1:18" ht="18" customHeight="1">
      <c r="N33" s="8"/>
      <c r="O33" s="8"/>
      <c r="P33" s="8"/>
    </row>
    <row r="34" spans="1:18" ht="18" customHeight="1">
      <c r="N34" s="8"/>
      <c r="O34" s="8"/>
      <c r="P34" s="8"/>
    </row>
    <row r="35" spans="1:18" ht="18" customHeight="1">
      <c r="N35" s="8"/>
      <c r="O35" s="8"/>
      <c r="P35" s="8"/>
    </row>
    <row r="36" spans="1:18" s="12" customFormat="1" ht="18" customHeight="1">
      <c r="N36" s="8"/>
      <c r="O36" s="8"/>
      <c r="P36" s="8"/>
      <c r="Q36" s="3"/>
      <c r="R36" s="3"/>
    </row>
    <row r="37" spans="1:18" s="10" customFormat="1" ht="30" customHeight="1">
      <c r="A37" s="9"/>
      <c r="B37" s="9"/>
      <c r="C37" s="241" t="s">
        <v>133</v>
      </c>
      <c r="D37" s="245"/>
      <c r="E37" s="245"/>
      <c r="F37" s="241"/>
      <c r="G37" s="241"/>
      <c r="H37" s="241"/>
      <c r="I37" s="241"/>
      <c r="J37" s="241"/>
    </row>
    <row r="38" spans="1:18" s="12" customFormat="1" ht="18" customHeight="1">
      <c r="N38" s="8"/>
      <c r="O38" s="8"/>
      <c r="P38" s="8"/>
      <c r="Q38" s="3"/>
      <c r="R38" s="3"/>
    </row>
    <row r="39" spans="1:18" s="12" customFormat="1" ht="18" customHeight="1">
      <c r="P39" s="3"/>
      <c r="Q39" s="3"/>
      <c r="R39" s="3"/>
    </row>
    <row r="40" spans="1:18" s="8" customFormat="1" ht="18" customHeight="1">
      <c r="A40" s="7"/>
      <c r="B40" s="7"/>
      <c r="E40" s="13" t="s">
        <v>59</v>
      </c>
      <c r="F40" s="13" t="s">
        <v>60</v>
      </c>
      <c r="G40" s="13" t="s">
        <v>61</v>
      </c>
      <c r="H40" s="13" t="s">
        <v>3</v>
      </c>
      <c r="P40" s="3"/>
      <c r="Q40" s="3"/>
      <c r="R40" s="3"/>
    </row>
    <row r="41" spans="1:18" s="8" customFormat="1" ht="18" hidden="1" customHeight="1">
      <c r="A41" s="7"/>
      <c r="B41" s="7"/>
      <c r="D41" s="246" t="s">
        <v>138</v>
      </c>
      <c r="E41" s="243" t="str">
        <f ca="1">_xll.SUBNM("tango_core_model:Activity","","UR","English")</f>
        <v>Urban</v>
      </c>
      <c r="F41" s="243" t="str">
        <f ca="1">_xll.SUBNM("tango_core_model:Activity","","RC","English")</f>
        <v>Regional Coach</v>
      </c>
      <c r="G41" s="243" t="str">
        <f ca="1">_xll.SUBNM("tango_core_model:Activity","","SU","English")</f>
        <v>Suburban</v>
      </c>
      <c r="H41" s="243" t="s">
        <v>2</v>
      </c>
      <c r="P41" s="3"/>
      <c r="Q41" s="3"/>
      <c r="R41" s="3"/>
    </row>
    <row r="42" spans="1:18" s="8" customFormat="1" ht="18" customHeight="1">
      <c r="A42" s="7"/>
      <c r="B42" s="7"/>
      <c r="D42" s="246" t="s">
        <v>4</v>
      </c>
      <c r="E42" s="243" t="str">
        <f ca="1">_xll.SUBNM("tango_core_model:Activity","","UR","English")</f>
        <v>Urban</v>
      </c>
      <c r="F42" s="243" t="str">
        <f ca="1">_xll.SUBNM("tango_core_model:Activity","","RC","English")</f>
        <v>Regional Coach</v>
      </c>
      <c r="G42" s="243" t="str">
        <f ca="1">_xll.SUBNM("tango_core_model:Activity","","SU","English")</f>
        <v>Suburban</v>
      </c>
      <c r="H42" s="243" t="s">
        <v>2</v>
      </c>
      <c r="P42" s="3"/>
      <c r="Q42" s="3"/>
      <c r="R42" s="3"/>
    </row>
    <row r="43" spans="1:18" s="8" customFormat="1" ht="18" customHeight="1">
      <c r="A43" s="7"/>
      <c r="B43" s="7"/>
      <c r="D43" s="246" t="s">
        <v>15</v>
      </c>
      <c r="E43" s="243" t="str">
        <f ca="1">_xll.SUBNM("tango_core_model:Activity","","SU","English")</f>
        <v>Suburban</v>
      </c>
      <c r="F43" s="243" t="str">
        <f ca="1">_xll.SUBNM("tango_core_model:Activity","","CO","English")</f>
        <v>Commercial on demand</v>
      </c>
      <c r="G43" s="243" t="str">
        <f ca="1">_xll.SUBNM("tango_core_model:Activity","","SO","English")</f>
        <v>Subsidized on demand</v>
      </c>
      <c r="H43" s="243" t="s">
        <v>2</v>
      </c>
    </row>
    <row r="44" spans="1:18" s="8" customFormat="1" ht="18" customHeight="1">
      <c r="A44" s="7"/>
      <c r="B44" s="7"/>
      <c r="D44" s="246" t="s">
        <v>16</v>
      </c>
      <c r="E44" s="243" t="str">
        <f ca="1">_xll.SUBNM("tango_core_model:Activity","","HO","English")</f>
        <v>Holding</v>
      </c>
      <c r="F44" s="243" t="str">
        <f ca="1">_xll.SUBNM("tango_core_model:Activity","","SU","English")</f>
        <v>Suburban</v>
      </c>
      <c r="G44" s="243" t="str">
        <f ca="1">_xll.SUBNM("tango_core_model:Activity","","OS","English")</f>
        <v>Other Services</v>
      </c>
      <c r="H44" s="243" t="s">
        <v>2</v>
      </c>
    </row>
    <row r="45" spans="1:18" s="8" customFormat="1" ht="18" customHeight="1">
      <c r="A45" s="7"/>
      <c r="B45" s="7"/>
      <c r="D45" s="246" t="s">
        <v>6</v>
      </c>
      <c r="E45" s="243" t="str">
        <f ca="1">_xll.SUBNM("tango_core_model:Activity","","UR","English")</f>
        <v>Urban</v>
      </c>
      <c r="F45" s="243" t="str">
        <f ca="1">_xll.SUBNM("tango_core_model:Activity","","SU","English")</f>
        <v>Suburban</v>
      </c>
      <c r="G45" s="243" t="str">
        <f ca="1">_xll.SUBNM("tango_core_model:Activity","","RC","English")</f>
        <v>Regional Coach</v>
      </c>
      <c r="H45" s="243" t="s">
        <v>7</v>
      </c>
    </row>
    <row r="46" spans="1:18" s="8" customFormat="1" ht="18" customHeight="1">
      <c r="A46" s="7"/>
      <c r="B46" s="7"/>
      <c r="D46" s="247" t="s">
        <v>62</v>
      </c>
      <c r="E46" s="243" t="s">
        <v>118</v>
      </c>
      <c r="F46" s="243" t="s">
        <v>117</v>
      </c>
      <c r="G46" s="243" t="s">
        <v>116</v>
      </c>
      <c r="H46" s="243" t="s">
        <v>5</v>
      </c>
    </row>
    <row r="47" spans="1:18" s="8" customFormat="1" ht="18" customHeight="1">
      <c r="A47" s="7"/>
      <c r="B47" s="7"/>
      <c r="D47" s="246" t="s">
        <v>63</v>
      </c>
      <c r="E47" s="243" t="str">
        <f ca="1">_xll.SUBNM("tango_core_model:Activity","","UR","English")</f>
        <v>Urban</v>
      </c>
      <c r="F47" s="243" t="str">
        <f ca="1">_xll.SUBNM("tango_core_model:Activity","","HO","English")</f>
        <v>Holding</v>
      </c>
      <c r="G47" s="243" t="str">
        <f ca="1">_xll.SUBNM("tango_core_model:Activity","","OS","English")</f>
        <v>Other Services</v>
      </c>
      <c r="H47" s="243" t="s">
        <v>2</v>
      </c>
    </row>
    <row r="48" spans="1:18" s="8" customFormat="1" ht="18" customHeight="1">
      <c r="A48" s="7"/>
      <c r="B48" s="7"/>
      <c r="D48" s="246" t="s">
        <v>64</v>
      </c>
      <c r="E48" s="243" t="str">
        <f ca="1">_xll.SUBNM("tango_core_model:Activity","","UR","English")</f>
        <v>Urban</v>
      </c>
      <c r="F48" s="243" t="str">
        <f ca="1">_xll.SUBNM("tango_core_model:Activity","","CO","English")</f>
        <v>Commercial on demand</v>
      </c>
      <c r="G48" s="243" t="str">
        <f ca="1">_xll.SUBNM("tango_core_model:Activity","","OS","English")</f>
        <v>Other Services</v>
      </c>
      <c r="H48" s="243" t="s">
        <v>8</v>
      </c>
    </row>
    <row r="49" spans="1:8" s="8" customFormat="1" ht="18" customHeight="1">
      <c r="A49" s="7"/>
      <c r="B49" s="7"/>
      <c r="D49" s="246" t="s">
        <v>9</v>
      </c>
      <c r="E49" s="243" t="str">
        <f ca="1">_xll.SUBNM("tango_core_model:Activity","","RC","English")</f>
        <v>Regional Coach</v>
      </c>
      <c r="F49" s="243" t="str">
        <f ca="1">_xll.SUBNM("tango_core_model:Activity","","CO","English")</f>
        <v>Commercial on demand</v>
      </c>
      <c r="G49" s="243" t="str">
        <f ca="1">_xll.SUBNM("tango_core_model:Activity","","HO","English")</f>
        <v>Holding</v>
      </c>
      <c r="H49" s="243" t="s">
        <v>2</v>
      </c>
    </row>
    <row r="50" spans="1:8" s="8" customFormat="1" ht="18" customHeight="1">
      <c r="A50" s="7"/>
      <c r="B50" s="7"/>
      <c r="D50" s="246" t="s">
        <v>65</v>
      </c>
      <c r="E50" s="243" t="str">
        <f ca="1">_xll.SUBNM("tango_core_model:Activity","","HRAIL","English")</f>
        <v>Heavy rail activities</v>
      </c>
      <c r="F50" s="243" t="str">
        <f ca="1">_xll.SUBNM("tango_core_model:Activity","","UR","English")</f>
        <v>Urban</v>
      </c>
      <c r="G50" s="243" t="str">
        <f ca="1">_xll.SUBNM("tango_core_model:Activity","","RC","English")</f>
        <v>Regional Coach</v>
      </c>
      <c r="H50" s="243" t="s">
        <v>2</v>
      </c>
    </row>
    <row r="51" spans="1:8" s="8" customFormat="1" ht="18" customHeight="1">
      <c r="A51" s="7"/>
      <c r="B51" s="7"/>
      <c r="D51" s="246" t="s">
        <v>66</v>
      </c>
      <c r="E51" s="243" t="str">
        <f ca="1">_xll.SUBNM("tango_core_model:Activity","","UR","English")</f>
        <v>Urban</v>
      </c>
      <c r="F51" s="243" t="str">
        <f ca="1">_xll.SUBNM("tango_core_model:Activity","","SU","English")</f>
        <v>Suburban</v>
      </c>
      <c r="G51" s="243" t="str">
        <f ca="1">_xll.SUBNM("tango_core_model:Activity","","HO","English")</f>
        <v>Holding</v>
      </c>
      <c r="H51" s="243" t="s">
        <v>2</v>
      </c>
    </row>
    <row r="52" spans="1:8" s="8" customFormat="1" ht="18" customHeight="1">
      <c r="A52" s="7"/>
      <c r="B52" s="7"/>
      <c r="D52" s="246" t="s">
        <v>67</v>
      </c>
      <c r="E52" s="243" t="str">
        <f ca="1">_xll.SUBNM("tango_core_model:Activity","","UR","English")</f>
        <v>Urban</v>
      </c>
      <c r="F52" s="243" t="str">
        <f ca="1">_xll.SUBNM("tango_core_model:Activity","","HRAIL","English")</f>
        <v>Heavy rail activities</v>
      </c>
      <c r="G52" s="243" t="str">
        <f ca="1">_xll.SUBNM("tango_core_model:Activity","","SU","English")</f>
        <v>Suburban</v>
      </c>
      <c r="H52" s="243" t="s">
        <v>14</v>
      </c>
    </row>
    <row r="53" spans="1:8" s="8" customFormat="1" ht="18" customHeight="1">
      <c r="A53" s="7"/>
      <c r="B53" s="7"/>
      <c r="D53" s="246" t="s">
        <v>68</v>
      </c>
      <c r="E53" s="243" t="str">
        <f ca="1">_xll.SUBNM("tango_core_model:Activity","","UR","English")</f>
        <v>Urban</v>
      </c>
      <c r="F53" s="243" t="str">
        <f ca="1">_xll.SUBNM("tango_core_model:Activity","","SU","English")</f>
        <v>Suburban</v>
      </c>
      <c r="G53" s="243" t="str">
        <f ca="1">_xll.SUBNM("tango_core_model:Activity","","FE","English")</f>
        <v>Ferries</v>
      </c>
      <c r="H53" s="243" t="s">
        <v>0</v>
      </c>
    </row>
    <row r="54" spans="1:8" s="8" customFormat="1" ht="18" customHeight="1">
      <c r="A54" s="7"/>
      <c r="B54" s="7"/>
      <c r="D54" s="246" t="s">
        <v>10</v>
      </c>
      <c r="E54" s="243" t="str">
        <f ca="1">_xll.SUBNM("tango_core_model:Activity","","SU","English")</f>
        <v>Suburban</v>
      </c>
      <c r="F54" s="243" t="str">
        <f ca="1">_xll.SUBNM("tango_core_model:Activity","","HO","English")</f>
        <v>Holding</v>
      </c>
      <c r="G54" s="243" t="str">
        <f ca="1">_xll.SUBNM("tango_core_model:Activity","","OS","English")</f>
        <v>Other Services</v>
      </c>
      <c r="H54" s="243" t="s">
        <v>2</v>
      </c>
    </row>
    <row r="55" spans="1:8" s="8" customFormat="1" ht="18" customHeight="1">
      <c r="A55" s="7"/>
      <c r="B55" s="7"/>
      <c r="D55" s="246" t="s">
        <v>69</v>
      </c>
      <c r="E55" s="243" t="str">
        <f ca="1">_xll.SUBNM("tango_core_model:Activity","","UR","English")</f>
        <v>Urban</v>
      </c>
      <c r="F55" s="243" t="str">
        <f ca="1">_xll.SUBNM("tango_core_model:Activity","","HO","English")</f>
        <v>Holding</v>
      </c>
      <c r="G55" s="243" t="str">
        <f ca="1">_xll.SUBNM("tango_core_model:Activity","","OS","English")</f>
        <v>Other Services</v>
      </c>
      <c r="H55" s="243" t="s">
        <v>2</v>
      </c>
    </row>
    <row r="56" spans="1:8" s="8" customFormat="1" ht="18" customHeight="1">
      <c r="A56" s="7"/>
      <c r="B56" s="7"/>
      <c r="D56" s="246" t="s">
        <v>70</v>
      </c>
      <c r="E56" s="243" t="str">
        <f ca="1">_xll.SUBNM("tango_core_model:Activity","","UR","English")</f>
        <v>Urban</v>
      </c>
      <c r="F56" s="243" t="str">
        <f ca="1">_xll.SUBNM("tango_core_model:Activity","","HO","English")</f>
        <v>Holding</v>
      </c>
      <c r="G56" s="243" t="str">
        <f ca="1">_xll.SUBNM("tango_core_model:Activity","","OS","English")</f>
        <v>Other Services</v>
      </c>
      <c r="H56" s="243" t="s">
        <v>12</v>
      </c>
    </row>
    <row r="57" spans="1:8" s="8" customFormat="1" ht="18" customHeight="1">
      <c r="A57" s="7"/>
      <c r="B57" s="7"/>
      <c r="D57" s="246" t="s">
        <v>71</v>
      </c>
      <c r="E57" s="243" t="str">
        <f ca="1">_xll.SUBNM("tango_core_model:Activity","","UR","English")</f>
        <v>Urban</v>
      </c>
      <c r="F57" s="243" t="str">
        <f ca="1">_xll.SUBNM("tango_core_model:Activity","","HO","English")</f>
        <v>Holding</v>
      </c>
      <c r="G57" s="243" t="str">
        <f ca="1">_xll.SUBNM("tango_core_model:Activity","","OS","English")</f>
        <v>Other Services</v>
      </c>
      <c r="H57" s="243" t="s">
        <v>11</v>
      </c>
    </row>
    <row r="58" spans="1:8" s="8" customFormat="1" ht="18" customHeight="1">
      <c r="A58" s="7"/>
      <c r="B58" s="7"/>
      <c r="D58" s="246" t="s">
        <v>13</v>
      </c>
      <c r="E58" s="243" t="str">
        <f ca="1">_xll.SUBNM("tango_core_model:Activity","","HO","English")</f>
        <v>Holding</v>
      </c>
      <c r="F58" s="243" t="str">
        <f ca="1">_xll.SUBNM("tango_core_model:Activity","","NIC","English")</f>
        <v>National / International coaches</v>
      </c>
      <c r="G58" s="243" t="str">
        <f ca="1">_xll.SUBNM("tango_core_model:Activity","","OS","English")</f>
        <v>Other Services</v>
      </c>
      <c r="H58" s="243" t="s">
        <v>2</v>
      </c>
    </row>
    <row r="59" spans="1:8" s="8" customFormat="1" ht="18" customHeight="1">
      <c r="A59" s="7"/>
      <c r="B59" s="7"/>
      <c r="D59" s="246" t="s">
        <v>17</v>
      </c>
      <c r="E59" s="243" t="str">
        <f ca="1">_xll.SUBNM("tango_core_model:Activity","","NIC","English")</f>
        <v>National / International coaches</v>
      </c>
      <c r="F59" s="243" t="str">
        <f ca="1">_xll.SUBNM("tango_core_model:Activity","","HO","English")</f>
        <v>Holding</v>
      </c>
      <c r="G59" s="243" t="str">
        <f ca="1">_xll.SUBNM("tango_core_model:Activity","","OS","English")</f>
        <v>Other Services</v>
      </c>
      <c r="H59" s="243" t="s">
        <v>2</v>
      </c>
    </row>
    <row r="60" spans="1:8" s="8" customFormat="1" ht="18" customHeight="1">
      <c r="A60" s="7"/>
      <c r="B60" s="7"/>
    </row>
    <row r="61" spans="1:8" s="8" customFormat="1" ht="18" customHeight="1">
      <c r="A61" s="7"/>
      <c r="B61" s="7"/>
    </row>
    <row r="62" spans="1:8" s="8" customFormat="1" ht="18" customHeight="1">
      <c r="A62" s="7"/>
      <c r="B62" s="7"/>
    </row>
    <row r="63" spans="1:8" s="8" customFormat="1" ht="18" customHeight="1">
      <c r="A63" s="7"/>
      <c r="B63" s="7"/>
    </row>
    <row r="64" spans="1:8" s="8" customFormat="1" ht="18" hidden="1" customHeight="1" thickBot="1">
      <c r="A64" s="7"/>
      <c r="B64" s="7"/>
      <c r="C64" s="5" t="s">
        <v>145</v>
      </c>
      <c r="D64" s="12"/>
      <c r="E64" s="242" t="str">
        <f ca="1">_xll.DBRW("tango_core_model:z_Admin_Param","MONTH_ACTUAL","STR_VAR1")&amp;"_YTD"</f>
        <v>2019.02_YTD</v>
      </c>
    </row>
    <row r="65" spans="1:5" s="8" customFormat="1" ht="18" hidden="1" customHeight="1" thickBot="1">
      <c r="A65" s="7"/>
      <c r="B65" s="7"/>
      <c r="C65" s="5" t="s">
        <v>146</v>
      </c>
      <c r="E65" s="242" t="str">
        <f ca="1">_xll.DBRA("tango_core_model:Period",$E$16,"Prior Year")</f>
        <v>2018.02_YTD</v>
      </c>
    </row>
    <row r="66" spans="1:5" s="8" customFormat="1" ht="18" customHeight="1">
      <c r="A66" s="7"/>
    </row>
    <row r="67" spans="1:5" s="8" customFormat="1" ht="18" customHeight="1">
      <c r="A67" s="7"/>
      <c r="B67" s="7"/>
    </row>
    <row r="68" spans="1:5" s="8" customFormat="1" ht="18" customHeight="1">
      <c r="A68" s="7"/>
      <c r="B68" s="7"/>
    </row>
    <row r="69" spans="1:5" s="8" customFormat="1" ht="18" customHeight="1">
      <c r="A69" s="7"/>
      <c r="B69" s="7"/>
    </row>
    <row r="70" spans="1:5" s="8" customFormat="1" ht="18" customHeight="1">
      <c r="A70" s="7"/>
    </row>
    <row r="71" spans="1:5" s="8" customFormat="1" ht="18" customHeight="1">
      <c r="A71" s="7"/>
      <c r="B71" s="7"/>
    </row>
    <row r="72" spans="1:5" s="8" customFormat="1" ht="18" customHeight="1">
      <c r="A72" s="7"/>
      <c r="B72" s="7"/>
    </row>
    <row r="73" spans="1:5" s="8" customFormat="1" ht="18" customHeight="1">
      <c r="A73" s="7"/>
      <c r="B73" s="7"/>
    </row>
    <row r="74" spans="1:5" s="8" customFormat="1" ht="18" customHeight="1">
      <c r="A74" s="7"/>
      <c r="B74" s="7"/>
    </row>
    <row r="75" spans="1:5" s="8" customFormat="1" ht="18" customHeight="1">
      <c r="A75" s="7"/>
      <c r="B75" s="7"/>
    </row>
    <row r="76" spans="1:5" s="8" customFormat="1" ht="18" customHeight="1">
      <c r="A76" s="7"/>
      <c r="B76" s="7"/>
    </row>
    <row r="77" spans="1:5" s="8" customFormat="1" ht="18" customHeight="1">
      <c r="A77" s="7"/>
      <c r="B77" s="7"/>
    </row>
    <row r="78" spans="1:5" s="8" customFormat="1" ht="18" customHeight="1">
      <c r="A78" s="7"/>
      <c r="B78" s="7"/>
    </row>
    <row r="79" spans="1:5" s="8" customFormat="1" ht="18" customHeight="1">
      <c r="A79" s="7"/>
      <c r="B79" s="7"/>
    </row>
    <row r="80" spans="1:5" s="8" customFormat="1" ht="18" customHeight="1">
      <c r="A80" s="7"/>
      <c r="B80" s="7"/>
    </row>
    <row r="81" spans="1:2" s="8" customFormat="1" ht="18" customHeight="1">
      <c r="A81" s="7"/>
      <c r="B81" s="7"/>
    </row>
  </sheetData>
  <mergeCells count="1">
    <mergeCell ref="B1:I1"/>
  </mergeCells>
  <dataValidations count="4">
    <dataValidation type="list" allowBlank="1" showInputMessage="1" showErrorMessage="1" sqref="E5:E6">
      <formula1>"tango_core_model:Report_PL,tango_core_model:RP_PL"</formula1>
    </dataValidation>
    <dataValidation type="list" allowBlank="1" showInputMessage="1" showErrorMessage="1" sqref="E11">
      <formula1>"French,English"</formula1>
    </dataValidation>
    <dataValidation type="list" allowBlank="1" showInputMessage="1" showErrorMessage="1" sqref="E17:G17">
      <formula1>"ACT_TOT,BUDG_VC_TOT,FC_1_VC_TOT,FC_2_VC_TOT"</formula1>
    </dataValidation>
    <dataValidation type="list" allowBlank="1" showInputMessage="1" showErrorMessage="1" sqref="E7">
      <formula1>$D$41:$D$59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">
                <anchor moveWithCells="1" sizeWithCells="1">
                  <from>
                    <xdr:col>4</xdr:col>
                    <xdr:colOff>47625</xdr:colOff>
                    <xdr:row>30</xdr:row>
                    <xdr:rowOff>190500</xdr:rowOff>
                  </from>
                  <to>
                    <xdr:col>5</xdr:col>
                    <xdr:colOff>1047750</xdr:colOff>
                    <xdr:row>33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  <pageSetUpPr fitToPage="1"/>
  </sheetPr>
  <dimension ref="A1:BB114"/>
  <sheetViews>
    <sheetView showGridLines="0" topLeftCell="D1" zoomScale="80" zoomScaleNormal="80" workbookViewId="0">
      <selection activeCell="K24" sqref="K24"/>
    </sheetView>
  </sheetViews>
  <sheetFormatPr baseColWidth="10" defaultRowHeight="12" outlineLevelRow="1" outlineLevelCol="1"/>
  <cols>
    <col min="1" max="1" width="20.28515625" style="29" hidden="1" customWidth="1" outlineLevel="1"/>
    <col min="2" max="2" width="24.5703125" style="29" hidden="1" customWidth="1" outlineLevel="1"/>
    <col min="3" max="3" width="6.42578125" style="30" hidden="1" customWidth="1" outlineLevel="1"/>
    <col min="4" max="4" width="35.85546875" style="29" customWidth="1" collapsed="1"/>
    <col min="5" max="5" width="1.140625" style="30" customWidth="1"/>
    <col min="6" max="8" width="8.7109375" style="29" customWidth="1"/>
    <col min="9" max="9" width="8.140625" style="62" hidden="1" customWidth="1" outlineLevel="1"/>
    <col min="10" max="10" width="6.7109375" style="62" hidden="1" customWidth="1" outlineLevel="1"/>
    <col min="11" max="11" width="1.140625" style="30" customWidth="1" collapsed="1"/>
    <col min="12" max="14" width="8.7109375" style="29" customWidth="1"/>
    <col min="15" max="16" width="6.7109375" style="62" hidden="1" customWidth="1" outlineLevel="1"/>
    <col min="17" max="17" width="1.140625" style="30" customWidth="1" collapsed="1"/>
    <col min="18" max="20" width="8.7109375" style="29" customWidth="1"/>
    <col min="21" max="22" width="6.7109375" style="62" hidden="1" customWidth="1" outlineLevel="1"/>
    <col min="23" max="23" width="1.140625" style="30" customWidth="1" collapsed="1"/>
    <col min="24" max="26" width="8.7109375" style="29" customWidth="1"/>
    <col min="27" max="28" width="6.7109375" style="62" hidden="1" customWidth="1" outlineLevel="1"/>
    <col min="29" max="29" width="1.140625" style="30" customWidth="1" collapsed="1"/>
    <col min="30" max="32" width="8.7109375" style="29" customWidth="1"/>
    <col min="33" max="34" width="7.5703125" style="62" customWidth="1"/>
    <col min="35" max="35" width="11.42578125" style="29"/>
    <col min="36" max="36" width="14.85546875" style="29" bestFit="1" customWidth="1"/>
    <col min="37" max="215" width="11.42578125" style="29"/>
    <col min="216" max="216" width="19.140625" style="29" customWidth="1"/>
    <col min="217" max="227" width="9.28515625" style="29" customWidth="1"/>
    <col min="228" max="471" width="11.42578125" style="29"/>
    <col min="472" max="472" width="19.140625" style="29" customWidth="1"/>
    <col min="473" max="483" width="9.28515625" style="29" customWidth="1"/>
    <col min="484" max="727" width="11.42578125" style="29"/>
    <col min="728" max="728" width="19.140625" style="29" customWidth="1"/>
    <col min="729" max="739" width="9.28515625" style="29" customWidth="1"/>
    <col min="740" max="983" width="11.42578125" style="29"/>
    <col min="984" max="984" width="19.140625" style="29" customWidth="1"/>
    <col min="985" max="995" width="9.28515625" style="29" customWidth="1"/>
    <col min="996" max="1239" width="11.42578125" style="29"/>
    <col min="1240" max="1240" width="19.140625" style="29" customWidth="1"/>
    <col min="1241" max="1251" width="9.28515625" style="29" customWidth="1"/>
    <col min="1252" max="1495" width="11.42578125" style="29"/>
    <col min="1496" max="1496" width="19.140625" style="29" customWidth="1"/>
    <col min="1497" max="1507" width="9.28515625" style="29" customWidth="1"/>
    <col min="1508" max="1751" width="11.42578125" style="29"/>
    <col min="1752" max="1752" width="19.140625" style="29" customWidth="1"/>
    <col min="1753" max="1763" width="9.28515625" style="29" customWidth="1"/>
    <col min="1764" max="2007" width="11.42578125" style="29"/>
    <col min="2008" max="2008" width="19.140625" style="29" customWidth="1"/>
    <col min="2009" max="2019" width="9.28515625" style="29" customWidth="1"/>
    <col min="2020" max="2263" width="11.42578125" style="29"/>
    <col min="2264" max="2264" width="19.140625" style="29" customWidth="1"/>
    <col min="2265" max="2275" width="9.28515625" style="29" customWidth="1"/>
    <col min="2276" max="2519" width="11.42578125" style="29"/>
    <col min="2520" max="2520" width="19.140625" style="29" customWidth="1"/>
    <col min="2521" max="2531" width="9.28515625" style="29" customWidth="1"/>
    <col min="2532" max="2775" width="11.42578125" style="29"/>
    <col min="2776" max="2776" width="19.140625" style="29" customWidth="1"/>
    <col min="2777" max="2787" width="9.28515625" style="29" customWidth="1"/>
    <col min="2788" max="3031" width="11.42578125" style="29"/>
    <col min="3032" max="3032" width="19.140625" style="29" customWidth="1"/>
    <col min="3033" max="3043" width="9.28515625" style="29" customWidth="1"/>
    <col min="3044" max="3287" width="11.42578125" style="29"/>
    <col min="3288" max="3288" width="19.140625" style="29" customWidth="1"/>
    <col min="3289" max="3299" width="9.28515625" style="29" customWidth="1"/>
    <col min="3300" max="3543" width="11.42578125" style="29"/>
    <col min="3544" max="3544" width="19.140625" style="29" customWidth="1"/>
    <col min="3545" max="3555" width="9.28515625" style="29" customWidth="1"/>
    <col min="3556" max="3799" width="11.42578125" style="29"/>
    <col min="3800" max="3800" width="19.140625" style="29" customWidth="1"/>
    <col min="3801" max="3811" width="9.28515625" style="29" customWidth="1"/>
    <col min="3812" max="4055" width="11.42578125" style="29"/>
    <col min="4056" max="4056" width="19.140625" style="29" customWidth="1"/>
    <col min="4057" max="4067" width="9.28515625" style="29" customWidth="1"/>
    <col min="4068" max="4311" width="11.42578125" style="29"/>
    <col min="4312" max="4312" width="19.140625" style="29" customWidth="1"/>
    <col min="4313" max="4323" width="9.28515625" style="29" customWidth="1"/>
    <col min="4324" max="4567" width="11.42578125" style="29"/>
    <col min="4568" max="4568" width="19.140625" style="29" customWidth="1"/>
    <col min="4569" max="4579" width="9.28515625" style="29" customWidth="1"/>
    <col min="4580" max="4823" width="11.42578125" style="29"/>
    <col min="4824" max="4824" width="19.140625" style="29" customWidth="1"/>
    <col min="4825" max="4835" width="9.28515625" style="29" customWidth="1"/>
    <col min="4836" max="5079" width="11.42578125" style="29"/>
    <col min="5080" max="5080" width="19.140625" style="29" customWidth="1"/>
    <col min="5081" max="5091" width="9.28515625" style="29" customWidth="1"/>
    <col min="5092" max="5335" width="11.42578125" style="29"/>
    <col min="5336" max="5336" width="19.140625" style="29" customWidth="1"/>
    <col min="5337" max="5347" width="9.28515625" style="29" customWidth="1"/>
    <col min="5348" max="5591" width="11.42578125" style="29"/>
    <col min="5592" max="5592" width="19.140625" style="29" customWidth="1"/>
    <col min="5593" max="5603" width="9.28515625" style="29" customWidth="1"/>
    <col min="5604" max="5847" width="11.42578125" style="29"/>
    <col min="5848" max="5848" width="19.140625" style="29" customWidth="1"/>
    <col min="5849" max="5859" width="9.28515625" style="29" customWidth="1"/>
    <col min="5860" max="6103" width="11.42578125" style="29"/>
    <col min="6104" max="6104" width="19.140625" style="29" customWidth="1"/>
    <col min="6105" max="6115" width="9.28515625" style="29" customWidth="1"/>
    <col min="6116" max="6359" width="11.42578125" style="29"/>
    <col min="6360" max="6360" width="19.140625" style="29" customWidth="1"/>
    <col min="6361" max="6371" width="9.28515625" style="29" customWidth="1"/>
    <col min="6372" max="6615" width="11.42578125" style="29"/>
    <col min="6616" max="6616" width="19.140625" style="29" customWidth="1"/>
    <col min="6617" max="6627" width="9.28515625" style="29" customWidth="1"/>
    <col min="6628" max="6871" width="11.42578125" style="29"/>
    <col min="6872" max="6872" width="19.140625" style="29" customWidth="1"/>
    <col min="6873" max="6883" width="9.28515625" style="29" customWidth="1"/>
    <col min="6884" max="7127" width="11.42578125" style="29"/>
    <col min="7128" max="7128" width="19.140625" style="29" customWidth="1"/>
    <col min="7129" max="7139" width="9.28515625" style="29" customWidth="1"/>
    <col min="7140" max="7383" width="11.42578125" style="29"/>
    <col min="7384" max="7384" width="19.140625" style="29" customWidth="1"/>
    <col min="7385" max="7395" width="9.28515625" style="29" customWidth="1"/>
    <col min="7396" max="7639" width="11.42578125" style="29"/>
    <col min="7640" max="7640" width="19.140625" style="29" customWidth="1"/>
    <col min="7641" max="7651" width="9.28515625" style="29" customWidth="1"/>
    <col min="7652" max="7895" width="11.42578125" style="29"/>
    <col min="7896" max="7896" width="19.140625" style="29" customWidth="1"/>
    <col min="7897" max="7907" width="9.28515625" style="29" customWidth="1"/>
    <col min="7908" max="8151" width="11.42578125" style="29"/>
    <col min="8152" max="8152" width="19.140625" style="29" customWidth="1"/>
    <col min="8153" max="8163" width="9.28515625" style="29" customWidth="1"/>
    <col min="8164" max="8407" width="11.42578125" style="29"/>
    <col min="8408" max="8408" width="19.140625" style="29" customWidth="1"/>
    <col min="8409" max="8419" width="9.28515625" style="29" customWidth="1"/>
    <col min="8420" max="8663" width="11.42578125" style="29"/>
    <col min="8664" max="8664" width="19.140625" style="29" customWidth="1"/>
    <col min="8665" max="8675" width="9.28515625" style="29" customWidth="1"/>
    <col min="8676" max="8919" width="11.42578125" style="29"/>
    <col min="8920" max="8920" width="19.140625" style="29" customWidth="1"/>
    <col min="8921" max="8931" width="9.28515625" style="29" customWidth="1"/>
    <col min="8932" max="9175" width="11.42578125" style="29"/>
    <col min="9176" max="9176" width="19.140625" style="29" customWidth="1"/>
    <col min="9177" max="9187" width="9.28515625" style="29" customWidth="1"/>
    <col min="9188" max="9431" width="11.42578125" style="29"/>
    <col min="9432" max="9432" width="19.140625" style="29" customWidth="1"/>
    <col min="9433" max="9443" width="9.28515625" style="29" customWidth="1"/>
    <col min="9444" max="9687" width="11.42578125" style="29"/>
    <col min="9688" max="9688" width="19.140625" style="29" customWidth="1"/>
    <col min="9689" max="9699" width="9.28515625" style="29" customWidth="1"/>
    <col min="9700" max="9943" width="11.42578125" style="29"/>
    <col min="9944" max="9944" width="19.140625" style="29" customWidth="1"/>
    <col min="9945" max="9955" width="9.28515625" style="29" customWidth="1"/>
    <col min="9956" max="10199" width="11.42578125" style="29"/>
    <col min="10200" max="10200" width="19.140625" style="29" customWidth="1"/>
    <col min="10201" max="10211" width="9.28515625" style="29" customWidth="1"/>
    <col min="10212" max="10455" width="11.42578125" style="29"/>
    <col min="10456" max="10456" width="19.140625" style="29" customWidth="1"/>
    <col min="10457" max="10467" width="9.28515625" style="29" customWidth="1"/>
    <col min="10468" max="10711" width="11.42578125" style="29"/>
    <col min="10712" max="10712" width="19.140625" style="29" customWidth="1"/>
    <col min="10713" max="10723" width="9.28515625" style="29" customWidth="1"/>
    <col min="10724" max="10967" width="11.42578125" style="29"/>
    <col min="10968" max="10968" width="19.140625" style="29" customWidth="1"/>
    <col min="10969" max="10979" width="9.28515625" style="29" customWidth="1"/>
    <col min="10980" max="11223" width="11.42578125" style="29"/>
    <col min="11224" max="11224" width="19.140625" style="29" customWidth="1"/>
    <col min="11225" max="11235" width="9.28515625" style="29" customWidth="1"/>
    <col min="11236" max="11479" width="11.42578125" style="29"/>
    <col min="11480" max="11480" width="19.140625" style="29" customWidth="1"/>
    <col min="11481" max="11491" width="9.28515625" style="29" customWidth="1"/>
    <col min="11492" max="11735" width="11.42578125" style="29"/>
    <col min="11736" max="11736" width="19.140625" style="29" customWidth="1"/>
    <col min="11737" max="11747" width="9.28515625" style="29" customWidth="1"/>
    <col min="11748" max="11991" width="11.42578125" style="29"/>
    <col min="11992" max="11992" width="19.140625" style="29" customWidth="1"/>
    <col min="11993" max="12003" width="9.28515625" style="29" customWidth="1"/>
    <col min="12004" max="12247" width="11.42578125" style="29"/>
    <col min="12248" max="12248" width="19.140625" style="29" customWidth="1"/>
    <col min="12249" max="12259" width="9.28515625" style="29" customWidth="1"/>
    <col min="12260" max="12503" width="11.42578125" style="29"/>
    <col min="12504" max="12504" width="19.140625" style="29" customWidth="1"/>
    <col min="12505" max="12515" width="9.28515625" style="29" customWidth="1"/>
    <col min="12516" max="12759" width="11.42578125" style="29"/>
    <col min="12760" max="12760" width="19.140625" style="29" customWidth="1"/>
    <col min="12761" max="12771" width="9.28515625" style="29" customWidth="1"/>
    <col min="12772" max="13015" width="11.42578125" style="29"/>
    <col min="13016" max="13016" width="19.140625" style="29" customWidth="1"/>
    <col min="13017" max="13027" width="9.28515625" style="29" customWidth="1"/>
    <col min="13028" max="13271" width="11.42578125" style="29"/>
    <col min="13272" max="13272" width="19.140625" style="29" customWidth="1"/>
    <col min="13273" max="13283" width="9.28515625" style="29" customWidth="1"/>
    <col min="13284" max="13527" width="11.42578125" style="29"/>
    <col min="13528" max="13528" width="19.140625" style="29" customWidth="1"/>
    <col min="13529" max="13539" width="9.28515625" style="29" customWidth="1"/>
    <col min="13540" max="13783" width="11.42578125" style="29"/>
    <col min="13784" max="13784" width="19.140625" style="29" customWidth="1"/>
    <col min="13785" max="13795" width="9.28515625" style="29" customWidth="1"/>
    <col min="13796" max="14039" width="11.42578125" style="29"/>
    <col min="14040" max="14040" width="19.140625" style="29" customWidth="1"/>
    <col min="14041" max="14051" width="9.28515625" style="29" customWidth="1"/>
    <col min="14052" max="14295" width="11.42578125" style="29"/>
    <col min="14296" max="14296" width="19.140625" style="29" customWidth="1"/>
    <col min="14297" max="14307" width="9.28515625" style="29" customWidth="1"/>
    <col min="14308" max="14551" width="11.42578125" style="29"/>
    <col min="14552" max="14552" width="19.140625" style="29" customWidth="1"/>
    <col min="14553" max="14563" width="9.28515625" style="29" customWidth="1"/>
    <col min="14564" max="14807" width="11.42578125" style="29"/>
    <col min="14808" max="14808" width="19.140625" style="29" customWidth="1"/>
    <col min="14809" max="14819" width="9.28515625" style="29" customWidth="1"/>
    <col min="14820" max="15063" width="11.42578125" style="29"/>
    <col min="15064" max="15064" width="19.140625" style="29" customWidth="1"/>
    <col min="15065" max="15075" width="9.28515625" style="29" customWidth="1"/>
    <col min="15076" max="15319" width="11.42578125" style="29"/>
    <col min="15320" max="15320" width="19.140625" style="29" customWidth="1"/>
    <col min="15321" max="15331" width="9.28515625" style="29" customWidth="1"/>
    <col min="15332" max="15575" width="11.42578125" style="29"/>
    <col min="15576" max="15576" width="19.140625" style="29" customWidth="1"/>
    <col min="15577" max="15587" width="9.28515625" style="29" customWidth="1"/>
    <col min="15588" max="15831" width="11.42578125" style="29"/>
    <col min="15832" max="15832" width="19.140625" style="29" customWidth="1"/>
    <col min="15833" max="15843" width="9.28515625" style="29" customWidth="1"/>
    <col min="15844" max="16087" width="11.42578125" style="29"/>
    <col min="16088" max="16088" width="19.140625" style="29" customWidth="1"/>
    <col min="16089" max="16099" width="9.28515625" style="29" customWidth="1"/>
    <col min="16100" max="16384" width="11.42578125" style="29"/>
  </cols>
  <sheetData>
    <row r="1" spans="1:54" s="16" customFormat="1" ht="39.75" customHeight="1">
      <c r="D1" s="260" t="str">
        <f ca="1">IF(Language="English",UPPER(_xll.DBRA("tango_core_model:legal_organization",Country,Language))&amp;"  - OPERATING DASHBOARD BY ACTIVITY- "&amp;_xll.DBRA("tango_core_model:gaap",Gaap,Language),UPPER(_xll.DBRA("tango_core_model:legal_organization",Country,Language))&amp;"  - DASHBOARD OPERATIONNEL PAR ACTIVITE- "&amp;_xll.DBRA("tango_core_model:gaap",Gaap,Language))</f>
        <v>NOT AFFECTED  - OPERATING DASHBOARD BY ACTIVITY- Local Gaap Management tool</v>
      </c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</row>
    <row r="2" spans="1:54" s="16" customFormat="1" ht="36" customHeight="1">
      <c r="C2" s="17"/>
      <c r="D2" s="18"/>
      <c r="E2" s="18"/>
      <c r="F2" s="19"/>
      <c r="G2" s="20"/>
      <c r="H2" s="20"/>
      <c r="I2" s="21"/>
      <c r="J2" s="21"/>
      <c r="K2" s="18"/>
      <c r="L2" s="19"/>
      <c r="M2" s="20"/>
      <c r="N2" s="20"/>
      <c r="O2" s="21"/>
      <c r="P2" s="21"/>
      <c r="Q2" s="18"/>
      <c r="R2" s="19"/>
      <c r="S2" s="20"/>
      <c r="T2" s="20"/>
      <c r="U2" s="21"/>
      <c r="V2" s="21"/>
      <c r="W2" s="18"/>
      <c r="X2" s="19"/>
      <c r="Y2" s="20"/>
      <c r="Z2" s="20"/>
      <c r="AA2" s="21"/>
      <c r="AB2" s="21"/>
      <c r="AC2" s="18"/>
      <c r="AD2" s="19"/>
      <c r="AE2" s="20"/>
      <c r="AF2" s="20"/>
      <c r="AG2" s="21"/>
      <c r="AH2" s="21"/>
    </row>
    <row r="3" spans="1:54" s="24" customFormat="1" ht="19.5" hidden="1" outlineLevel="1">
      <c r="A3" s="71" t="s">
        <v>27</v>
      </c>
      <c r="B3" s="71" t="str">
        <f>Cube</f>
        <v>tango_core_model:Report_PL</v>
      </c>
      <c r="C3" s="1"/>
      <c r="D3" s="22"/>
      <c r="E3" s="22"/>
      <c r="F3" s="23"/>
      <c r="G3" s="23"/>
      <c r="H3" s="23"/>
      <c r="I3" s="73"/>
      <c r="J3" s="74"/>
      <c r="K3" s="22"/>
      <c r="L3" s="23"/>
      <c r="M3" s="23"/>
      <c r="N3" s="23"/>
      <c r="O3" s="73"/>
      <c r="P3" s="74"/>
      <c r="Q3" s="22"/>
      <c r="R3" s="23"/>
      <c r="S3" s="23"/>
      <c r="T3" s="23"/>
      <c r="U3" s="73"/>
      <c r="V3" s="74"/>
      <c r="W3" s="22"/>
      <c r="X3" s="23"/>
      <c r="Y3" s="23"/>
      <c r="Z3" s="23"/>
      <c r="AA3" s="73"/>
      <c r="AB3" s="74"/>
      <c r="AC3" s="22"/>
      <c r="AD3" s="23"/>
      <c r="AE3" s="23"/>
      <c r="AF3" s="23"/>
      <c r="AG3" s="73"/>
      <c r="AH3" s="74"/>
      <c r="AK3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1"/>
      <c r="BB3" s="35"/>
    </row>
    <row r="4" spans="1:54" s="26" customFormat="1" ht="20.25" hidden="1" customHeight="1" outlineLevel="1">
      <c r="A4" s="72" t="s">
        <v>22</v>
      </c>
      <c r="B4" s="71" t="str">
        <f ca="1">Gaap</f>
        <v>Local Gaap Management tool</v>
      </c>
      <c r="C4" s="25"/>
      <c r="D4" s="70" t="s">
        <v>32</v>
      </c>
      <c r="E4" s="28"/>
      <c r="F4" s="70" t="str">
        <f ca="1">Context!$E$16</f>
        <v>2019.02_YTD</v>
      </c>
      <c r="G4" s="70" t="str">
        <f ca="1">Context!$F$16</f>
        <v>2019.02_YTD</v>
      </c>
      <c r="H4" s="70" t="str">
        <f ca="1">Context!$G$16</f>
        <v>2018.02_YTD</v>
      </c>
      <c r="I4" s="75"/>
      <c r="J4" s="75"/>
      <c r="K4" s="28"/>
      <c r="L4" s="70" t="str">
        <f ca="1">Context!$E$16</f>
        <v>2019.02_YTD</v>
      </c>
      <c r="M4" s="70" t="str">
        <f ca="1">Context!$F$16</f>
        <v>2019.02_YTD</v>
      </c>
      <c r="N4" s="70" t="str">
        <f ca="1">Context!$G$16</f>
        <v>2018.02_YTD</v>
      </c>
      <c r="O4" s="75"/>
      <c r="P4" s="75"/>
      <c r="Q4" s="28"/>
      <c r="R4" s="70" t="str">
        <f ca="1">Context!$E$16</f>
        <v>2019.02_YTD</v>
      </c>
      <c r="S4" s="70" t="str">
        <f ca="1">Context!$F$16</f>
        <v>2019.02_YTD</v>
      </c>
      <c r="T4" s="70" t="str">
        <f ca="1">Context!$G$16</f>
        <v>2018.02_YTD</v>
      </c>
      <c r="U4" s="75"/>
      <c r="V4" s="75"/>
      <c r="W4" s="28"/>
      <c r="X4" s="70" t="str">
        <f ca="1">Context!$E$16</f>
        <v>2019.02_YTD</v>
      </c>
      <c r="Y4" s="70" t="str">
        <f ca="1">Context!$F$16</f>
        <v>2019.02_YTD</v>
      </c>
      <c r="Z4" s="70" t="str">
        <f ca="1">Context!$G$16</f>
        <v>2018.02_YTD</v>
      </c>
      <c r="AA4" s="75"/>
      <c r="AB4" s="75"/>
      <c r="AC4" s="28"/>
      <c r="AD4" s="70" t="str">
        <f ca="1">Context!$E$16</f>
        <v>2019.02_YTD</v>
      </c>
      <c r="AE4" s="70" t="str">
        <f ca="1">Context!$F$16</f>
        <v>2019.02_YTD</v>
      </c>
      <c r="AF4" s="70" t="str">
        <f ca="1">Context!$G$16</f>
        <v>2018.02_YTD</v>
      </c>
      <c r="AG4" s="75"/>
      <c r="AH4" s="75"/>
      <c r="AK4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8"/>
    </row>
    <row r="5" spans="1:54" s="27" customFormat="1" hidden="1" outlineLevel="1">
      <c r="A5" s="71" t="s">
        <v>25</v>
      </c>
      <c r="B5" s="71" t="str">
        <f ca="1">_xll.SUBNM("tango_core_model:Currency","","MEUR")</f>
        <v>MEUR</v>
      </c>
      <c r="C5" s="1"/>
      <c r="D5" s="76" t="s">
        <v>33</v>
      </c>
      <c r="E5" s="22"/>
      <c r="F5" s="70" t="str">
        <f>Context!$E$17</f>
        <v>ACT_TOT</v>
      </c>
      <c r="G5" s="70" t="str">
        <f>Context!$F$17</f>
        <v>BUDG_VC_TOT</v>
      </c>
      <c r="H5" s="70" t="str">
        <f ca="1">Context!$G$17</f>
        <v>ACT_TOT</v>
      </c>
      <c r="I5" s="75"/>
      <c r="J5" s="77"/>
      <c r="K5" s="22"/>
      <c r="L5" s="70" t="str">
        <f>Context!$E$17</f>
        <v>ACT_TOT</v>
      </c>
      <c r="M5" s="70" t="str">
        <f>Context!$F$17</f>
        <v>BUDG_VC_TOT</v>
      </c>
      <c r="N5" s="70" t="str">
        <f ca="1">Context!$G$17</f>
        <v>ACT_TOT</v>
      </c>
      <c r="O5" s="75"/>
      <c r="P5" s="77"/>
      <c r="Q5" s="22"/>
      <c r="R5" s="70" t="str">
        <f>Context!$E$17</f>
        <v>ACT_TOT</v>
      </c>
      <c r="S5" s="70" t="str">
        <f>Context!$F$17</f>
        <v>BUDG_VC_TOT</v>
      </c>
      <c r="T5" s="70" t="str">
        <f ca="1">Context!$G$17</f>
        <v>ACT_TOT</v>
      </c>
      <c r="U5" s="75"/>
      <c r="V5" s="77"/>
      <c r="W5" s="22"/>
      <c r="X5" s="70" t="str">
        <f>Context!$E$17</f>
        <v>ACT_TOT</v>
      </c>
      <c r="Y5" s="70" t="str">
        <f>Context!$F$17</f>
        <v>BUDG_VC_TOT</v>
      </c>
      <c r="Z5" s="70" t="str">
        <f ca="1">Context!$G$17</f>
        <v>ACT_TOT</v>
      </c>
      <c r="AA5" s="75"/>
      <c r="AB5" s="77"/>
      <c r="AC5" s="22"/>
      <c r="AD5" s="70" t="str">
        <f>Context!$E$17</f>
        <v>ACT_TOT</v>
      </c>
      <c r="AE5" s="70" t="str">
        <f>Context!$F$17</f>
        <v>BUDG_VC_TOT</v>
      </c>
      <c r="AF5" s="70" t="str">
        <f ca="1">Context!$G$17</f>
        <v>ACT_TOT</v>
      </c>
      <c r="AG5" s="75"/>
      <c r="AH5" s="77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</row>
    <row r="6" spans="1:54" s="27" customFormat="1" hidden="1" outlineLevel="1">
      <c r="A6" s="71" t="s">
        <v>23</v>
      </c>
      <c r="B6" s="71" t="str">
        <f ca="1">Integration_Rate</f>
        <v>APP</v>
      </c>
      <c r="C6" s="1"/>
      <c r="D6" s="76" t="s">
        <v>24</v>
      </c>
      <c r="E6" s="22"/>
      <c r="F6" s="71" t="str">
        <f ca="1">IF(Country="United States","Tot_act",Activity_1)</f>
        <v>Urban</v>
      </c>
      <c r="G6" s="71" t="str">
        <f ca="1">IF(Country="United States","Tot_act",Activity_1)</f>
        <v>Urban</v>
      </c>
      <c r="H6" s="71" t="str">
        <f ca="1">IF(Country="United States","Tot_act",Activity_1)</f>
        <v>Urban</v>
      </c>
      <c r="I6" s="75"/>
      <c r="J6" s="77"/>
      <c r="K6" s="22"/>
      <c r="L6" s="71" t="str">
        <f ca="1">IF(Country="United States","Tot_act",Activity_2)</f>
        <v>Regional Coach</v>
      </c>
      <c r="M6" s="71" t="str">
        <f ca="1">IF(Country="United States","Tot_act",Activity_2)</f>
        <v>Regional Coach</v>
      </c>
      <c r="N6" s="71" t="str">
        <f ca="1">IF(Country="United States","Tot_act",Activity_2)</f>
        <v>Regional Coach</v>
      </c>
      <c r="O6" s="75"/>
      <c r="P6" s="77"/>
      <c r="Q6" s="22"/>
      <c r="R6" s="71" t="str">
        <f ca="1">IF(Country="United States","Tot_act",Activity_3)</f>
        <v>Suburban</v>
      </c>
      <c r="S6" s="71" t="str">
        <f ca="1">IF(Country="United States","Tot_act",Activity_3)</f>
        <v>Suburban</v>
      </c>
      <c r="T6" s="71" t="str">
        <f ca="1">IF(Country="United States","Tot_act",Activity_3)</f>
        <v>Suburban</v>
      </c>
      <c r="U6" s="75"/>
      <c r="V6" s="77"/>
      <c r="W6" s="22"/>
      <c r="X6" s="71"/>
      <c r="Y6" s="70"/>
      <c r="Z6" s="70"/>
      <c r="AA6" s="75"/>
      <c r="AB6" s="77"/>
      <c r="AC6" s="22"/>
      <c r="AD6" s="71" t="s">
        <v>88</v>
      </c>
      <c r="AE6" s="70" t="str">
        <f>AD6</f>
        <v>All activity</v>
      </c>
      <c r="AF6" s="70" t="str">
        <f>AD6</f>
        <v>All activity</v>
      </c>
      <c r="AG6" s="75"/>
      <c r="AH6" s="77"/>
    </row>
    <row r="7" spans="1:54" s="27" customFormat="1" hidden="1" outlineLevel="1">
      <c r="A7" s="71"/>
      <c r="B7" s="71"/>
      <c r="C7" s="1"/>
      <c r="D7" s="98" t="s">
        <v>26</v>
      </c>
      <c r="E7" s="22"/>
      <c r="F7" s="98" t="str">
        <f ca="1">IF(Country="United States",Activity_1,Country)</f>
        <v>NA</v>
      </c>
      <c r="G7" s="98" t="str">
        <f ca="1">IF(Country="United States",Activity_1,Country)</f>
        <v>NA</v>
      </c>
      <c r="H7" s="98" t="str">
        <f ca="1">IF(Country="United States",Activity_1,Country)</f>
        <v>NA</v>
      </c>
      <c r="I7" s="75"/>
      <c r="J7" s="77"/>
      <c r="K7" s="22"/>
      <c r="L7" s="98" t="str">
        <f ca="1">IF(Country="United States",Activity_2,Country)</f>
        <v>NA</v>
      </c>
      <c r="M7" s="98" t="str">
        <f ca="1">IF(Country="United States",Activity_2,Country)</f>
        <v>NA</v>
      </c>
      <c r="N7" s="98" t="str">
        <f ca="1">IF(Country="United States",Activity_2,Country)</f>
        <v>NA</v>
      </c>
      <c r="O7" s="75"/>
      <c r="P7" s="77"/>
      <c r="Q7" s="22"/>
      <c r="R7" s="98" t="str">
        <f ca="1">IF(Country="United States",Activity_3,Country)</f>
        <v>NA</v>
      </c>
      <c r="S7" s="98" t="str">
        <f ca="1">IF(Country="United States",Activity_3,Country)</f>
        <v>NA</v>
      </c>
      <c r="T7" s="98" t="str">
        <f ca="1">IF(Country="United States",Activity_3,Country)</f>
        <v>NA</v>
      </c>
      <c r="U7" s="75"/>
      <c r="V7" s="77"/>
      <c r="W7" s="22"/>
      <c r="X7" s="71"/>
      <c r="Y7" s="70"/>
      <c r="Z7" s="70"/>
      <c r="AA7" s="75"/>
      <c r="AB7" s="77"/>
      <c r="AC7" s="22"/>
      <c r="AD7" s="71" t="str">
        <f ca="1">Country</f>
        <v>NA</v>
      </c>
      <c r="AE7" s="71" t="str">
        <f ca="1">Country</f>
        <v>NA</v>
      </c>
      <c r="AF7" s="71" t="str">
        <f ca="1">Country</f>
        <v>NA</v>
      </c>
      <c r="AG7" s="75"/>
      <c r="AH7" s="77"/>
    </row>
    <row r="8" spans="1:54" s="101" customFormat="1" hidden="1" outlineLevel="1">
      <c r="C8" s="99"/>
      <c r="D8" s="98" t="s">
        <v>31</v>
      </c>
      <c r="E8" s="99"/>
      <c r="F8" s="98">
        <f ca="1">IF(LEFT(F4,1)="F",_xll.DBR("tango_core_model:ST_Currency",F4,MID(F5,1,LEN(F5)-4),Devise,"EUR",$D$8),_xll.DBR("tango_core_model:ST_Currency",LEFT(F4,7),MID(F5,1,LEN(F5)-4),Devise,"EUR",$D$8))</f>
        <v>1</v>
      </c>
      <c r="G8" s="98">
        <f ca="1">IF(LEFT(G4,1)="F",_xll.DBR("tango_core_model:ST_Currency",G4,MID(G5,1,LEN(G5)-4),Devise,"EUR",$D$8),_xll.DBR("tango_core_model:ST_Currency",LEFT(G4,7),MID(G5,1,LEN(G5)-4),Devise,"EUR",$D$8))</f>
        <v>1</v>
      </c>
      <c r="H8" s="98">
        <f ca="1">IF(LEFT(H4,1)="F",_xll.DBR("tango_core_model:ST_Currency",H4,MID(H5,1,LEN(H5)-4),Devise,"EUR",$D$8),_xll.DBR("tango_core_model:ST_Currency",LEFT(H4,7),MID(H5,1,LEN(H5)-4),Devise,"EUR",$D$8))</f>
        <v>1</v>
      </c>
      <c r="I8" s="100"/>
      <c r="J8" s="100"/>
      <c r="K8" s="99"/>
      <c r="L8" s="98">
        <f ca="1">IF(LEFT(L4,1)="F",_xll.DBR("tango_core_model:ST_Currency",L4,MID(L5,1,LEN(L5)-4),Devise,"EUR",$D$8),_xll.DBR("tango_core_model:ST_Currency",LEFT(L4,7),MID(L5,1,LEN(L5)-4),Devise,"EUR",$D$8))</f>
        <v>1</v>
      </c>
      <c r="M8" s="98">
        <f ca="1">IF(LEFT(M4,1)="F",_xll.DBR("tango_core_model:ST_Currency",M4,MID(M5,1,LEN(M5)-4),Devise,"EUR",$D$8),_xll.DBR("tango_core_model:ST_Currency",LEFT(M4,7),MID(M5,1,LEN(M5)-4),Devise,"EUR",$D$8))</f>
        <v>1</v>
      </c>
      <c r="N8" s="98">
        <f ca="1">IF(LEFT(N4,1)="F",_xll.DBR("tango_core_model:ST_Currency",N4,MID(N5,1,LEN(N5)-4),Devise,"EUR",$D$8),_xll.DBR("tango_core_model:ST_Currency",LEFT(N4,7),MID(N5,1,LEN(N5)-4),Devise,"EUR",$D$8))</f>
        <v>1</v>
      </c>
      <c r="O8" s="100"/>
      <c r="P8" s="100"/>
      <c r="Q8" s="99"/>
      <c r="R8" s="98">
        <f ca="1">IF(LEFT(R4,1)="F",_xll.DBR("tango_core_model:ST_Currency",R4,MID(R5,1,LEN(R5)-4),Devise,"EUR",$D$8),_xll.DBR("tango_core_model:ST_Currency",LEFT(R4,7),MID(R5,1,LEN(R5)-4),Devise,"EUR",$D$8))</f>
        <v>1</v>
      </c>
      <c r="S8" s="98">
        <f ca="1">IF(LEFT(S4,1)="F",_xll.DBR("tango_core_model:ST_Currency",S4,MID(S5,1,LEN(S5)-4),Devise,"EUR",$D$8),_xll.DBR("tango_core_model:ST_Currency",LEFT(S4,7),MID(S5,1,LEN(S5)-4),Devise,"EUR",$D$8))</f>
        <v>1</v>
      </c>
      <c r="T8" s="98">
        <f ca="1">IF(LEFT(T4,1)="F",_xll.DBR("tango_core_model:ST_Currency",T4,MID(T5,1,LEN(T5)-4),Devise,"EUR",$D$8),_xll.DBR("tango_core_model:ST_Currency",LEFT(T4,7),MID(T5,1,LEN(T5)-4),Devise,"EUR",$D$8))</f>
        <v>1</v>
      </c>
      <c r="U8" s="100"/>
      <c r="V8" s="100"/>
      <c r="W8" s="99"/>
      <c r="X8" s="98">
        <f ca="1">IF(LEFT(X4,1)="F",_xll.DBR("tango_core_model:ST_Currency",X4,MID(X5,1,LEN(X5)-4),Devise,"EUR",$D$8),_xll.DBR("tango_core_model:ST_Currency",LEFT(X4,7),MID(X5,1,LEN(X5)-4),Devise,"EUR",$D$8))</f>
        <v>1</v>
      </c>
      <c r="Y8" s="98">
        <f ca="1">IF(LEFT(Y4,1)="F",_xll.DBR("tango_core_model:ST_Currency",Y4,MID(Y5,1,LEN(Y5)-4),Devise,"EUR",$D$8),_xll.DBR("tango_core_model:ST_Currency",LEFT(Y4,7),MID(Y5,1,LEN(Y5)-4),Devise,"EUR",$D$8))</f>
        <v>1</v>
      </c>
      <c r="Z8" s="98">
        <f ca="1">IF(LEFT(Z4,1)="F",_xll.DBR("tango_core_model:ST_Currency",Z4,MID(Z5,1,LEN(Z5)-4),Devise,"EUR",$D$8),_xll.DBR("tango_core_model:ST_Currency",LEFT(Z4,7),MID(Z5,1,LEN(Z5)-4),Devise,"EUR",$D$8))</f>
        <v>1</v>
      </c>
      <c r="AA8" s="100"/>
      <c r="AB8" s="100"/>
      <c r="AC8" s="99"/>
      <c r="AD8" s="98">
        <f ca="1">IF(LEFT(AD4,1)="F",_xll.DBR("tango_core_model:ST_Currency",AD4,MID(AD5,1,LEN(AD5)-4),Devise,"EUR",$D$8),_xll.DBR("tango_core_model:ST_Currency",LEFT(AD4,7),MID(AD5,1,LEN(AD5)-4),Devise,"EUR",$D$8))</f>
        <v>1</v>
      </c>
      <c r="AE8" s="98">
        <f ca="1">IF(LEFT(AE4,1)="F",_xll.DBR("tango_core_model:ST_Currency",AE4,MID(AE5,1,LEN(AE5)-4),Devise,"EUR",$D$8),_xll.DBR("tango_core_model:ST_Currency",LEFT(AE4,7),MID(AE5,1,LEN(AE5)-4),Devise,"EUR",$D$8))</f>
        <v>1</v>
      </c>
      <c r="AF8" s="98">
        <f ca="1">IF(LEFT(AF4,1)="F",_xll.DBR("tango_core_model:ST_Currency",AF4,MID(AF5,1,LEN(AF5)-4),Devise,"EUR",$D$8),_xll.DBR("tango_core_model:ST_Currency",LEFT(AF4,7),MID(AF5,1,LEN(AF5)-4),Devise,"EUR",$D$8))</f>
        <v>1</v>
      </c>
      <c r="AG8" s="100"/>
      <c r="AH8" s="100"/>
    </row>
    <row r="9" spans="1:54" s="101" customFormat="1" hidden="1" outlineLevel="1">
      <c r="A9" s="98" t="s">
        <v>28</v>
      </c>
      <c r="B9" s="98" t="str">
        <f ca="1">Management_Organization</f>
        <v>TRANSDEV All</v>
      </c>
      <c r="C9" s="99"/>
      <c r="D9" s="102" t="s">
        <v>30</v>
      </c>
      <c r="E9" s="103"/>
      <c r="F9" s="98">
        <f ca="1">IF(LEFT(F4,1)="F",_xll.DBR("tango_core_model:ST_Currency",F4,MID(F5,1,LEN(F5)-4),Devise,"EUR",$D$9),_xll.DBR("tango_core_model:ST_Currency",LEFT(F4,7),MID(F5,1,LEN(F5)-4),Devise,"EUR",$D$9))</f>
        <v>1</v>
      </c>
      <c r="G9" s="98">
        <f ca="1">IF(LEFT(G4,1)="F",_xll.DBR("tango_core_model:ST_Currency",G4,MID(G5,1,LEN(G5)-4),Devise,"EUR",$D$9),_xll.DBR("tango_core_model:ST_Currency",LEFT(G4,7),MID(G5,1,LEN(G5)-4),Devise,"EUR",$D$9))</f>
        <v>1</v>
      </c>
      <c r="H9" s="98">
        <f ca="1">IF(LEFT(H4,1)="F",_xll.DBR("tango_core_model:ST_Currency",H4,MID(H5,1,LEN(H5)-4),Devise,"EUR",$D$9),_xll.DBR("tango_core_model:ST_Currency",LEFT(H4,7),MID(H5,1,LEN(H5)-4),Devise,"EUR",$D$9))</f>
        <v>1</v>
      </c>
      <c r="I9" s="100"/>
      <c r="J9" s="100"/>
      <c r="K9" s="103"/>
      <c r="L9" s="98">
        <f ca="1">IF(LEFT(L4,1)="F",_xll.DBR("tango_core_model:ST_Currency",L4,MID(L5,1,LEN(L5)-4),Devise,"EUR",$D$9),_xll.DBR("tango_core_model:ST_Currency",LEFT(L4,7),MID(L5,1,LEN(L5)-4),Devise,"EUR",$D$9))</f>
        <v>1</v>
      </c>
      <c r="M9" s="98">
        <f ca="1">IF(LEFT(M4,1)="F",_xll.DBR("tango_core_model:ST_Currency",M4,MID(M5,1,LEN(M5)-4),Devise,"EUR",$D$9),_xll.DBR("tango_core_model:ST_Currency",LEFT(M4,7),MID(M5,1,LEN(M5)-4),Devise,"EUR",$D$9))</f>
        <v>1</v>
      </c>
      <c r="N9" s="98">
        <f ca="1">IF(LEFT(N4,1)="F",_xll.DBR("tango_core_model:ST_Currency",N4,MID(N5,1,LEN(N5)-4),Devise,"EUR",$D$9),_xll.DBR("tango_core_model:ST_Currency",LEFT(N4,7),MID(N5,1,LEN(N5)-4),Devise,"EUR",$D$9))</f>
        <v>1</v>
      </c>
      <c r="O9" s="100"/>
      <c r="P9" s="100"/>
      <c r="Q9" s="103"/>
      <c r="R9" s="98">
        <f ca="1">IF(LEFT(R4,1)="F",_xll.DBR("tango_core_model:ST_Currency",R4,MID(R5,1,LEN(R5)-4),Devise,"EUR",$D$9),_xll.DBR("tango_core_model:ST_Currency",LEFT(R4,7),MID(R5,1,LEN(R5)-4),Devise,"EUR",$D$9))</f>
        <v>1</v>
      </c>
      <c r="S9" s="98">
        <f ca="1">IF(LEFT(S4,1)="F",_xll.DBR("tango_core_model:ST_Currency",S4,MID(S5,1,LEN(S5)-4),Devise,"EUR",$D$9),_xll.DBR("tango_core_model:ST_Currency",LEFT(S4,7),MID(S5,1,LEN(S5)-4),Devise,"EUR",$D$9))</f>
        <v>1</v>
      </c>
      <c r="T9" s="98">
        <f ca="1">IF(LEFT(T4,1)="F",_xll.DBR("tango_core_model:ST_Currency",T4,MID(T5,1,LEN(T5)-4),Devise,"EUR",$D$9),_xll.DBR("tango_core_model:ST_Currency",LEFT(T4,7),MID(T5,1,LEN(T5)-4),Devise,"EUR",$D$9))</f>
        <v>1</v>
      </c>
      <c r="U9" s="100"/>
      <c r="V9" s="100"/>
      <c r="W9" s="103"/>
      <c r="X9" s="98">
        <f ca="1">IF(LEFT(X4,1)="F",_xll.DBR("tango_core_model:ST_Currency",X4,MID(X5,1,LEN(X5)-4),Devise,"EUR",$D$9),_xll.DBR("tango_core_model:ST_Currency",LEFT(X4,7),MID(X5,1,LEN(X5)-4),Devise,"EUR",$D$9))</f>
        <v>1</v>
      </c>
      <c r="Y9" s="98">
        <f ca="1">IF(LEFT(Y4,1)="F",_xll.DBR("tango_core_model:ST_Currency",Y4,MID(Y5,1,LEN(Y5)-4),Devise,"EUR",$D$9),_xll.DBR("tango_core_model:ST_Currency",LEFT(Y4,7),MID(Y5,1,LEN(Y5)-4),Devise,"EUR",$D$9))</f>
        <v>1</v>
      </c>
      <c r="Z9" s="98">
        <f ca="1">IF(LEFT(Z4,1)="F",_xll.DBR("tango_core_model:ST_Currency",Z4,MID(Z5,1,LEN(Z5)-4),Devise,"EUR",$D$9),_xll.DBR("tango_core_model:ST_Currency",LEFT(Z4,7),MID(Z5,1,LEN(Z5)-4),Devise,"EUR",$D$9))</f>
        <v>1</v>
      </c>
      <c r="AA9" s="100"/>
      <c r="AB9" s="100"/>
      <c r="AC9" s="103"/>
      <c r="AD9" s="98">
        <f ca="1">IF(LEFT(AD4,1)="F",_xll.DBR("tango_core_model:ST_Currency",AD4,MID(AD5,1,LEN(AD5)-4),Devise,"EUR",$D$9),_xll.DBR("tango_core_model:ST_Currency",LEFT(AD4,7),MID(AD5,1,LEN(AD5)-4),Devise,"EUR",$D$9))</f>
        <v>1</v>
      </c>
      <c r="AE9" s="98">
        <f ca="1">IF(LEFT(AE4,1)="F",_xll.DBR("tango_core_model:ST_Currency",AE4,MID(AE5,1,LEN(AE5)-4),Devise,"EUR",$D$9),_xll.DBR("tango_core_model:ST_Currency",LEFT(AE4,7),MID(AE5,1,LEN(AE5)-4),Devise,"EUR",$D$9))</f>
        <v>1</v>
      </c>
      <c r="AF9" s="98">
        <f ca="1">IF(LEFT(AF4,1)="F",_xll.DBR("tango_core_model:ST_Currency",AF4,MID(AF5,1,LEN(AF5)-4),Devise,"EUR",$D$9),_xll.DBR("tango_core_model:ST_Currency",LEFT(AF4,7),MID(AF5,1,LEN(AF5)-4),Devise,"EUR",$D$9))</f>
        <v>1</v>
      </c>
      <c r="AG9" s="100"/>
      <c r="AH9" s="100"/>
    </row>
    <row r="10" spans="1:54" hidden="1" outlineLevel="1">
      <c r="D10" s="31"/>
      <c r="E10" s="32"/>
      <c r="F10" s="33"/>
      <c r="G10" s="33"/>
      <c r="H10" s="33"/>
      <c r="I10" s="34"/>
      <c r="J10" s="34"/>
      <c r="K10" s="32"/>
      <c r="L10" s="33"/>
      <c r="M10" s="33"/>
      <c r="N10" s="33"/>
      <c r="O10" s="34"/>
      <c r="P10" s="34"/>
      <c r="Q10" s="32"/>
      <c r="R10" s="33"/>
      <c r="S10" s="33"/>
      <c r="T10" s="33"/>
      <c r="U10" s="34"/>
      <c r="V10" s="34"/>
      <c r="W10" s="32"/>
      <c r="X10" s="33"/>
      <c r="Y10" s="33"/>
      <c r="Z10" s="33"/>
      <c r="AA10" s="34"/>
      <c r="AB10" s="34"/>
      <c r="AC10" s="32"/>
      <c r="AD10" s="33"/>
      <c r="AE10" s="33"/>
      <c r="AF10" s="33"/>
      <c r="AG10" s="34"/>
      <c r="AH10" s="34"/>
    </row>
    <row r="11" spans="1:54" ht="39.950000000000003" customHeight="1" collapsed="1" thickBot="1">
      <c r="D11" s="31"/>
      <c r="E11" s="32"/>
      <c r="F11" s="97" t="str">
        <f>IF(Language="English","P&amp;L Agregated","P&amp;L simplifié")</f>
        <v>P&amp;L Agregated</v>
      </c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</row>
    <row r="12" spans="1:54" ht="12.75" thickBot="1">
      <c r="D12" s="31"/>
      <c r="E12" s="32"/>
      <c r="F12" s="33"/>
      <c r="G12" s="33"/>
      <c r="H12" s="33"/>
      <c r="I12" s="34"/>
      <c r="J12" s="34"/>
      <c r="K12" s="32"/>
      <c r="L12" s="33"/>
      <c r="M12" s="33"/>
      <c r="N12" s="33"/>
      <c r="O12" s="34"/>
      <c r="P12" s="34"/>
      <c r="Q12" s="32"/>
      <c r="R12" s="33"/>
      <c r="S12" s="33"/>
      <c r="T12" s="33"/>
      <c r="U12" s="34"/>
      <c r="V12" s="34"/>
      <c r="W12" s="32"/>
      <c r="X12" s="33"/>
      <c r="Y12" s="33"/>
      <c r="Z12" s="33"/>
      <c r="AA12" s="34"/>
      <c r="AB12" s="34"/>
      <c r="AC12" s="32"/>
      <c r="AD12" s="33"/>
      <c r="AE12" s="33"/>
      <c r="AF12" s="33"/>
      <c r="AG12" s="34"/>
      <c r="AH12" s="34"/>
    </row>
    <row r="13" spans="1:54" s="118" customFormat="1" ht="29.25" customHeight="1" thickTop="1" thickBot="1">
      <c r="A13" s="117"/>
      <c r="F13" s="257" t="str">
        <f ca="1">IF(Country="United States",F7,_xll.DBRA("tango_core_model:activity",F6,Language))</f>
        <v>Urban</v>
      </c>
      <c r="G13" s="258"/>
      <c r="H13" s="258"/>
      <c r="I13" s="258"/>
      <c r="J13" s="259"/>
      <c r="L13" s="257" t="str">
        <f ca="1">IF(Country="United States",L7,_xll.DBRA("tango_core_model:activity",L6,Language))</f>
        <v>Regional Coach</v>
      </c>
      <c r="M13" s="258"/>
      <c r="N13" s="258"/>
      <c r="O13" s="258"/>
      <c r="P13" s="259"/>
      <c r="R13" s="257" t="str">
        <f ca="1">IF(Country="United States",R7,_xll.DBRA("tango_core_model:activity",R6,Language))</f>
        <v>Suburban</v>
      </c>
      <c r="S13" s="258"/>
      <c r="T13" s="258"/>
      <c r="U13" s="258"/>
      <c r="V13" s="259"/>
      <c r="X13" s="257" t="str">
        <f>IF(Language="French","Autres","Others")</f>
        <v>Others</v>
      </c>
      <c r="Y13" s="258"/>
      <c r="Z13" s="258"/>
      <c r="AA13" s="258"/>
      <c r="AB13" s="259"/>
      <c r="AD13" s="252" t="str">
        <f ca="1">_xll.DBRA("tango_core_model:legal_organization",Context!E7,Language)</f>
        <v>Not affected</v>
      </c>
      <c r="AE13" s="253"/>
      <c r="AF13" s="253"/>
      <c r="AG13" s="253"/>
      <c r="AH13" s="254"/>
    </row>
    <row r="14" spans="1:54" s="24" customFormat="1" ht="14.25" customHeight="1">
      <c r="A14" s="35"/>
      <c r="D14" s="116" t="str">
        <f ca="1">_xll.DBRA("tango_core_model:gaap",B4,Language)</f>
        <v>Local Gaap Management tool</v>
      </c>
      <c r="F14" s="36" t="str">
        <f ca="1">SUBSTITUTE(F4,"_YTD","")</f>
        <v>2019.02</v>
      </c>
      <c r="G14" s="36" t="str">
        <f ca="1">SUBSTITUTE(G4,"_YTD","")</f>
        <v>2019.02</v>
      </c>
      <c r="H14" s="36" t="str">
        <f ca="1">SUBSTITUTE(H4,"_YTD","")</f>
        <v>2018.02</v>
      </c>
      <c r="I14" s="250" t="str">
        <f ca="1">IF(LEFT(G14,1)="F","Var vs "&amp;G15&amp;" "&amp;RIGHT(G14,4),"Var vs "&amp;G15&amp;" "&amp;LEFT(G14,4))</f>
        <v>Var vs BUDG_VC 2019</v>
      </c>
      <c r="J14" s="250" t="str">
        <f ca="1">IF(LEFT(H14,1)="F","Var vs "&amp;H15&amp;" "&amp;RIGHT(H14,4),"Var vs "&amp;H15&amp;" "&amp;LEFT(H14,4))</f>
        <v>Var vs ACT 2018</v>
      </c>
      <c r="L14" s="36" t="str">
        <f ca="1">SUBSTITUTE(L4,"_YTD","")</f>
        <v>2019.02</v>
      </c>
      <c r="M14" s="36" t="str">
        <f ca="1">SUBSTITUTE(M4,"_YTD","")</f>
        <v>2019.02</v>
      </c>
      <c r="N14" s="36" t="str">
        <f ca="1">SUBSTITUTE(N4,"_YTD","")</f>
        <v>2018.02</v>
      </c>
      <c r="O14" s="250" t="str">
        <f ca="1">IF(LEFT(M14,1)="F","Var vs "&amp;M15&amp;" "&amp;RIGHT(M14,4),"Var vs "&amp;M15&amp;" "&amp;LEFT(M14,4))</f>
        <v>Var vs BUDG_VC 2019</v>
      </c>
      <c r="P14" s="250" t="str">
        <f ca="1">IF(LEFT(N14,1)="F","Var vs "&amp;N15&amp;" "&amp;RIGHT(N14,4),"Var vs "&amp;N15&amp;" "&amp;LEFT(N14,4))</f>
        <v>Var vs ACT 2018</v>
      </c>
      <c r="R14" s="36" t="str">
        <f ca="1">SUBSTITUTE(R4,"_YTD","")</f>
        <v>2019.02</v>
      </c>
      <c r="S14" s="36" t="str">
        <f ca="1">SUBSTITUTE(S4,"_YTD","")</f>
        <v>2019.02</v>
      </c>
      <c r="T14" s="36" t="str">
        <f ca="1">SUBSTITUTE(T4,"_YTD","")</f>
        <v>2018.02</v>
      </c>
      <c r="U14" s="250" t="str">
        <f ca="1">IF(LEFT(S14,1)="F","Var vs "&amp;S15&amp;" "&amp;RIGHT(S14,4),"Var vs "&amp;S15&amp;" "&amp;LEFT(S14,4))</f>
        <v>Var vs BUDG_VC 2019</v>
      </c>
      <c r="V14" s="250" t="str">
        <f ca="1">IF(LEFT(T14,1)="F","Var vs "&amp;T15&amp;" "&amp;RIGHT(T14,4),"Var vs "&amp;T15&amp;" "&amp;LEFT(T14,4))</f>
        <v>Var vs ACT 2018</v>
      </c>
      <c r="X14" s="36" t="str">
        <f ca="1">SUBSTITUTE(X4,"_YTD","")</f>
        <v>2019.02</v>
      </c>
      <c r="Y14" s="36" t="str">
        <f ca="1">SUBSTITUTE(Y4,"_YTD","")</f>
        <v>2019.02</v>
      </c>
      <c r="Z14" s="36" t="str">
        <f ca="1">SUBSTITUTE(Z4,"_YTD","")</f>
        <v>2018.02</v>
      </c>
      <c r="AA14" s="250" t="str">
        <f ca="1">IF(LEFT(Y14,1)="F","Var vs "&amp;Y15&amp;" "&amp;RIGHT(Y14,4),"Var vs "&amp;Y15&amp;" "&amp;LEFT(Y14,4))</f>
        <v>Var vs BUDG_VC 2019</v>
      </c>
      <c r="AB14" s="250" t="str">
        <f ca="1">IF(LEFT(Z14,1)="F","Var vs "&amp;Z15&amp;" "&amp;RIGHT(Z14,4),"Var vs "&amp;Z15&amp;" "&amp;LEFT(Z14,4))</f>
        <v>Var vs ACT 2018</v>
      </c>
      <c r="AD14" s="37" t="str">
        <f ca="1">SUBSTITUTE(AD4,"_YTD","")</f>
        <v>2019.02</v>
      </c>
      <c r="AE14" s="36" t="str">
        <f ca="1">SUBSTITUTE(AE4,"_YTD","")</f>
        <v>2019.02</v>
      </c>
      <c r="AF14" s="36" t="str">
        <f ca="1">SUBSTITUTE(AF4,"_YTD","")</f>
        <v>2018.02</v>
      </c>
      <c r="AG14" s="250" t="str">
        <f ca="1">IF(LEFT(AE14,1)="F","Var vs "&amp;AE15&amp;" "&amp;RIGHT(AE14,4),"Var vs "&amp;AE15&amp;" "&amp;LEFT(AE14,4))</f>
        <v>Var vs BUDG_VC 2019</v>
      </c>
      <c r="AH14" s="255" t="str">
        <f ca="1">IF(LEFT(AF14,1)="F","Var vs "&amp;AF15&amp;" "&amp;RIGHT(AF14,4),"Var vs "&amp;AF15&amp;" "&amp;LEFT(AF14,4))</f>
        <v>Var vs ACT 2018</v>
      </c>
    </row>
    <row r="15" spans="1:54" s="24" customFormat="1" ht="14.25" customHeight="1">
      <c r="A15" s="35"/>
      <c r="D15" s="116" t="str">
        <f ca="1">"M"&amp;Devise</f>
        <v>MEUR</v>
      </c>
      <c r="F15" s="36" t="str">
        <f>SUBSTITUTE(F5,"_TOT","")</f>
        <v>ACT</v>
      </c>
      <c r="G15" s="36" t="str">
        <f>SUBSTITUTE(G5,"_TOT","")</f>
        <v>BUDG_VC</v>
      </c>
      <c r="H15" s="36" t="str">
        <f ca="1">SUBSTITUTE(H5,"_TOT","")</f>
        <v>ACT</v>
      </c>
      <c r="I15" s="251"/>
      <c r="J15" s="251"/>
      <c r="L15" s="36" t="str">
        <f>SUBSTITUTE(L5,"_TOT","")</f>
        <v>ACT</v>
      </c>
      <c r="M15" s="36" t="str">
        <f>SUBSTITUTE(M5,"_TOT","")</f>
        <v>BUDG_VC</v>
      </c>
      <c r="N15" s="36" t="str">
        <f ca="1">SUBSTITUTE(N5,"_TOT","")</f>
        <v>ACT</v>
      </c>
      <c r="O15" s="251"/>
      <c r="P15" s="251"/>
      <c r="R15" s="36" t="str">
        <f>SUBSTITUTE(R5,"_TOT","")</f>
        <v>ACT</v>
      </c>
      <c r="S15" s="36" t="str">
        <f>SUBSTITUTE(S5,"_TOT","")</f>
        <v>BUDG_VC</v>
      </c>
      <c r="T15" s="36" t="str">
        <f ca="1">SUBSTITUTE(T5,"_TOT","")</f>
        <v>ACT</v>
      </c>
      <c r="U15" s="251"/>
      <c r="V15" s="251"/>
      <c r="X15" s="36" t="str">
        <f>SUBSTITUTE(X5,"_TOT","")</f>
        <v>ACT</v>
      </c>
      <c r="Y15" s="36" t="str">
        <f>SUBSTITUTE(Y5,"_TOT","")</f>
        <v>BUDG_VC</v>
      </c>
      <c r="Z15" s="36" t="str">
        <f ca="1">SUBSTITUTE(Z5,"_TOT","")</f>
        <v>ACT</v>
      </c>
      <c r="AA15" s="251"/>
      <c r="AB15" s="251"/>
      <c r="AD15" s="37" t="str">
        <f>SUBSTITUTE(AD5,"_TOT","")</f>
        <v>ACT</v>
      </c>
      <c r="AE15" s="36" t="str">
        <f>SUBSTITUTE(AE5,"_TOT","")</f>
        <v>BUDG_VC</v>
      </c>
      <c r="AF15" s="36" t="str">
        <f ca="1">SUBSTITUTE(AF5,"_TOT","")</f>
        <v>ACT</v>
      </c>
      <c r="AG15" s="251"/>
      <c r="AH15" s="256"/>
    </row>
    <row r="16" spans="1:54" s="40" customFormat="1" ht="9.75" customHeight="1">
      <c r="A16" s="71"/>
      <c r="B16" s="35"/>
      <c r="C16" s="35"/>
      <c r="D16" s="31"/>
      <c r="E16" s="32"/>
      <c r="F16" s="33"/>
      <c r="G16" s="33"/>
      <c r="H16" s="33"/>
      <c r="I16" s="34"/>
      <c r="J16" s="34"/>
      <c r="K16" s="32"/>
      <c r="L16" s="33"/>
      <c r="M16" s="33"/>
      <c r="N16" s="33"/>
      <c r="O16" s="34"/>
      <c r="P16" s="34"/>
      <c r="Q16" s="32"/>
      <c r="R16" s="33"/>
      <c r="S16" s="33"/>
      <c r="T16" s="33"/>
      <c r="U16" s="34"/>
      <c r="V16" s="34"/>
      <c r="W16" s="32"/>
      <c r="X16" s="33"/>
      <c r="Y16" s="33"/>
      <c r="Z16" s="33"/>
      <c r="AA16" s="34"/>
      <c r="AB16" s="34"/>
      <c r="AC16" s="32"/>
      <c r="AD16" s="38"/>
      <c r="AE16" s="33"/>
      <c r="AF16" s="33"/>
      <c r="AG16" s="34"/>
      <c r="AH16" s="39"/>
      <c r="AJ16" s="24"/>
    </row>
    <row r="17" spans="1:36" s="162" customFormat="1" ht="26.1" customHeight="1">
      <c r="A17" s="154" t="s">
        <v>72</v>
      </c>
      <c r="B17" s="155"/>
      <c r="C17" s="155"/>
      <c r="D17" s="156" t="str">
        <f ca="1">_xll.DBRA("tango_core_model:indicator",A17,Language)</f>
        <v>REVENUE FROM ORDINARY ACTIVITIES (by destination)</v>
      </c>
      <c r="E17" s="157"/>
      <c r="F17" s="158">
        <f ca="1">_xll.DBRW($B$3,F$6,$B$5,$B$4,$B$6,F$7,$B$9,F$4,F$5,$A17)*F$8</f>
        <v>0</v>
      </c>
      <c r="G17" s="158">
        <f ca="1">_xll.DBRW($B$3,G$6,$B$5,$B$4,$B$6,G$7,$B$9,G$4,G$5,$A17)*G$8</f>
        <v>0</v>
      </c>
      <c r="H17" s="158">
        <f ca="1">_xll.DBRW($B$3,H$6,$B$5,$B$4,$B$6,H$7,$B$9,H$4,H$5,$A17)*H$8</f>
        <v>0</v>
      </c>
      <c r="I17" s="159">
        <f t="shared" ref="I17:I22" ca="1" si="0">IF(OR(F17="",G17=""),"-",IFERROR((F17-G17),""))</f>
        <v>0</v>
      </c>
      <c r="J17" s="159">
        <f t="shared" ref="J17:J22" ca="1" si="1">IF(OR(F17="",H17=""),"-",IFERROR((F17-H17),""))</f>
        <v>0</v>
      </c>
      <c r="K17" s="157"/>
      <c r="L17" s="158">
        <f ca="1">_xll.DBRW($B$3,L$6,$B$5,$B$4,$B$6,L$7,$B$9,L$4,L$5,$A17)*L$8</f>
        <v>0</v>
      </c>
      <c r="M17" s="158">
        <f ca="1">_xll.DBRW($B$3,M$6,$B$5,$B$4,$B$6,M$7,$B$9,M$4,M$5,$A17)*M$8</f>
        <v>0</v>
      </c>
      <c r="N17" s="158">
        <f ca="1">_xll.DBRW($B$3,N$6,$B$5,$B$4,$B$6,N$7,$B$9,N$4,N$5,$A17)*N$8</f>
        <v>0</v>
      </c>
      <c r="O17" s="159">
        <f t="shared" ref="O17:O22" ca="1" si="2">IF(OR(L17="",M17=""),"-",IFERROR((L17-M17),""))</f>
        <v>0</v>
      </c>
      <c r="P17" s="159">
        <f t="shared" ref="P17:P22" ca="1" si="3">IF(OR(L17="",N17=""),"-",IFERROR((L17-N17),""))</f>
        <v>0</v>
      </c>
      <c r="Q17" s="157"/>
      <c r="R17" s="158">
        <f ca="1">_xll.DBRW($B$3,R$6,$B$5,$B$4,$B$6,R$7,$B$9,R$4,R$5,$A17)*R$8</f>
        <v>0</v>
      </c>
      <c r="S17" s="158">
        <f ca="1">_xll.DBRW($B$3,S$6,$B$5,$B$4,$B$6,S$7,$B$9,S$4,S$5,$A17)*S$8</f>
        <v>0</v>
      </c>
      <c r="T17" s="158">
        <f ca="1">_xll.DBRW($B$3,T$6,$B$5,$B$4,$B$6,T$7,$B$9,T$4,T$5,$A17)*T$8</f>
        <v>0</v>
      </c>
      <c r="U17" s="159">
        <f t="shared" ref="U17:U22" ca="1" si="4">IF(OR(R17="",S17=""),"-",IFERROR((R17-S17),""))</f>
        <v>0</v>
      </c>
      <c r="V17" s="159">
        <f t="shared" ref="V17:V22" ca="1" si="5">IF(OR(R17="",T17=""),"-",IFERROR((R17-T17),""))</f>
        <v>0</v>
      </c>
      <c r="W17" s="157"/>
      <c r="X17" s="158">
        <f t="shared" ref="X17:Z22" ca="1" si="6">AD17-(F17+L17+R17)</f>
        <v>0</v>
      </c>
      <c r="Y17" s="158">
        <f t="shared" ca="1" si="6"/>
        <v>0</v>
      </c>
      <c r="Z17" s="158">
        <f t="shared" ca="1" si="6"/>
        <v>0</v>
      </c>
      <c r="AA17" s="159">
        <f t="shared" ref="AA17:AA22" ca="1" si="7">IF(OR(X17="",Y17=""),"-",IFERROR((X17-Y17),""))</f>
        <v>0</v>
      </c>
      <c r="AB17" s="159">
        <f t="shared" ref="AB17:AB22" ca="1" si="8">IF(OR(X17="",Z17=""),"-",IFERROR((X17-Z17),""))</f>
        <v>0</v>
      </c>
      <c r="AC17" s="157"/>
      <c r="AD17" s="160">
        <f ca="1">_xll.DBRW($B$3,AD$6,$B$5,$B$4,$B$6,AD$7,$B$9,AD$4,AD$5,$A17)*AD$8</f>
        <v>0</v>
      </c>
      <c r="AE17" s="158">
        <f ca="1">_xll.DBRW($B$3,AE$6,$B$5,$B$4,$B$6,AE$7,$B$9,AE$4,AE$5,$A17)*AE$8</f>
        <v>0</v>
      </c>
      <c r="AF17" s="158">
        <f ca="1">_xll.DBRW($B$3,AF$6,$B$5,$B$4,$B$6,AF$7,$B$9,AF$4,AF$5,$A17)*AF$8</f>
        <v>0</v>
      </c>
      <c r="AG17" s="159">
        <f t="shared" ref="AG17:AG22" ca="1" si="9">IF(OR(AD17="",AE17=""),"-",IFERROR((AD17-AE17),""))</f>
        <v>0</v>
      </c>
      <c r="AH17" s="161">
        <f t="shared" ref="AH17:AH22" ca="1" si="10">IF(OR(AD17="",AF17=""),"-",IFERROR((AD17-AF17),""))</f>
        <v>0</v>
      </c>
      <c r="AJ17" s="163"/>
    </row>
    <row r="18" spans="1:36" s="40" customFormat="1" ht="11.25" customHeight="1">
      <c r="A18" s="71" t="s">
        <v>73</v>
      </c>
      <c r="B18" s="35"/>
      <c r="C18" s="35"/>
      <c r="D18" s="49" t="str">
        <f ca="1">_xll.DBRA("tango_core_model:indicator",A18,Language)</f>
        <v>Passengers Revenues</v>
      </c>
      <c r="E18" s="49"/>
      <c r="F18" s="50">
        <f ca="1">_xll.DBRW($B$3,F$6,$B$5,$B$4,$B$6,F$7,$B$9,F$4,F$5,$A18)*F$8</f>
        <v>0</v>
      </c>
      <c r="G18" s="50">
        <f ca="1">_xll.DBRW($B$3,G$6,$B$5,$B$4,$B$6,G$7,$B$9,G$4,G$5,$A18)*G$8</f>
        <v>0</v>
      </c>
      <c r="H18" s="50">
        <f ca="1">_xll.DBRW($B$3,H$6,$B$5,$B$4,$B$6,H$7,$B$9,H$4,H$5,$A18)*H$8</f>
        <v>0</v>
      </c>
      <c r="I18" s="51">
        <f t="shared" ca="1" si="0"/>
        <v>0</v>
      </c>
      <c r="J18" s="51">
        <f t="shared" ca="1" si="1"/>
        <v>0</v>
      </c>
      <c r="K18" s="49"/>
      <c r="L18" s="50">
        <f ca="1">_xll.DBRW($B$3,L$6,$B$5,$B$4,$B$6,L$7,$B$9,L$4,L$5,$A18)*L$8</f>
        <v>0</v>
      </c>
      <c r="M18" s="50">
        <f ca="1">_xll.DBRW($B$3,M$6,$B$5,$B$4,$B$6,M$7,$B$9,M$4,M$5,$A18)*M$8</f>
        <v>0</v>
      </c>
      <c r="N18" s="50">
        <f ca="1">_xll.DBRW($B$3,N$6,$B$5,$B$4,$B$6,N$7,$B$9,N$4,N$5,$A18)*N$8</f>
        <v>0</v>
      </c>
      <c r="O18" s="51">
        <f t="shared" ca="1" si="2"/>
        <v>0</v>
      </c>
      <c r="P18" s="51">
        <f t="shared" ca="1" si="3"/>
        <v>0</v>
      </c>
      <c r="Q18" s="49"/>
      <c r="R18" s="50">
        <f ca="1">_xll.DBRW($B$3,R$6,$B$5,$B$4,$B$6,R$7,$B$9,R$4,R$5,$A18)*R$8</f>
        <v>0</v>
      </c>
      <c r="S18" s="50">
        <f ca="1">_xll.DBRW($B$3,S$6,$B$5,$B$4,$B$6,S$7,$B$9,S$4,S$5,$A18)*S$8</f>
        <v>0</v>
      </c>
      <c r="T18" s="50">
        <f ca="1">_xll.DBRW($B$3,T$6,$B$5,$B$4,$B$6,T$7,$B$9,T$4,T$5,$A18)*T$8</f>
        <v>0</v>
      </c>
      <c r="U18" s="51">
        <f t="shared" ca="1" si="4"/>
        <v>0</v>
      </c>
      <c r="V18" s="51">
        <f t="shared" ca="1" si="5"/>
        <v>0</v>
      </c>
      <c r="W18" s="49"/>
      <c r="X18" s="50">
        <f t="shared" ref="X18:X21" ca="1" si="11">AD18-(F18+L18+R18)</f>
        <v>0</v>
      </c>
      <c r="Y18" s="50">
        <f t="shared" ref="Y18:Y21" ca="1" si="12">AE18-(G18+M18+S18)</f>
        <v>0</v>
      </c>
      <c r="Z18" s="50">
        <f t="shared" ref="Z18:Z21" ca="1" si="13">AF18-(H18+N18+T18)</f>
        <v>0</v>
      </c>
      <c r="AA18" s="51">
        <f t="shared" ca="1" si="7"/>
        <v>0</v>
      </c>
      <c r="AB18" s="51">
        <f t="shared" ca="1" si="8"/>
        <v>0</v>
      </c>
      <c r="AC18" s="49"/>
      <c r="AD18" s="52">
        <f ca="1">_xll.DBRW($B$3,AD$6,$B$5,$B$4,$B$6,AD$7,$B$9,AD$4,AD$5,$A18)*AD$8</f>
        <v>0</v>
      </c>
      <c r="AE18" s="50">
        <f ca="1">_xll.DBRW($B$3,AE$6,$B$5,$B$4,$B$6,AE$7,$B$9,AE$4,AE$5,$A18)*AE$8</f>
        <v>0</v>
      </c>
      <c r="AF18" s="50">
        <f ca="1">_xll.DBRW($B$3,AF$6,$B$5,$B$4,$B$6,AF$7,$B$9,AF$4,AF$5,$A18)*AF$8</f>
        <v>0</v>
      </c>
      <c r="AG18" s="51">
        <f t="shared" ca="1" si="9"/>
        <v>0</v>
      </c>
      <c r="AH18" s="53">
        <f t="shared" ca="1" si="10"/>
        <v>0</v>
      </c>
      <c r="AJ18" s="24"/>
    </row>
    <row r="19" spans="1:36" s="40" customFormat="1">
      <c r="A19" s="71" t="s">
        <v>74</v>
      </c>
      <c r="B19" s="35"/>
      <c r="C19" s="35"/>
      <c r="D19" s="54" t="str">
        <f ca="1">_xll.DBRA("tango_core_model:indicator",A19,Language)</f>
        <v>Other transportation revenue (incl. subcontracting revenue)</v>
      </c>
      <c r="E19" s="49"/>
      <c r="F19" s="50">
        <f ca="1">_xll.DBRW($B$3,F$6,$B$5,$B$4,$B$6,F$7,$B$9,F$4,F$5,$A19)*F$8</f>
        <v>0</v>
      </c>
      <c r="G19" s="50">
        <f ca="1">_xll.DBRW($B$3,G$6,$B$5,$B$4,$B$6,G$7,$B$9,G$4,G$5,$A19)*G$8</f>
        <v>0</v>
      </c>
      <c r="H19" s="50">
        <f ca="1">_xll.DBRW($B$3,H$6,$B$5,$B$4,$B$6,H$7,$B$9,H$4,H$5,$A19)*H$8</f>
        <v>0</v>
      </c>
      <c r="I19" s="51">
        <f t="shared" ca="1" si="0"/>
        <v>0</v>
      </c>
      <c r="J19" s="51">
        <f t="shared" ca="1" si="1"/>
        <v>0</v>
      </c>
      <c r="K19" s="49"/>
      <c r="L19" s="50">
        <f ca="1">_xll.DBRW($B$3,L$6,$B$5,$B$4,$B$6,L$7,$B$9,L$4,L$5,$A19)*L$8</f>
        <v>0</v>
      </c>
      <c r="M19" s="50">
        <f ca="1">_xll.DBRW($B$3,M$6,$B$5,$B$4,$B$6,M$7,$B$9,M$4,M$5,$A19)*M$8</f>
        <v>0</v>
      </c>
      <c r="N19" s="50">
        <f ca="1">_xll.DBRW($B$3,N$6,$B$5,$B$4,$B$6,N$7,$B$9,N$4,N$5,$A19)*N$8</f>
        <v>0</v>
      </c>
      <c r="O19" s="51">
        <f t="shared" ca="1" si="2"/>
        <v>0</v>
      </c>
      <c r="P19" s="51">
        <f t="shared" ca="1" si="3"/>
        <v>0</v>
      </c>
      <c r="Q19" s="49"/>
      <c r="R19" s="50">
        <f ca="1">_xll.DBRW($B$3,R$6,$B$5,$B$4,$B$6,R$7,$B$9,R$4,R$5,$A19)*R$8</f>
        <v>0</v>
      </c>
      <c r="S19" s="50">
        <f ca="1">_xll.DBRW($B$3,S$6,$B$5,$B$4,$B$6,S$7,$B$9,S$4,S$5,$A19)*S$8</f>
        <v>0</v>
      </c>
      <c r="T19" s="50">
        <f ca="1">_xll.DBRW($B$3,T$6,$B$5,$B$4,$B$6,T$7,$B$9,T$4,T$5,$A19)*T$8</f>
        <v>0</v>
      </c>
      <c r="U19" s="51">
        <f t="shared" ca="1" si="4"/>
        <v>0</v>
      </c>
      <c r="V19" s="51">
        <f t="shared" ca="1" si="5"/>
        <v>0</v>
      </c>
      <c r="W19" s="49"/>
      <c r="X19" s="50">
        <f t="shared" ca="1" si="11"/>
        <v>0</v>
      </c>
      <c r="Y19" s="50">
        <f t="shared" ca="1" si="12"/>
        <v>0</v>
      </c>
      <c r="Z19" s="50">
        <f t="shared" ca="1" si="13"/>
        <v>0</v>
      </c>
      <c r="AA19" s="51">
        <f t="shared" ca="1" si="7"/>
        <v>0</v>
      </c>
      <c r="AB19" s="51">
        <f t="shared" ca="1" si="8"/>
        <v>0</v>
      </c>
      <c r="AC19" s="49"/>
      <c r="AD19" s="52">
        <f ca="1">_xll.DBRW($B$3,AD$6,$B$5,$B$4,$B$6,AD$7,$B$9,AD$4,AD$5,$A19)*AD$8</f>
        <v>0</v>
      </c>
      <c r="AE19" s="50">
        <f ca="1">_xll.DBRW($B$3,AE$6,$B$5,$B$4,$B$6,AE$7,$B$9,AE$4,AE$5,$A19)*AE$8</f>
        <v>0</v>
      </c>
      <c r="AF19" s="50">
        <f ca="1">_xll.DBRW($B$3,AF$6,$B$5,$B$4,$B$6,AF$7,$B$9,AF$4,AF$5,$A19)*AF$8</f>
        <v>0</v>
      </c>
      <c r="AG19" s="51">
        <f t="shared" ca="1" si="9"/>
        <v>0</v>
      </c>
      <c r="AH19" s="53">
        <f t="shared" ca="1" si="10"/>
        <v>0</v>
      </c>
      <c r="AJ19" s="24"/>
    </row>
    <row r="20" spans="1:36" s="40" customFormat="1">
      <c r="A20" s="71" t="s">
        <v>75</v>
      </c>
      <c r="B20" s="35"/>
      <c r="C20" s="35"/>
      <c r="D20" s="55" t="str">
        <f ca="1">_xll.DBRA("tango_core_model:indicator",A20,Language)</f>
        <v>Others sales of services &amp; Advertising</v>
      </c>
      <c r="E20" s="56"/>
      <c r="F20" s="50">
        <f ca="1">_xll.DBRW($B$3,F$6,$B$5,$B$4,$B$6,F$7,$B$9,F$4,F$5,$A20)*F$8</f>
        <v>0</v>
      </c>
      <c r="G20" s="50">
        <f ca="1">_xll.DBRW($B$3,G$6,$B$5,$B$4,$B$6,G$7,$B$9,G$4,G$5,$A20)*G$8</f>
        <v>0</v>
      </c>
      <c r="H20" s="50">
        <f ca="1">_xll.DBRW($B$3,H$6,$B$5,$B$4,$B$6,H$7,$B$9,H$4,H$5,$A20)*H$8</f>
        <v>0</v>
      </c>
      <c r="I20" s="51">
        <f t="shared" ca="1" si="0"/>
        <v>0</v>
      </c>
      <c r="J20" s="51">
        <f t="shared" ca="1" si="1"/>
        <v>0</v>
      </c>
      <c r="K20" s="56"/>
      <c r="L20" s="50">
        <f ca="1">_xll.DBRW($B$3,L$6,$B$5,$B$4,$B$6,L$7,$B$9,L$4,L$5,$A20)*L$8</f>
        <v>0</v>
      </c>
      <c r="M20" s="50">
        <f ca="1">_xll.DBRW($B$3,M$6,$B$5,$B$4,$B$6,M$7,$B$9,M$4,M$5,$A20)*M$8</f>
        <v>0</v>
      </c>
      <c r="N20" s="50">
        <f ca="1">_xll.DBRW($B$3,N$6,$B$5,$B$4,$B$6,N$7,$B$9,N$4,N$5,$A20)*N$8</f>
        <v>0</v>
      </c>
      <c r="O20" s="51">
        <f t="shared" ca="1" si="2"/>
        <v>0</v>
      </c>
      <c r="P20" s="51">
        <f t="shared" ca="1" si="3"/>
        <v>0</v>
      </c>
      <c r="Q20" s="56"/>
      <c r="R20" s="50">
        <f ca="1">_xll.DBRW($B$3,R$6,$B$5,$B$4,$B$6,R$7,$B$9,R$4,R$5,$A20)*R$8</f>
        <v>0</v>
      </c>
      <c r="S20" s="50">
        <f ca="1">_xll.DBRW($B$3,S$6,$B$5,$B$4,$B$6,S$7,$B$9,S$4,S$5,$A20)*S$8</f>
        <v>0</v>
      </c>
      <c r="T20" s="50">
        <f ca="1">_xll.DBRW($B$3,T$6,$B$5,$B$4,$B$6,T$7,$B$9,T$4,T$5,$A20)*T$8</f>
        <v>0</v>
      </c>
      <c r="U20" s="51">
        <f t="shared" ca="1" si="4"/>
        <v>0</v>
      </c>
      <c r="V20" s="51">
        <f t="shared" ca="1" si="5"/>
        <v>0</v>
      </c>
      <c r="W20" s="56"/>
      <c r="X20" s="50">
        <f t="shared" ca="1" si="11"/>
        <v>0</v>
      </c>
      <c r="Y20" s="50">
        <f t="shared" ca="1" si="12"/>
        <v>0</v>
      </c>
      <c r="Z20" s="50">
        <f t="shared" ca="1" si="13"/>
        <v>0</v>
      </c>
      <c r="AA20" s="51">
        <f t="shared" ca="1" si="7"/>
        <v>0</v>
      </c>
      <c r="AB20" s="51">
        <f t="shared" ca="1" si="8"/>
        <v>0</v>
      </c>
      <c r="AC20" s="56"/>
      <c r="AD20" s="52">
        <f ca="1">_xll.DBRW($B$3,AD$6,$B$5,$B$4,$B$6,AD$7,$B$9,AD$4,AD$5,$A20)*AD$8</f>
        <v>0</v>
      </c>
      <c r="AE20" s="50">
        <f ca="1">_xll.DBRW($B$3,AE$6,$B$5,$B$4,$B$6,AE$7,$B$9,AE$4,AE$5,$A20)*AE$8</f>
        <v>0</v>
      </c>
      <c r="AF20" s="50">
        <f ca="1">_xll.DBRW($B$3,AF$6,$B$5,$B$4,$B$6,AF$7,$B$9,AF$4,AF$5,$A20)*AF$8</f>
        <v>0</v>
      </c>
      <c r="AG20" s="51">
        <f t="shared" ca="1" si="9"/>
        <v>0</v>
      </c>
      <c r="AH20" s="53">
        <f t="shared" ca="1" si="10"/>
        <v>0</v>
      </c>
      <c r="AJ20" s="24"/>
    </row>
    <row r="21" spans="1:36" s="40" customFormat="1">
      <c r="A21" s="71" t="s">
        <v>76</v>
      </c>
      <c r="B21" s="35"/>
      <c r="C21" s="35"/>
      <c r="D21" s="55" t="str">
        <f ca="1">_xll.DBRA("tango_core_model:indicator",A21,Language)</f>
        <v>Operating grants (guaranteed and variable)</v>
      </c>
      <c r="E21" s="56"/>
      <c r="F21" s="50">
        <f ca="1">_xll.DBRW($B$3,F$6,$B$5,$B$4,$B$6,F$7,$B$9,F$4,F$5,$A21)*F$8</f>
        <v>0</v>
      </c>
      <c r="G21" s="50">
        <f ca="1">_xll.DBRW($B$3,G$6,$B$5,$B$4,$B$6,G$7,$B$9,G$4,G$5,$A21)*G$8</f>
        <v>0</v>
      </c>
      <c r="H21" s="50">
        <f ca="1">_xll.DBRW($B$3,H$6,$B$5,$B$4,$B$6,H$7,$B$9,H$4,H$5,$A21)*H$8</f>
        <v>0</v>
      </c>
      <c r="I21" s="51">
        <f t="shared" ca="1" si="0"/>
        <v>0</v>
      </c>
      <c r="J21" s="51">
        <f t="shared" ca="1" si="1"/>
        <v>0</v>
      </c>
      <c r="K21" s="56"/>
      <c r="L21" s="50">
        <f ca="1">_xll.DBRW($B$3,L$6,$B$5,$B$4,$B$6,L$7,$B$9,L$4,L$5,$A21)*L$8</f>
        <v>0</v>
      </c>
      <c r="M21" s="50">
        <f ca="1">_xll.DBRW($B$3,M$6,$B$5,$B$4,$B$6,M$7,$B$9,M$4,M$5,$A21)*M$8</f>
        <v>0</v>
      </c>
      <c r="N21" s="50">
        <f ca="1">_xll.DBRW($B$3,N$6,$B$5,$B$4,$B$6,N$7,$B$9,N$4,N$5,$A21)*N$8</f>
        <v>0</v>
      </c>
      <c r="O21" s="51">
        <f t="shared" ca="1" si="2"/>
        <v>0</v>
      </c>
      <c r="P21" s="51">
        <f t="shared" ca="1" si="3"/>
        <v>0</v>
      </c>
      <c r="Q21" s="56"/>
      <c r="R21" s="50">
        <f ca="1">_xll.DBRW($B$3,R$6,$B$5,$B$4,$B$6,R$7,$B$9,R$4,R$5,$A21)*R$8</f>
        <v>0</v>
      </c>
      <c r="S21" s="50">
        <f ca="1">_xll.DBRW($B$3,S$6,$B$5,$B$4,$B$6,S$7,$B$9,S$4,S$5,$A21)*S$8</f>
        <v>0</v>
      </c>
      <c r="T21" s="50">
        <f ca="1">_xll.DBRW($B$3,T$6,$B$5,$B$4,$B$6,T$7,$B$9,T$4,T$5,$A21)*T$8</f>
        <v>0</v>
      </c>
      <c r="U21" s="51">
        <f t="shared" ca="1" si="4"/>
        <v>0</v>
      </c>
      <c r="V21" s="51">
        <f t="shared" ca="1" si="5"/>
        <v>0</v>
      </c>
      <c r="W21" s="56"/>
      <c r="X21" s="50">
        <f t="shared" ca="1" si="11"/>
        <v>0</v>
      </c>
      <c r="Y21" s="50">
        <f t="shared" ca="1" si="12"/>
        <v>0</v>
      </c>
      <c r="Z21" s="50">
        <f t="shared" ca="1" si="13"/>
        <v>0</v>
      </c>
      <c r="AA21" s="51">
        <f t="shared" ca="1" si="7"/>
        <v>0</v>
      </c>
      <c r="AB21" s="51">
        <f t="shared" ca="1" si="8"/>
        <v>0</v>
      </c>
      <c r="AC21" s="56"/>
      <c r="AD21" s="52">
        <f ca="1">_xll.DBRW($B$3,AD$6,$B$5,$B$4,$B$6,AD$7,$B$9,AD$4,AD$5,$A21)*AD$8</f>
        <v>0</v>
      </c>
      <c r="AE21" s="50">
        <f ca="1">_xll.DBRW($B$3,AE$6,$B$5,$B$4,$B$6,AE$7,$B$9,AE$4,AE$5,$A21)*AE$8</f>
        <v>0</v>
      </c>
      <c r="AF21" s="50">
        <f ca="1">_xll.DBRW($B$3,AF$6,$B$5,$B$4,$B$6,AF$7,$B$9,AF$4,AF$5,$A21)*AF$8</f>
        <v>0</v>
      </c>
      <c r="AG21" s="51">
        <f t="shared" ca="1" si="9"/>
        <v>0</v>
      </c>
      <c r="AH21" s="53">
        <f t="shared" ca="1" si="10"/>
        <v>0</v>
      </c>
    </row>
    <row r="22" spans="1:36" s="40" customFormat="1">
      <c r="A22" s="90" t="s">
        <v>106</v>
      </c>
      <c r="B22" s="35"/>
      <c r="C22" s="35"/>
      <c r="D22" s="55" t="str">
        <f>IF(Language="French","Autres revenus","Other revenues")</f>
        <v>Other revenues</v>
      </c>
      <c r="E22" s="56"/>
      <c r="F22" s="50">
        <f ca="1">F17-SUM(F18:F21)</f>
        <v>0</v>
      </c>
      <c r="G22" s="50">
        <f ca="1">G17-SUM(G18:G21)</f>
        <v>0</v>
      </c>
      <c r="H22" s="50">
        <f ca="1">H17-SUM(H18:H21)</f>
        <v>0</v>
      </c>
      <c r="I22" s="57">
        <f t="shared" ca="1" si="0"/>
        <v>0</v>
      </c>
      <c r="J22" s="57">
        <f t="shared" ca="1" si="1"/>
        <v>0</v>
      </c>
      <c r="K22" s="56"/>
      <c r="L22" s="50">
        <f ca="1">L17-SUM(L18:L21)</f>
        <v>0</v>
      </c>
      <c r="M22" s="50">
        <f ca="1">M17-SUM(M18:M21)</f>
        <v>0</v>
      </c>
      <c r="N22" s="50">
        <f ca="1">N17-SUM(N18:N21)</f>
        <v>0</v>
      </c>
      <c r="O22" s="57">
        <f t="shared" ca="1" si="2"/>
        <v>0</v>
      </c>
      <c r="P22" s="57">
        <f t="shared" ca="1" si="3"/>
        <v>0</v>
      </c>
      <c r="Q22" s="56"/>
      <c r="R22" s="50">
        <f ca="1">R17-SUM(R18:R21)</f>
        <v>0</v>
      </c>
      <c r="S22" s="50">
        <f ca="1">S17-SUM(S18:S21)</f>
        <v>0</v>
      </c>
      <c r="T22" s="50">
        <f ca="1">T17-SUM(T18:T21)</f>
        <v>0</v>
      </c>
      <c r="U22" s="57">
        <f t="shared" ca="1" si="4"/>
        <v>0</v>
      </c>
      <c r="V22" s="57">
        <f t="shared" ca="1" si="5"/>
        <v>0</v>
      </c>
      <c r="W22" s="56"/>
      <c r="X22" s="50">
        <f t="shared" ca="1" si="6"/>
        <v>0</v>
      </c>
      <c r="Y22" s="50">
        <f t="shared" ca="1" si="6"/>
        <v>0</v>
      </c>
      <c r="Z22" s="50">
        <f t="shared" ca="1" si="6"/>
        <v>0</v>
      </c>
      <c r="AA22" s="57">
        <f t="shared" ca="1" si="7"/>
        <v>0</v>
      </c>
      <c r="AB22" s="57">
        <f t="shared" ca="1" si="8"/>
        <v>0</v>
      </c>
      <c r="AC22" s="56"/>
      <c r="AD22" s="52">
        <f ca="1">AD17-SUM(AD18:AD21)</f>
        <v>0</v>
      </c>
      <c r="AE22" s="50">
        <f ca="1">AE17-SUM(AE18:AE21)</f>
        <v>0</v>
      </c>
      <c r="AF22" s="50">
        <f ca="1">AF17-SUM(AF18:AF21)</f>
        <v>0</v>
      </c>
      <c r="AG22" s="57">
        <f t="shared" ca="1" si="9"/>
        <v>0</v>
      </c>
      <c r="AH22" s="58">
        <f t="shared" ca="1" si="10"/>
        <v>0</v>
      </c>
    </row>
    <row r="23" spans="1:36" s="40" customFormat="1" ht="9.9499999999999993" customHeight="1">
      <c r="B23" s="35"/>
      <c r="C23" s="35"/>
      <c r="E23" s="1"/>
      <c r="I23" s="59"/>
      <c r="J23" s="59"/>
      <c r="K23" s="1"/>
      <c r="O23" s="59"/>
      <c r="P23" s="59"/>
      <c r="Q23" s="1"/>
      <c r="U23" s="59"/>
      <c r="V23" s="59"/>
      <c r="W23" s="1"/>
      <c r="AA23" s="59"/>
      <c r="AB23" s="59"/>
      <c r="AC23" s="1"/>
      <c r="AD23" s="60"/>
      <c r="AG23" s="59"/>
      <c r="AH23" s="61"/>
    </row>
    <row r="24" spans="1:36" s="162" customFormat="1" ht="26.1" customHeight="1">
      <c r="A24" s="154" t="s">
        <v>86</v>
      </c>
      <c r="B24" s="155"/>
      <c r="C24" s="155"/>
      <c r="D24" s="156" t="str">
        <f ca="1">_xll.DBRA("tango_core_model:indicator",A24,Language)</f>
        <v>COST OF SALES (COS) (by destination)</v>
      </c>
      <c r="E24" s="157"/>
      <c r="F24" s="158">
        <f ca="1">_xll.DBRW($B$3,F$6,$B$5,$B$4,$B$6,F$7,$B$9,F$4,F$5,$A24)*F$8</f>
        <v>0</v>
      </c>
      <c r="G24" s="158">
        <f ca="1">_xll.DBRW($B$3,G$6,$B$5,$B$4,$B$6,G$7,$B$9,G$4,G$5,$A24)*G$8</f>
        <v>0</v>
      </c>
      <c r="H24" s="158">
        <f ca="1">_xll.DBRW($B$3,H$6,$B$5,$B$4,$B$6,H$7,$B$9,H$4,H$5,$A24)*H$8</f>
        <v>0</v>
      </c>
      <c r="I24" s="159">
        <f t="shared" ref="I24:I31" ca="1" si="14">IF(OR(F24="",G24=""),"-",IFERROR((F24-G24),""))</f>
        <v>0</v>
      </c>
      <c r="J24" s="159">
        <f t="shared" ref="J24:J31" ca="1" si="15">IF(OR(F24="",H24=""),"-",IFERROR((F24-H24),""))</f>
        <v>0</v>
      </c>
      <c r="K24" s="157"/>
      <c r="L24" s="158">
        <f ca="1">_xll.DBRW($B$3,L$6,$B$5,$B$4,$B$6,L$7,$B$9,L$4,L$5,$A24)*L$8</f>
        <v>0</v>
      </c>
      <c r="M24" s="158">
        <f ca="1">_xll.DBRW($B$3,M$6,$B$5,$B$4,$B$6,M$7,$B$9,M$4,M$5,$A24)*M$8</f>
        <v>0</v>
      </c>
      <c r="N24" s="158">
        <f ca="1">_xll.DBRW($B$3,N$6,$B$5,$B$4,$B$6,N$7,$B$9,N$4,N$5,$A24)*N$8</f>
        <v>0</v>
      </c>
      <c r="O24" s="159">
        <f t="shared" ref="O24:O31" ca="1" si="16">IF(OR(L24="",M24=""),"-",IFERROR((L24-M24),""))</f>
        <v>0</v>
      </c>
      <c r="P24" s="159">
        <f t="shared" ref="P24:P31" ca="1" si="17">IF(OR(L24="",N24=""),"-",IFERROR((L24-N24),""))</f>
        <v>0</v>
      </c>
      <c r="Q24" s="157"/>
      <c r="R24" s="158">
        <f ca="1">_xll.DBRW($B$3,R$6,$B$5,$B$4,$B$6,R$7,$B$9,R$4,R$5,$A24)*R$8</f>
        <v>0</v>
      </c>
      <c r="S24" s="158">
        <f ca="1">_xll.DBRW($B$3,S$6,$B$5,$B$4,$B$6,S$7,$B$9,S$4,S$5,$A24)*S$8</f>
        <v>0</v>
      </c>
      <c r="T24" s="158">
        <f ca="1">_xll.DBRW($B$3,T$6,$B$5,$B$4,$B$6,T$7,$B$9,T$4,T$5,$A24)*T$8</f>
        <v>0</v>
      </c>
      <c r="U24" s="159">
        <f t="shared" ref="U24:U31" ca="1" si="18">IF(OR(R24="",S24=""),"-",IFERROR((R24-S24),""))</f>
        <v>0</v>
      </c>
      <c r="V24" s="159">
        <f t="shared" ref="V24:V31" ca="1" si="19">IF(OR(R24="",T24=""),"-",IFERROR((R24-T24),""))</f>
        <v>0</v>
      </c>
      <c r="W24" s="157"/>
      <c r="X24" s="158">
        <f t="shared" ref="X24:X31" ca="1" si="20">AD24-(F24+L24+R24)</f>
        <v>0</v>
      </c>
      <c r="Y24" s="158">
        <f t="shared" ref="Y24:Y31" ca="1" si="21">AE24-(G24+M24+S24)</f>
        <v>0</v>
      </c>
      <c r="Z24" s="158">
        <f t="shared" ref="Z24:Z31" ca="1" si="22">AF24-(H24+N24+T24)</f>
        <v>0</v>
      </c>
      <c r="AA24" s="159">
        <f t="shared" ref="AA24:AA31" ca="1" si="23">IF(OR(X24="",Y24=""),"-",IFERROR((X24-Y24),""))</f>
        <v>0</v>
      </c>
      <c r="AB24" s="159">
        <f t="shared" ref="AB24:AB31" ca="1" si="24">IF(OR(X24="",Z24=""),"-",IFERROR((X24-Z24),""))</f>
        <v>0</v>
      </c>
      <c r="AC24" s="157"/>
      <c r="AD24" s="160">
        <f ca="1">_xll.DBRW($B$3,AD$6,$B$5,$B$4,$B$6,AD$7,$B$9,AD$4,AD$5,$A24)*AD$8</f>
        <v>0</v>
      </c>
      <c r="AE24" s="158">
        <f ca="1">_xll.DBRW($B$3,AE$6,$B$5,$B$4,$B$6,AE$7,$B$9,AE$4,AE$5,$A24)*AE$8</f>
        <v>0</v>
      </c>
      <c r="AF24" s="158">
        <f ca="1">_xll.DBRW($B$3,AF$6,$B$5,$B$4,$B$6,AF$7,$B$9,AF$4,AF$5,$A24)*AF$8</f>
        <v>0</v>
      </c>
      <c r="AG24" s="159">
        <f t="shared" ref="AG24:AG31" ca="1" si="25">IF(OR(AD24="",AE24=""),"-",IFERROR((AD24-AE24),""))</f>
        <v>0</v>
      </c>
      <c r="AH24" s="161">
        <f t="shared" ref="AH24:AH31" ca="1" si="26">IF(OR(AD24="",AF24=""),"-",IFERROR((AD24-AF24),""))</f>
        <v>0</v>
      </c>
    </row>
    <row r="25" spans="1:36" s="40" customFormat="1">
      <c r="A25" s="71" t="s">
        <v>77</v>
      </c>
      <c r="B25" s="35"/>
      <c r="C25" s="35"/>
      <c r="D25" s="49" t="str">
        <f ca="1">_xll.DBRA("tango_core_model:indicator",A25,Language)</f>
        <v>Subcontracted transport</v>
      </c>
      <c r="E25" s="49"/>
      <c r="F25" s="50">
        <f ca="1">_xll.DBRW($B$3,F$6,$B$5,$B$4,$B$6,F$7,$B$9,F$4,F$5,$A25)*F$8</f>
        <v>0</v>
      </c>
      <c r="G25" s="50">
        <f ca="1">_xll.DBRW($B$3,G$6,$B$5,$B$4,$B$6,G$7,$B$9,G$4,G$5,$A25)*G$8</f>
        <v>0</v>
      </c>
      <c r="H25" s="50">
        <f ca="1">_xll.DBRW($B$3,H$6,$B$5,$B$4,$B$6,H$7,$B$9,H$4,H$5,$A25)*H$8</f>
        <v>0</v>
      </c>
      <c r="I25" s="51">
        <f t="shared" ca="1" si="14"/>
        <v>0</v>
      </c>
      <c r="J25" s="51">
        <f t="shared" ca="1" si="15"/>
        <v>0</v>
      </c>
      <c r="K25" s="49"/>
      <c r="L25" s="50">
        <f ca="1">_xll.DBRW($B$3,L$6,$B$5,$B$4,$B$6,L$7,$B$9,L$4,L$5,$A25)*L$8</f>
        <v>0</v>
      </c>
      <c r="M25" s="50">
        <f ca="1">_xll.DBRW($B$3,M$6,$B$5,$B$4,$B$6,M$7,$B$9,M$4,M$5,$A25)*M$8</f>
        <v>0</v>
      </c>
      <c r="N25" s="50">
        <f ca="1">_xll.DBRW($B$3,N$6,$B$5,$B$4,$B$6,N$7,$B$9,N$4,N$5,$A25)*N$8</f>
        <v>0</v>
      </c>
      <c r="O25" s="51">
        <f t="shared" ca="1" si="16"/>
        <v>0</v>
      </c>
      <c r="P25" s="51">
        <f t="shared" ca="1" si="17"/>
        <v>0</v>
      </c>
      <c r="Q25" s="49"/>
      <c r="R25" s="50">
        <f ca="1">_xll.DBRW($B$3,R$6,$B$5,$B$4,$B$6,R$7,$B$9,R$4,R$5,$A25)*R$8</f>
        <v>0</v>
      </c>
      <c r="S25" s="50">
        <f ca="1">_xll.DBRW($B$3,S$6,$B$5,$B$4,$B$6,S$7,$B$9,S$4,S$5,$A25)*S$8</f>
        <v>0</v>
      </c>
      <c r="T25" s="50">
        <f ca="1">_xll.DBRW($B$3,T$6,$B$5,$B$4,$B$6,T$7,$B$9,T$4,T$5,$A25)*T$8</f>
        <v>0</v>
      </c>
      <c r="U25" s="51">
        <f t="shared" ca="1" si="18"/>
        <v>0</v>
      </c>
      <c r="V25" s="51">
        <f t="shared" ca="1" si="19"/>
        <v>0</v>
      </c>
      <c r="W25" s="49"/>
      <c r="X25" s="50">
        <f t="shared" ca="1" si="20"/>
        <v>0</v>
      </c>
      <c r="Y25" s="50">
        <f t="shared" ca="1" si="21"/>
        <v>0</v>
      </c>
      <c r="Z25" s="50">
        <f t="shared" ca="1" si="22"/>
        <v>0</v>
      </c>
      <c r="AA25" s="51">
        <f t="shared" ca="1" si="23"/>
        <v>0</v>
      </c>
      <c r="AB25" s="51">
        <f t="shared" ca="1" si="24"/>
        <v>0</v>
      </c>
      <c r="AC25" s="49"/>
      <c r="AD25" s="52">
        <f ca="1">_xll.DBRW($B$3,AD$6,$B$5,$B$4,$B$6,AD$7,$B$9,AD$4,AD$5,$A25)*AD$8</f>
        <v>0</v>
      </c>
      <c r="AE25" s="50">
        <f ca="1">_xll.DBRW($B$3,AE$6,$B$5,$B$4,$B$6,AE$7,$B$9,AE$4,AE$5,$A25)*AE$8</f>
        <v>0</v>
      </c>
      <c r="AF25" s="50">
        <f ca="1">_xll.DBRW($B$3,AF$6,$B$5,$B$4,$B$6,AF$7,$B$9,AF$4,AF$5,$A25)*AF$8</f>
        <v>0</v>
      </c>
      <c r="AG25" s="51">
        <f t="shared" ca="1" si="25"/>
        <v>0</v>
      </c>
      <c r="AH25" s="53">
        <f t="shared" ca="1" si="26"/>
        <v>0</v>
      </c>
    </row>
    <row r="26" spans="1:36" s="40" customFormat="1">
      <c r="A26" s="71" t="s">
        <v>78</v>
      </c>
      <c r="B26" s="35"/>
      <c r="C26" s="35"/>
      <c r="D26" s="49" t="str">
        <f ca="1">_xll.DBRA("tango_core_model:indicator",A26,Language)</f>
        <v>Driving/operating (RESOP)</v>
      </c>
      <c r="E26" s="49"/>
      <c r="F26" s="50">
        <f ca="1">_xll.DBRW($B$3,F$6,$B$5,$B$4,$B$6,F$7,$B$9,F$4,F$5,$A26)*F$8</f>
        <v>0</v>
      </c>
      <c r="G26" s="50">
        <f ca="1">_xll.DBRW($B$3,G$6,$B$5,$B$4,$B$6,G$7,$B$9,G$4,G$5,$A26)*G$8</f>
        <v>0</v>
      </c>
      <c r="H26" s="50">
        <f ca="1">_xll.DBRW($B$3,H$6,$B$5,$B$4,$B$6,H$7,$B$9,H$4,H$5,$A26)*H$8</f>
        <v>0</v>
      </c>
      <c r="I26" s="51">
        <f t="shared" ca="1" si="14"/>
        <v>0</v>
      </c>
      <c r="J26" s="51">
        <f t="shared" ca="1" si="15"/>
        <v>0</v>
      </c>
      <c r="K26" s="49"/>
      <c r="L26" s="50">
        <f ca="1">_xll.DBRW($B$3,L$6,$B$5,$B$4,$B$6,L$7,$B$9,L$4,L$5,$A26)*L$8</f>
        <v>0</v>
      </c>
      <c r="M26" s="50">
        <f ca="1">_xll.DBRW($B$3,M$6,$B$5,$B$4,$B$6,M$7,$B$9,M$4,M$5,$A26)*M$8</f>
        <v>0</v>
      </c>
      <c r="N26" s="50">
        <f ca="1">_xll.DBRW($B$3,N$6,$B$5,$B$4,$B$6,N$7,$B$9,N$4,N$5,$A26)*N$8</f>
        <v>0</v>
      </c>
      <c r="O26" s="51">
        <f t="shared" ca="1" si="16"/>
        <v>0</v>
      </c>
      <c r="P26" s="51">
        <f t="shared" ca="1" si="17"/>
        <v>0</v>
      </c>
      <c r="Q26" s="49"/>
      <c r="R26" s="50">
        <f ca="1">_xll.DBRW($B$3,R$6,$B$5,$B$4,$B$6,R$7,$B$9,R$4,R$5,$A26)*R$8</f>
        <v>0</v>
      </c>
      <c r="S26" s="50">
        <f ca="1">_xll.DBRW($B$3,S$6,$B$5,$B$4,$B$6,S$7,$B$9,S$4,S$5,$A26)*S$8</f>
        <v>0</v>
      </c>
      <c r="T26" s="50">
        <f ca="1">_xll.DBRW($B$3,T$6,$B$5,$B$4,$B$6,T$7,$B$9,T$4,T$5,$A26)*T$8</f>
        <v>0</v>
      </c>
      <c r="U26" s="51">
        <f t="shared" ca="1" si="18"/>
        <v>0</v>
      </c>
      <c r="V26" s="51">
        <f t="shared" ca="1" si="19"/>
        <v>0</v>
      </c>
      <c r="W26" s="49"/>
      <c r="X26" s="50">
        <f t="shared" ca="1" si="20"/>
        <v>0</v>
      </c>
      <c r="Y26" s="50">
        <f t="shared" ca="1" si="21"/>
        <v>0</v>
      </c>
      <c r="Z26" s="50">
        <f t="shared" ca="1" si="22"/>
        <v>0</v>
      </c>
      <c r="AA26" s="51">
        <f t="shared" ca="1" si="23"/>
        <v>0</v>
      </c>
      <c r="AB26" s="51">
        <f t="shared" ca="1" si="24"/>
        <v>0</v>
      </c>
      <c r="AC26" s="49"/>
      <c r="AD26" s="52">
        <f ca="1">_xll.DBRW($B$3,AD$6,$B$5,$B$4,$B$6,AD$7,$B$9,AD$4,AD$5,$A26)*AD$8</f>
        <v>0</v>
      </c>
      <c r="AE26" s="50">
        <f ca="1">_xll.DBRW($B$3,AE$6,$B$5,$B$4,$B$6,AE$7,$B$9,AE$4,AE$5,$A26)*AE$8</f>
        <v>0</v>
      </c>
      <c r="AF26" s="50">
        <f ca="1">_xll.DBRW($B$3,AF$6,$B$5,$B$4,$B$6,AF$7,$B$9,AF$4,AF$5,$A26)*AF$8</f>
        <v>0</v>
      </c>
      <c r="AG26" s="51">
        <f t="shared" ca="1" si="25"/>
        <v>0</v>
      </c>
      <c r="AH26" s="53">
        <f t="shared" ca="1" si="26"/>
        <v>0</v>
      </c>
    </row>
    <row r="27" spans="1:36" s="40" customFormat="1">
      <c r="A27" s="71" t="s">
        <v>81</v>
      </c>
      <c r="B27" s="35"/>
      <c r="C27" s="35"/>
      <c r="D27" s="49" t="str">
        <f ca="1">_xll.DBRA("tango_core_model:indicator",A27,Language)</f>
        <v>Maintenance &amp; cleaning of fleet (RESOP)</v>
      </c>
      <c r="E27" s="56"/>
      <c r="F27" s="50">
        <f ca="1">_xll.DBRW($B$3,F$6,$B$5,$B$4,$B$6,F$7,$B$9,F$4,F$5,$A27)*F$8</f>
        <v>0</v>
      </c>
      <c r="G27" s="50">
        <f ca="1">_xll.DBRW($B$3,G$6,$B$5,$B$4,$B$6,G$7,$B$9,G$4,G$5,$A27)*G$8</f>
        <v>0</v>
      </c>
      <c r="H27" s="50">
        <f ca="1">_xll.DBRW($B$3,H$6,$B$5,$B$4,$B$6,H$7,$B$9,H$4,H$5,$A27)*H$8</f>
        <v>0</v>
      </c>
      <c r="I27" s="51">
        <f t="shared" ca="1" si="14"/>
        <v>0</v>
      </c>
      <c r="J27" s="51">
        <f t="shared" ca="1" si="15"/>
        <v>0</v>
      </c>
      <c r="K27" s="56"/>
      <c r="L27" s="50">
        <f ca="1">_xll.DBRW($B$3,L$6,$B$5,$B$4,$B$6,L$7,$B$9,L$4,L$5,$A27)*L$8</f>
        <v>0</v>
      </c>
      <c r="M27" s="50">
        <f ca="1">_xll.DBRW($B$3,M$6,$B$5,$B$4,$B$6,M$7,$B$9,M$4,M$5,$A27)*M$8</f>
        <v>0</v>
      </c>
      <c r="N27" s="50">
        <f ca="1">_xll.DBRW($B$3,N$6,$B$5,$B$4,$B$6,N$7,$B$9,N$4,N$5,$A27)*N$8</f>
        <v>0</v>
      </c>
      <c r="O27" s="51">
        <f t="shared" ca="1" si="16"/>
        <v>0</v>
      </c>
      <c r="P27" s="51">
        <f t="shared" ca="1" si="17"/>
        <v>0</v>
      </c>
      <c r="Q27" s="56"/>
      <c r="R27" s="50">
        <f ca="1">_xll.DBRW($B$3,R$6,$B$5,$B$4,$B$6,R$7,$B$9,R$4,R$5,$A27)*R$8</f>
        <v>0</v>
      </c>
      <c r="S27" s="50">
        <f ca="1">_xll.DBRW($B$3,S$6,$B$5,$B$4,$B$6,S$7,$B$9,S$4,S$5,$A27)*S$8</f>
        <v>0</v>
      </c>
      <c r="T27" s="50">
        <f ca="1">_xll.DBRW($B$3,T$6,$B$5,$B$4,$B$6,T$7,$B$9,T$4,T$5,$A27)*T$8</f>
        <v>0</v>
      </c>
      <c r="U27" s="51">
        <f t="shared" ca="1" si="18"/>
        <v>0</v>
      </c>
      <c r="V27" s="51">
        <f t="shared" ca="1" si="19"/>
        <v>0</v>
      </c>
      <c r="W27" s="56"/>
      <c r="X27" s="50">
        <f t="shared" ca="1" si="20"/>
        <v>0</v>
      </c>
      <c r="Y27" s="50">
        <f t="shared" ca="1" si="21"/>
        <v>0</v>
      </c>
      <c r="Z27" s="50">
        <f t="shared" ca="1" si="22"/>
        <v>0</v>
      </c>
      <c r="AA27" s="51">
        <f t="shared" ca="1" si="23"/>
        <v>0</v>
      </c>
      <c r="AB27" s="51">
        <f t="shared" ca="1" si="24"/>
        <v>0</v>
      </c>
      <c r="AC27" s="56"/>
      <c r="AD27" s="52">
        <f ca="1">_xll.DBRW($B$3,AD$6,$B$5,$B$4,$B$6,AD$7,$B$9,AD$4,AD$5,$A27)*AD$8</f>
        <v>0</v>
      </c>
      <c r="AE27" s="50">
        <f ca="1">_xll.DBRW($B$3,AE$6,$B$5,$B$4,$B$6,AE$7,$B$9,AE$4,AE$5,$A27)*AE$8</f>
        <v>0</v>
      </c>
      <c r="AF27" s="50">
        <f ca="1">_xll.DBRW($B$3,AF$6,$B$5,$B$4,$B$6,AF$7,$B$9,AF$4,AF$5,$A27)*AF$8</f>
        <v>0</v>
      </c>
      <c r="AG27" s="51">
        <f t="shared" ca="1" si="25"/>
        <v>0</v>
      </c>
      <c r="AH27" s="53">
        <f t="shared" ca="1" si="26"/>
        <v>0</v>
      </c>
    </row>
    <row r="28" spans="1:36" s="40" customFormat="1">
      <c r="A28" s="71" t="s">
        <v>79</v>
      </c>
      <c r="B28" s="35"/>
      <c r="C28" s="35"/>
      <c r="D28" s="49" t="str">
        <f ca="1">_xll.DBRA("tango_core_model:indicator",A28,Language)</f>
        <v>Energy for traction</v>
      </c>
      <c r="E28" s="49"/>
      <c r="F28" s="50">
        <f ca="1">_xll.DBRW($B$3,F$6,$B$5,$B$4,$B$6,F$7,$B$9,F$4,F$5,$A28)*F$8</f>
        <v>0</v>
      </c>
      <c r="G28" s="50">
        <f ca="1">_xll.DBRW($B$3,G$6,$B$5,$B$4,$B$6,G$7,$B$9,G$4,G$5,$A28)*G$8</f>
        <v>0</v>
      </c>
      <c r="H28" s="50">
        <f ca="1">_xll.DBRW($B$3,H$6,$B$5,$B$4,$B$6,H$7,$B$9,H$4,H$5,$A28)*H$8</f>
        <v>0</v>
      </c>
      <c r="I28" s="51">
        <f t="shared" ca="1" si="14"/>
        <v>0</v>
      </c>
      <c r="J28" s="51">
        <f t="shared" ca="1" si="15"/>
        <v>0</v>
      </c>
      <c r="K28" s="49"/>
      <c r="L28" s="50">
        <f ca="1">_xll.DBRW($B$3,L$6,$B$5,$B$4,$B$6,L$7,$B$9,L$4,L$5,$A28)*L$8</f>
        <v>0</v>
      </c>
      <c r="M28" s="50">
        <f ca="1">_xll.DBRW($B$3,M$6,$B$5,$B$4,$B$6,M$7,$B$9,M$4,M$5,$A28)*M$8</f>
        <v>0</v>
      </c>
      <c r="N28" s="50">
        <f ca="1">_xll.DBRW($B$3,N$6,$B$5,$B$4,$B$6,N$7,$B$9,N$4,N$5,$A28)*N$8</f>
        <v>0</v>
      </c>
      <c r="O28" s="51">
        <f t="shared" ca="1" si="16"/>
        <v>0</v>
      </c>
      <c r="P28" s="51">
        <f t="shared" ca="1" si="17"/>
        <v>0</v>
      </c>
      <c r="Q28" s="49"/>
      <c r="R28" s="50">
        <f ca="1">_xll.DBRW($B$3,R$6,$B$5,$B$4,$B$6,R$7,$B$9,R$4,R$5,$A28)*R$8</f>
        <v>0</v>
      </c>
      <c r="S28" s="50">
        <f ca="1">_xll.DBRW($B$3,S$6,$B$5,$B$4,$B$6,S$7,$B$9,S$4,S$5,$A28)*S$8</f>
        <v>0</v>
      </c>
      <c r="T28" s="50">
        <f ca="1">_xll.DBRW($B$3,T$6,$B$5,$B$4,$B$6,T$7,$B$9,T$4,T$5,$A28)*T$8</f>
        <v>0</v>
      </c>
      <c r="U28" s="51">
        <f t="shared" ca="1" si="18"/>
        <v>0</v>
      </c>
      <c r="V28" s="51">
        <f t="shared" ca="1" si="19"/>
        <v>0</v>
      </c>
      <c r="W28" s="49"/>
      <c r="X28" s="50">
        <f t="shared" ca="1" si="20"/>
        <v>0</v>
      </c>
      <c r="Y28" s="50">
        <f t="shared" ca="1" si="21"/>
        <v>0</v>
      </c>
      <c r="Z28" s="50">
        <f t="shared" ca="1" si="22"/>
        <v>0</v>
      </c>
      <c r="AA28" s="51">
        <f t="shared" ca="1" si="23"/>
        <v>0</v>
      </c>
      <c r="AB28" s="51">
        <f t="shared" ca="1" si="24"/>
        <v>0</v>
      </c>
      <c r="AC28" s="49"/>
      <c r="AD28" s="52">
        <f ca="1">_xll.DBRW($B$3,AD$6,$B$5,$B$4,$B$6,AD$7,$B$9,AD$4,AD$5,$A28)*AD$8</f>
        <v>0</v>
      </c>
      <c r="AE28" s="50">
        <f ca="1">_xll.DBRW($B$3,AE$6,$B$5,$B$4,$B$6,AE$7,$B$9,AE$4,AE$5,$A28)*AE$8</f>
        <v>0</v>
      </c>
      <c r="AF28" s="50">
        <f ca="1">_xll.DBRW($B$3,AF$6,$B$5,$B$4,$B$6,AF$7,$B$9,AF$4,AF$5,$A28)*AF$8</f>
        <v>0</v>
      </c>
      <c r="AG28" s="51">
        <f t="shared" ca="1" si="25"/>
        <v>0</v>
      </c>
      <c r="AH28" s="53">
        <f t="shared" ca="1" si="26"/>
        <v>0</v>
      </c>
    </row>
    <row r="29" spans="1:36" s="40" customFormat="1">
      <c r="A29" s="71" t="s">
        <v>80</v>
      </c>
      <c r="B29" s="35"/>
      <c r="C29" s="35"/>
      <c r="D29" s="49" t="str">
        <f ca="1">_xll.DBRA("tango_core_model:indicator",A29,Language)</f>
        <v>Fleet (RESOP)</v>
      </c>
      <c r="E29" s="56"/>
      <c r="F29" s="50">
        <f ca="1">_xll.DBRW($B$3,F$6,$B$5,$B$4,$B$6,F$7,$B$9,F$4,F$5,$A29)*F$8</f>
        <v>0</v>
      </c>
      <c r="G29" s="50">
        <f ca="1">_xll.DBRW($B$3,G$6,$B$5,$B$4,$B$6,G$7,$B$9,G$4,G$5,$A29)*G$8</f>
        <v>0</v>
      </c>
      <c r="H29" s="50">
        <f ca="1">_xll.DBRW($B$3,H$6,$B$5,$B$4,$B$6,H$7,$B$9,H$4,H$5,$A29)*H$8</f>
        <v>0</v>
      </c>
      <c r="I29" s="51">
        <f t="shared" ca="1" si="14"/>
        <v>0</v>
      </c>
      <c r="J29" s="51">
        <f t="shared" ca="1" si="15"/>
        <v>0</v>
      </c>
      <c r="K29" s="56"/>
      <c r="L29" s="50">
        <f ca="1">_xll.DBRW($B$3,L$6,$B$5,$B$4,$B$6,L$7,$B$9,L$4,L$5,$A29)*L$8</f>
        <v>0</v>
      </c>
      <c r="M29" s="50">
        <f ca="1">_xll.DBRW($B$3,M$6,$B$5,$B$4,$B$6,M$7,$B$9,M$4,M$5,$A29)*M$8</f>
        <v>0</v>
      </c>
      <c r="N29" s="50">
        <f ca="1">_xll.DBRW($B$3,N$6,$B$5,$B$4,$B$6,N$7,$B$9,N$4,N$5,$A29)*N$8</f>
        <v>0</v>
      </c>
      <c r="O29" s="51">
        <f t="shared" ca="1" si="16"/>
        <v>0</v>
      </c>
      <c r="P29" s="51">
        <f t="shared" ca="1" si="17"/>
        <v>0</v>
      </c>
      <c r="Q29" s="56"/>
      <c r="R29" s="50">
        <f ca="1">_xll.DBRW($B$3,R$6,$B$5,$B$4,$B$6,R$7,$B$9,R$4,R$5,$A29)*R$8</f>
        <v>0</v>
      </c>
      <c r="S29" s="50">
        <f ca="1">_xll.DBRW($B$3,S$6,$B$5,$B$4,$B$6,S$7,$B$9,S$4,S$5,$A29)*S$8</f>
        <v>0</v>
      </c>
      <c r="T29" s="50">
        <f ca="1">_xll.DBRW($B$3,T$6,$B$5,$B$4,$B$6,T$7,$B$9,T$4,T$5,$A29)*T$8</f>
        <v>0</v>
      </c>
      <c r="U29" s="51">
        <f t="shared" ca="1" si="18"/>
        <v>0</v>
      </c>
      <c r="V29" s="51">
        <f t="shared" ca="1" si="19"/>
        <v>0</v>
      </c>
      <c r="W29" s="56"/>
      <c r="X29" s="50">
        <f t="shared" ca="1" si="20"/>
        <v>0</v>
      </c>
      <c r="Y29" s="50">
        <f t="shared" ca="1" si="21"/>
        <v>0</v>
      </c>
      <c r="Z29" s="50">
        <f t="shared" ca="1" si="22"/>
        <v>0</v>
      </c>
      <c r="AA29" s="51">
        <f t="shared" ca="1" si="23"/>
        <v>0</v>
      </c>
      <c r="AB29" s="51">
        <f t="shared" ca="1" si="24"/>
        <v>0</v>
      </c>
      <c r="AC29" s="56"/>
      <c r="AD29" s="52">
        <f ca="1">_xll.DBRW($B$3,AD$6,$B$5,$B$4,$B$6,AD$7,$B$9,AD$4,AD$5,$A29)*AD$8</f>
        <v>0</v>
      </c>
      <c r="AE29" s="50">
        <f ca="1">_xll.DBRW($B$3,AE$6,$B$5,$B$4,$B$6,AE$7,$B$9,AE$4,AE$5,$A29)*AE$8</f>
        <v>0</v>
      </c>
      <c r="AF29" s="50">
        <f ca="1">_xll.DBRW($B$3,AF$6,$B$5,$B$4,$B$6,AF$7,$B$9,AF$4,AF$5,$A29)*AF$8</f>
        <v>0</v>
      </c>
      <c r="AG29" s="51">
        <f t="shared" ca="1" si="25"/>
        <v>0</v>
      </c>
      <c r="AH29" s="53">
        <f t="shared" ca="1" si="26"/>
        <v>0</v>
      </c>
    </row>
    <row r="30" spans="1:36" s="40" customFormat="1">
      <c r="A30" s="71" t="s">
        <v>140</v>
      </c>
      <c r="B30" s="35"/>
      <c r="C30" s="35"/>
      <c r="D30" s="49" t="str">
        <f ca="1">_xll.DBRA("tango_core_model:indicator",A30,Language)</f>
        <v>Other Operating costs</v>
      </c>
      <c r="E30" s="56"/>
      <c r="F30" s="50">
        <f ca="1">_xll.DBRW($B$3,F$6,$B$5,$B$4,$B$6,F$7,$B$9,F$4,F$5,$A30)*F$8</f>
        <v>0</v>
      </c>
      <c r="G30" s="50">
        <f ca="1">_xll.DBRW($B$3,G$6,$B$5,$B$4,$B$6,G$7,$B$9,G$4,G$5,$A30)*G$8</f>
        <v>0</v>
      </c>
      <c r="H30" s="50">
        <f ca="1">_xll.DBRW($B$3,H$6,$B$5,$B$4,$B$6,H$7,$B$9,H$4,H$5,$A30)*H$8</f>
        <v>0</v>
      </c>
      <c r="I30" s="51">
        <f t="shared" ca="1" si="14"/>
        <v>0</v>
      </c>
      <c r="J30" s="51">
        <f t="shared" ca="1" si="15"/>
        <v>0</v>
      </c>
      <c r="K30" s="56"/>
      <c r="L30" s="50">
        <f ca="1">_xll.DBRW($B$3,L$6,$B$5,$B$4,$B$6,L$7,$B$9,L$4,L$5,$A30)*L$8</f>
        <v>0</v>
      </c>
      <c r="M30" s="50">
        <f ca="1">_xll.DBRW($B$3,M$6,$B$5,$B$4,$B$6,M$7,$B$9,M$4,M$5,$A30)*M$8</f>
        <v>0</v>
      </c>
      <c r="N30" s="50">
        <f ca="1">_xll.DBRW($B$3,N$6,$B$5,$B$4,$B$6,N$7,$B$9,N$4,N$5,$A30)*N$8</f>
        <v>0</v>
      </c>
      <c r="O30" s="51">
        <f t="shared" ca="1" si="16"/>
        <v>0</v>
      </c>
      <c r="P30" s="51">
        <f t="shared" ca="1" si="17"/>
        <v>0</v>
      </c>
      <c r="Q30" s="56"/>
      <c r="R30" s="50">
        <f ca="1">_xll.DBRW($B$3,R$6,$B$5,$B$4,$B$6,R$7,$B$9,R$4,R$5,$A30)*R$8</f>
        <v>0</v>
      </c>
      <c r="S30" s="50">
        <f ca="1">_xll.DBRW($B$3,S$6,$B$5,$B$4,$B$6,S$7,$B$9,S$4,S$5,$A30)*S$8</f>
        <v>0</v>
      </c>
      <c r="T30" s="50">
        <f ca="1">_xll.DBRW($B$3,T$6,$B$5,$B$4,$B$6,T$7,$B$9,T$4,T$5,$A30)*T$8</f>
        <v>0</v>
      </c>
      <c r="U30" s="51">
        <f t="shared" ca="1" si="18"/>
        <v>0</v>
      </c>
      <c r="V30" s="51">
        <f t="shared" ca="1" si="19"/>
        <v>0</v>
      </c>
      <c r="W30" s="56"/>
      <c r="X30" s="50">
        <f t="shared" ca="1" si="20"/>
        <v>0</v>
      </c>
      <c r="Y30" s="50">
        <f t="shared" ca="1" si="21"/>
        <v>0</v>
      </c>
      <c r="Z30" s="50">
        <f t="shared" ca="1" si="22"/>
        <v>0</v>
      </c>
      <c r="AA30" s="51">
        <f t="shared" ca="1" si="23"/>
        <v>0</v>
      </c>
      <c r="AB30" s="51">
        <f t="shared" ca="1" si="24"/>
        <v>0</v>
      </c>
      <c r="AC30" s="56"/>
      <c r="AD30" s="52">
        <f ca="1">_xll.DBRW($B$3,AD$6,$B$5,$B$4,$B$6,AD$7,$B$9,AD$4,AD$5,$A30)*AD$8</f>
        <v>0</v>
      </c>
      <c r="AE30" s="50">
        <f ca="1">_xll.DBRW($B$3,AE$6,$B$5,$B$4,$B$6,AE$7,$B$9,AE$4,AE$5,$A30)*AE$8</f>
        <v>0</v>
      </c>
      <c r="AF30" s="50">
        <f ca="1">_xll.DBRW($B$3,AF$6,$B$5,$B$4,$B$6,AF$7,$B$9,AF$4,AF$5,$A30)*AF$8</f>
        <v>0</v>
      </c>
      <c r="AG30" s="51">
        <f t="shared" ca="1" si="25"/>
        <v>0</v>
      </c>
      <c r="AH30" s="53">
        <f t="shared" ca="1" si="26"/>
        <v>0</v>
      </c>
    </row>
    <row r="31" spans="1:36" s="40" customFormat="1">
      <c r="A31" s="71" t="s">
        <v>82</v>
      </c>
      <c r="B31" s="35"/>
      <c r="C31" s="35"/>
      <c r="D31" s="49" t="str">
        <f ca="1">_xll.DBRA("tango_core_model:indicator",A31,Language)</f>
        <v>Transport costs - Vector Reconciliation</v>
      </c>
      <c r="E31" s="56"/>
      <c r="F31" s="50">
        <f ca="1">_xll.DBRW($B$3,F$6,$B$5,$B$4,$B$6,F$7,$B$9,F$4,F$5,$A31)*F$8</f>
        <v>0</v>
      </c>
      <c r="G31" s="50">
        <f ca="1">_xll.DBRW($B$3,G$6,$B$5,$B$4,$B$6,G$7,$B$9,G$4,G$5,$A31)*G$8</f>
        <v>0</v>
      </c>
      <c r="H31" s="50">
        <f ca="1">_xll.DBRW($B$3,H$6,$B$5,$B$4,$B$6,H$7,$B$9,H$4,H$5,$A31)*H$8</f>
        <v>0</v>
      </c>
      <c r="I31" s="51">
        <f t="shared" ca="1" si="14"/>
        <v>0</v>
      </c>
      <c r="J31" s="51">
        <f t="shared" ca="1" si="15"/>
        <v>0</v>
      </c>
      <c r="K31" s="56"/>
      <c r="L31" s="50">
        <f ca="1">_xll.DBRW($B$3,L$6,$B$5,$B$4,$B$6,L$7,$B$9,L$4,L$5,$A31)*L$8</f>
        <v>0</v>
      </c>
      <c r="M31" s="50">
        <f ca="1">_xll.DBRW($B$3,M$6,$B$5,$B$4,$B$6,M$7,$B$9,M$4,M$5,$A31)*M$8</f>
        <v>0</v>
      </c>
      <c r="N31" s="50">
        <f ca="1">_xll.DBRW($B$3,N$6,$B$5,$B$4,$B$6,N$7,$B$9,N$4,N$5,$A31)*N$8</f>
        <v>0</v>
      </c>
      <c r="O31" s="51">
        <f t="shared" ca="1" si="16"/>
        <v>0</v>
      </c>
      <c r="P31" s="51">
        <f t="shared" ca="1" si="17"/>
        <v>0</v>
      </c>
      <c r="Q31" s="56"/>
      <c r="R31" s="50">
        <f ca="1">_xll.DBRW($B$3,R$6,$B$5,$B$4,$B$6,R$7,$B$9,R$4,R$5,$A31)*R$8</f>
        <v>0</v>
      </c>
      <c r="S31" s="50">
        <f ca="1">_xll.DBRW($B$3,S$6,$B$5,$B$4,$B$6,S$7,$B$9,S$4,S$5,$A31)*S$8</f>
        <v>0</v>
      </c>
      <c r="T31" s="50">
        <f ca="1">_xll.DBRW($B$3,T$6,$B$5,$B$4,$B$6,T$7,$B$9,T$4,T$5,$A31)*T$8</f>
        <v>0</v>
      </c>
      <c r="U31" s="51">
        <f t="shared" ca="1" si="18"/>
        <v>0</v>
      </c>
      <c r="V31" s="51">
        <f t="shared" ca="1" si="19"/>
        <v>0</v>
      </c>
      <c r="W31" s="56"/>
      <c r="X31" s="50">
        <f t="shared" ca="1" si="20"/>
        <v>0</v>
      </c>
      <c r="Y31" s="50">
        <f t="shared" ca="1" si="21"/>
        <v>0</v>
      </c>
      <c r="Z31" s="50">
        <f t="shared" ca="1" si="22"/>
        <v>0</v>
      </c>
      <c r="AA31" s="51">
        <f t="shared" ca="1" si="23"/>
        <v>0</v>
      </c>
      <c r="AB31" s="51">
        <f t="shared" ca="1" si="24"/>
        <v>0</v>
      </c>
      <c r="AC31" s="56"/>
      <c r="AD31" s="52">
        <f ca="1">_xll.DBRW($B$3,AD$6,$B$5,$B$4,$B$6,AD$7,$B$9,AD$4,AD$5,$A31)*AD$8</f>
        <v>0</v>
      </c>
      <c r="AE31" s="50">
        <f ca="1">_xll.DBRW($B$3,AE$6,$B$5,$B$4,$B$6,AE$7,$B$9,AE$4,AE$5,$A31)*AE$8</f>
        <v>0</v>
      </c>
      <c r="AF31" s="50">
        <f ca="1">_xll.DBRW($B$3,AF$6,$B$5,$B$4,$B$6,AF$7,$B$9,AF$4,AF$5,$A31)*AF$8</f>
        <v>0</v>
      </c>
      <c r="AG31" s="51">
        <f t="shared" ca="1" si="25"/>
        <v>0</v>
      </c>
      <c r="AH31" s="53">
        <f t="shared" ca="1" si="26"/>
        <v>0</v>
      </c>
    </row>
    <row r="32" spans="1:36" ht="9.9499999999999993" customHeight="1">
      <c r="AD32" s="60"/>
      <c r="AE32" s="40"/>
      <c r="AF32" s="40"/>
      <c r="AG32" s="59"/>
      <c r="AH32" s="61"/>
    </row>
    <row r="33" spans="1:34" s="162" customFormat="1" ht="26.1" customHeight="1">
      <c r="A33" s="154" t="s">
        <v>34</v>
      </c>
      <c r="B33" s="155"/>
      <c r="C33" s="155"/>
      <c r="D33" s="156" t="str">
        <f ca="1">_xll.DBRA("tango_core_model:indicator",A33,Language)</f>
        <v>GROSS MARGIN (by destination)</v>
      </c>
      <c r="E33" s="157"/>
      <c r="F33" s="158">
        <f ca="1">_xll.DBRW($B$3,F$6,$B$5,$B$4,$B$6,F$7,$B$9,F$4,F$5,$A33)*F$8</f>
        <v>0</v>
      </c>
      <c r="G33" s="158">
        <f ca="1">_xll.DBRW($B$3,G$6,$B$5,$B$4,$B$6,G$7,$B$9,G$4,G$5,$A33)*G$8</f>
        <v>0</v>
      </c>
      <c r="H33" s="158">
        <f ca="1">_xll.DBRW($B$3,H$6,$B$5,$B$4,$B$6,H$7,$B$9,H$4,H$5,$A33)*H$8</f>
        <v>0</v>
      </c>
      <c r="I33" s="159">
        <f ca="1">IF(OR(F33="",G33=""),"-",IFERROR((F33-G33),""))</f>
        <v>0</v>
      </c>
      <c r="J33" s="159">
        <f ca="1">IF(OR(F33="",H33=""),"-",IFERROR((F33-H33),""))</f>
        <v>0</v>
      </c>
      <c r="K33" s="157"/>
      <c r="L33" s="158">
        <f ca="1">_xll.DBRW($B$3,L$6,$B$5,$B$4,$B$6,L$7,$B$9,L$4,L$5,$A33)*L$8</f>
        <v>0</v>
      </c>
      <c r="M33" s="158">
        <f ca="1">_xll.DBRW($B$3,M$6,$B$5,$B$4,$B$6,M$7,$B$9,M$4,M$5,$A33)*M$8</f>
        <v>0</v>
      </c>
      <c r="N33" s="158">
        <f ca="1">_xll.DBRW($B$3,N$6,$B$5,$B$4,$B$6,N$7,$B$9,N$4,N$5,$A33)*N$8</f>
        <v>0</v>
      </c>
      <c r="O33" s="159">
        <f ca="1">IF(OR(L33="",M33=""),"-",IFERROR((L33-M33),""))</f>
        <v>0</v>
      </c>
      <c r="P33" s="159">
        <f ca="1">IF(OR(L33="",N33=""),"-",IFERROR((L33-N33),""))</f>
        <v>0</v>
      </c>
      <c r="Q33" s="157"/>
      <c r="R33" s="158">
        <f ca="1">_xll.DBRW($B$3,R$6,$B$5,$B$4,$B$6,R$7,$B$9,R$4,R$5,$A33)*R$8</f>
        <v>0</v>
      </c>
      <c r="S33" s="158">
        <f ca="1">_xll.DBRW($B$3,S$6,$B$5,$B$4,$B$6,S$7,$B$9,S$4,S$5,$A33)*S$8</f>
        <v>0</v>
      </c>
      <c r="T33" s="158">
        <f ca="1">_xll.DBRW($B$3,T$6,$B$5,$B$4,$B$6,T$7,$B$9,T$4,T$5,$A33)*T$8</f>
        <v>0</v>
      </c>
      <c r="U33" s="159">
        <f ca="1">IF(OR(R33="",S33=""),"-",IFERROR((R33-S33),""))</f>
        <v>0</v>
      </c>
      <c r="V33" s="159">
        <f ca="1">IF(OR(R33="",T33=""),"-",IFERROR((R33-T33),""))</f>
        <v>0</v>
      </c>
      <c r="W33" s="157"/>
      <c r="X33" s="158">
        <f t="shared" ref="X33" ca="1" si="27">AD33-(F33+L33+R33)</f>
        <v>0</v>
      </c>
      <c r="Y33" s="158">
        <f t="shared" ref="Y33" ca="1" si="28">AE33-(G33+M33+S33)</f>
        <v>0</v>
      </c>
      <c r="Z33" s="158">
        <f t="shared" ref="Z33" ca="1" si="29">AF33-(H33+N33+T33)</f>
        <v>0</v>
      </c>
      <c r="AA33" s="159">
        <f ca="1">IF(OR(X33="",Y33=""),"-",IFERROR((X33-Y33),""))</f>
        <v>0</v>
      </c>
      <c r="AB33" s="159">
        <f ca="1">IF(OR(X33="",Z33=""),"-",IFERROR((X33-Z33),""))</f>
        <v>0</v>
      </c>
      <c r="AC33" s="157"/>
      <c r="AD33" s="160">
        <f ca="1">_xll.DBRW($B$3,AD$6,$B$5,$B$4,$B$6,AD$7,$B$9,AD$4,AD$5,$A33)*AD$8</f>
        <v>0</v>
      </c>
      <c r="AE33" s="158">
        <f ca="1">_xll.DBRW($B$3,AE$6,$B$5,$B$4,$B$6,AE$7,$B$9,AE$4,AE$5,$A33)*AE$8</f>
        <v>0</v>
      </c>
      <c r="AF33" s="158">
        <f ca="1">_xll.DBRW($B$3,AF$6,$B$5,$B$4,$B$6,AF$7,$B$9,AF$4,AF$5,$A33)*AF$8</f>
        <v>0</v>
      </c>
      <c r="AG33" s="159">
        <f ca="1">IF(OR(AD33="",AE33=""),"-",IFERROR((AD33-AE33),""))</f>
        <v>0</v>
      </c>
      <c r="AH33" s="161">
        <f ca="1">IF(OR(AD33="",AF33=""),"-",IFERROR((AD33-AF33),""))</f>
        <v>0</v>
      </c>
    </row>
    <row r="34" spans="1:34" s="67" customFormat="1" ht="12" customHeight="1">
      <c r="A34" s="90" t="s">
        <v>106</v>
      </c>
      <c r="B34" s="63"/>
      <c r="C34" s="63"/>
      <c r="D34" s="64" t="str">
        <f>IF(Language="French","% PAO","% revenues")</f>
        <v>% revenues</v>
      </c>
      <c r="E34" s="64"/>
      <c r="F34" s="65" t="str">
        <f ca="1">IF(OR(F33=0,F$17=0),"-",IF(ABS(F33/F$17)&gt;2,"-",F33/F$17))</f>
        <v>-</v>
      </c>
      <c r="G34" s="65" t="str">
        <f ca="1">IF(OR(G33=0,G$17=0),"-",IF(ABS(G33/G$17)&gt;2,"-",G33/G$17))</f>
        <v>-</v>
      </c>
      <c r="H34" s="65" t="str">
        <f ca="1">IF(OR(H33=0,H$17=0),"-",IF(ABS(H33/H$17)&gt;2,"-",H33/H$17))</f>
        <v>-</v>
      </c>
      <c r="I34" s="51"/>
      <c r="J34" s="51"/>
      <c r="K34" s="64"/>
      <c r="L34" s="65" t="str">
        <f ca="1">IF(OR(L33=0,L$17=0),"-",IF(ABS(L33/L$17)&gt;2,"-",L33/L$17))</f>
        <v>-</v>
      </c>
      <c r="M34" s="65" t="str">
        <f ca="1">IF(OR(M33=0,M$17=0),"-",IF(ABS(M33/M$17)&gt;2,"-",M33/M$17))</f>
        <v>-</v>
      </c>
      <c r="N34" s="65" t="str">
        <f ca="1">IF(OR(N33=0,N$17=0),"-",IF(ABS(N33/N$17)&gt;2,"-",N33/N$17))</f>
        <v>-</v>
      </c>
      <c r="O34" s="51"/>
      <c r="P34" s="51"/>
      <c r="Q34" s="64"/>
      <c r="R34" s="65" t="str">
        <f ca="1">IF(OR(R33=0,R$17=0),"-",IF(ABS(R33/R$17)&gt;2,"-",R33/R$17))</f>
        <v>-</v>
      </c>
      <c r="S34" s="65" t="str">
        <f ca="1">IF(OR(S33=0,S$17=0),"-",IF(ABS(S33/S$17)&gt;2,"-",S33/S$17))</f>
        <v>-</v>
      </c>
      <c r="T34" s="65" t="str">
        <f ca="1">IF(OR(T33=0,T$17=0),"-",IF(ABS(T33/T$17)&gt;2,"-",T33/T$17))</f>
        <v>-</v>
      </c>
      <c r="U34" s="51"/>
      <c r="V34" s="51"/>
      <c r="W34" s="64"/>
      <c r="X34" s="65" t="str">
        <f ca="1">IF(OR(X33=0,X$17=0),"-",IF(ABS(X33/X$17)&gt;2,"-",X33/X$17))</f>
        <v>-</v>
      </c>
      <c r="Y34" s="65" t="str">
        <f ca="1">IF(OR(Y33=0,Y$17=0),"-",IF(ABS(Y33/Y$17)&gt;2,"-",Y33/Y$17))</f>
        <v>-</v>
      </c>
      <c r="Z34" s="65" t="str">
        <f ca="1">IF(OR(Z33=0,Z$17=0),"-",IF(ABS(Z33/Z$17)&gt;2,"-",Z33/Z$17))</f>
        <v>-</v>
      </c>
      <c r="AA34" s="51"/>
      <c r="AB34" s="51"/>
      <c r="AC34" s="64"/>
      <c r="AD34" s="66" t="str">
        <f ca="1">IF(OR(AD33=0,AD$17=0),"-",IF(ABS(AD33/AD$17)&gt;2,"-",AD33/AD$17))</f>
        <v>-</v>
      </c>
      <c r="AE34" s="65" t="str">
        <f ca="1">IF(OR(AE33=0,AE$17=0),"-",IF(ABS(AE33/AE$17)&gt;2,"-",AE33/AE$17))</f>
        <v>-</v>
      </c>
      <c r="AF34" s="65" t="str">
        <f ca="1">IF(OR(AF33=0,AF$17=0),"-",IF(ABS(AF33/AF$17)&gt;2,"-",AF33/AF$17))</f>
        <v>-</v>
      </c>
      <c r="AG34" s="51"/>
      <c r="AH34" s="53"/>
    </row>
    <row r="35" spans="1:34" ht="9.9499999999999993" customHeight="1">
      <c r="A35" s="67"/>
      <c r="AD35" s="60"/>
      <c r="AE35" s="40"/>
      <c r="AF35" s="40"/>
      <c r="AG35" s="59"/>
      <c r="AH35" s="61"/>
    </row>
    <row r="36" spans="1:34" s="162" customFormat="1" ht="26.1" customHeight="1">
      <c r="A36" s="164" t="s">
        <v>106</v>
      </c>
      <c r="B36" s="155"/>
      <c r="C36" s="155"/>
      <c r="D36" s="156" t="s">
        <v>1</v>
      </c>
      <c r="E36" s="157"/>
      <c r="F36" s="158">
        <f ca="1">SUM(F38:F39)</f>
        <v>0</v>
      </c>
      <c r="G36" s="158">
        <f t="shared" ref="G36:H36" ca="1" si="30">SUM(G38:G39)</f>
        <v>0</v>
      </c>
      <c r="H36" s="158">
        <f t="shared" ca="1" si="30"/>
        <v>0</v>
      </c>
      <c r="I36" s="159">
        <f ca="1">IF(OR(F36="",G36=""),"-",IFERROR((F36-G36),""))</f>
        <v>0</v>
      </c>
      <c r="J36" s="159">
        <f ca="1">IF(OR(F36="",H36=""),"-",IFERROR((F36-H36),""))</f>
        <v>0</v>
      </c>
      <c r="K36" s="157"/>
      <c r="L36" s="158">
        <f ca="1">SUM(L38:L39)</f>
        <v>0</v>
      </c>
      <c r="M36" s="158">
        <f t="shared" ref="M36:N36" ca="1" si="31">SUM(M38:M39)</f>
        <v>0</v>
      </c>
      <c r="N36" s="158">
        <f t="shared" ca="1" si="31"/>
        <v>0</v>
      </c>
      <c r="O36" s="159">
        <f ca="1">IF(OR(L36="",M36=""),"-",IFERROR((L36-M36),""))</f>
        <v>0</v>
      </c>
      <c r="P36" s="159">
        <f ca="1">IF(OR(L36="",N36=""),"-",IFERROR((L36-N36),""))</f>
        <v>0</v>
      </c>
      <c r="Q36" s="157"/>
      <c r="R36" s="158">
        <f ca="1">SUM(R38:R39)</f>
        <v>0</v>
      </c>
      <c r="S36" s="158">
        <f t="shared" ref="S36:T36" ca="1" si="32">SUM(S38:S39)</f>
        <v>0</v>
      </c>
      <c r="T36" s="158">
        <f t="shared" ca="1" si="32"/>
        <v>0</v>
      </c>
      <c r="U36" s="159">
        <f ca="1">IF(OR(R36="",S36=""),"-",IFERROR((R36-S36),""))</f>
        <v>0</v>
      </c>
      <c r="V36" s="159">
        <f ca="1">IF(OR(R36="",T36=""),"-",IFERROR((R36-T36),""))</f>
        <v>0</v>
      </c>
      <c r="W36" s="157"/>
      <c r="X36" s="158">
        <f ca="1">AD36-(F36+L36+R36)</f>
        <v>0</v>
      </c>
      <c r="Y36" s="158">
        <f ca="1">AE36-(G36+M36+S36)</f>
        <v>0</v>
      </c>
      <c r="Z36" s="158">
        <f ca="1">AF36-(H36+N36+T36)</f>
        <v>0</v>
      </c>
      <c r="AA36" s="159">
        <f ca="1">IF(OR(X36="",Y36=""),"-",IFERROR((X36-Y36),""))</f>
        <v>0</v>
      </c>
      <c r="AB36" s="159">
        <f ca="1">IF(OR(X36="",Z36=""),"-",IFERROR((X36-Z36),""))</f>
        <v>0</v>
      </c>
      <c r="AC36" s="157"/>
      <c r="AD36" s="160">
        <f ca="1">SUM(AD38:AD39)</f>
        <v>0</v>
      </c>
      <c r="AE36" s="158">
        <f t="shared" ref="AE36:AF36" ca="1" si="33">SUM(AE38:AE39)</f>
        <v>0</v>
      </c>
      <c r="AF36" s="158">
        <f t="shared" ca="1" si="33"/>
        <v>0</v>
      </c>
      <c r="AG36" s="159">
        <f ca="1">IF(OR(AD36="",AE36=""),"-",IFERROR((AD36-AE36),""))</f>
        <v>0</v>
      </c>
      <c r="AH36" s="161">
        <f ca="1">IF(OR(AD36="",AF36=""),"-",IFERROR((AD36-AF36),""))</f>
        <v>0</v>
      </c>
    </row>
    <row r="37" spans="1:34" s="149" customFormat="1" ht="12.75" customHeight="1">
      <c r="A37" s="142" t="s">
        <v>106</v>
      </c>
      <c r="B37" s="143"/>
      <c r="C37" s="143"/>
      <c r="D37" s="144" t="str">
        <f>IF(Language="French","% PAO","% revenues")</f>
        <v>% revenues</v>
      </c>
      <c r="E37" s="144"/>
      <c r="F37" s="145" t="str">
        <f ca="1">IF(OR(F36=0,F$17=0),"-",IF(ABS(F36/F$17)&gt;2,"-",-F36/F$17))</f>
        <v>-</v>
      </c>
      <c r="G37" s="145" t="str">
        <f ca="1">IF(OR(G36=0,G$17=0),"-",IF(ABS(G36/G$17)&gt;2,"-",-G36/G$17))</f>
        <v>-</v>
      </c>
      <c r="H37" s="145" t="str">
        <f ca="1">IF(OR(H36=0,H$17=0),"-",IF(ABS(H36/H$17)&gt;2,"-",-H36/H$17))</f>
        <v>-</v>
      </c>
      <c r="I37" s="146"/>
      <c r="J37" s="146"/>
      <c r="K37" s="144"/>
      <c r="L37" s="145" t="str">
        <f ca="1">IF(OR(L36=0,L$17=0),"-",IF(ABS(L36/L$17)&gt;2,"-",-L36/L$17))</f>
        <v>-</v>
      </c>
      <c r="M37" s="145" t="str">
        <f ca="1">IF(OR(M36=0,M$17=0),"-",IF(ABS(M36/M$17)&gt;2,"-",-M36/M$17))</f>
        <v>-</v>
      </c>
      <c r="N37" s="145" t="str">
        <f ca="1">IF(OR(N36=0,N$17=0),"-",IF(ABS(N36/N$17)&gt;2,"-",-N36/N$17))</f>
        <v>-</v>
      </c>
      <c r="O37" s="146"/>
      <c r="P37" s="146"/>
      <c r="Q37" s="144"/>
      <c r="R37" s="145" t="str">
        <f ca="1">IF(OR(R36=0,R$17=0),"-",IF(ABS(R36/R$17)&gt;2,"-",-R36/R$17))</f>
        <v>-</v>
      </c>
      <c r="S37" s="145" t="str">
        <f ca="1">IF(OR(S36=0,S$17=0),"-",IF(ABS(S36/S$17)&gt;2,"-",-S36/S$17))</f>
        <v>-</v>
      </c>
      <c r="T37" s="145" t="str">
        <f ca="1">IF(OR(T36=0,T$17=0),"-",IF(ABS(T36/T$17)&gt;2,"-",-T36/T$17))</f>
        <v>-</v>
      </c>
      <c r="U37" s="146"/>
      <c r="V37" s="146"/>
      <c r="W37" s="144"/>
      <c r="X37" s="145" t="str">
        <f ca="1">IF(OR(X36=0,X$17=0),"-",IF(ABS(X36/X$17)&gt;2,"-",-X36/X$17))</f>
        <v>-</v>
      </c>
      <c r="Y37" s="145" t="str">
        <f ca="1">IF(OR(Y36=0,Y$17=0),"-",IF(ABS(Y36/Y$17)&gt;2,"-",-Y36/Y$17))</f>
        <v>-</v>
      </c>
      <c r="Z37" s="145" t="str">
        <f ca="1">IF(OR(Z36=0,Z$17=0),"-",IF(ABS(Z36/Z$17)&gt;2,"-",-Z36/Z$17))</f>
        <v>-</v>
      </c>
      <c r="AA37" s="146"/>
      <c r="AB37" s="146"/>
      <c r="AC37" s="144"/>
      <c r="AD37" s="147" t="str">
        <f ca="1">IF(OR(AD36=0,AD$17=0),"-",IF(ABS(AD36/AD$17)&gt;2,"-",-AD36/AD$17))</f>
        <v>-</v>
      </c>
      <c r="AE37" s="145" t="str">
        <f ca="1">IF(OR(AE36=0,AE$17=0),"-",IF(ABS(AE36/AE$17)&gt;2,"-",-AE36/AE$17))</f>
        <v>-</v>
      </c>
      <c r="AF37" s="145" t="str">
        <f ca="1">IF(OR(AF36=0,AF$17=0),"-",IF(ABS(AF36/AF$17)&gt;2,"-",-AF36/AF$17))</f>
        <v>-</v>
      </c>
      <c r="AG37" s="146"/>
      <c r="AH37" s="148"/>
    </row>
    <row r="38" spans="1:34" s="40" customFormat="1" ht="15" hidden="1" customHeight="1" outlineLevel="1">
      <c r="A38" s="71" t="s">
        <v>37</v>
      </c>
      <c r="B38" s="35"/>
      <c r="C38" s="35"/>
      <c r="D38" s="49" t="str">
        <f ca="1">_xll.DBRA("tango_core_model:indicator",A38,Language)</f>
        <v>SELLING EXPENSES (by destination)</v>
      </c>
      <c r="E38" s="56"/>
      <c r="F38" s="50">
        <f ca="1">_xll.DBRW($B$3,F$6,$B$5,$B$4,$B$6,F$7,$B$9,F$4,F$5,$A38)*F$8</f>
        <v>0</v>
      </c>
      <c r="G38" s="50">
        <f ca="1">_xll.DBRW($B$3,G$6,$B$5,$B$4,$B$6,G$7,$B$9,G$4,G$5,$A38)*G$8</f>
        <v>0</v>
      </c>
      <c r="H38" s="50">
        <f ca="1">_xll.DBRW($B$3,H$6,$B$5,$B$4,$B$6,H$7,$B$9,H$4,H$5,$A38)*H$8</f>
        <v>0</v>
      </c>
      <c r="I38" s="51">
        <f ca="1">IF(OR(F38="",G38=""),"-",IFERROR((F38-G38),""))</f>
        <v>0</v>
      </c>
      <c r="J38" s="51">
        <f ca="1">IF(OR(F38="",H38=""),"-",IFERROR((F38-H38),""))</f>
        <v>0</v>
      </c>
      <c r="K38" s="56"/>
      <c r="L38" s="50">
        <f ca="1">_xll.DBRW($B$3,L$6,$B$5,$B$4,$B$6,L$7,$B$9,L$4,L$5,$A38)*L$8</f>
        <v>0</v>
      </c>
      <c r="M38" s="50">
        <f ca="1">_xll.DBRW($B$3,M$6,$B$5,$B$4,$B$6,M$7,$B$9,M$4,M$5,$A38)*M$8</f>
        <v>0</v>
      </c>
      <c r="N38" s="50">
        <f ca="1">_xll.DBRW($B$3,N$6,$B$5,$B$4,$B$6,N$7,$B$9,N$4,N$5,$A38)*N$8</f>
        <v>0</v>
      </c>
      <c r="O38" s="51">
        <f ca="1">IF(OR(L38="",M38=""),"-",IFERROR((L38-M38),""))</f>
        <v>0</v>
      </c>
      <c r="P38" s="51">
        <f ca="1">IF(OR(L38="",N38=""),"-",IFERROR((L38-N38),""))</f>
        <v>0</v>
      </c>
      <c r="Q38" s="56"/>
      <c r="R38" s="50">
        <f ca="1">_xll.DBRW($B$3,R$6,$B$5,$B$4,$B$6,R$7,$B$9,R$4,R$5,$A38)*R$8</f>
        <v>0</v>
      </c>
      <c r="S38" s="50">
        <f ca="1">_xll.DBRW($B$3,S$6,$B$5,$B$4,$B$6,S$7,$B$9,S$4,S$5,$A38)*S$8</f>
        <v>0</v>
      </c>
      <c r="T38" s="50">
        <f ca="1">_xll.DBRW($B$3,T$6,$B$5,$B$4,$B$6,T$7,$B$9,T$4,T$5,$A38)*T$8</f>
        <v>0</v>
      </c>
      <c r="U38" s="51">
        <f ca="1">IF(OR(R38="",S38=""),"-",IFERROR((R38-S38),""))</f>
        <v>0</v>
      </c>
      <c r="V38" s="51">
        <f ca="1">IF(OR(R38="",T38=""),"-",IFERROR((R38-T38),""))</f>
        <v>0</v>
      </c>
      <c r="W38" s="56"/>
      <c r="X38" s="50">
        <f t="shared" ref="X38:X39" ca="1" si="34">AD38-(F38+L38+R38)</f>
        <v>0</v>
      </c>
      <c r="Y38" s="50">
        <f t="shared" ref="Y38:Y39" ca="1" si="35">AE38-(G38+M38+S38)</f>
        <v>0</v>
      </c>
      <c r="Z38" s="50">
        <f t="shared" ref="Z38:Z39" ca="1" si="36">AF38-(H38+N38+T38)</f>
        <v>0</v>
      </c>
      <c r="AA38" s="51">
        <f ca="1">IF(OR(X38="",Y38=""),"-",IFERROR((X38-Y38),""))</f>
        <v>0</v>
      </c>
      <c r="AB38" s="51">
        <f ca="1">IF(OR(X38="",Z38=""),"-",IFERROR((X38-Z38),""))</f>
        <v>0</v>
      </c>
      <c r="AC38" s="56"/>
      <c r="AD38" s="52">
        <f ca="1">_xll.DBRW($B$3,AD$6,$B$5,$B$4,$B$6,AD$7,$B$9,AD$4,AD$5,$A38)*AD$8</f>
        <v>0</v>
      </c>
      <c r="AE38" s="50">
        <f ca="1">_xll.DBRW($B$3,AE$6,$B$5,$B$4,$B$6,AE$7,$B$9,AE$4,AE$5,$A38)*AE$8</f>
        <v>0</v>
      </c>
      <c r="AF38" s="50">
        <f ca="1">_xll.DBRW($B$3,AF$6,$B$5,$B$4,$B$6,AF$7,$B$9,AF$4,AF$5,$A38)*AF$8</f>
        <v>0</v>
      </c>
      <c r="AG38" s="51">
        <f ca="1">IF(OR(AD38="",AE38=""),"-",IFERROR((AD38-AE38),""))</f>
        <v>0</v>
      </c>
      <c r="AH38" s="53">
        <f ca="1">IF(OR(AD38="",AF38=""),"-",IFERROR((AD38-AF38),""))</f>
        <v>0</v>
      </c>
    </row>
    <row r="39" spans="1:34" s="40" customFormat="1" ht="15" hidden="1" customHeight="1" outlineLevel="1">
      <c r="A39" s="71" t="s">
        <v>35</v>
      </c>
      <c r="B39" s="35"/>
      <c r="C39" s="35"/>
      <c r="D39" s="49" t="str">
        <f ca="1">_xll.DBRA("tango_core_model:indicator",A39,Language)</f>
        <v>GENERAL AND ADMINISTRATIVE COSTS (by destination)</v>
      </c>
      <c r="E39" s="56"/>
      <c r="F39" s="50">
        <f ca="1">_xll.DBRW($B$3,F$6,$B$5,$B$4,$B$6,F$7,$B$9,F$4,F$5,$A39)*F$8</f>
        <v>0</v>
      </c>
      <c r="G39" s="50">
        <f ca="1">_xll.DBRW($B$3,G$6,$B$5,$B$4,$B$6,G$7,$B$9,G$4,G$5,$A39)*G$8</f>
        <v>0</v>
      </c>
      <c r="H39" s="50">
        <f ca="1">_xll.DBRW($B$3,H$6,$B$5,$B$4,$B$6,H$7,$B$9,H$4,H$5,$A39)*H$8</f>
        <v>0</v>
      </c>
      <c r="I39" s="51">
        <f ca="1">IF(OR(F39="",G39=""),"-",IFERROR((F39-G39),""))</f>
        <v>0</v>
      </c>
      <c r="J39" s="51">
        <f ca="1">IF(OR(F39="",H39=""),"-",IFERROR((F39-H39),""))</f>
        <v>0</v>
      </c>
      <c r="K39" s="56"/>
      <c r="L39" s="50">
        <f ca="1">_xll.DBRW($B$3,L$6,$B$5,$B$4,$B$6,L$7,$B$9,L$4,L$5,$A39)*L$8</f>
        <v>0</v>
      </c>
      <c r="M39" s="50">
        <f ca="1">_xll.DBRW($B$3,M$6,$B$5,$B$4,$B$6,M$7,$B$9,M$4,M$5,$A39)*M$8</f>
        <v>0</v>
      </c>
      <c r="N39" s="50">
        <f ca="1">_xll.DBRW($B$3,N$6,$B$5,$B$4,$B$6,N$7,$B$9,N$4,N$5,$A39)*N$8</f>
        <v>0</v>
      </c>
      <c r="O39" s="51">
        <f ca="1">IF(OR(L39="",M39=""),"-",IFERROR((L39-M39),""))</f>
        <v>0</v>
      </c>
      <c r="P39" s="51">
        <f ca="1">IF(OR(L39="",N39=""),"-",IFERROR((L39-N39),""))</f>
        <v>0</v>
      </c>
      <c r="Q39" s="56"/>
      <c r="R39" s="50">
        <f ca="1">_xll.DBRW($B$3,R$6,$B$5,$B$4,$B$6,R$7,$B$9,R$4,R$5,$A39)*R$8</f>
        <v>0</v>
      </c>
      <c r="S39" s="50">
        <f ca="1">_xll.DBRW($B$3,S$6,$B$5,$B$4,$B$6,S$7,$B$9,S$4,S$5,$A39)*S$8</f>
        <v>0</v>
      </c>
      <c r="T39" s="50">
        <f ca="1">_xll.DBRW($B$3,T$6,$B$5,$B$4,$B$6,T$7,$B$9,T$4,T$5,$A39)*T$8</f>
        <v>0</v>
      </c>
      <c r="U39" s="51">
        <f ca="1">IF(OR(R39="",S39=""),"-",IFERROR((R39-S39),""))</f>
        <v>0</v>
      </c>
      <c r="V39" s="51">
        <f ca="1">IF(OR(R39="",T39=""),"-",IFERROR((R39-T39),""))</f>
        <v>0</v>
      </c>
      <c r="W39" s="56"/>
      <c r="X39" s="50">
        <f t="shared" ca="1" si="34"/>
        <v>0</v>
      </c>
      <c r="Y39" s="50">
        <f t="shared" ca="1" si="35"/>
        <v>0</v>
      </c>
      <c r="Z39" s="50">
        <f t="shared" ca="1" si="36"/>
        <v>0</v>
      </c>
      <c r="AA39" s="51">
        <f ca="1">IF(OR(X39="",Y39=""),"-",IFERROR((X39-Y39),""))</f>
        <v>0</v>
      </c>
      <c r="AB39" s="51">
        <f ca="1">IF(OR(X39="",Z39=""),"-",IFERROR((X39-Z39),""))</f>
        <v>0</v>
      </c>
      <c r="AC39" s="56"/>
      <c r="AD39" s="52">
        <f ca="1">_xll.DBRW($B$3,AD$6,$B$5,$B$4,$B$6,AD$7,$B$9,AD$4,AD$5,$A39)*AD$8</f>
        <v>0</v>
      </c>
      <c r="AE39" s="50">
        <f ca="1">_xll.DBRW($B$3,AE$6,$B$5,$B$4,$B$6,AE$7,$B$9,AE$4,AE$5,$A39)*AE$8</f>
        <v>0</v>
      </c>
      <c r="AF39" s="50">
        <f ca="1">_xll.DBRW($B$3,AF$6,$B$5,$B$4,$B$6,AF$7,$B$9,AF$4,AF$5,$A39)*AF$8</f>
        <v>0</v>
      </c>
      <c r="AG39" s="51">
        <f ca="1">IF(OR(AD39="",AE39=""),"-",IFERROR((AD39-AE39),""))</f>
        <v>0</v>
      </c>
      <c r="AH39" s="53">
        <f ca="1">IF(OR(AD39="",AF39=""),"-",IFERROR((AD39-AF39),""))</f>
        <v>0</v>
      </c>
    </row>
    <row r="40" spans="1:34" s="40" customFormat="1" ht="9.9499999999999993" customHeight="1" collapsed="1">
      <c r="A40" s="63"/>
      <c r="B40" s="35"/>
      <c r="C40" s="35"/>
      <c r="D40" s="49"/>
      <c r="E40" s="56"/>
      <c r="F40" s="50"/>
      <c r="G40" s="50"/>
      <c r="H40" s="50"/>
      <c r="I40" s="51"/>
      <c r="J40" s="51"/>
      <c r="K40" s="56"/>
      <c r="L40" s="50"/>
      <c r="M40" s="50"/>
      <c r="N40" s="50"/>
      <c r="O40" s="51"/>
      <c r="P40" s="51"/>
      <c r="Q40" s="56"/>
      <c r="R40" s="50"/>
      <c r="S40" s="50"/>
      <c r="T40" s="50"/>
      <c r="U40" s="51"/>
      <c r="V40" s="51"/>
      <c r="W40" s="56"/>
      <c r="X40" s="50"/>
      <c r="Y40" s="50"/>
      <c r="Z40" s="50"/>
      <c r="AA40" s="51"/>
      <c r="AB40" s="51"/>
      <c r="AC40" s="56"/>
      <c r="AD40" s="52"/>
      <c r="AE40" s="50"/>
      <c r="AF40" s="50"/>
      <c r="AG40" s="51"/>
      <c r="AH40" s="53"/>
    </row>
    <row r="41" spans="1:34" s="140" customFormat="1" ht="24" customHeight="1">
      <c r="A41" s="132" t="s">
        <v>106</v>
      </c>
      <c r="B41" s="133"/>
      <c r="C41" s="133"/>
      <c r="D41" s="134" t="str">
        <f>IF(Language="French","Autres charges op + RT des ent. Associées &amp; JV","Other operating rev/exp + JV &amp; associates results")</f>
        <v>Other operating rev/exp + JV &amp; associates results</v>
      </c>
      <c r="E41" s="135"/>
      <c r="F41" s="136">
        <f ca="1">SUM(F42:F44)</f>
        <v>0</v>
      </c>
      <c r="G41" s="136">
        <f t="shared" ref="G41:H41" ca="1" si="37">SUM(G42:G44)</f>
        <v>0</v>
      </c>
      <c r="H41" s="136">
        <f t="shared" ca="1" si="37"/>
        <v>0</v>
      </c>
      <c r="I41" s="137">
        <f ca="1">IF(OR(F41="",G41=""),"-",IFERROR((F41-G41),""))</f>
        <v>0</v>
      </c>
      <c r="J41" s="137">
        <f ca="1">IF(OR(F41="",H41=""),"-",IFERROR((F41-H41),""))</f>
        <v>0</v>
      </c>
      <c r="K41" s="135"/>
      <c r="L41" s="136">
        <f ca="1">SUM(L42:L44)</f>
        <v>0</v>
      </c>
      <c r="M41" s="136">
        <f t="shared" ref="M41" ca="1" si="38">SUM(M42:M44)</f>
        <v>0</v>
      </c>
      <c r="N41" s="136">
        <f t="shared" ref="N41" ca="1" si="39">SUM(N42:N44)</f>
        <v>0</v>
      </c>
      <c r="O41" s="137">
        <f ca="1">IF(OR(L41="",M41=""),"-",IFERROR((L41-M41),""))</f>
        <v>0</v>
      </c>
      <c r="P41" s="137">
        <f ca="1">IF(OR(L41="",N41=""),"-",IFERROR((L41-N41),""))</f>
        <v>0</v>
      </c>
      <c r="Q41" s="135"/>
      <c r="R41" s="136">
        <f ca="1">SUM(R42:R44)</f>
        <v>0</v>
      </c>
      <c r="S41" s="136">
        <f t="shared" ref="S41" ca="1" si="40">SUM(S42:S44)</f>
        <v>0</v>
      </c>
      <c r="T41" s="136">
        <f t="shared" ref="T41" ca="1" si="41">SUM(T42:T44)</f>
        <v>0</v>
      </c>
      <c r="U41" s="137">
        <f ca="1">IF(OR(R41="",S41=""),"-",IFERROR((R41-S41),""))</f>
        <v>0</v>
      </c>
      <c r="V41" s="137">
        <f ca="1">IF(OR(R41="",T41=""),"-",IFERROR((R41-T41),""))</f>
        <v>0</v>
      </c>
      <c r="W41" s="135"/>
      <c r="X41" s="136">
        <f t="shared" ref="X41:Z44" ca="1" si="42">AD41-(F41+L41+R41)</f>
        <v>0</v>
      </c>
      <c r="Y41" s="136">
        <f t="shared" ca="1" si="42"/>
        <v>0</v>
      </c>
      <c r="Z41" s="136">
        <f t="shared" ca="1" si="42"/>
        <v>0</v>
      </c>
      <c r="AA41" s="137">
        <f ca="1">IF(OR(X41="",Y41=""),"-",IFERROR((X41-Y41),""))</f>
        <v>0</v>
      </c>
      <c r="AB41" s="137">
        <f ca="1">IF(OR(X41="",Z41=""),"-",IFERROR((X41-Z41),""))</f>
        <v>0</v>
      </c>
      <c r="AC41" s="135"/>
      <c r="AD41" s="138">
        <f ca="1">SUM(AD42:AD44)</f>
        <v>0</v>
      </c>
      <c r="AE41" s="136">
        <f t="shared" ref="AE41" ca="1" si="43">SUM(AE42:AE44)</f>
        <v>0</v>
      </c>
      <c r="AF41" s="136">
        <f t="shared" ref="AF41" ca="1" si="44">SUM(AF42:AF44)</f>
        <v>0</v>
      </c>
      <c r="AG41" s="137">
        <f ca="1">IF(OR(AD41="",AE41=""),"-",IFERROR((AD41-AE41),""))</f>
        <v>0</v>
      </c>
      <c r="AH41" s="139">
        <f ca="1">IF(OR(AD41="",AF41=""),"-",IFERROR((AD41-AF41),""))</f>
        <v>0</v>
      </c>
    </row>
    <row r="42" spans="1:34" s="40" customFormat="1" ht="15" hidden="1" customHeight="1" outlineLevel="1">
      <c r="A42" s="71" t="s">
        <v>83</v>
      </c>
      <c r="B42" s="35"/>
      <c r="C42" s="35"/>
      <c r="D42" s="49" t="str">
        <f ca="1">_xll.DBRA("tango_core_model:indicator",A42,Language)</f>
        <v>OTHER OPERATING REVENUE AND EXPENSE (by destination)</v>
      </c>
      <c r="E42" s="56"/>
      <c r="F42" s="50">
        <f ca="1">_xll.DBRW($B$3,F$6,$B$5,$B$4,$B$6,F$7,$B$9,F$4,F$5,$A42)*F$8</f>
        <v>0</v>
      </c>
      <c r="G42" s="50">
        <f ca="1">_xll.DBRW($B$3,G$6,$B$5,$B$4,$B$6,G$7,$B$9,G$4,G$5,$A42)*G$8</f>
        <v>0</v>
      </c>
      <c r="H42" s="50">
        <f ca="1">_xll.DBRW($B$3,H$6,$B$5,$B$4,$B$6,H$7,$B$9,H$4,H$5,$A42)*H$8</f>
        <v>0</v>
      </c>
      <c r="I42" s="51">
        <f ca="1">IF(OR(F42="",G42=""),"-",IFERROR((F42-G42),""))</f>
        <v>0</v>
      </c>
      <c r="J42" s="51">
        <f ca="1">IF(OR(F42="",H42=""),"-",IFERROR((F42-H42),""))</f>
        <v>0</v>
      </c>
      <c r="K42" s="56"/>
      <c r="L42" s="50">
        <f ca="1">_xll.DBRW($B$3,L$6,$B$5,$B$4,$B$6,L$7,$B$9,L$4,L$5,$A42)*L$8</f>
        <v>0</v>
      </c>
      <c r="M42" s="50">
        <f ca="1">_xll.DBRW($B$3,M$6,$B$5,$B$4,$B$6,M$7,$B$9,M$4,M$5,$A42)*M$8</f>
        <v>0</v>
      </c>
      <c r="N42" s="50">
        <f ca="1">_xll.DBRW($B$3,N$6,$B$5,$B$4,$B$6,N$7,$B$9,N$4,N$5,$A42)*N$8</f>
        <v>0</v>
      </c>
      <c r="O42" s="51">
        <f ca="1">IF(OR(L42="",M42=""),"-",IFERROR((L42-M42),""))</f>
        <v>0</v>
      </c>
      <c r="P42" s="51">
        <f ca="1">IF(OR(L42="",N42=""),"-",IFERROR((L42-N42),""))</f>
        <v>0</v>
      </c>
      <c r="Q42" s="56"/>
      <c r="R42" s="50">
        <f ca="1">_xll.DBRW($B$3,R$6,$B$5,$B$4,$B$6,R$7,$B$9,R$4,R$5,$A42)*R$8</f>
        <v>0</v>
      </c>
      <c r="S42" s="50">
        <f ca="1">_xll.DBRW($B$3,S$6,$B$5,$B$4,$B$6,S$7,$B$9,S$4,S$5,$A42)*S$8</f>
        <v>0</v>
      </c>
      <c r="T42" s="50">
        <f ca="1">_xll.DBRW($B$3,T$6,$B$5,$B$4,$B$6,T$7,$B$9,T$4,T$5,$A42)*T$8</f>
        <v>0</v>
      </c>
      <c r="U42" s="51">
        <f ca="1">IF(OR(R42="",S42=""),"-",IFERROR((R42-S42),""))</f>
        <v>0</v>
      </c>
      <c r="V42" s="51">
        <f ca="1">IF(OR(R42="",T42=""),"-",IFERROR((R42-T42),""))</f>
        <v>0</v>
      </c>
      <c r="W42" s="56"/>
      <c r="X42" s="50">
        <f t="shared" ca="1" si="42"/>
        <v>0</v>
      </c>
      <c r="Y42" s="50">
        <f t="shared" ca="1" si="42"/>
        <v>0</v>
      </c>
      <c r="Z42" s="50">
        <f t="shared" ca="1" si="42"/>
        <v>0</v>
      </c>
      <c r="AA42" s="51">
        <f ca="1">IF(OR(X42="",Y42=""),"-",IFERROR((X42-Y42),""))</f>
        <v>0</v>
      </c>
      <c r="AB42" s="51">
        <f ca="1">IF(OR(X42="",Z42=""),"-",IFERROR((X42-Z42),""))</f>
        <v>0</v>
      </c>
      <c r="AC42" s="56"/>
      <c r="AD42" s="52">
        <f ca="1">_xll.DBRW($B$3,AD$6,$B$5,$B$4,$B$6,AD$7,$B$9,AD$4,AD$5,$A42)*AD$8</f>
        <v>0</v>
      </c>
      <c r="AE42" s="50">
        <f ca="1">_xll.DBRW($B$3,AE$6,$B$5,$B$4,$B$6,AE$7,$B$9,AE$4,AE$5,$A42)*AE$8</f>
        <v>0</v>
      </c>
      <c r="AF42" s="50">
        <f ca="1">_xll.DBRW($B$3,AF$6,$B$5,$B$4,$B$6,AF$7,$B$9,AF$4,AF$5,$A42)*AF$8</f>
        <v>0</v>
      </c>
      <c r="AG42" s="51">
        <f ca="1">IF(OR(AD42="",AE42=""),"-",IFERROR((AD42-AE42),""))</f>
        <v>0</v>
      </c>
      <c r="AH42" s="53">
        <f ca="1">IF(OR(AD42="",AF42=""),"-",IFERROR((AD42-AF42),""))</f>
        <v>0</v>
      </c>
    </row>
    <row r="43" spans="1:34" s="40" customFormat="1" ht="15" hidden="1" customHeight="1" outlineLevel="1">
      <c r="A43" s="71" t="s">
        <v>84</v>
      </c>
      <c r="B43" s="35"/>
      <c r="C43" s="35"/>
      <c r="D43" s="49" t="str">
        <f ca="1">_xll.DBRA("tango_core_model:indicator",A43,Language)</f>
        <v>PROFIT OR LOSS OF JOINT VENTURES (from 2013)  (by destination)</v>
      </c>
      <c r="E43" s="56"/>
      <c r="F43" s="50">
        <f ca="1">_xll.DBRW($B$3,F$6,$B$5,$B$4,$B$6,F$7,$B$9,F$4,F$5,$A43)*F$8</f>
        <v>0</v>
      </c>
      <c r="G43" s="50">
        <f ca="1">_xll.DBRW($B$3,G$6,$B$5,$B$4,$B$6,G$7,$B$9,G$4,G$5,$A43)*G$8</f>
        <v>0</v>
      </c>
      <c r="H43" s="50">
        <f ca="1">_xll.DBRW($B$3,H$6,$B$5,$B$4,$B$6,H$7,$B$9,H$4,H$5,$A43)*H$8</f>
        <v>0</v>
      </c>
      <c r="I43" s="51">
        <f ca="1">IF(OR(F43="",G43=""),"-",IFERROR((F43-G43),""))</f>
        <v>0</v>
      </c>
      <c r="J43" s="51">
        <f ca="1">IF(OR(F43="",H43=""),"-",IFERROR((F43-H43),""))</f>
        <v>0</v>
      </c>
      <c r="K43" s="56"/>
      <c r="L43" s="50">
        <f ca="1">_xll.DBRW($B$3,L$6,$B$5,$B$4,$B$6,L$7,$B$9,L$4,L$5,$A43)*L$8</f>
        <v>0</v>
      </c>
      <c r="M43" s="50">
        <f ca="1">_xll.DBRW($B$3,M$6,$B$5,$B$4,$B$6,M$7,$B$9,M$4,M$5,$A43)*M$8</f>
        <v>0</v>
      </c>
      <c r="N43" s="50">
        <f ca="1">_xll.DBRW($B$3,N$6,$B$5,$B$4,$B$6,N$7,$B$9,N$4,N$5,$A43)*N$8</f>
        <v>0</v>
      </c>
      <c r="O43" s="51">
        <f ca="1">IF(OR(L43="",M43=""),"-",IFERROR((L43-M43),""))</f>
        <v>0</v>
      </c>
      <c r="P43" s="51">
        <f ca="1">IF(OR(L43="",N43=""),"-",IFERROR((L43-N43),""))</f>
        <v>0</v>
      </c>
      <c r="Q43" s="56"/>
      <c r="R43" s="50">
        <f ca="1">_xll.DBRW($B$3,R$6,$B$5,$B$4,$B$6,R$7,$B$9,R$4,R$5,$A43)*R$8</f>
        <v>0</v>
      </c>
      <c r="S43" s="50">
        <f ca="1">_xll.DBRW($B$3,S$6,$B$5,$B$4,$B$6,S$7,$B$9,S$4,S$5,$A43)*S$8</f>
        <v>0</v>
      </c>
      <c r="T43" s="50">
        <f ca="1">_xll.DBRW($B$3,T$6,$B$5,$B$4,$B$6,T$7,$B$9,T$4,T$5,$A43)*T$8</f>
        <v>0</v>
      </c>
      <c r="U43" s="51">
        <f ca="1">IF(OR(R43="",S43=""),"-",IFERROR((R43-S43),""))</f>
        <v>0</v>
      </c>
      <c r="V43" s="51">
        <f ca="1">IF(OR(R43="",T43=""),"-",IFERROR((R43-T43),""))</f>
        <v>0</v>
      </c>
      <c r="W43" s="56"/>
      <c r="X43" s="50">
        <f t="shared" ca="1" si="42"/>
        <v>0</v>
      </c>
      <c r="Y43" s="50">
        <f t="shared" ca="1" si="42"/>
        <v>0</v>
      </c>
      <c r="Z43" s="50">
        <f t="shared" ca="1" si="42"/>
        <v>0</v>
      </c>
      <c r="AA43" s="51">
        <f ca="1">IF(OR(X43="",Y43=""),"-",IFERROR((X43-Y43),""))</f>
        <v>0</v>
      </c>
      <c r="AB43" s="51">
        <f ca="1">IF(OR(X43="",Z43=""),"-",IFERROR((X43-Z43),""))</f>
        <v>0</v>
      </c>
      <c r="AC43" s="56"/>
      <c r="AD43" s="52">
        <f ca="1">_xll.DBRW($B$3,AD$6,$B$5,$B$4,$B$6,AD$7,$B$9,AD$4,AD$5,$A43)*AD$8</f>
        <v>0</v>
      </c>
      <c r="AE43" s="50">
        <f ca="1">_xll.DBRW($B$3,AE$6,$B$5,$B$4,$B$6,AE$7,$B$9,AE$4,AE$5,$A43)*AE$8</f>
        <v>0</v>
      </c>
      <c r="AF43" s="50">
        <f ca="1">_xll.DBRW($B$3,AF$6,$B$5,$B$4,$B$6,AF$7,$B$9,AF$4,AF$5,$A43)*AF$8</f>
        <v>0</v>
      </c>
      <c r="AG43" s="51">
        <f ca="1">IF(OR(AD43="",AE43=""),"-",IFERROR((AD43-AE43),""))</f>
        <v>0</v>
      </c>
      <c r="AH43" s="53">
        <f ca="1">IF(OR(AD43="",AF43=""),"-",IFERROR((AD43-AF43),""))</f>
        <v>0</v>
      </c>
    </row>
    <row r="44" spans="1:34" s="40" customFormat="1" ht="15" hidden="1" customHeight="1" outlineLevel="1">
      <c r="A44" s="71" t="s">
        <v>85</v>
      </c>
      <c r="B44" s="35"/>
      <c r="C44" s="35"/>
      <c r="D44" s="49" t="str">
        <f ca="1">_xll.DBRA("tango_core_model:indicator",A44,Language)</f>
        <v>PROFIT OR LOSS OF ASSOCIATES (from 2013) (by destination)</v>
      </c>
      <c r="E44" s="56"/>
      <c r="F44" s="50">
        <f ca="1">_xll.DBRW($B$3,F$6,$B$5,$B$4,$B$6,F$7,$B$9,F$4,F$5,$A44)*F$8</f>
        <v>0</v>
      </c>
      <c r="G44" s="50">
        <f ca="1">_xll.DBRW($B$3,G$6,$B$5,$B$4,$B$6,G$7,$B$9,G$4,G$5,$A44)*G$8</f>
        <v>0</v>
      </c>
      <c r="H44" s="50">
        <f ca="1">_xll.DBRW($B$3,H$6,$B$5,$B$4,$B$6,H$7,$B$9,H$4,H$5,$A44)*H$8</f>
        <v>0</v>
      </c>
      <c r="I44" s="51">
        <f ca="1">IF(OR(F44="",G44=""),"-",IFERROR((F44-G44),""))</f>
        <v>0</v>
      </c>
      <c r="J44" s="51">
        <f ca="1">IF(OR(F44="",H44=""),"-",IFERROR((F44-H44),""))</f>
        <v>0</v>
      </c>
      <c r="K44" s="56"/>
      <c r="L44" s="50">
        <f ca="1">_xll.DBRW($B$3,L$6,$B$5,$B$4,$B$6,L$7,$B$9,L$4,L$5,$A44)*L$8</f>
        <v>0</v>
      </c>
      <c r="M44" s="50">
        <f ca="1">_xll.DBRW($B$3,M$6,$B$5,$B$4,$B$6,M$7,$B$9,M$4,M$5,$A44)*M$8</f>
        <v>0</v>
      </c>
      <c r="N44" s="50">
        <f ca="1">_xll.DBRW($B$3,N$6,$B$5,$B$4,$B$6,N$7,$B$9,N$4,N$5,$A44)*N$8</f>
        <v>0</v>
      </c>
      <c r="O44" s="51">
        <f ca="1">IF(OR(L44="",M44=""),"-",IFERROR((L44-M44),""))</f>
        <v>0</v>
      </c>
      <c r="P44" s="51">
        <f ca="1">IF(OR(L44="",N44=""),"-",IFERROR((L44-N44),""))</f>
        <v>0</v>
      </c>
      <c r="Q44" s="56"/>
      <c r="R44" s="50">
        <f ca="1">_xll.DBRW($B$3,R$6,$B$5,$B$4,$B$6,R$7,$B$9,R$4,R$5,$A44)*R$8</f>
        <v>0</v>
      </c>
      <c r="S44" s="50">
        <f ca="1">_xll.DBRW($B$3,S$6,$B$5,$B$4,$B$6,S$7,$B$9,S$4,S$5,$A44)*S$8</f>
        <v>0</v>
      </c>
      <c r="T44" s="50">
        <f ca="1">_xll.DBRW($B$3,T$6,$B$5,$B$4,$B$6,T$7,$B$9,T$4,T$5,$A44)*T$8</f>
        <v>0</v>
      </c>
      <c r="U44" s="51">
        <f ca="1">IF(OR(R44="",S44=""),"-",IFERROR((R44-S44),""))</f>
        <v>0</v>
      </c>
      <c r="V44" s="51">
        <f ca="1">IF(OR(R44="",T44=""),"-",IFERROR((R44-T44),""))</f>
        <v>0</v>
      </c>
      <c r="W44" s="56"/>
      <c r="X44" s="50">
        <f t="shared" ca="1" si="42"/>
        <v>0</v>
      </c>
      <c r="Y44" s="50">
        <f t="shared" ca="1" si="42"/>
        <v>0</v>
      </c>
      <c r="Z44" s="50">
        <f t="shared" ca="1" si="42"/>
        <v>0</v>
      </c>
      <c r="AA44" s="51">
        <f ca="1">IF(OR(X44="",Y44=""),"-",IFERROR((X44-Y44),""))</f>
        <v>0</v>
      </c>
      <c r="AB44" s="51">
        <f ca="1">IF(OR(X44="",Z44=""),"-",IFERROR((X44-Z44),""))</f>
        <v>0</v>
      </c>
      <c r="AC44" s="56"/>
      <c r="AD44" s="52">
        <f ca="1">_xll.DBRW($B$3,AD$6,$B$5,$B$4,$B$6,AD$7,$B$9,AD$4,AD$5,$A44)*AD$8</f>
        <v>0</v>
      </c>
      <c r="AE44" s="50">
        <f ca="1">_xll.DBRW($B$3,AE$6,$B$5,$B$4,$B$6,AE$7,$B$9,AE$4,AE$5,$A44)*AE$8</f>
        <v>0</v>
      </c>
      <c r="AF44" s="50">
        <f ca="1">_xll.DBRW($B$3,AF$6,$B$5,$B$4,$B$6,AF$7,$B$9,AF$4,AF$5,$A44)*AF$8</f>
        <v>0</v>
      </c>
      <c r="AG44" s="51">
        <f ca="1">IF(OR(AD44="",AE44=""),"-",IFERROR((AD44-AE44),""))</f>
        <v>0</v>
      </c>
      <c r="AH44" s="53">
        <f ca="1">IF(OR(AD44="",AF44=""),"-",IFERROR((AD44-AF44),""))</f>
        <v>0</v>
      </c>
    </row>
    <row r="45" spans="1:34" ht="9.9499999999999993" customHeight="1" collapsed="1">
      <c r="AD45" s="60"/>
      <c r="AE45" s="40"/>
      <c r="AF45" s="40"/>
      <c r="AG45" s="59"/>
      <c r="AH45" s="61"/>
    </row>
    <row r="46" spans="1:34" s="48" customFormat="1" ht="24" customHeight="1">
      <c r="A46" s="92" t="s">
        <v>87</v>
      </c>
      <c r="B46" s="41"/>
      <c r="C46" s="41"/>
      <c r="D46" s="42" t="str">
        <f ca="1">_xll.DBRA("tango_core_model:indicator",A46,Language)</f>
        <v>OPERATING PROFIT (by destination)</v>
      </c>
      <c r="E46" s="43"/>
      <c r="F46" s="44">
        <f ca="1">_xll.DBRW($B$3,F$6,$B$5,$B$4,$B$6,F$7,$B$9,F$4,F$5,$A46)*F$8</f>
        <v>0</v>
      </c>
      <c r="G46" s="44">
        <f ca="1">_xll.DBRW($B$3,G$6,$B$5,$B$4,$B$6,G$7,$B$9,G$4,G$5,$A46)*G$8</f>
        <v>0</v>
      </c>
      <c r="H46" s="44">
        <f ca="1">_xll.DBRW($B$3,H$6,$B$5,$B$4,$B$6,H$7,$B$9,H$4,H$5,$A46)*H$8</f>
        <v>0</v>
      </c>
      <c r="I46" s="45">
        <f ca="1">IF(OR(F46="",G46=""),"-",IFERROR((F46-G46),""))</f>
        <v>0</v>
      </c>
      <c r="J46" s="45">
        <f ca="1">IF(OR(F46="",H46=""),"-",IFERROR((F46-H46),""))</f>
        <v>0</v>
      </c>
      <c r="K46" s="43"/>
      <c r="L46" s="44">
        <f ca="1">_xll.DBRW($B$3,L$6,$B$5,$B$4,$B$6,L$7,$B$9,L$4,L$5,$A46)*L$8</f>
        <v>0</v>
      </c>
      <c r="M46" s="44">
        <f ca="1">_xll.DBRW($B$3,M$6,$B$5,$B$4,$B$6,M$7,$B$9,M$4,M$5,$A46)*M$8</f>
        <v>0</v>
      </c>
      <c r="N46" s="44">
        <f ca="1">_xll.DBRW($B$3,N$6,$B$5,$B$4,$B$6,N$7,$B$9,N$4,N$5,$A46)*N$8</f>
        <v>0</v>
      </c>
      <c r="O46" s="45">
        <f ca="1">IF(OR(L46="",M46=""),"-",IFERROR((L46-M46),""))</f>
        <v>0</v>
      </c>
      <c r="P46" s="45">
        <f ca="1">IF(OR(L46="",N46=""),"-",IFERROR((L46-N46),""))</f>
        <v>0</v>
      </c>
      <c r="Q46" s="43"/>
      <c r="R46" s="44">
        <f ca="1">_xll.DBRW($B$3,R$6,$B$5,$B$4,$B$6,R$7,$B$9,R$4,R$5,$A46)*R$8</f>
        <v>0</v>
      </c>
      <c r="S46" s="44">
        <f ca="1">_xll.DBRW($B$3,S$6,$B$5,$B$4,$B$6,S$7,$B$9,S$4,S$5,$A46)*S$8</f>
        <v>0</v>
      </c>
      <c r="T46" s="44">
        <f ca="1">_xll.DBRW($B$3,T$6,$B$5,$B$4,$B$6,T$7,$B$9,T$4,T$5,$A46)*T$8</f>
        <v>0</v>
      </c>
      <c r="U46" s="45">
        <f ca="1">IF(OR(R46="",S46=""),"-",IFERROR((R46-S46),""))</f>
        <v>0</v>
      </c>
      <c r="V46" s="45">
        <f ca="1">IF(OR(R46="",T46=""),"-",IFERROR((R46-T46),""))</f>
        <v>0</v>
      </c>
      <c r="W46" s="43"/>
      <c r="X46" s="44">
        <f t="shared" ref="X46" ca="1" si="45">AD46-(F46+L46+R46)</f>
        <v>0</v>
      </c>
      <c r="Y46" s="44">
        <f t="shared" ref="Y46" ca="1" si="46">AE46-(G46+M46+S46)</f>
        <v>0</v>
      </c>
      <c r="Z46" s="44">
        <f t="shared" ref="Z46" ca="1" si="47">AF46-(H46+N46+T46)</f>
        <v>0</v>
      </c>
      <c r="AA46" s="45">
        <f ca="1">IF(OR(X46="",Y46=""),"-",IFERROR((X46-Y46),""))</f>
        <v>0</v>
      </c>
      <c r="AB46" s="45">
        <f ca="1">IF(OR(X46="",Z46=""),"-",IFERROR((X46-Z46),""))</f>
        <v>0</v>
      </c>
      <c r="AC46" s="43"/>
      <c r="AD46" s="46">
        <f ca="1">_xll.DBRW($B$3,AD$6,$B$5,$B$4,$B$6,AD$7,$B$9,AD$4,AD$5,$A46)*AD$8</f>
        <v>0</v>
      </c>
      <c r="AE46" s="44">
        <f ca="1">_xll.DBRW($B$3,AE$6,$B$5,$B$4,$B$6,AE$7,$B$9,AE$4,AE$5,$A46)*AE$8</f>
        <v>0</v>
      </c>
      <c r="AF46" s="44">
        <f ca="1">_xll.DBRW($B$3,AF$6,$B$5,$B$4,$B$6,AF$7,$B$9,AF$4,AF$5,$A46)*AF$8</f>
        <v>0</v>
      </c>
      <c r="AG46" s="45">
        <f ca="1">IF(OR(AD46="",AE46=""),"-",IFERROR((AD46-AE46),""))</f>
        <v>0</v>
      </c>
      <c r="AH46" s="47">
        <f ca="1">IF(OR(AD46="",AF46=""),"-",IFERROR((AD46-AF46),""))</f>
        <v>0</v>
      </c>
    </row>
    <row r="47" spans="1:34" ht="9.9499999999999993" customHeight="1" collapsed="1">
      <c r="AD47" s="60"/>
      <c r="AE47" s="40"/>
      <c r="AF47" s="40"/>
      <c r="AG47" s="59"/>
      <c r="AH47" s="61"/>
    </row>
    <row r="48" spans="1:34" s="162" customFormat="1" ht="26.1" customHeight="1">
      <c r="A48" s="154" t="s">
        <v>29</v>
      </c>
      <c r="B48" s="155"/>
      <c r="C48" s="155"/>
      <c r="D48" s="156" t="str">
        <f ca="1">_xll.DBRA("tango_core_model:indicator",A48,Language)</f>
        <v>OPERATING PROFIT bef. Mgmt &amp; Brand fees</v>
      </c>
      <c r="E48" s="157"/>
      <c r="F48" s="158">
        <f ca="1">_xll.DBRW($B$3,F$6,$B$5,$B$4,$B$6,F$7,$B$9,F$4,F$5,$A48)*F$8</f>
        <v>0</v>
      </c>
      <c r="G48" s="158">
        <f ca="1">_xll.DBRW($B$3,G$6,$B$5,$B$4,$B$6,G$7,$B$9,G$4,G$5,$A48)*G$8</f>
        <v>0</v>
      </c>
      <c r="H48" s="158">
        <f ca="1">_xll.DBRW($B$3,H$6,$B$5,$B$4,$B$6,H$7,$B$9,H$4,H$5,$A48)*H$8</f>
        <v>0</v>
      </c>
      <c r="I48" s="159">
        <f ca="1">IF(OR(F48="",G48=""),"-",IFERROR((F48-G48),""))</f>
        <v>0</v>
      </c>
      <c r="J48" s="159">
        <f ca="1">IF(OR(F48="",H48=""),"-",IFERROR((F48-H48),""))</f>
        <v>0</v>
      </c>
      <c r="K48" s="157"/>
      <c r="L48" s="158">
        <f ca="1">_xll.DBRW($B$3,L$6,$B$5,$B$4,$B$6,L$7,$B$9,L$4,L$5,$A48)*L$8</f>
        <v>0</v>
      </c>
      <c r="M48" s="158">
        <f ca="1">_xll.DBRW($B$3,M$6,$B$5,$B$4,$B$6,M$7,$B$9,M$4,M$5,$A48)*M$8</f>
        <v>0</v>
      </c>
      <c r="N48" s="158">
        <f ca="1">_xll.DBRW($B$3,N$6,$B$5,$B$4,$B$6,N$7,$B$9,N$4,N$5,$A48)*N$8</f>
        <v>0</v>
      </c>
      <c r="O48" s="159">
        <f ca="1">IF(OR(L48="",M48=""),"-",IFERROR((L48-M48),""))</f>
        <v>0</v>
      </c>
      <c r="P48" s="159">
        <f ca="1">IF(OR(L48="",N48=""),"-",IFERROR((L48-N48),""))</f>
        <v>0</v>
      </c>
      <c r="Q48" s="157"/>
      <c r="R48" s="158">
        <f ca="1">_xll.DBRW($B$3,R$6,$B$5,$B$4,$B$6,R$7,$B$9,R$4,R$5,$A48)*R$8</f>
        <v>0</v>
      </c>
      <c r="S48" s="158">
        <f ca="1">_xll.DBRW($B$3,S$6,$B$5,$B$4,$B$6,S$7,$B$9,S$4,S$5,$A48)*S$8</f>
        <v>0</v>
      </c>
      <c r="T48" s="158">
        <f ca="1">_xll.DBRW($B$3,T$6,$B$5,$B$4,$B$6,T$7,$B$9,T$4,T$5,$A48)*T$8</f>
        <v>0</v>
      </c>
      <c r="U48" s="159">
        <f ca="1">IF(OR(R48="",S48=""),"-",IFERROR((R48-S48),""))</f>
        <v>0</v>
      </c>
      <c r="V48" s="159">
        <f ca="1">IF(OR(R48="",T48=""),"-",IFERROR((R48-T48),""))</f>
        <v>0</v>
      </c>
      <c r="W48" s="157"/>
      <c r="X48" s="158">
        <f t="shared" ref="X48" ca="1" si="48">AD48-(F48+L48+R48)</f>
        <v>0</v>
      </c>
      <c r="Y48" s="158">
        <f t="shared" ref="Y48" ca="1" si="49">AE48-(G48+M48+S48)</f>
        <v>0</v>
      </c>
      <c r="Z48" s="158">
        <f t="shared" ref="Z48" ca="1" si="50">AF48-(H48+N48+T48)</f>
        <v>0</v>
      </c>
      <c r="AA48" s="159">
        <f ca="1">IF(OR(X48="",Y48=""),"-",IFERROR((X48-Y48),""))</f>
        <v>0</v>
      </c>
      <c r="AB48" s="159">
        <f ca="1">IF(OR(X48="",Z48=""),"-",IFERROR((X48-Z48),""))</f>
        <v>0</v>
      </c>
      <c r="AC48" s="157"/>
      <c r="AD48" s="160">
        <f ca="1">_xll.DBRW($B$3,AD$6,$B$5,$B$4,$B$6,AD$7,$B$9,AD$4,AD$5,$A48)*AD$8</f>
        <v>0</v>
      </c>
      <c r="AE48" s="158">
        <f ca="1">_xll.DBRW($B$3,AE$6,$B$5,$B$4,$B$6,AE$7,$B$9,AE$4,AE$5,$A48)*AE$8</f>
        <v>0</v>
      </c>
      <c r="AF48" s="158">
        <f ca="1">_xll.DBRW($B$3,AF$6,$B$5,$B$4,$B$6,AF$7,$B$9,AF$4,AF$5,$A48)*AF$8</f>
        <v>0</v>
      </c>
      <c r="AG48" s="159">
        <f ca="1">IF(OR(AD48="",AE48=""),"-",IFERROR((AD48-AE48),""))</f>
        <v>0</v>
      </c>
      <c r="AH48" s="161">
        <f ca="1">IF(OR(AD48="",AF48=""),"-",IFERROR((AD48-AF48),""))</f>
        <v>0</v>
      </c>
    </row>
    <row r="49" spans="1:36" s="149" customFormat="1" ht="12.75" customHeight="1" thickBot="1">
      <c r="A49" s="142" t="s">
        <v>106</v>
      </c>
      <c r="B49" s="143"/>
      <c r="C49" s="143"/>
      <c r="D49" s="144" t="str">
        <f>IF(Language="French","% PAO","% revenues")</f>
        <v>% revenues</v>
      </c>
      <c r="E49" s="144"/>
      <c r="F49" s="145" t="str">
        <f ca="1">IF(OR(F48=0,F$17=0),"-",IF(ABS(F48/F$17)&gt;2,"-",F48/F$17))</f>
        <v>-</v>
      </c>
      <c r="G49" s="145" t="str">
        <f ca="1">IF(OR(G48=0,G$17=0),"-",IF(ABS(G48/G$17)&gt;2,"-",G48/G$17))</f>
        <v>-</v>
      </c>
      <c r="H49" s="145" t="str">
        <f ca="1">IF(OR(H48=0,H$17=0),"-",IF(ABS(H48/H$17)&gt;2,"-",H48/H$17))</f>
        <v>-</v>
      </c>
      <c r="I49" s="146"/>
      <c r="J49" s="146"/>
      <c r="K49" s="144"/>
      <c r="L49" s="145" t="str">
        <f ca="1">IF(OR(L48=0,L$17=0),"-",IF(ABS(L48/L$17)&gt;2,"-",L48/L$17))</f>
        <v>-</v>
      </c>
      <c r="M49" s="145" t="str">
        <f ca="1">IF(OR(M48=0,M$17=0),"-",IF(ABS(M48/M$17)&gt;2,"-",M48/M$17))</f>
        <v>-</v>
      </c>
      <c r="N49" s="145" t="str">
        <f ca="1">IF(OR(N48=0,N$17=0),"-",IF(ABS(N48/N$17)&gt;2,"-",N48/N$17))</f>
        <v>-</v>
      </c>
      <c r="O49" s="146"/>
      <c r="P49" s="146"/>
      <c r="Q49" s="144"/>
      <c r="R49" s="145" t="str">
        <f ca="1">IF(OR(R48=0,R$17=0),"-",IF(ABS(R48/R$17)&gt;2,"-",R48/R$17))</f>
        <v>-</v>
      </c>
      <c r="S49" s="145" t="str">
        <f ca="1">IF(OR(S48=0,S$17=0),"-",IF(ABS(S48/S$17)&gt;2,"-",S48/S$17))</f>
        <v>-</v>
      </c>
      <c r="T49" s="145" t="str">
        <f ca="1">IF(OR(T48=0,T$17=0),"-",IF(ABS(T48/T$17)&gt;2,"-",T48/T$17))</f>
        <v>-</v>
      </c>
      <c r="U49" s="146"/>
      <c r="V49" s="146"/>
      <c r="W49" s="144"/>
      <c r="X49" s="145" t="str">
        <f ca="1">IF(OR(X48=0,X$17=0),"-",IF(ABS(X48/X$17)&gt;2,"-",X48/X$17))</f>
        <v>-</v>
      </c>
      <c r="Y49" s="145" t="str">
        <f ca="1">IF(OR(Y48=0,Y$17=0),"-",IF(ABS(Y48/Y$17)&gt;2,"-",Y48/Y$17))</f>
        <v>-</v>
      </c>
      <c r="Z49" s="145" t="str">
        <f ca="1">IF(OR(Z48=0,Z$17=0),"-",IF(ABS(Z48/Z$17)&gt;2,"-",Z48/Z$17))</f>
        <v>-</v>
      </c>
      <c r="AA49" s="146"/>
      <c r="AB49" s="146"/>
      <c r="AC49" s="144"/>
      <c r="AD49" s="150" t="str">
        <f ca="1">IF(OR(AD48=0,AD$17=0),"-",IF(ABS(AD48/AD$17)&gt;2,"-",AD48/AD$17))</f>
        <v>-</v>
      </c>
      <c r="AE49" s="151" t="str">
        <f ca="1">IF(OR(AE48=0,AE$17=0),"-",IF(ABS(AE48/AE$17)&gt;2,"-",AE48/AE$17))</f>
        <v>-</v>
      </c>
      <c r="AF49" s="151" t="str">
        <f ca="1">IF(OR(AF48=0,AF$17=0),"-",IF(ABS(AF48/AF$17)&gt;2,"-",AF48/AF$17))</f>
        <v>-</v>
      </c>
      <c r="AG49" s="152"/>
      <c r="AH49" s="153"/>
    </row>
    <row r="50" spans="1:36" ht="30" customHeight="1" thickTop="1">
      <c r="AJ50" s="87"/>
    </row>
    <row r="51" spans="1:36" ht="39.950000000000003" customHeight="1" thickBot="1">
      <c r="D51" s="31"/>
      <c r="E51" s="32"/>
      <c r="F51" s="97" t="str">
        <f>IF(Language="English","Zoom by destination","Zoom par destination")</f>
        <v>Zoom by destination</v>
      </c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J51" s="87"/>
    </row>
    <row r="52" spans="1:36" ht="12.75" thickBot="1">
      <c r="D52" s="31"/>
      <c r="E52" s="32"/>
      <c r="F52" s="33"/>
      <c r="G52" s="33"/>
      <c r="H52" s="33"/>
      <c r="I52" s="34"/>
      <c r="J52" s="34"/>
      <c r="K52" s="32"/>
      <c r="L52" s="33"/>
      <c r="M52" s="33"/>
      <c r="N52" s="33"/>
      <c r="O52" s="34"/>
      <c r="P52" s="34"/>
      <c r="Q52" s="32"/>
      <c r="R52" s="33"/>
      <c r="S52" s="33"/>
      <c r="T52" s="33"/>
      <c r="U52" s="34"/>
      <c r="V52" s="34"/>
      <c r="W52" s="32"/>
      <c r="X52" s="33"/>
      <c r="Y52" s="33"/>
      <c r="Z52" s="33"/>
      <c r="AA52" s="34"/>
      <c r="AB52" s="34"/>
      <c r="AC52" s="32"/>
      <c r="AD52" s="33"/>
      <c r="AE52" s="33"/>
      <c r="AF52" s="33"/>
      <c r="AG52" s="34"/>
      <c r="AH52" s="34"/>
    </row>
    <row r="53" spans="1:36" s="118" customFormat="1" ht="29.25" customHeight="1" thickTop="1" thickBot="1">
      <c r="A53" s="117"/>
      <c r="F53" s="257" t="str">
        <f ca="1">F13</f>
        <v>Urban</v>
      </c>
      <c r="G53" s="258"/>
      <c r="H53" s="258"/>
      <c r="I53" s="258"/>
      <c r="J53" s="259"/>
      <c r="L53" s="257" t="str">
        <f ca="1">L13</f>
        <v>Regional Coach</v>
      </c>
      <c r="M53" s="258"/>
      <c r="N53" s="258"/>
      <c r="O53" s="258"/>
      <c r="P53" s="259"/>
      <c r="R53" s="257" t="str">
        <f ca="1">R13</f>
        <v>Suburban</v>
      </c>
      <c r="S53" s="258"/>
      <c r="T53" s="258"/>
      <c r="U53" s="258"/>
      <c r="V53" s="259"/>
      <c r="X53" s="257" t="str">
        <f>X13</f>
        <v>Others</v>
      </c>
      <c r="Y53" s="258"/>
      <c r="Z53" s="258"/>
      <c r="AA53" s="258"/>
      <c r="AB53" s="259"/>
      <c r="AD53" s="252" t="str">
        <f ca="1">AD13</f>
        <v>Not affected</v>
      </c>
      <c r="AE53" s="253"/>
      <c r="AF53" s="253"/>
      <c r="AG53" s="253"/>
      <c r="AH53" s="254"/>
    </row>
    <row r="54" spans="1:36" s="24" customFormat="1" ht="15.75">
      <c r="A54" s="35"/>
      <c r="D54" s="116" t="str">
        <f ca="1">D14</f>
        <v>Local Gaap Management tool</v>
      </c>
      <c r="F54" s="36" t="str">
        <f ca="1">F14</f>
        <v>2019.02</v>
      </c>
      <c r="G54" s="36" t="str">
        <f t="shared" ref="G54:J54" ca="1" si="51">G14</f>
        <v>2019.02</v>
      </c>
      <c r="H54" s="36" t="str">
        <f t="shared" ca="1" si="51"/>
        <v>2018.02</v>
      </c>
      <c r="I54" s="250" t="str">
        <f t="shared" ca="1" si="51"/>
        <v>Var vs BUDG_VC 2019</v>
      </c>
      <c r="J54" s="250" t="str">
        <f t="shared" ca="1" si="51"/>
        <v>Var vs ACT 2018</v>
      </c>
      <c r="L54" s="36" t="str">
        <f ca="1">L14</f>
        <v>2019.02</v>
      </c>
      <c r="M54" s="36" t="str">
        <f t="shared" ref="M54:P54" ca="1" si="52">M14</f>
        <v>2019.02</v>
      </c>
      <c r="N54" s="36" t="str">
        <f t="shared" ca="1" si="52"/>
        <v>2018.02</v>
      </c>
      <c r="O54" s="250" t="str">
        <f t="shared" ca="1" si="52"/>
        <v>Var vs BUDG_VC 2019</v>
      </c>
      <c r="P54" s="250" t="str">
        <f t="shared" ca="1" si="52"/>
        <v>Var vs ACT 2018</v>
      </c>
      <c r="R54" s="36" t="str">
        <f ca="1">R14</f>
        <v>2019.02</v>
      </c>
      <c r="S54" s="36" t="str">
        <f t="shared" ref="S54:V54" ca="1" si="53">S14</f>
        <v>2019.02</v>
      </c>
      <c r="T54" s="36" t="str">
        <f t="shared" ca="1" si="53"/>
        <v>2018.02</v>
      </c>
      <c r="U54" s="250" t="str">
        <f t="shared" ca="1" si="53"/>
        <v>Var vs BUDG_VC 2019</v>
      </c>
      <c r="V54" s="250" t="str">
        <f t="shared" ca="1" si="53"/>
        <v>Var vs ACT 2018</v>
      </c>
      <c r="X54" s="36" t="str">
        <f ca="1">X14</f>
        <v>2019.02</v>
      </c>
      <c r="Y54" s="36" t="str">
        <f t="shared" ref="Y54:AB54" ca="1" si="54">Y14</f>
        <v>2019.02</v>
      </c>
      <c r="Z54" s="36" t="str">
        <f t="shared" ca="1" si="54"/>
        <v>2018.02</v>
      </c>
      <c r="AA54" s="250" t="str">
        <f t="shared" ca="1" si="54"/>
        <v>Var vs BUDG_VC 2019</v>
      </c>
      <c r="AB54" s="250" t="str">
        <f t="shared" ca="1" si="54"/>
        <v>Var vs ACT 2018</v>
      </c>
      <c r="AD54" s="37" t="str">
        <f ca="1">AD14</f>
        <v>2019.02</v>
      </c>
      <c r="AE54" s="36" t="str">
        <f t="shared" ref="AE54:AH54" ca="1" si="55">AE14</f>
        <v>2019.02</v>
      </c>
      <c r="AF54" s="36" t="str">
        <f t="shared" ca="1" si="55"/>
        <v>2018.02</v>
      </c>
      <c r="AG54" s="250" t="str">
        <f t="shared" ca="1" si="55"/>
        <v>Var vs BUDG_VC 2019</v>
      </c>
      <c r="AH54" s="255" t="str">
        <f t="shared" ca="1" si="55"/>
        <v>Var vs ACT 2018</v>
      </c>
    </row>
    <row r="55" spans="1:36" s="24" customFormat="1" ht="15.75">
      <c r="A55" s="35"/>
      <c r="D55" s="116" t="str">
        <f ca="1">D15</f>
        <v>MEUR</v>
      </c>
      <c r="F55" s="36" t="str">
        <f>F15</f>
        <v>ACT</v>
      </c>
      <c r="G55" s="36" t="str">
        <f t="shared" ref="G55:J55" si="56">G15</f>
        <v>BUDG_VC</v>
      </c>
      <c r="H55" s="36" t="str">
        <f t="shared" ca="1" si="56"/>
        <v>ACT</v>
      </c>
      <c r="I55" s="251">
        <f t="shared" si="56"/>
        <v>0</v>
      </c>
      <c r="J55" s="251">
        <f t="shared" si="56"/>
        <v>0</v>
      </c>
      <c r="L55" s="36" t="str">
        <f>L15</f>
        <v>ACT</v>
      </c>
      <c r="M55" s="36" t="str">
        <f t="shared" ref="M55:P55" si="57">M15</f>
        <v>BUDG_VC</v>
      </c>
      <c r="N55" s="36" t="str">
        <f t="shared" ca="1" si="57"/>
        <v>ACT</v>
      </c>
      <c r="O55" s="251">
        <f t="shared" si="57"/>
        <v>0</v>
      </c>
      <c r="P55" s="251">
        <f t="shared" si="57"/>
        <v>0</v>
      </c>
      <c r="R55" s="36" t="str">
        <f>R15</f>
        <v>ACT</v>
      </c>
      <c r="S55" s="36" t="str">
        <f t="shared" ref="S55:V55" si="58">S15</f>
        <v>BUDG_VC</v>
      </c>
      <c r="T55" s="36" t="str">
        <f t="shared" ca="1" si="58"/>
        <v>ACT</v>
      </c>
      <c r="U55" s="251">
        <f t="shared" si="58"/>
        <v>0</v>
      </c>
      <c r="V55" s="251">
        <f t="shared" si="58"/>
        <v>0</v>
      </c>
      <c r="X55" s="36" t="str">
        <f>X15</f>
        <v>ACT</v>
      </c>
      <c r="Y55" s="36" t="str">
        <f t="shared" ref="Y55:AB55" si="59">Y15</f>
        <v>BUDG_VC</v>
      </c>
      <c r="Z55" s="36" t="str">
        <f t="shared" ca="1" si="59"/>
        <v>ACT</v>
      </c>
      <c r="AA55" s="251">
        <f t="shared" si="59"/>
        <v>0</v>
      </c>
      <c r="AB55" s="251">
        <f t="shared" si="59"/>
        <v>0</v>
      </c>
      <c r="AD55" s="37" t="str">
        <f>AD15</f>
        <v>ACT</v>
      </c>
      <c r="AE55" s="36" t="str">
        <f t="shared" ref="AE55:AH55" si="60">AE15</f>
        <v>BUDG_VC</v>
      </c>
      <c r="AF55" s="36" t="str">
        <f t="shared" ca="1" si="60"/>
        <v>ACT</v>
      </c>
      <c r="AG55" s="251">
        <f t="shared" si="60"/>
        <v>0</v>
      </c>
      <c r="AH55" s="256">
        <f t="shared" si="60"/>
        <v>0</v>
      </c>
    </row>
    <row r="56" spans="1:36" s="40" customFormat="1" ht="9.75" customHeight="1">
      <c r="A56" s="71"/>
      <c r="B56" s="35"/>
      <c r="C56" s="35"/>
      <c r="D56" s="31"/>
      <c r="E56" s="32"/>
      <c r="F56" s="33"/>
      <c r="G56" s="33"/>
      <c r="H56" s="33"/>
      <c r="I56" s="34"/>
      <c r="J56" s="34"/>
      <c r="K56" s="32"/>
      <c r="L56" s="33"/>
      <c r="M56" s="33"/>
      <c r="N56" s="33"/>
      <c r="O56" s="34"/>
      <c r="P56" s="34"/>
      <c r="Q56" s="32"/>
      <c r="R56" s="33"/>
      <c r="S56" s="33"/>
      <c r="T56" s="33"/>
      <c r="U56" s="34"/>
      <c r="V56" s="34"/>
      <c r="W56" s="32"/>
      <c r="X56" s="33"/>
      <c r="Y56" s="33"/>
      <c r="Z56" s="33"/>
      <c r="AA56" s="34"/>
      <c r="AB56" s="34"/>
      <c r="AC56" s="32"/>
      <c r="AD56" s="38"/>
      <c r="AE56" s="33"/>
      <c r="AF56" s="33"/>
      <c r="AG56" s="34"/>
      <c r="AH56" s="39"/>
      <c r="AJ56" s="24"/>
    </row>
    <row r="57" spans="1:36" s="162" customFormat="1" ht="26.1" customHeight="1">
      <c r="A57" s="154" t="s">
        <v>78</v>
      </c>
      <c r="B57" s="155"/>
      <c r="C57" s="155"/>
      <c r="D57" s="165" t="str">
        <f ca="1">_xll.DBRA("tango_core_model:indicator",A57,Language)</f>
        <v>Driving/operating (RESOP)</v>
      </c>
      <c r="E57" s="157"/>
      <c r="F57" s="166">
        <f ca="1">_xll.DBRW($B$3,F$6,$B$5,$B$4,$B$6,F$7,$B$9,F$4,F$5,$A57)*F$8</f>
        <v>0</v>
      </c>
      <c r="G57" s="166">
        <f ca="1">_xll.DBRW($B$3,G$6,$B$5,$B$4,$B$6,G$7,$B$9,G$4,G$5,$A57)*G$8</f>
        <v>0</v>
      </c>
      <c r="H57" s="166">
        <f ca="1">_xll.DBRW($B$3,H$6,$B$5,$B$4,$B$6,H$7,$B$9,H$4,H$5,$A57)*H$8</f>
        <v>0</v>
      </c>
      <c r="I57" s="167">
        <f ca="1">IF(OR(F57="",G57=""),"-",IFERROR((F57-G57),""))</f>
        <v>0</v>
      </c>
      <c r="J57" s="167">
        <f ca="1">IF(OR(F57="",H57=""),"-",IFERROR((F57-H57),""))</f>
        <v>0</v>
      </c>
      <c r="K57" s="157"/>
      <c r="L57" s="166">
        <f ca="1">_xll.DBRW($B$3,L$6,$B$5,$B$4,$B$6,L$7,$B$9,L$4,L$5,$A57)*L$8</f>
        <v>0</v>
      </c>
      <c r="M57" s="166">
        <f ca="1">_xll.DBRW($B$3,M$6,$B$5,$B$4,$B$6,M$7,$B$9,M$4,M$5,$A57)*M$8</f>
        <v>0</v>
      </c>
      <c r="N57" s="166">
        <f ca="1">_xll.DBRW($B$3,N$6,$B$5,$B$4,$B$6,N$7,$B$9,N$4,N$5,$A57)*N$8</f>
        <v>0</v>
      </c>
      <c r="O57" s="167">
        <f ca="1">IF(OR(L57="",M57=""),"-",IFERROR((L57-M57),""))</f>
        <v>0</v>
      </c>
      <c r="P57" s="167">
        <f ca="1">IF(OR(L57="",N57=""),"-",IFERROR((L57-N57),""))</f>
        <v>0</v>
      </c>
      <c r="Q57" s="157"/>
      <c r="R57" s="166">
        <f ca="1">_xll.DBRW($B$3,R$6,$B$5,$B$4,$B$6,R$7,$B$9,R$4,R$5,$A57)*R$8</f>
        <v>0</v>
      </c>
      <c r="S57" s="166">
        <f ca="1">_xll.DBRW($B$3,S$6,$B$5,$B$4,$B$6,S$7,$B$9,S$4,S$5,$A57)*S$8</f>
        <v>0</v>
      </c>
      <c r="T57" s="166">
        <f ca="1">_xll.DBRW($B$3,T$6,$B$5,$B$4,$B$6,T$7,$B$9,T$4,T$5,$A57)*T$8</f>
        <v>0</v>
      </c>
      <c r="U57" s="167">
        <f ca="1">IF(OR(R57="",S57=""),"-",IFERROR((R57-S57),""))</f>
        <v>0</v>
      </c>
      <c r="V57" s="167">
        <f ca="1">IF(OR(R57="",T57=""),"-",IFERROR((R57-T57),""))</f>
        <v>0</v>
      </c>
      <c r="W57" s="157"/>
      <c r="X57" s="166">
        <f t="shared" ref="X57" ca="1" si="61">AD57-(F57+L57+R57)</f>
        <v>0</v>
      </c>
      <c r="Y57" s="166">
        <f t="shared" ref="Y57" ca="1" si="62">AE57-(G57+M57+S57)</f>
        <v>0</v>
      </c>
      <c r="Z57" s="166">
        <f t="shared" ref="Z57" ca="1" si="63">AF57-(H57+N57+T57)</f>
        <v>0</v>
      </c>
      <c r="AA57" s="167">
        <f ca="1">IF(OR(X57="",Y57=""),"-",IFERROR((X57-Y57),""))</f>
        <v>0</v>
      </c>
      <c r="AB57" s="167">
        <f ca="1">IF(OR(X57="",Z57=""),"-",IFERROR((X57-Z57),""))</f>
        <v>0</v>
      </c>
      <c r="AC57" s="157"/>
      <c r="AD57" s="168">
        <f ca="1">_xll.DBRW($B$3,AD$6,$B$5,$B$4,$B$6,AD$7,$B$9,AD$4,AD$5,$A57)*AD$8</f>
        <v>0</v>
      </c>
      <c r="AE57" s="166">
        <f ca="1">_xll.DBRW($B$3,AE$6,$B$5,$B$4,$B$6,AE$7,$B$9,AE$4,AE$5,$A57)*AE$8</f>
        <v>0</v>
      </c>
      <c r="AF57" s="166">
        <f ca="1">_xll.DBRW($B$3,AF$6,$B$5,$B$4,$B$6,AF$7,$B$9,AF$4,AF$5,$A57)*AF$8</f>
        <v>0</v>
      </c>
      <c r="AG57" s="167">
        <f ca="1">IF(OR(AD57="",AE57=""),"-",IFERROR((AD57-AE57),""))</f>
        <v>0</v>
      </c>
      <c r="AH57" s="169">
        <f ca="1">IF(OR(AD57="",AF57=""),"-",IFERROR((AD57-AF57),""))</f>
        <v>0</v>
      </c>
    </row>
    <row r="58" spans="1:36" s="149" customFormat="1" ht="12.75" customHeight="1">
      <c r="A58" s="142" t="s">
        <v>106</v>
      </c>
      <c r="B58" s="143"/>
      <c r="C58" s="143"/>
      <c r="D58" s="144" t="str">
        <f>IF(Language="French","% PAO","% revenues")</f>
        <v>% revenues</v>
      </c>
      <c r="E58" s="144"/>
      <c r="F58" s="145" t="str">
        <f ca="1">IF(OR(F57=0,F$17=0),"-",IF(ABS(F57/F$17)&gt;2,"-",-F57/F$17))</f>
        <v>-</v>
      </c>
      <c r="G58" s="145" t="str">
        <f ca="1">IF(OR(G57=0,G$17=0),"-",IF(ABS(G57/G$17)&gt;2,"-",-G57/G$17))</f>
        <v>-</v>
      </c>
      <c r="H58" s="145" t="str">
        <f ca="1">IF(OR(H57=0,H$17=0),"-",IF(ABS(H57/H$17)&gt;2,"-",-H57/H$17))</f>
        <v>-</v>
      </c>
      <c r="I58" s="146"/>
      <c r="J58" s="146"/>
      <c r="K58" s="144"/>
      <c r="L58" s="145" t="str">
        <f ca="1">IF(OR(L57=0,L$17=0),"-",IF(ABS(L57/L$17)&gt;2,"-",-L57/L$17))</f>
        <v>-</v>
      </c>
      <c r="M58" s="145" t="str">
        <f ca="1">IF(OR(M57=0,M$17=0),"-",IF(ABS(M57/M$17)&gt;2,"-",-M57/M$17))</f>
        <v>-</v>
      </c>
      <c r="N58" s="145" t="str">
        <f ca="1">IF(OR(N57=0,N$17=0),"-",IF(ABS(N57/N$17)&gt;2,"-",-N57/N$17))</f>
        <v>-</v>
      </c>
      <c r="O58" s="146"/>
      <c r="P58" s="146"/>
      <c r="Q58" s="144"/>
      <c r="R58" s="145" t="str">
        <f ca="1">IF(OR(R57=0,R$17=0),"-",IF(ABS(R57/R$17)&gt;2,"-",-R57/R$17))</f>
        <v>-</v>
      </c>
      <c r="S58" s="145" t="str">
        <f ca="1">IF(OR(S57=0,S$17=0),"-",IF(ABS(S57/S$17)&gt;2,"-",-S57/S$17))</f>
        <v>-</v>
      </c>
      <c r="T58" s="145" t="str">
        <f ca="1">IF(OR(T57=0,T$17=0),"-",IF(ABS(T57/T$17)&gt;2,"-",-T57/T$17))</f>
        <v>-</v>
      </c>
      <c r="U58" s="146"/>
      <c r="V58" s="146"/>
      <c r="W58" s="144"/>
      <c r="X58" s="145" t="str">
        <f ca="1">IF(OR(X57=0,X$17=0),"-",IF(ABS(X57/X$17)&gt;2,"-",-X57/X$17))</f>
        <v>-</v>
      </c>
      <c r="Y58" s="145" t="str">
        <f ca="1">IF(OR(Y57=0,Y$17=0),"-",IF(ABS(Y57/Y$17)&gt;2,"-",-Y57/Y$17))</f>
        <v>-</v>
      </c>
      <c r="Z58" s="145" t="str">
        <f ca="1">IF(OR(Z57=0,Z$17=0),"-",IF(ABS(Z57/Z$17)&gt;2,"-",-Z57/Z$17))</f>
        <v>-</v>
      </c>
      <c r="AA58" s="146"/>
      <c r="AB58" s="146"/>
      <c r="AC58" s="144"/>
      <c r="AD58" s="147" t="str">
        <f ca="1">IF(OR(AD57=0,AD$17=0),"-",IF(ABS(AD57/AD$17)&gt;2,"-",-AD57/AD$17))</f>
        <v>-</v>
      </c>
      <c r="AE58" s="145" t="str">
        <f ca="1">IF(OR(AE57=0,AE$17=0),"-",IF(ABS(AE57/AE$17)&gt;2,"-",-AE57/AE$17))</f>
        <v>-</v>
      </c>
      <c r="AF58" s="145" t="str">
        <f ca="1">IF(OR(AF57=0,AF$17=0),"-",IF(ABS(AF57/AF$17)&gt;2,"-",-AF57/AF$17))</f>
        <v>-</v>
      </c>
      <c r="AG58" s="146"/>
      <c r="AH58" s="148"/>
    </row>
    <row r="59" spans="1:36" s="115" customFormat="1" ht="12" customHeight="1">
      <c r="A59" s="108" t="s">
        <v>93</v>
      </c>
      <c r="B59" s="109"/>
      <c r="C59" s="109"/>
      <c r="D59" s="110" t="str">
        <f ca="1">_xll.DBRA("tango_core_model:indicator",A59,Language)</f>
        <v>Driving &amp; operating (CAFOP)</v>
      </c>
      <c r="E59" s="49"/>
      <c r="F59" s="111">
        <f ca="1">_xll.DBRW($B$3,F$6,$B$5,$B$4,$B$6,F$7,$B$9,F$4,F$5,$A59)*F$8</f>
        <v>0</v>
      </c>
      <c r="G59" s="111">
        <f ca="1">_xll.DBRW($B$3,G$6,$B$5,$B$4,$B$6,G$7,$B$9,G$4,G$5,$A59)*G$8</f>
        <v>0</v>
      </c>
      <c r="H59" s="111">
        <f ca="1">_xll.DBRW($B$3,H$6,$B$5,$B$4,$B$6,H$7,$B$9,H$4,H$5,$A59)*H$8</f>
        <v>0</v>
      </c>
      <c r="I59" s="112">
        <f t="shared" ref="I59:I63" ca="1" si="64">IF(OR(F59="",G59=""),"-",IFERROR((F59-G59),""))</f>
        <v>0</v>
      </c>
      <c r="J59" s="112">
        <f t="shared" ref="J59:J63" ca="1" si="65">IF(OR(F59="",H59=""),"-",IFERROR((F59-H59),""))</f>
        <v>0</v>
      </c>
      <c r="K59" s="49"/>
      <c r="L59" s="111">
        <f ca="1">_xll.DBRW($B$3,L$6,$B$5,$B$4,$B$6,L$7,$B$9,L$4,L$5,$A59)*L$8</f>
        <v>0</v>
      </c>
      <c r="M59" s="111">
        <f ca="1">_xll.DBRW($B$3,M$6,$B$5,$B$4,$B$6,M$7,$B$9,M$4,M$5,$A59)*M$8</f>
        <v>0</v>
      </c>
      <c r="N59" s="111">
        <f ca="1">_xll.DBRW($B$3,N$6,$B$5,$B$4,$B$6,N$7,$B$9,N$4,N$5,$A59)*N$8</f>
        <v>0</v>
      </c>
      <c r="O59" s="112">
        <f t="shared" ref="O59:O63" ca="1" si="66">IF(OR(L59="",M59=""),"-",IFERROR((L59-M59),""))</f>
        <v>0</v>
      </c>
      <c r="P59" s="112">
        <f t="shared" ref="P59:P63" ca="1" si="67">IF(OR(L59="",N59=""),"-",IFERROR((L59-N59),""))</f>
        <v>0</v>
      </c>
      <c r="Q59" s="49"/>
      <c r="R59" s="111">
        <f ca="1">_xll.DBRW($B$3,R$6,$B$5,$B$4,$B$6,R$7,$B$9,R$4,R$5,$A59)*R$8</f>
        <v>0</v>
      </c>
      <c r="S59" s="111">
        <f ca="1">_xll.DBRW($B$3,S$6,$B$5,$B$4,$B$6,S$7,$B$9,S$4,S$5,$A59)*S$8</f>
        <v>0</v>
      </c>
      <c r="T59" s="111">
        <f ca="1">_xll.DBRW($B$3,T$6,$B$5,$B$4,$B$6,T$7,$B$9,T$4,T$5,$A59)*T$8</f>
        <v>0</v>
      </c>
      <c r="U59" s="112">
        <f t="shared" ref="U59:U63" ca="1" si="68">IF(OR(R59="",S59=""),"-",IFERROR((R59-S59),""))</f>
        <v>0</v>
      </c>
      <c r="V59" s="112">
        <f t="shared" ref="V59:V63" ca="1" si="69">IF(OR(R59="",T59=""),"-",IFERROR((R59-T59),""))</f>
        <v>0</v>
      </c>
      <c r="W59" s="49"/>
      <c r="X59" s="111">
        <f t="shared" ref="X59:X60" ca="1" si="70">AD59-(F59+L59+R59)</f>
        <v>0</v>
      </c>
      <c r="Y59" s="111">
        <f t="shared" ref="Y59:Y60" ca="1" si="71">AE59-(G59+M59+S59)</f>
        <v>0</v>
      </c>
      <c r="Z59" s="111">
        <f t="shared" ref="Z59:Z60" ca="1" si="72">AF59-(H59+N59+T59)</f>
        <v>0</v>
      </c>
      <c r="AA59" s="112">
        <f t="shared" ref="AA59:AA63" ca="1" si="73">IF(OR(X59="",Y59=""),"-",IFERROR((X59-Y59),""))</f>
        <v>0</v>
      </c>
      <c r="AB59" s="112">
        <f t="shared" ref="AB59:AB63" ca="1" si="74">IF(OR(X59="",Z59=""),"-",IFERROR((X59-Z59),""))</f>
        <v>0</v>
      </c>
      <c r="AC59" s="49"/>
      <c r="AD59" s="113">
        <f ca="1">_xll.DBRW($B$3,AD$6,$B$5,$B$4,$B$6,AD$7,$B$9,AD$4,AD$5,$A59)*AD$8</f>
        <v>0</v>
      </c>
      <c r="AE59" s="111">
        <f ca="1">_xll.DBRW($B$3,AE$6,$B$5,$B$4,$B$6,AE$7,$B$9,AE$4,AE$5,$A59)*AE$8</f>
        <v>0</v>
      </c>
      <c r="AF59" s="111">
        <f ca="1">_xll.DBRW($B$3,AF$6,$B$5,$B$4,$B$6,AF$7,$B$9,AF$4,AF$5,$A59)*AF$8</f>
        <v>0</v>
      </c>
      <c r="AG59" s="112">
        <f t="shared" ref="AG59:AG63" ca="1" si="75">IF(OR(AD59="",AE59=""),"-",IFERROR((AD59-AE59),""))</f>
        <v>0</v>
      </c>
      <c r="AH59" s="114">
        <f t="shared" ref="AH59:AH63" ca="1" si="76">IF(OR(AD59="",AF59=""),"-",IFERROR((AD59-AF59),""))</f>
        <v>0</v>
      </c>
    </row>
    <row r="60" spans="1:36" s="40" customFormat="1" ht="12" customHeight="1">
      <c r="A60" s="78" t="s">
        <v>94</v>
      </c>
      <c r="B60" s="35"/>
      <c r="C60" s="35"/>
      <c r="D60" s="49" t="str">
        <f ca="1">_xll.DBRA("tango_core_model:indicator",A60,Language)</f>
        <v>Staff costs (DO)</v>
      </c>
      <c r="E60" s="49"/>
      <c r="F60" s="50">
        <f ca="1">_xll.DBRW($B$3,F$6,$B$5,$B$4,$B$6,F$7,$B$9,F$4,F$5,$A60)*F$8</f>
        <v>0</v>
      </c>
      <c r="G60" s="50">
        <f ca="1">_xll.DBRW($B$3,G$6,$B$5,$B$4,$B$6,G$7,$B$9,G$4,G$5,$A60)*G$8</f>
        <v>0</v>
      </c>
      <c r="H60" s="50">
        <f ca="1">_xll.DBRW($B$3,H$6,$B$5,$B$4,$B$6,H$7,$B$9,H$4,H$5,$A60)*H$8</f>
        <v>0</v>
      </c>
      <c r="I60" s="51">
        <f t="shared" ca="1" si="64"/>
        <v>0</v>
      </c>
      <c r="J60" s="51">
        <f t="shared" ca="1" si="65"/>
        <v>0</v>
      </c>
      <c r="K60" s="49"/>
      <c r="L60" s="50">
        <f ca="1">_xll.DBRW($B$3,L$6,$B$5,$B$4,$B$6,L$7,$B$9,L$4,L$5,$A60)*L$8</f>
        <v>0</v>
      </c>
      <c r="M60" s="50">
        <f ca="1">_xll.DBRW($B$3,M$6,$B$5,$B$4,$B$6,M$7,$B$9,M$4,M$5,$A60)*M$8</f>
        <v>0</v>
      </c>
      <c r="N60" s="50">
        <f ca="1">_xll.DBRW($B$3,N$6,$B$5,$B$4,$B$6,N$7,$B$9,N$4,N$5,$A60)*N$8</f>
        <v>0</v>
      </c>
      <c r="O60" s="51">
        <f t="shared" ca="1" si="66"/>
        <v>0</v>
      </c>
      <c r="P60" s="51">
        <f t="shared" ca="1" si="67"/>
        <v>0</v>
      </c>
      <c r="Q60" s="49"/>
      <c r="R60" s="50">
        <f ca="1">_xll.DBRW($B$3,R$6,$B$5,$B$4,$B$6,R$7,$B$9,R$4,R$5,$A60)*R$8</f>
        <v>0</v>
      </c>
      <c r="S60" s="50">
        <f ca="1">_xll.DBRW($B$3,S$6,$B$5,$B$4,$B$6,S$7,$B$9,S$4,S$5,$A60)*S$8</f>
        <v>0</v>
      </c>
      <c r="T60" s="50">
        <f ca="1">_xll.DBRW($B$3,T$6,$B$5,$B$4,$B$6,T$7,$B$9,T$4,T$5,$A60)*T$8</f>
        <v>0</v>
      </c>
      <c r="U60" s="51">
        <f t="shared" ca="1" si="68"/>
        <v>0</v>
      </c>
      <c r="V60" s="51">
        <f t="shared" ca="1" si="69"/>
        <v>0</v>
      </c>
      <c r="W60" s="49"/>
      <c r="X60" s="50">
        <f t="shared" ca="1" si="70"/>
        <v>0</v>
      </c>
      <c r="Y60" s="50">
        <f t="shared" ca="1" si="71"/>
        <v>0</v>
      </c>
      <c r="Z60" s="50">
        <f t="shared" ca="1" si="72"/>
        <v>0</v>
      </c>
      <c r="AA60" s="51">
        <f t="shared" ca="1" si="73"/>
        <v>0</v>
      </c>
      <c r="AB60" s="51">
        <f t="shared" ca="1" si="74"/>
        <v>0</v>
      </c>
      <c r="AC60" s="49"/>
      <c r="AD60" s="52">
        <f ca="1">_xll.DBRW($B$3,AD$6,$B$5,$B$4,$B$6,AD$7,$B$9,AD$4,AD$5,$A60)*AD$8</f>
        <v>0</v>
      </c>
      <c r="AE60" s="50">
        <f ca="1">_xll.DBRW($B$3,AE$6,$B$5,$B$4,$B$6,AE$7,$B$9,AE$4,AE$5,$A60)*AE$8</f>
        <v>0</v>
      </c>
      <c r="AF60" s="50">
        <f ca="1">_xll.DBRW($B$3,AF$6,$B$5,$B$4,$B$6,AF$7,$B$9,AF$4,AF$5,$A60)*AF$8</f>
        <v>0</v>
      </c>
      <c r="AG60" s="51">
        <f t="shared" ca="1" si="75"/>
        <v>0</v>
      </c>
      <c r="AH60" s="53">
        <f t="shared" ca="1" si="76"/>
        <v>0</v>
      </c>
    </row>
    <row r="61" spans="1:36" s="40" customFormat="1" ht="12" customHeight="1">
      <c r="A61" s="90" t="s">
        <v>106</v>
      </c>
      <c r="B61" s="35"/>
      <c r="C61" s="35"/>
      <c r="D61" s="49" t="str">
        <f>IF(Language="French","Autres","Other")</f>
        <v>Other</v>
      </c>
      <c r="E61" s="49"/>
      <c r="F61" s="50">
        <f ca="1">F59-F60</f>
        <v>0</v>
      </c>
      <c r="G61" s="50">
        <f t="shared" ref="G61:H61" ca="1" si="77">G59-G60</f>
        <v>0</v>
      </c>
      <c r="H61" s="50">
        <f t="shared" ca="1" si="77"/>
        <v>0</v>
      </c>
      <c r="I61" s="51">
        <f t="shared" ca="1" si="64"/>
        <v>0</v>
      </c>
      <c r="J61" s="51">
        <f t="shared" ca="1" si="65"/>
        <v>0</v>
      </c>
      <c r="K61" s="49"/>
      <c r="L61" s="50">
        <f t="shared" ref="L61:N61" ca="1" si="78">L59-L60</f>
        <v>0</v>
      </c>
      <c r="M61" s="50">
        <f t="shared" ca="1" si="78"/>
        <v>0</v>
      </c>
      <c r="N61" s="50">
        <f t="shared" ca="1" si="78"/>
        <v>0</v>
      </c>
      <c r="O61" s="51">
        <f t="shared" ca="1" si="66"/>
        <v>0</v>
      </c>
      <c r="P61" s="51">
        <f t="shared" ca="1" si="67"/>
        <v>0</v>
      </c>
      <c r="Q61" s="49"/>
      <c r="R61" s="50">
        <f t="shared" ref="R61:T61" ca="1" si="79">R59-R60</f>
        <v>0</v>
      </c>
      <c r="S61" s="50">
        <f t="shared" ca="1" si="79"/>
        <v>0</v>
      </c>
      <c r="T61" s="50">
        <f t="shared" ca="1" si="79"/>
        <v>0</v>
      </c>
      <c r="U61" s="51">
        <f t="shared" ca="1" si="68"/>
        <v>0</v>
      </c>
      <c r="V61" s="51">
        <f t="shared" ca="1" si="69"/>
        <v>0</v>
      </c>
      <c r="W61" s="49"/>
      <c r="X61" s="50">
        <f t="shared" ref="X61:Z61" ca="1" si="80">X59-X60</f>
        <v>0</v>
      </c>
      <c r="Y61" s="50">
        <f t="shared" ca="1" si="80"/>
        <v>0</v>
      </c>
      <c r="Z61" s="50">
        <f t="shared" ca="1" si="80"/>
        <v>0</v>
      </c>
      <c r="AA61" s="51">
        <f t="shared" ca="1" si="73"/>
        <v>0</v>
      </c>
      <c r="AB61" s="51">
        <f t="shared" ca="1" si="74"/>
        <v>0</v>
      </c>
      <c r="AC61" s="49"/>
      <c r="AD61" s="52">
        <f t="shared" ref="AD61:AF61" ca="1" si="81">AD59-AD60</f>
        <v>0</v>
      </c>
      <c r="AE61" s="50">
        <f t="shared" ca="1" si="81"/>
        <v>0</v>
      </c>
      <c r="AF61" s="50">
        <f t="shared" ca="1" si="81"/>
        <v>0</v>
      </c>
      <c r="AG61" s="51">
        <f t="shared" ca="1" si="75"/>
        <v>0</v>
      </c>
      <c r="AH61" s="53">
        <f t="shared" ca="1" si="76"/>
        <v>0</v>
      </c>
    </row>
    <row r="62" spans="1:36" s="115" customFormat="1" ht="12" customHeight="1">
      <c r="A62" s="108" t="s">
        <v>95</v>
      </c>
      <c r="B62" s="109"/>
      <c r="C62" s="109"/>
      <c r="D62" s="110" t="str">
        <f ca="1">_xll.DBRA("tango_core_model:indicator",A62,Language)</f>
        <v>Driving &amp; operating (Non cash)</v>
      </c>
      <c r="E62" s="49"/>
      <c r="F62" s="111">
        <f ca="1">_xll.DBRW($B$3,F$6,$B$5,$B$4,$B$6,F$7,$B$9,F$4,F$5,$A62)*F$8</f>
        <v>0</v>
      </c>
      <c r="G62" s="111">
        <f ca="1">_xll.DBRW($B$3,G$6,$B$5,$B$4,$B$6,G$7,$B$9,G$4,G$5,$A62)*G$8</f>
        <v>0</v>
      </c>
      <c r="H62" s="111">
        <f ca="1">_xll.DBRW($B$3,H$6,$B$5,$B$4,$B$6,H$7,$B$9,H$4,H$5,$A62)*H$8</f>
        <v>0</v>
      </c>
      <c r="I62" s="112">
        <f t="shared" ca="1" si="64"/>
        <v>0</v>
      </c>
      <c r="J62" s="112">
        <f t="shared" ca="1" si="65"/>
        <v>0</v>
      </c>
      <c r="K62" s="49"/>
      <c r="L62" s="111">
        <f ca="1">_xll.DBRW($B$3,L$6,$B$5,$B$4,$B$6,L$7,$B$9,L$4,L$5,$A62)*L$8</f>
        <v>0</v>
      </c>
      <c r="M62" s="111">
        <f ca="1">_xll.DBRW($B$3,M$6,$B$5,$B$4,$B$6,M$7,$B$9,M$4,M$5,$A62)*M$8</f>
        <v>0</v>
      </c>
      <c r="N62" s="111">
        <f ca="1">_xll.DBRW($B$3,N$6,$B$5,$B$4,$B$6,N$7,$B$9,N$4,N$5,$A62)*N$8</f>
        <v>0</v>
      </c>
      <c r="O62" s="112">
        <f t="shared" ca="1" si="66"/>
        <v>0</v>
      </c>
      <c r="P62" s="112">
        <f t="shared" ca="1" si="67"/>
        <v>0</v>
      </c>
      <c r="Q62" s="49"/>
      <c r="R62" s="111">
        <f ca="1">_xll.DBRW($B$3,R$6,$B$5,$B$4,$B$6,R$7,$B$9,R$4,R$5,$A62)*R$8</f>
        <v>0</v>
      </c>
      <c r="S62" s="111">
        <f ca="1">_xll.DBRW($B$3,S$6,$B$5,$B$4,$B$6,S$7,$B$9,S$4,S$5,$A62)*S$8</f>
        <v>0</v>
      </c>
      <c r="T62" s="111">
        <f ca="1">_xll.DBRW($B$3,T$6,$B$5,$B$4,$B$6,T$7,$B$9,T$4,T$5,$A62)*T$8</f>
        <v>0</v>
      </c>
      <c r="U62" s="112">
        <f t="shared" ca="1" si="68"/>
        <v>0</v>
      </c>
      <c r="V62" s="112">
        <f t="shared" ca="1" si="69"/>
        <v>0</v>
      </c>
      <c r="W62" s="49"/>
      <c r="X62" s="111">
        <f t="shared" ref="X62" ca="1" si="82">AD62-(F62+L62+R62)</f>
        <v>0</v>
      </c>
      <c r="Y62" s="111">
        <f t="shared" ref="Y62" ca="1" si="83">AE62-(G62+M62+S62)</f>
        <v>0</v>
      </c>
      <c r="Z62" s="111">
        <f t="shared" ref="Z62" ca="1" si="84">AF62-(H62+N62+T62)</f>
        <v>0</v>
      </c>
      <c r="AA62" s="112">
        <f t="shared" ca="1" si="73"/>
        <v>0</v>
      </c>
      <c r="AB62" s="112">
        <f t="shared" ca="1" si="74"/>
        <v>0</v>
      </c>
      <c r="AC62" s="49"/>
      <c r="AD62" s="113">
        <f ca="1">_xll.DBRW($B$3,AD$6,$B$5,$B$4,$B$6,AD$7,$B$9,AD$4,AD$5,$A62)*AD$8</f>
        <v>0</v>
      </c>
      <c r="AE62" s="111">
        <f ca="1">_xll.DBRW($B$3,AE$6,$B$5,$B$4,$B$6,AE$7,$B$9,AE$4,AE$5,$A62)*AE$8</f>
        <v>0</v>
      </c>
      <c r="AF62" s="111">
        <f ca="1">_xll.DBRW($B$3,AF$6,$B$5,$B$4,$B$6,AF$7,$B$9,AF$4,AF$5,$A62)*AF$8</f>
        <v>0</v>
      </c>
      <c r="AG62" s="112">
        <f t="shared" ca="1" si="75"/>
        <v>0</v>
      </c>
      <c r="AH62" s="114">
        <f t="shared" ca="1" si="76"/>
        <v>0</v>
      </c>
    </row>
    <row r="63" spans="1:36" s="96" customFormat="1" ht="12" customHeight="1">
      <c r="A63" s="88" t="s">
        <v>92</v>
      </c>
      <c r="B63" s="89" t="s">
        <v>107</v>
      </c>
      <c r="C63" s="89" t="s">
        <v>108</v>
      </c>
      <c r="D63" s="93" t="str">
        <f ca="1">_xll.DBRA("tango_core_model:indicator",A63,Language)&amp;"(million)"</f>
        <v>Total driving paid hours(million)</v>
      </c>
      <c r="E63" s="93"/>
      <c r="F63" s="94">
        <f ca="1">_xll.DBRW($B$3,F$6,$C63,$B63,$B$6,F$7,$B$9,F$4,F$5,$A63)</f>
        <v>0</v>
      </c>
      <c r="G63" s="94">
        <f ca="1">_xll.DBRW($B$3,G$6,$C63,$B63,$B$6,G$7,$B$9,G$4,G$5,$A63)</f>
        <v>0</v>
      </c>
      <c r="H63" s="94">
        <f ca="1">_xll.DBRW($B$3,H$6,$C63,$B63,$B$6,H$7,$B$9,H$4,H$5,$A63)</f>
        <v>0</v>
      </c>
      <c r="I63" s="95">
        <f t="shared" ca="1" si="64"/>
        <v>0</v>
      </c>
      <c r="J63" s="95">
        <f t="shared" ca="1" si="65"/>
        <v>0</v>
      </c>
      <c r="K63" s="93"/>
      <c r="L63" s="94">
        <f ca="1">_xll.DBRW($B$3,L$6,$C63,$B63,$B$6,L$7,$B$9,L$4,L$5,$A63)</f>
        <v>0</v>
      </c>
      <c r="M63" s="94">
        <f ca="1">_xll.DBRW($B$3,M$6,$C63,$B63,$B$6,M$7,$B$9,M$4,M$5,$A63)</f>
        <v>0</v>
      </c>
      <c r="N63" s="94">
        <f ca="1">_xll.DBRW($B$3,N$6,$C63,$B63,$B$6,N$7,$B$9,N$4,N$5,$A63)</f>
        <v>0</v>
      </c>
      <c r="O63" s="95">
        <f t="shared" ca="1" si="66"/>
        <v>0</v>
      </c>
      <c r="P63" s="95">
        <f t="shared" ca="1" si="67"/>
        <v>0</v>
      </c>
      <c r="Q63" s="93"/>
      <c r="R63" s="94">
        <f ca="1">_xll.DBRW($B$3,R$6,$C63,$B63,$B$6,R$7,$B$9,R$4,R$5,$A63)</f>
        <v>0</v>
      </c>
      <c r="S63" s="94">
        <f ca="1">_xll.DBRW($B$3,S$6,$C63,$B63,$B$6,S$7,$B$9,S$4,S$5,$A63)</f>
        <v>0</v>
      </c>
      <c r="T63" s="94">
        <f ca="1">_xll.DBRW($B$3,T$6,$C63,$B63,$B$6,T$7,$B$9,T$4,T$5,$A63)</f>
        <v>0</v>
      </c>
      <c r="U63" s="95">
        <f t="shared" ca="1" si="68"/>
        <v>0</v>
      </c>
      <c r="V63" s="95">
        <f t="shared" ca="1" si="69"/>
        <v>0</v>
      </c>
      <c r="W63" s="93"/>
      <c r="X63" s="94">
        <f t="shared" ref="X63" ca="1" si="85">AD63-(F63+L63+R63)</f>
        <v>0</v>
      </c>
      <c r="Y63" s="94">
        <f t="shared" ref="Y63" ca="1" si="86">AE63-(G63+M63+S63)</f>
        <v>0</v>
      </c>
      <c r="Z63" s="94">
        <f t="shared" ref="Z63" ca="1" si="87">AF63-(H63+N63+T63)</f>
        <v>0</v>
      </c>
      <c r="AA63" s="95">
        <f t="shared" ca="1" si="73"/>
        <v>0</v>
      </c>
      <c r="AB63" s="95">
        <f t="shared" ca="1" si="74"/>
        <v>0</v>
      </c>
      <c r="AC63" s="93"/>
      <c r="AD63" s="104">
        <f ca="1">_xll.DBRW($B$3,AD$6,$C63,$B63,$B$6,AD$7,$B$9,AD$4,AD$5,$A63)</f>
        <v>0</v>
      </c>
      <c r="AE63" s="94">
        <f ca="1">_xll.DBRW($B$3,AE$6,$C63,$B63,$B$6,AE$7,$B$9,AE$4,AE$5,$A63)</f>
        <v>0</v>
      </c>
      <c r="AF63" s="94">
        <f ca="1">_xll.DBRW($B$3,AF$6,$C63,$B63,$B$6,AF$7,$B$9,AF$4,AF$5,$A63)</f>
        <v>0</v>
      </c>
      <c r="AG63" s="95">
        <f t="shared" ca="1" si="75"/>
        <v>0</v>
      </c>
      <c r="AH63" s="105">
        <f t="shared" ca="1" si="76"/>
        <v>0</v>
      </c>
    </row>
    <row r="64" spans="1:36" s="82" customFormat="1">
      <c r="A64" s="90" t="s">
        <v>106</v>
      </c>
      <c r="B64" s="79"/>
      <c r="C64" s="79"/>
      <c r="D64" s="80" t="str">
        <f>IF(Language="French","Coût horaire","Cost per hour")</f>
        <v>Cost per hour</v>
      </c>
      <c r="E64" s="80"/>
      <c r="F64" s="81" t="str">
        <f ca="1">IF(OR(F57=0,F63=0),"-",-F57/F63)</f>
        <v>-</v>
      </c>
      <c r="G64" s="81" t="str">
        <f ca="1">IF(OR(G57=0,G63=0),"-",-G57/G63)</f>
        <v>-</v>
      </c>
      <c r="H64" s="81" t="str">
        <f ca="1">IF(OR(H57=0,H63=0),"-",-H57/H63)</f>
        <v>-</v>
      </c>
      <c r="I64" s="81" t="str">
        <f ca="1">IF(OR(F64=0,G64=0),"-",IFERROR((F64-G64),""))</f>
        <v/>
      </c>
      <c r="J64" s="81" t="str">
        <f ca="1">IF(OR(F64=0,H64=0),"-",IFERROR((F64-H64),""))</f>
        <v/>
      </c>
      <c r="K64" s="80"/>
      <c r="L64" s="81" t="str">
        <f ca="1">IF(OR(L57=0,L63=0),"-",-L57/L63)</f>
        <v>-</v>
      </c>
      <c r="M64" s="81" t="str">
        <f ca="1">IF(OR(M57=0,M63=0),"-",-M57/M63)</f>
        <v>-</v>
      </c>
      <c r="N64" s="81" t="str">
        <f ca="1">IF(OR(N57=0,N63=0),"-",-N57/N63)</f>
        <v>-</v>
      </c>
      <c r="O64" s="81" t="str">
        <f ca="1">IF(OR(L64=0,M64=0),"-",IFERROR((L64-M64),""))</f>
        <v/>
      </c>
      <c r="P64" s="81" t="str">
        <f ca="1">IF(OR(L64=0,N64=0),"-",IFERROR((L64-N64),""))</f>
        <v/>
      </c>
      <c r="Q64" s="80"/>
      <c r="R64" s="81" t="str">
        <f ca="1">IF(OR(R57=0,R63=0),"-",-R57/R63)</f>
        <v>-</v>
      </c>
      <c r="S64" s="81" t="str">
        <f ca="1">IF(OR(S57=0,S63=0),"-",-S57/S63)</f>
        <v>-</v>
      </c>
      <c r="T64" s="81" t="str">
        <f ca="1">IF(OR(T57=0,T63=0),"-",-T57/T63)</f>
        <v>-</v>
      </c>
      <c r="U64" s="81" t="str">
        <f ca="1">IF(OR(R64=0,S64=0),"-",IFERROR((R64-S64),""))</f>
        <v/>
      </c>
      <c r="V64" s="81" t="str">
        <f ca="1">IF(OR(R64=0,T64=0),"-",IFERROR((R64-T64),""))</f>
        <v/>
      </c>
      <c r="W64" s="80"/>
      <c r="X64" s="81" t="str">
        <f ca="1">IF(OR(X57=0,X63=0),"-",-X57/X63)</f>
        <v>-</v>
      </c>
      <c r="Y64" s="81" t="str">
        <f ca="1">IF(OR(Y57=0,Y63=0),"-",-Y57/Y63)</f>
        <v>-</v>
      </c>
      <c r="Z64" s="81" t="str">
        <f ca="1">IF(OR(Z57=0,Z63=0),"-",-Z57/Z63)</f>
        <v>-</v>
      </c>
      <c r="AA64" s="81" t="str">
        <f ca="1">IF(OR(X64=0,Y64=0),"-",IFERROR((X64-Y64),""))</f>
        <v/>
      </c>
      <c r="AB64" s="81" t="str">
        <f ca="1">IF(OR(X64=0,Z64=0),"-",IFERROR((X64-Z64),""))</f>
        <v/>
      </c>
      <c r="AC64" s="80"/>
      <c r="AD64" s="106" t="str">
        <f ca="1">IF(OR(AD57=0,AD63=0),"-",-AD57/AD63)</f>
        <v>-</v>
      </c>
      <c r="AE64" s="81" t="str">
        <f ca="1">IF(OR(AE57=0,AE63=0),"-",-AE57/AE63)</f>
        <v>-</v>
      </c>
      <c r="AF64" s="81" t="str">
        <f ca="1">IF(OR(AF57=0,AF63=0),"-",-AF57/AF63)</f>
        <v>-</v>
      </c>
      <c r="AG64" s="81" t="str">
        <f ca="1">IF(OR(AD64=0,AE64=0),"-",IFERROR((AD64-AE64),""))</f>
        <v/>
      </c>
      <c r="AH64" s="107" t="str">
        <f ca="1">IF(OR(AD64=0,AF64=0),"-",IFERROR((AD64-AF64),""))</f>
        <v/>
      </c>
    </row>
    <row r="65" spans="1:34" ht="30" customHeight="1">
      <c r="AD65" s="60"/>
      <c r="AE65" s="40"/>
      <c r="AF65" s="40"/>
      <c r="AG65" s="59"/>
      <c r="AH65" s="61"/>
    </row>
    <row r="66" spans="1:34" s="162" customFormat="1" ht="26.1" customHeight="1">
      <c r="A66" s="154" t="s">
        <v>79</v>
      </c>
      <c r="B66" s="155"/>
      <c r="C66" s="155"/>
      <c r="D66" s="165" t="str">
        <f ca="1">_xll.DBRA("tango_core_model:indicator",A66,Language)</f>
        <v>Energy for traction</v>
      </c>
      <c r="E66" s="157"/>
      <c r="F66" s="166">
        <f ca="1">_xll.DBRW($B$3,F$6,$B$5,$B$4,$B$6,F$7,$B$9,F$4,F$5,$A66)*F$8</f>
        <v>0</v>
      </c>
      <c r="G66" s="166">
        <f ca="1">_xll.DBRW($B$3,G$6,$B$5,$B$4,$B$6,G$7,$B$9,G$4,G$5,$A66)*G$8</f>
        <v>0</v>
      </c>
      <c r="H66" s="166">
        <f ca="1">_xll.DBRW($B$3,H$6,$B$5,$B$4,$B$6,H$7,$B$9,H$4,H$5,$A66)*H$8</f>
        <v>0</v>
      </c>
      <c r="I66" s="167">
        <f ca="1">IF(OR(F66="",G66=""),"-",IFERROR((F66-G66),""))</f>
        <v>0</v>
      </c>
      <c r="J66" s="167">
        <f ca="1">IF(OR(F66="",H66=""),"-",IFERROR((F66-H66),""))</f>
        <v>0</v>
      </c>
      <c r="K66" s="157"/>
      <c r="L66" s="166">
        <f ca="1">_xll.DBRW($B$3,L$6,$B$5,$B$4,$B$6,L$7,$B$9,L$4,L$5,$A66)*L$8</f>
        <v>0</v>
      </c>
      <c r="M66" s="166">
        <f ca="1">_xll.DBRW($B$3,M$6,$B$5,$B$4,$B$6,M$7,$B$9,M$4,M$5,$A66)*M$8</f>
        <v>0</v>
      </c>
      <c r="N66" s="166">
        <f ca="1">_xll.DBRW($B$3,N$6,$B$5,$B$4,$B$6,N$7,$B$9,N$4,N$5,$A66)*N$8</f>
        <v>0</v>
      </c>
      <c r="O66" s="167">
        <f ca="1">IF(OR(L66="",M66=""),"-",IFERROR((L66-M66),""))</f>
        <v>0</v>
      </c>
      <c r="P66" s="167">
        <f ca="1">IF(OR(L66="",N66=""),"-",IFERROR((L66-N66),""))</f>
        <v>0</v>
      </c>
      <c r="Q66" s="157"/>
      <c r="R66" s="166">
        <f ca="1">_xll.DBRW($B$3,R$6,$B$5,$B$4,$B$6,R$7,$B$9,R$4,R$5,$A66)*R$8</f>
        <v>0</v>
      </c>
      <c r="S66" s="166">
        <f ca="1">_xll.DBRW($B$3,S$6,$B$5,$B$4,$B$6,S$7,$B$9,S$4,S$5,$A66)*S$8</f>
        <v>0</v>
      </c>
      <c r="T66" s="166">
        <f ca="1">_xll.DBRW($B$3,T$6,$B$5,$B$4,$B$6,T$7,$B$9,T$4,T$5,$A66)*T$8</f>
        <v>0</v>
      </c>
      <c r="U66" s="167">
        <f ca="1">IF(OR(R66="",S66=""),"-",IFERROR((R66-S66),""))</f>
        <v>0</v>
      </c>
      <c r="V66" s="167">
        <f ca="1">IF(OR(R66="",T66=""),"-",IFERROR((R66-T66),""))</f>
        <v>0</v>
      </c>
      <c r="W66" s="157"/>
      <c r="X66" s="166">
        <f t="shared" ref="X66" ca="1" si="88">AD66-(F66+L66+R66)</f>
        <v>0</v>
      </c>
      <c r="Y66" s="166">
        <f t="shared" ref="Y66" ca="1" si="89">AE66-(G66+M66+S66)</f>
        <v>0</v>
      </c>
      <c r="Z66" s="166">
        <f t="shared" ref="Z66" ca="1" si="90">AF66-(H66+N66+T66)</f>
        <v>0</v>
      </c>
      <c r="AA66" s="167">
        <f ca="1">IF(OR(X66="",Y66=""),"-",IFERROR((X66-Y66),""))</f>
        <v>0</v>
      </c>
      <c r="AB66" s="167">
        <f ca="1">IF(OR(X66="",Z66=""),"-",IFERROR((X66-Z66),""))</f>
        <v>0</v>
      </c>
      <c r="AC66" s="157"/>
      <c r="AD66" s="168">
        <f ca="1">_xll.DBRW($B$3,AD$6,$B$5,$B$4,$B$6,AD$7,$B$9,AD$4,AD$5,$A66)*AD$8</f>
        <v>0</v>
      </c>
      <c r="AE66" s="166">
        <f ca="1">_xll.DBRW($B$3,AE$6,$B$5,$B$4,$B$6,AE$7,$B$9,AE$4,AE$5,$A66)*AE$8</f>
        <v>0</v>
      </c>
      <c r="AF66" s="166">
        <f ca="1">_xll.DBRW($B$3,AF$6,$B$5,$B$4,$B$6,AF$7,$B$9,AF$4,AF$5,$A66)*AF$8</f>
        <v>0</v>
      </c>
      <c r="AG66" s="167">
        <f ca="1">IF(OR(AD66="",AE66=""),"-",IFERROR((AD66-AE66),""))</f>
        <v>0</v>
      </c>
      <c r="AH66" s="169">
        <f ca="1">IF(OR(AD66="",AF66=""),"-",IFERROR((AD66-AF66),""))</f>
        <v>0</v>
      </c>
    </row>
    <row r="67" spans="1:34" s="149" customFormat="1" ht="12.75" customHeight="1">
      <c r="A67" s="142" t="s">
        <v>106</v>
      </c>
      <c r="B67" s="143"/>
      <c r="C67" s="143"/>
      <c r="D67" s="144" t="str">
        <f>IF(Language="French","% PAO","% revenues")</f>
        <v>% revenues</v>
      </c>
      <c r="E67" s="144"/>
      <c r="F67" s="145" t="str">
        <f ca="1">IF(OR(F66=0,F$17=0),"-",IF(ABS(F66/F$17)&gt;2,"-",-F66/F$17))</f>
        <v>-</v>
      </c>
      <c r="G67" s="145" t="str">
        <f ca="1">IF(OR(G66=0,G$17=0),"-",IF(ABS(G66/G$17)&gt;2,"-",-G66/G$17))</f>
        <v>-</v>
      </c>
      <c r="H67" s="145" t="str">
        <f ca="1">IF(OR(H66=0,H$17=0),"-",IF(ABS(H66/H$17)&gt;2,"-",-H66/H$17))</f>
        <v>-</v>
      </c>
      <c r="I67" s="146"/>
      <c r="J67" s="146"/>
      <c r="K67" s="144"/>
      <c r="L67" s="145" t="str">
        <f ca="1">IF(OR(L66=0,L$17=0),"-",IF(ABS(L66/L$17)&gt;2,"-",-L66/L$17))</f>
        <v>-</v>
      </c>
      <c r="M67" s="145" t="str">
        <f ca="1">IF(OR(M66=0,M$17=0),"-",IF(ABS(M66/M$17)&gt;2,"-",-M66/M$17))</f>
        <v>-</v>
      </c>
      <c r="N67" s="145" t="str">
        <f ca="1">IF(OR(N66=0,N$17=0),"-",IF(ABS(N66/N$17)&gt;2,"-",-N66/N$17))</f>
        <v>-</v>
      </c>
      <c r="O67" s="146"/>
      <c r="P67" s="146"/>
      <c r="Q67" s="144"/>
      <c r="R67" s="145" t="str">
        <f ca="1">IF(OR(R66=0,R$17=0),"-",IF(ABS(R66/R$17)&gt;2,"-",-R66/R$17))</f>
        <v>-</v>
      </c>
      <c r="S67" s="145" t="str">
        <f ca="1">IF(OR(S66=0,S$17=0),"-",IF(ABS(S66/S$17)&gt;2,"-",-S66/S$17))</f>
        <v>-</v>
      </c>
      <c r="T67" s="145" t="str">
        <f ca="1">IF(OR(T66=0,T$17=0),"-",IF(ABS(T66/T$17)&gt;2,"-",-T66/T$17))</f>
        <v>-</v>
      </c>
      <c r="U67" s="146"/>
      <c r="V67" s="146"/>
      <c r="W67" s="144"/>
      <c r="X67" s="145" t="str">
        <f ca="1">IF(OR(X66=0,X$17=0),"-",IF(ABS(X66/X$17)&gt;2,"-",-X66/X$17))</f>
        <v>-</v>
      </c>
      <c r="Y67" s="145" t="str">
        <f ca="1">IF(OR(Y66=0,Y$17=0),"-",IF(ABS(Y66/Y$17)&gt;2,"-",-Y66/Y$17))</f>
        <v>-</v>
      </c>
      <c r="Z67" s="145" t="str">
        <f ca="1">IF(OR(Z66=0,Z$17=0),"-",IF(ABS(Z66/Z$17)&gt;2,"-",-Z66/Z$17))</f>
        <v>-</v>
      </c>
      <c r="AA67" s="146"/>
      <c r="AB67" s="146"/>
      <c r="AC67" s="144"/>
      <c r="AD67" s="147" t="str">
        <f ca="1">IF(OR(AD66=0,AD$17=0),"-",IF(ABS(AD66/AD$17)&gt;2,"-",-AD66/AD$17))</f>
        <v>-</v>
      </c>
      <c r="AE67" s="145" t="str">
        <f ca="1">IF(OR(AE66=0,AE$17=0),"-",IF(ABS(AE66/AE$17)&gt;2,"-",-AE66/AE$17))</f>
        <v>-</v>
      </c>
      <c r="AF67" s="145" t="str">
        <f ca="1">IF(OR(AF66=0,AF$17=0),"-",IF(ABS(AF66/AF$17)&gt;2,"-",-AF66/AF$17))</f>
        <v>-</v>
      </c>
      <c r="AG67" s="146"/>
      <c r="AH67" s="148"/>
    </row>
    <row r="68" spans="1:34" s="40" customFormat="1" ht="12" customHeight="1">
      <c r="A68" s="78" t="s">
        <v>96</v>
      </c>
      <c r="B68" s="35"/>
      <c r="C68" s="35"/>
      <c r="D68" s="49" t="str">
        <f ca="1">_xll.DBRA("tango_core_model:indicator",A68,Language)</f>
        <v>Fuel</v>
      </c>
      <c r="E68" s="49"/>
      <c r="F68" s="50">
        <f ca="1">_xll.DBRW($B$3,F$6,$B$5,$B$4,$B$6,F$7,$B$9,F$4,F$5,$A68)*F$8</f>
        <v>0</v>
      </c>
      <c r="G68" s="50">
        <f ca="1">_xll.DBRW($B$3,G$6,$B$5,$B$4,$B$6,G$7,$B$9,G$4,G$5,$A68)*G$8</f>
        <v>0</v>
      </c>
      <c r="H68" s="50">
        <f ca="1">_xll.DBRW($B$3,H$6,$B$5,$B$4,$B$6,H$7,$B$9,H$4,H$5,$A68)*H$8</f>
        <v>0</v>
      </c>
      <c r="I68" s="51">
        <f t="shared" ref="I68:I77" ca="1" si="91">IF(OR(F68="",G68=""),"-",IFERROR((F68-G68),""))</f>
        <v>0</v>
      </c>
      <c r="J68" s="51">
        <f t="shared" ref="J68:J77" ca="1" si="92">IF(OR(F68="",H68=""),"-",IFERROR((F68-H68),""))</f>
        <v>0</v>
      </c>
      <c r="K68" s="49"/>
      <c r="L68" s="50">
        <f ca="1">_xll.DBRW($B$3,L$6,$B$5,$B$4,$B$6,L$7,$B$9,L$4,L$5,$A68)*L$8</f>
        <v>0</v>
      </c>
      <c r="M68" s="50">
        <f ca="1">_xll.DBRW($B$3,M$6,$B$5,$B$4,$B$6,M$7,$B$9,M$4,M$5,$A68)*M$8</f>
        <v>0</v>
      </c>
      <c r="N68" s="50">
        <f ca="1">_xll.DBRW($B$3,N$6,$B$5,$B$4,$B$6,N$7,$B$9,N$4,N$5,$A68)*N$8</f>
        <v>0</v>
      </c>
      <c r="O68" s="51">
        <f t="shared" ref="O68:O77" ca="1" si="93">IF(OR(L68="",M68=""),"-",IFERROR((L68-M68),""))</f>
        <v>0</v>
      </c>
      <c r="P68" s="51">
        <f t="shared" ref="P68:P77" ca="1" si="94">IF(OR(L68="",N68=""),"-",IFERROR((L68-N68),""))</f>
        <v>0</v>
      </c>
      <c r="Q68" s="49"/>
      <c r="R68" s="50">
        <f ca="1">_xll.DBRW($B$3,R$6,$B$5,$B$4,$B$6,R$7,$B$9,R$4,R$5,$A68)*R$8</f>
        <v>0</v>
      </c>
      <c r="S68" s="50">
        <f ca="1">_xll.DBRW($B$3,S$6,$B$5,$B$4,$B$6,S$7,$B$9,S$4,S$5,$A68)*S$8</f>
        <v>0</v>
      </c>
      <c r="T68" s="50">
        <f ca="1">_xll.DBRW($B$3,T$6,$B$5,$B$4,$B$6,T$7,$B$9,T$4,T$5,$A68)*T$8</f>
        <v>0</v>
      </c>
      <c r="U68" s="51">
        <f t="shared" ref="U68:U77" ca="1" si="95">IF(OR(R68="",S68=""),"-",IFERROR((R68-S68),""))</f>
        <v>0</v>
      </c>
      <c r="V68" s="51">
        <f t="shared" ref="V68:V77" ca="1" si="96">IF(OR(R68="",T68=""),"-",IFERROR((R68-T68),""))</f>
        <v>0</v>
      </c>
      <c r="W68" s="49"/>
      <c r="X68" s="50">
        <f t="shared" ref="X68:X75" ca="1" si="97">AD68-(F68+L68+R68)</f>
        <v>0</v>
      </c>
      <c r="Y68" s="50">
        <f t="shared" ref="Y68:Y75" ca="1" si="98">AE68-(G68+M68+S68)</f>
        <v>0</v>
      </c>
      <c r="Z68" s="50">
        <f t="shared" ref="Z68:Z75" ca="1" si="99">AF68-(H68+N68+T68)</f>
        <v>0</v>
      </c>
      <c r="AA68" s="51">
        <f t="shared" ref="AA68:AA77" ca="1" si="100">IF(OR(X68="",Y68=""),"-",IFERROR((X68-Y68),""))</f>
        <v>0</v>
      </c>
      <c r="AB68" s="51">
        <f t="shared" ref="AB68:AB77" ca="1" si="101">IF(OR(X68="",Z68=""),"-",IFERROR((X68-Z68),""))</f>
        <v>0</v>
      </c>
      <c r="AC68" s="49"/>
      <c r="AD68" s="52">
        <f ca="1">_xll.DBRW($B$3,AD$6,$B$5,$B$4,$B$6,AD$7,$B$9,AD$4,AD$5,$A68)*AD$8</f>
        <v>0</v>
      </c>
      <c r="AE68" s="50">
        <f ca="1">_xll.DBRW($B$3,AE$6,$B$5,$B$4,$B$6,AE$7,$B$9,AE$4,AE$5,$A68)*AE$8</f>
        <v>0</v>
      </c>
      <c r="AF68" s="50">
        <f ca="1">_xll.DBRW($B$3,AF$6,$B$5,$B$4,$B$6,AF$7,$B$9,AF$4,AF$5,$A68)*AF$8</f>
        <v>0</v>
      </c>
      <c r="AG68" s="51">
        <f t="shared" ref="AG68:AG77" ca="1" si="102">IF(OR(AD68="",AE68=""),"-",IFERROR((AD68-AE68),""))</f>
        <v>0</v>
      </c>
      <c r="AH68" s="53">
        <f t="shared" ref="AH68:AH77" ca="1" si="103">IF(OR(AD68="",AF68=""),"-",IFERROR((AD68-AF68),""))</f>
        <v>0</v>
      </c>
    </row>
    <row r="69" spans="1:34" s="40" customFormat="1" ht="12" customHeight="1">
      <c r="A69" s="78" t="s">
        <v>97</v>
      </c>
      <c r="B69" s="35"/>
      <c r="C69" s="35"/>
      <c r="D69" s="49" t="str">
        <f ca="1">_xll.DBRA("tango_core_model:indicator",A69,Language)</f>
        <v>Fuel Hedging Result</v>
      </c>
      <c r="E69" s="49"/>
      <c r="F69" s="50">
        <f ca="1">_xll.DBRW($B$3,F$6,$B$5,$B$4,$B$6,F$7,$B$9,F$4,F$5,$A69)*F$8</f>
        <v>0</v>
      </c>
      <c r="G69" s="50">
        <f ca="1">_xll.DBRW($B$3,G$6,$B$5,$B$4,$B$6,G$7,$B$9,G$4,G$5,$A69)*G$8</f>
        <v>0</v>
      </c>
      <c r="H69" s="50">
        <f ca="1">_xll.DBRW($B$3,H$6,$B$5,$B$4,$B$6,H$7,$B$9,H$4,H$5,$A69)*H$8</f>
        <v>0</v>
      </c>
      <c r="I69" s="51">
        <f t="shared" ca="1" si="91"/>
        <v>0</v>
      </c>
      <c r="J69" s="51">
        <f t="shared" ca="1" si="92"/>
        <v>0</v>
      </c>
      <c r="K69" s="49"/>
      <c r="L69" s="50">
        <f ca="1">_xll.DBRW($B$3,L$6,$B$5,$B$4,$B$6,L$7,$B$9,L$4,L$5,$A69)*L$8</f>
        <v>0</v>
      </c>
      <c r="M69" s="50">
        <f ca="1">_xll.DBRW($B$3,M$6,$B$5,$B$4,$B$6,M$7,$B$9,M$4,M$5,$A69)*M$8</f>
        <v>0</v>
      </c>
      <c r="N69" s="50">
        <f ca="1">_xll.DBRW($B$3,N$6,$B$5,$B$4,$B$6,N$7,$B$9,N$4,N$5,$A69)*N$8</f>
        <v>0</v>
      </c>
      <c r="O69" s="51">
        <f t="shared" ca="1" si="93"/>
        <v>0</v>
      </c>
      <c r="P69" s="51">
        <f t="shared" ca="1" si="94"/>
        <v>0</v>
      </c>
      <c r="Q69" s="49"/>
      <c r="R69" s="50">
        <f ca="1">_xll.DBRW($B$3,R$6,$B$5,$B$4,$B$6,R$7,$B$9,R$4,R$5,$A69)*R$8</f>
        <v>0</v>
      </c>
      <c r="S69" s="50">
        <f ca="1">_xll.DBRW($B$3,S$6,$B$5,$B$4,$B$6,S$7,$B$9,S$4,S$5,$A69)*S$8</f>
        <v>0</v>
      </c>
      <c r="T69" s="50">
        <f ca="1">_xll.DBRW($B$3,T$6,$B$5,$B$4,$B$6,T$7,$B$9,T$4,T$5,$A69)*T$8</f>
        <v>0</v>
      </c>
      <c r="U69" s="51">
        <f t="shared" ca="1" si="95"/>
        <v>0</v>
      </c>
      <c r="V69" s="51">
        <f t="shared" ca="1" si="96"/>
        <v>0</v>
      </c>
      <c r="W69" s="49"/>
      <c r="X69" s="50">
        <f t="shared" ca="1" si="97"/>
        <v>0</v>
      </c>
      <c r="Y69" s="50">
        <f t="shared" ca="1" si="98"/>
        <v>0</v>
      </c>
      <c r="Z69" s="50">
        <f t="shared" ca="1" si="99"/>
        <v>0</v>
      </c>
      <c r="AA69" s="51">
        <f t="shared" ca="1" si="100"/>
        <v>0</v>
      </c>
      <c r="AB69" s="51">
        <f t="shared" ca="1" si="101"/>
        <v>0</v>
      </c>
      <c r="AC69" s="49"/>
      <c r="AD69" s="52">
        <f ca="1">_xll.DBRW($B$3,AD$6,$B$5,$B$4,$B$6,AD$7,$B$9,AD$4,AD$5,$A69)*AD$8</f>
        <v>0</v>
      </c>
      <c r="AE69" s="50">
        <f ca="1">_xll.DBRW($B$3,AE$6,$B$5,$B$4,$B$6,AE$7,$B$9,AE$4,AE$5,$A69)*AE$8</f>
        <v>0</v>
      </c>
      <c r="AF69" s="50">
        <f ca="1">_xll.DBRW($B$3,AF$6,$B$5,$B$4,$B$6,AF$7,$B$9,AF$4,AF$5,$A69)*AF$8</f>
        <v>0</v>
      </c>
      <c r="AG69" s="51">
        <f t="shared" ca="1" si="102"/>
        <v>0</v>
      </c>
      <c r="AH69" s="53">
        <f t="shared" ca="1" si="103"/>
        <v>0</v>
      </c>
    </row>
    <row r="70" spans="1:34" s="40" customFormat="1" ht="12" customHeight="1">
      <c r="A70" s="78" t="s">
        <v>98</v>
      </c>
      <c r="B70" s="35"/>
      <c r="C70" s="35"/>
      <c r="D70" s="49" t="str">
        <f ca="1">_xll.DBRA("tango_core_model:indicator",A70,Language)</f>
        <v>Fuel Tax reimbursement</v>
      </c>
      <c r="E70" s="49"/>
      <c r="F70" s="50">
        <f ca="1">_xll.DBRW($B$3,F$6,$B$5,$B$4,$B$6,F$7,$B$9,F$4,F$5,$A70)*F$8</f>
        <v>0</v>
      </c>
      <c r="G70" s="50">
        <f ca="1">_xll.DBRW($B$3,G$6,$B$5,$B$4,$B$6,G$7,$B$9,G$4,G$5,$A70)*G$8</f>
        <v>0</v>
      </c>
      <c r="H70" s="50">
        <f ca="1">_xll.DBRW($B$3,H$6,$B$5,$B$4,$B$6,H$7,$B$9,H$4,H$5,$A70)*H$8</f>
        <v>0</v>
      </c>
      <c r="I70" s="51">
        <f t="shared" ca="1" si="91"/>
        <v>0</v>
      </c>
      <c r="J70" s="51">
        <f t="shared" ca="1" si="92"/>
        <v>0</v>
      </c>
      <c r="K70" s="49"/>
      <c r="L70" s="50">
        <f ca="1">_xll.DBRW($B$3,L$6,$B$5,$B$4,$B$6,L$7,$B$9,L$4,L$5,$A70)*L$8</f>
        <v>0</v>
      </c>
      <c r="M70" s="50">
        <f ca="1">_xll.DBRW($B$3,M$6,$B$5,$B$4,$B$6,M$7,$B$9,M$4,M$5,$A70)*M$8</f>
        <v>0</v>
      </c>
      <c r="N70" s="50">
        <f ca="1">_xll.DBRW($B$3,N$6,$B$5,$B$4,$B$6,N$7,$B$9,N$4,N$5,$A70)*N$8</f>
        <v>0</v>
      </c>
      <c r="O70" s="51">
        <f t="shared" ca="1" si="93"/>
        <v>0</v>
      </c>
      <c r="P70" s="51">
        <f t="shared" ca="1" si="94"/>
        <v>0</v>
      </c>
      <c r="Q70" s="49"/>
      <c r="R70" s="50">
        <f ca="1">_xll.DBRW($B$3,R$6,$B$5,$B$4,$B$6,R$7,$B$9,R$4,R$5,$A70)*R$8</f>
        <v>0</v>
      </c>
      <c r="S70" s="50">
        <f ca="1">_xll.DBRW($B$3,S$6,$B$5,$B$4,$B$6,S$7,$B$9,S$4,S$5,$A70)*S$8</f>
        <v>0</v>
      </c>
      <c r="T70" s="50">
        <f ca="1">_xll.DBRW($B$3,T$6,$B$5,$B$4,$B$6,T$7,$B$9,T$4,T$5,$A70)*T$8</f>
        <v>0</v>
      </c>
      <c r="U70" s="51">
        <f t="shared" ca="1" si="95"/>
        <v>0</v>
      </c>
      <c r="V70" s="51">
        <f t="shared" ca="1" si="96"/>
        <v>0</v>
      </c>
      <c r="W70" s="49"/>
      <c r="X70" s="50">
        <f t="shared" ca="1" si="97"/>
        <v>0</v>
      </c>
      <c r="Y70" s="50">
        <f t="shared" ca="1" si="98"/>
        <v>0</v>
      </c>
      <c r="Z70" s="50">
        <f t="shared" ca="1" si="99"/>
        <v>0</v>
      </c>
      <c r="AA70" s="51">
        <f t="shared" ca="1" si="100"/>
        <v>0</v>
      </c>
      <c r="AB70" s="51">
        <f t="shared" ca="1" si="101"/>
        <v>0</v>
      </c>
      <c r="AC70" s="49"/>
      <c r="AD70" s="52">
        <f ca="1">_xll.DBRW($B$3,AD$6,$B$5,$B$4,$B$6,AD$7,$B$9,AD$4,AD$5,$A70)*AD$8</f>
        <v>0</v>
      </c>
      <c r="AE70" s="50">
        <f ca="1">_xll.DBRW($B$3,AE$6,$B$5,$B$4,$B$6,AE$7,$B$9,AE$4,AE$5,$A70)*AE$8</f>
        <v>0</v>
      </c>
      <c r="AF70" s="50">
        <f ca="1">_xll.DBRW($B$3,AF$6,$B$5,$B$4,$B$6,AF$7,$B$9,AF$4,AF$5,$A70)*AF$8</f>
        <v>0</v>
      </c>
      <c r="AG70" s="51">
        <f t="shared" ca="1" si="102"/>
        <v>0</v>
      </c>
      <c r="AH70" s="53">
        <f t="shared" ca="1" si="103"/>
        <v>0</v>
      </c>
    </row>
    <row r="71" spans="1:34" s="40" customFormat="1" ht="12" customHeight="1">
      <c r="A71" s="78" t="s">
        <v>99</v>
      </c>
      <c r="B71" s="35"/>
      <c r="C71" s="35"/>
      <c r="D71" s="49" t="str">
        <f ca="1">_xll.DBRA("tango_core_model:indicator",A71,Language)</f>
        <v>Bio fuel</v>
      </c>
      <c r="E71" s="49"/>
      <c r="F71" s="50">
        <f ca="1">_xll.DBRW($B$3,F$6,$B$5,$B$4,$B$6,F$7,$B$9,F$4,F$5,$A71)*F$8</f>
        <v>0</v>
      </c>
      <c r="G71" s="50">
        <f ca="1">_xll.DBRW($B$3,G$6,$B$5,$B$4,$B$6,G$7,$B$9,G$4,G$5,$A71)*G$8</f>
        <v>0</v>
      </c>
      <c r="H71" s="50">
        <f ca="1">_xll.DBRW($B$3,H$6,$B$5,$B$4,$B$6,H$7,$B$9,H$4,H$5,$A71)*H$8</f>
        <v>0</v>
      </c>
      <c r="I71" s="51">
        <f t="shared" ca="1" si="91"/>
        <v>0</v>
      </c>
      <c r="J71" s="51">
        <f t="shared" ca="1" si="92"/>
        <v>0</v>
      </c>
      <c r="K71" s="49"/>
      <c r="L71" s="50">
        <f ca="1">_xll.DBRW($B$3,L$6,$B$5,$B$4,$B$6,L$7,$B$9,L$4,L$5,$A71)*L$8</f>
        <v>0</v>
      </c>
      <c r="M71" s="50">
        <f ca="1">_xll.DBRW($B$3,M$6,$B$5,$B$4,$B$6,M$7,$B$9,M$4,M$5,$A71)*M$8</f>
        <v>0</v>
      </c>
      <c r="N71" s="50">
        <f ca="1">_xll.DBRW($B$3,N$6,$B$5,$B$4,$B$6,N$7,$B$9,N$4,N$5,$A71)*N$8</f>
        <v>0</v>
      </c>
      <c r="O71" s="51">
        <f t="shared" ca="1" si="93"/>
        <v>0</v>
      </c>
      <c r="P71" s="51">
        <f t="shared" ca="1" si="94"/>
        <v>0</v>
      </c>
      <c r="Q71" s="49"/>
      <c r="R71" s="50">
        <f ca="1">_xll.DBRW($B$3,R$6,$B$5,$B$4,$B$6,R$7,$B$9,R$4,R$5,$A71)*R$8</f>
        <v>0</v>
      </c>
      <c r="S71" s="50">
        <f ca="1">_xll.DBRW($B$3,S$6,$B$5,$B$4,$B$6,S$7,$B$9,S$4,S$5,$A71)*S$8</f>
        <v>0</v>
      </c>
      <c r="T71" s="50">
        <f ca="1">_xll.DBRW($B$3,T$6,$B$5,$B$4,$B$6,T$7,$B$9,T$4,T$5,$A71)*T$8</f>
        <v>0</v>
      </c>
      <c r="U71" s="51">
        <f t="shared" ca="1" si="95"/>
        <v>0</v>
      </c>
      <c r="V71" s="51">
        <f t="shared" ca="1" si="96"/>
        <v>0</v>
      </c>
      <c r="W71" s="49"/>
      <c r="X71" s="50">
        <f t="shared" ca="1" si="97"/>
        <v>0</v>
      </c>
      <c r="Y71" s="50">
        <f t="shared" ca="1" si="98"/>
        <v>0</v>
      </c>
      <c r="Z71" s="50">
        <f t="shared" ca="1" si="99"/>
        <v>0</v>
      </c>
      <c r="AA71" s="51">
        <f t="shared" ca="1" si="100"/>
        <v>0</v>
      </c>
      <c r="AB71" s="51">
        <f t="shared" ca="1" si="101"/>
        <v>0</v>
      </c>
      <c r="AC71" s="49"/>
      <c r="AD71" s="52">
        <f ca="1">_xll.DBRW($B$3,AD$6,$B$5,$B$4,$B$6,AD$7,$B$9,AD$4,AD$5,$A71)*AD$8</f>
        <v>0</v>
      </c>
      <c r="AE71" s="50">
        <f ca="1">_xll.DBRW($B$3,AE$6,$B$5,$B$4,$B$6,AE$7,$B$9,AE$4,AE$5,$A71)*AE$8</f>
        <v>0</v>
      </c>
      <c r="AF71" s="50">
        <f ca="1">_xll.DBRW($B$3,AF$6,$B$5,$B$4,$B$6,AF$7,$B$9,AF$4,AF$5,$A71)*AF$8</f>
        <v>0</v>
      </c>
      <c r="AG71" s="51">
        <f t="shared" ca="1" si="102"/>
        <v>0</v>
      </c>
      <c r="AH71" s="53">
        <f t="shared" ca="1" si="103"/>
        <v>0</v>
      </c>
    </row>
    <row r="72" spans="1:34" s="40" customFormat="1" ht="12" customHeight="1">
      <c r="A72" s="78" t="s">
        <v>100</v>
      </c>
      <c r="B72" s="35"/>
      <c r="C72" s="35"/>
      <c r="D72" s="49" t="str">
        <f ca="1">_xll.DBRA("tango_core_model:indicator",A72,Language)</f>
        <v>Gas</v>
      </c>
      <c r="E72" s="49"/>
      <c r="F72" s="50">
        <f ca="1">_xll.DBRW($B$3,F$6,$B$5,$B$4,$B$6,F$7,$B$9,F$4,F$5,$A72)*F$8</f>
        <v>0</v>
      </c>
      <c r="G72" s="50">
        <f ca="1">_xll.DBRW($B$3,G$6,$B$5,$B$4,$B$6,G$7,$B$9,G$4,G$5,$A72)*G$8</f>
        <v>0</v>
      </c>
      <c r="H72" s="50">
        <f ca="1">_xll.DBRW($B$3,H$6,$B$5,$B$4,$B$6,H$7,$B$9,H$4,H$5,$A72)*H$8</f>
        <v>0</v>
      </c>
      <c r="I72" s="51">
        <f t="shared" ca="1" si="91"/>
        <v>0</v>
      </c>
      <c r="J72" s="51">
        <f t="shared" ca="1" si="92"/>
        <v>0</v>
      </c>
      <c r="K72" s="49"/>
      <c r="L72" s="50">
        <f ca="1">_xll.DBRW($B$3,L$6,$B$5,$B$4,$B$6,L$7,$B$9,L$4,L$5,$A72)*L$8</f>
        <v>0</v>
      </c>
      <c r="M72" s="50">
        <f ca="1">_xll.DBRW($B$3,M$6,$B$5,$B$4,$B$6,M$7,$B$9,M$4,M$5,$A72)*M$8</f>
        <v>0</v>
      </c>
      <c r="N72" s="50">
        <f ca="1">_xll.DBRW($B$3,N$6,$B$5,$B$4,$B$6,N$7,$B$9,N$4,N$5,$A72)*N$8</f>
        <v>0</v>
      </c>
      <c r="O72" s="51">
        <f t="shared" ca="1" si="93"/>
        <v>0</v>
      </c>
      <c r="P72" s="51">
        <f t="shared" ca="1" si="94"/>
        <v>0</v>
      </c>
      <c r="Q72" s="49"/>
      <c r="R72" s="50">
        <f ca="1">_xll.DBRW($B$3,R$6,$B$5,$B$4,$B$6,R$7,$B$9,R$4,R$5,$A72)*R$8</f>
        <v>0</v>
      </c>
      <c r="S72" s="50">
        <f ca="1">_xll.DBRW($B$3,S$6,$B$5,$B$4,$B$6,S$7,$B$9,S$4,S$5,$A72)*S$8</f>
        <v>0</v>
      </c>
      <c r="T72" s="50">
        <f ca="1">_xll.DBRW($B$3,T$6,$B$5,$B$4,$B$6,T$7,$B$9,T$4,T$5,$A72)*T$8</f>
        <v>0</v>
      </c>
      <c r="U72" s="51">
        <f t="shared" ca="1" si="95"/>
        <v>0</v>
      </c>
      <c r="V72" s="51">
        <f t="shared" ca="1" si="96"/>
        <v>0</v>
      </c>
      <c r="W72" s="49"/>
      <c r="X72" s="50">
        <f t="shared" ca="1" si="97"/>
        <v>0</v>
      </c>
      <c r="Y72" s="50">
        <f t="shared" ca="1" si="98"/>
        <v>0</v>
      </c>
      <c r="Z72" s="50">
        <f t="shared" ca="1" si="99"/>
        <v>0</v>
      </c>
      <c r="AA72" s="51">
        <f t="shared" ca="1" si="100"/>
        <v>0</v>
      </c>
      <c r="AB72" s="51">
        <f t="shared" ca="1" si="101"/>
        <v>0</v>
      </c>
      <c r="AC72" s="49"/>
      <c r="AD72" s="52">
        <f ca="1">_xll.DBRW($B$3,AD$6,$B$5,$B$4,$B$6,AD$7,$B$9,AD$4,AD$5,$A72)*AD$8</f>
        <v>0</v>
      </c>
      <c r="AE72" s="50">
        <f ca="1">_xll.DBRW($B$3,AE$6,$B$5,$B$4,$B$6,AE$7,$B$9,AE$4,AE$5,$A72)*AE$8</f>
        <v>0</v>
      </c>
      <c r="AF72" s="50">
        <f ca="1">_xll.DBRW($B$3,AF$6,$B$5,$B$4,$B$6,AF$7,$B$9,AF$4,AF$5,$A72)*AF$8</f>
        <v>0</v>
      </c>
      <c r="AG72" s="51">
        <f t="shared" ca="1" si="102"/>
        <v>0</v>
      </c>
      <c r="AH72" s="53">
        <f t="shared" ca="1" si="103"/>
        <v>0</v>
      </c>
    </row>
    <row r="73" spans="1:34" s="40" customFormat="1" ht="12" customHeight="1">
      <c r="A73" s="78" t="s">
        <v>101</v>
      </c>
      <c r="B73" s="35"/>
      <c r="C73" s="35"/>
      <c r="D73" s="49" t="str">
        <f ca="1">_xll.DBRA("tango_core_model:indicator",A73,Language)</f>
        <v>Electricity</v>
      </c>
      <c r="E73" s="49"/>
      <c r="F73" s="50">
        <f ca="1">_xll.DBRW($B$3,F$6,$B$5,$B$4,$B$6,F$7,$B$9,F$4,F$5,$A73)*F$8</f>
        <v>0</v>
      </c>
      <c r="G73" s="50">
        <f ca="1">_xll.DBRW($B$3,G$6,$B$5,$B$4,$B$6,G$7,$B$9,G$4,G$5,$A73)*G$8</f>
        <v>0</v>
      </c>
      <c r="H73" s="50">
        <f ca="1">_xll.DBRW($B$3,H$6,$B$5,$B$4,$B$6,H$7,$B$9,H$4,H$5,$A73)*H$8</f>
        <v>0</v>
      </c>
      <c r="I73" s="51">
        <f t="shared" ca="1" si="91"/>
        <v>0</v>
      </c>
      <c r="J73" s="51">
        <f t="shared" ca="1" si="92"/>
        <v>0</v>
      </c>
      <c r="K73" s="49"/>
      <c r="L73" s="50">
        <f ca="1">_xll.DBRW($B$3,L$6,$B$5,$B$4,$B$6,L$7,$B$9,L$4,L$5,$A73)*L$8</f>
        <v>0</v>
      </c>
      <c r="M73" s="50">
        <f ca="1">_xll.DBRW($B$3,M$6,$B$5,$B$4,$B$6,M$7,$B$9,M$4,M$5,$A73)*M$8</f>
        <v>0</v>
      </c>
      <c r="N73" s="50">
        <f ca="1">_xll.DBRW($B$3,N$6,$B$5,$B$4,$B$6,N$7,$B$9,N$4,N$5,$A73)*N$8</f>
        <v>0</v>
      </c>
      <c r="O73" s="51">
        <f t="shared" ca="1" si="93"/>
        <v>0</v>
      </c>
      <c r="P73" s="51">
        <f t="shared" ca="1" si="94"/>
        <v>0</v>
      </c>
      <c r="Q73" s="49"/>
      <c r="R73" s="50">
        <f ca="1">_xll.DBRW($B$3,R$6,$B$5,$B$4,$B$6,R$7,$B$9,R$4,R$5,$A73)*R$8</f>
        <v>0</v>
      </c>
      <c r="S73" s="50">
        <f ca="1">_xll.DBRW($B$3,S$6,$B$5,$B$4,$B$6,S$7,$B$9,S$4,S$5,$A73)*S$8</f>
        <v>0</v>
      </c>
      <c r="T73" s="50">
        <f ca="1">_xll.DBRW($B$3,T$6,$B$5,$B$4,$B$6,T$7,$B$9,T$4,T$5,$A73)*T$8</f>
        <v>0</v>
      </c>
      <c r="U73" s="51">
        <f t="shared" ca="1" si="95"/>
        <v>0</v>
      </c>
      <c r="V73" s="51">
        <f t="shared" ca="1" si="96"/>
        <v>0</v>
      </c>
      <c r="W73" s="49"/>
      <c r="X73" s="50">
        <f t="shared" ca="1" si="97"/>
        <v>0</v>
      </c>
      <c r="Y73" s="50">
        <f t="shared" ca="1" si="98"/>
        <v>0</v>
      </c>
      <c r="Z73" s="50">
        <f t="shared" ca="1" si="99"/>
        <v>0</v>
      </c>
      <c r="AA73" s="51">
        <f t="shared" ca="1" si="100"/>
        <v>0</v>
      </c>
      <c r="AB73" s="51">
        <f t="shared" ca="1" si="101"/>
        <v>0</v>
      </c>
      <c r="AC73" s="49"/>
      <c r="AD73" s="52">
        <f ca="1">_xll.DBRW($B$3,AD$6,$B$5,$B$4,$B$6,AD$7,$B$9,AD$4,AD$5,$A73)*AD$8</f>
        <v>0</v>
      </c>
      <c r="AE73" s="50">
        <f ca="1">_xll.DBRW($B$3,AE$6,$B$5,$B$4,$B$6,AE$7,$B$9,AE$4,AE$5,$A73)*AE$8</f>
        <v>0</v>
      </c>
      <c r="AF73" s="50">
        <f ca="1">_xll.DBRW($B$3,AF$6,$B$5,$B$4,$B$6,AF$7,$B$9,AF$4,AF$5,$A73)*AF$8</f>
        <v>0</v>
      </c>
      <c r="AG73" s="51">
        <f t="shared" ca="1" si="102"/>
        <v>0</v>
      </c>
      <c r="AH73" s="53">
        <f t="shared" ca="1" si="103"/>
        <v>0</v>
      </c>
    </row>
    <row r="74" spans="1:34" s="40" customFormat="1" ht="12" customHeight="1">
      <c r="A74" s="90" t="s">
        <v>106</v>
      </c>
      <c r="B74" s="35"/>
      <c r="C74" s="35"/>
      <c r="D74" s="49" t="str">
        <f>IF(Language="French","Autres","Other")</f>
        <v>Other</v>
      </c>
      <c r="E74" s="49"/>
      <c r="F74" s="50">
        <f ca="1">F66-SUM(F68:F73)</f>
        <v>0</v>
      </c>
      <c r="G74" s="50">
        <f ca="1">G66-SUM(G68:G73)</f>
        <v>0</v>
      </c>
      <c r="H74" s="50">
        <f ca="1">H66-SUM(H68:H73)</f>
        <v>0</v>
      </c>
      <c r="I74" s="51">
        <f t="shared" ca="1" si="91"/>
        <v>0</v>
      </c>
      <c r="J74" s="51">
        <f t="shared" ca="1" si="92"/>
        <v>0</v>
      </c>
      <c r="K74" s="49"/>
      <c r="L74" s="50">
        <f ca="1">L66-SUM(L68:L73)</f>
        <v>0</v>
      </c>
      <c r="M74" s="50">
        <f ca="1">M66-SUM(M68:M73)</f>
        <v>0</v>
      </c>
      <c r="N74" s="50">
        <f ca="1">N66-SUM(N68:N73)</f>
        <v>0</v>
      </c>
      <c r="O74" s="51">
        <f t="shared" ca="1" si="93"/>
        <v>0</v>
      </c>
      <c r="P74" s="51">
        <f t="shared" ca="1" si="94"/>
        <v>0</v>
      </c>
      <c r="Q74" s="49"/>
      <c r="R74" s="50">
        <f ca="1">R66-SUM(R68:R73)</f>
        <v>0</v>
      </c>
      <c r="S74" s="50">
        <f ca="1">S66-SUM(S68:S73)</f>
        <v>0</v>
      </c>
      <c r="T74" s="50">
        <f ca="1">T66-SUM(T68:T73)</f>
        <v>0</v>
      </c>
      <c r="U74" s="51">
        <f t="shared" ca="1" si="95"/>
        <v>0</v>
      </c>
      <c r="V74" s="51">
        <f t="shared" ca="1" si="96"/>
        <v>0</v>
      </c>
      <c r="W74" s="49"/>
      <c r="X74" s="50">
        <f t="shared" ca="1" si="97"/>
        <v>0</v>
      </c>
      <c r="Y74" s="50">
        <f t="shared" ca="1" si="98"/>
        <v>0</v>
      </c>
      <c r="Z74" s="50">
        <f t="shared" ca="1" si="99"/>
        <v>0</v>
      </c>
      <c r="AA74" s="51">
        <f t="shared" ca="1" si="100"/>
        <v>0</v>
      </c>
      <c r="AB74" s="51">
        <f t="shared" ca="1" si="101"/>
        <v>0</v>
      </c>
      <c r="AC74" s="49"/>
      <c r="AD74" s="52">
        <f ca="1">AD66-SUM(AD68:AD73)</f>
        <v>0</v>
      </c>
      <c r="AE74" s="50">
        <f ca="1">AE66-SUM(AE68:AE73)</f>
        <v>0</v>
      </c>
      <c r="AF74" s="50">
        <f ca="1">AF66-SUM(AF68:AF73)</f>
        <v>0</v>
      </c>
      <c r="AG74" s="51">
        <f t="shared" ca="1" si="102"/>
        <v>0</v>
      </c>
      <c r="AH74" s="53">
        <f t="shared" ca="1" si="103"/>
        <v>0</v>
      </c>
    </row>
    <row r="75" spans="1:34" s="96" customFormat="1" ht="12" customHeight="1">
      <c r="A75" s="88" t="s">
        <v>91</v>
      </c>
      <c r="B75" s="89" t="s">
        <v>107</v>
      </c>
      <c r="C75" s="89" t="s">
        <v>108</v>
      </c>
      <c r="D75" s="93" t="str">
        <f ca="1">_xll.DBRA("tango_core_model:indicator",A75,Language)&amp;"(million)"</f>
        <v>Fuel consumed (liters)(million)</v>
      </c>
      <c r="E75" s="93"/>
      <c r="F75" s="94">
        <f ca="1">_xll.DBRW($B$3,F$6,$C75,$B75,$B$6,F$7,$B$9,F$4,F$5,$A75)</f>
        <v>0</v>
      </c>
      <c r="G75" s="94">
        <f ca="1">_xll.DBRW($B$3,G$6,$C75,$B75,$B$6,G$7,$B$9,G$4,G$5,$A75)</f>
        <v>0</v>
      </c>
      <c r="H75" s="94">
        <f ca="1">_xll.DBRW($B$3,H$6,$C75,$B75,$B$6,H$7,$B$9,H$4,H$5,$A75)</f>
        <v>0</v>
      </c>
      <c r="I75" s="95">
        <f t="shared" ca="1" si="91"/>
        <v>0</v>
      </c>
      <c r="J75" s="95">
        <f t="shared" ca="1" si="92"/>
        <v>0</v>
      </c>
      <c r="K75" s="93"/>
      <c r="L75" s="94">
        <f ca="1">_xll.DBRW($B$3,L$6,$C75,$B75,$B$6,L$7,$B$9,L$4,L$5,$A75)</f>
        <v>0</v>
      </c>
      <c r="M75" s="94">
        <f ca="1">_xll.DBRW($B$3,M$6,$C75,$B75,$B$6,M$7,$B$9,M$4,M$5,$A75)</f>
        <v>0</v>
      </c>
      <c r="N75" s="94">
        <f ca="1">_xll.DBRW($B$3,N$6,$C75,$B75,$B$6,N$7,$B$9,N$4,N$5,$A75)</f>
        <v>0</v>
      </c>
      <c r="O75" s="95">
        <f t="shared" ca="1" si="93"/>
        <v>0</v>
      </c>
      <c r="P75" s="95">
        <f t="shared" ca="1" si="94"/>
        <v>0</v>
      </c>
      <c r="Q75" s="93"/>
      <c r="R75" s="94">
        <f ca="1">_xll.DBRW($B$3,R$6,$C75,$B75,$B$6,R$7,$B$9,R$4,R$5,$A75)</f>
        <v>0</v>
      </c>
      <c r="S75" s="94">
        <f ca="1">_xll.DBRW($B$3,S$6,$C75,$B75,$B$6,S$7,$B$9,S$4,S$5,$A75)</f>
        <v>0</v>
      </c>
      <c r="T75" s="94">
        <f ca="1">_xll.DBRW($B$3,T$6,$C75,$B75,$B$6,T$7,$B$9,T$4,T$5,$A75)</f>
        <v>0</v>
      </c>
      <c r="U75" s="95">
        <f t="shared" ca="1" si="95"/>
        <v>0</v>
      </c>
      <c r="V75" s="95">
        <f t="shared" ca="1" si="96"/>
        <v>0</v>
      </c>
      <c r="W75" s="93"/>
      <c r="X75" s="94">
        <f t="shared" ca="1" si="97"/>
        <v>0</v>
      </c>
      <c r="Y75" s="94">
        <f t="shared" ca="1" si="98"/>
        <v>0</v>
      </c>
      <c r="Z75" s="94">
        <f t="shared" ca="1" si="99"/>
        <v>0</v>
      </c>
      <c r="AA75" s="95">
        <f t="shared" ca="1" si="100"/>
        <v>0</v>
      </c>
      <c r="AB75" s="95">
        <f t="shared" ca="1" si="101"/>
        <v>0</v>
      </c>
      <c r="AC75" s="93"/>
      <c r="AD75" s="104">
        <f ca="1">_xll.DBRW($B$3,AD$6,$C75,$B75,$B$6,AD$7,$B$9,AD$4,AD$5,$A75)</f>
        <v>0</v>
      </c>
      <c r="AE75" s="94">
        <f ca="1">_xll.DBRW($B$3,AE$6,$C75,$B75,$B$6,AE$7,$B$9,AE$4,AE$5,$A75)</f>
        <v>0</v>
      </c>
      <c r="AF75" s="94">
        <f ca="1">_xll.DBRW($B$3,AF$6,$C75,$B75,$B$6,AF$7,$B$9,AF$4,AF$5,$A75)</f>
        <v>0</v>
      </c>
      <c r="AG75" s="95">
        <f t="shared" ca="1" si="102"/>
        <v>0</v>
      </c>
      <c r="AH75" s="105">
        <f t="shared" ca="1" si="103"/>
        <v>0</v>
      </c>
    </row>
    <row r="76" spans="1:34" s="82" customFormat="1" ht="12" customHeight="1">
      <c r="A76" s="90" t="s">
        <v>106</v>
      </c>
      <c r="B76" s="79"/>
      <c r="C76" s="79"/>
      <c r="D76" s="80" t="str">
        <f>IF(Language="French","Prix au litre","Price per liter")</f>
        <v>Price per liter</v>
      </c>
      <c r="E76" s="80"/>
      <c r="F76" s="128" t="str">
        <f ca="1">IF(OR(F68=0,F75=0),"-",-F68/F75)</f>
        <v>-</v>
      </c>
      <c r="G76" s="128" t="str">
        <f ca="1">IF(OR(G68=0,G75=0),"-",-G68/G75)</f>
        <v>-</v>
      </c>
      <c r="H76" s="128" t="str">
        <f ca="1">IF(OR(H68=0,H75=0),"-",-H68/H75)</f>
        <v>-</v>
      </c>
      <c r="I76" s="128" t="str">
        <f ca="1">IF(OR(F76=0,G76=0),"-",IFERROR((F76-G76),""))</f>
        <v/>
      </c>
      <c r="J76" s="128" t="str">
        <f ca="1">IF(OR(F76=0,H76=0),"-",IFERROR((F76-H76),""))</f>
        <v/>
      </c>
      <c r="K76" s="129"/>
      <c r="L76" s="128" t="str">
        <f ca="1">IF(OR(L68=0,L75=0),"-",-L68/L75)</f>
        <v>-</v>
      </c>
      <c r="M76" s="128" t="str">
        <f ca="1">IF(OR(M68=0,M75=0),"-",-M68/M75)</f>
        <v>-</v>
      </c>
      <c r="N76" s="128" t="str">
        <f ca="1">IF(OR(N68=0,N75=0),"-",-N68/N75)</f>
        <v>-</v>
      </c>
      <c r="O76" s="128" t="str">
        <f ca="1">IF(OR(L76=0,M76=0),"-",IFERROR((L76-M76),""))</f>
        <v/>
      </c>
      <c r="P76" s="128" t="str">
        <f ca="1">IF(OR(L76=0,N76=0),"-",IFERROR((L76-N76),""))</f>
        <v/>
      </c>
      <c r="Q76" s="129"/>
      <c r="R76" s="128" t="str">
        <f ca="1">IF(OR(R68=0,R75=0),"-",-R68/R75)</f>
        <v>-</v>
      </c>
      <c r="S76" s="128" t="str">
        <f ca="1">IF(OR(S68=0,S75=0),"-",-S68/S75)</f>
        <v>-</v>
      </c>
      <c r="T76" s="128" t="str">
        <f ca="1">IF(OR(T68=0,T75=0),"-",-T68/T75)</f>
        <v>-</v>
      </c>
      <c r="U76" s="128" t="str">
        <f ca="1">IF(OR(R76=0,S76=0),"-",IFERROR((R76-S76),""))</f>
        <v/>
      </c>
      <c r="V76" s="128" t="str">
        <f ca="1">IF(OR(R76=0,T76=0),"-",IFERROR((R76-T76),""))</f>
        <v/>
      </c>
      <c r="W76" s="129"/>
      <c r="X76" s="128" t="str">
        <f ca="1">IF(OR(X68=0,X75=0),"-",-X68/X75)</f>
        <v>-</v>
      </c>
      <c r="Y76" s="128" t="str">
        <f ca="1">IF(OR(Y68=0,Y75=0),"-",-Y68/Y75)</f>
        <v>-</v>
      </c>
      <c r="Z76" s="128" t="str">
        <f ca="1">IF(OR(Z68=0,Z75=0),"-",-Z68/Z75)</f>
        <v>-</v>
      </c>
      <c r="AA76" s="128" t="str">
        <f ca="1">IF(OR(X76=0,Y76=0),"-",IFERROR((X76-Y76),""))</f>
        <v/>
      </c>
      <c r="AB76" s="128" t="str">
        <f ca="1">IF(OR(X76=0,Z76=0),"-",IFERROR((X76-Z76),""))</f>
        <v/>
      </c>
      <c r="AC76" s="129"/>
      <c r="AD76" s="130" t="str">
        <f ca="1">IF(OR(AD68=0,AD75=0),"-",-AD68/AD75)</f>
        <v>-</v>
      </c>
      <c r="AE76" s="128" t="str">
        <f ca="1">IF(OR(AE68=0,AE75=0),"-",-AE68/AE75)</f>
        <v>-</v>
      </c>
      <c r="AF76" s="128" t="str">
        <f ca="1">IF(OR(AF68=0,AF75=0),"-",-AF68/AF75)</f>
        <v>-</v>
      </c>
      <c r="AG76" s="128" t="str">
        <f ca="1">IF(OR(AD76=0,AE76=0),"-",IFERROR((AD76-AE76),""))</f>
        <v/>
      </c>
      <c r="AH76" s="131" t="str">
        <f ca="1">IF(OR(AD76=0,AF76=0),"-",IFERROR((AD76-AF76),""))</f>
        <v/>
      </c>
    </row>
    <row r="77" spans="1:34" s="96" customFormat="1" ht="12" customHeight="1">
      <c r="A77" s="88" t="s">
        <v>90</v>
      </c>
      <c r="B77" s="89" t="s">
        <v>107</v>
      </c>
      <c r="C77" s="89" t="s">
        <v>108</v>
      </c>
      <c r="D77" s="93" t="str">
        <f ca="1">_xll.DBRA("tango_core_model:indicator",A77,Language)&amp;"(million)"</f>
        <v>Total KM self driven(million)</v>
      </c>
      <c r="E77" s="93"/>
      <c r="F77" s="94">
        <f ca="1">_xll.DBRW($B$3,F$6,$C77,$B77,$B$6,F$7,$B$9,F$4,F$5,$A77)</f>
        <v>0</v>
      </c>
      <c r="G77" s="94">
        <f ca="1">_xll.DBRW($B$3,G$6,$C77,$B77,$B$6,G$7,$B$9,G$4,G$5,$A77)</f>
        <v>0</v>
      </c>
      <c r="H77" s="94">
        <f ca="1">_xll.DBRW($B$3,H$6,$C77,$B77,$B$6,H$7,$B$9,H$4,H$5,$A77)</f>
        <v>0</v>
      </c>
      <c r="I77" s="95">
        <f t="shared" ca="1" si="91"/>
        <v>0</v>
      </c>
      <c r="J77" s="95">
        <f t="shared" ca="1" si="92"/>
        <v>0</v>
      </c>
      <c r="K77" s="93"/>
      <c r="L77" s="94">
        <f ca="1">_xll.DBRW($B$3,L$6,$C77,$B77,$B$6,L$7,$B$9,L$4,L$5,$A77)</f>
        <v>0</v>
      </c>
      <c r="M77" s="94">
        <f ca="1">_xll.DBRW($B$3,M$6,$C77,$B77,$B$6,M$7,$B$9,M$4,M$5,$A77)</f>
        <v>0</v>
      </c>
      <c r="N77" s="94">
        <f ca="1">_xll.DBRW($B$3,N$6,$C77,$B77,$B$6,N$7,$B$9,N$4,N$5,$A77)</f>
        <v>0</v>
      </c>
      <c r="O77" s="95">
        <f t="shared" ca="1" si="93"/>
        <v>0</v>
      </c>
      <c r="P77" s="95">
        <f t="shared" ca="1" si="94"/>
        <v>0</v>
      </c>
      <c r="Q77" s="93"/>
      <c r="R77" s="94">
        <f ca="1">_xll.DBRW($B$3,R$6,$C77,$B77,$B$6,R$7,$B$9,R$4,R$5,$A77)</f>
        <v>0</v>
      </c>
      <c r="S77" s="94">
        <f ca="1">_xll.DBRW($B$3,S$6,$C77,$B77,$B$6,S$7,$B$9,S$4,S$5,$A77)</f>
        <v>0</v>
      </c>
      <c r="T77" s="94">
        <f ca="1">_xll.DBRW($B$3,T$6,$C77,$B77,$B$6,T$7,$B$9,T$4,T$5,$A77)</f>
        <v>0</v>
      </c>
      <c r="U77" s="95">
        <f t="shared" ca="1" si="95"/>
        <v>0</v>
      </c>
      <c r="V77" s="95">
        <f t="shared" ca="1" si="96"/>
        <v>0</v>
      </c>
      <c r="W77" s="93"/>
      <c r="X77" s="94">
        <f t="shared" ref="X77" ca="1" si="104">AD77-(F77+L77+R77)</f>
        <v>0</v>
      </c>
      <c r="Y77" s="94">
        <f t="shared" ref="Y77" ca="1" si="105">AE77-(G77+M77+S77)</f>
        <v>0</v>
      </c>
      <c r="Z77" s="94">
        <f t="shared" ref="Z77" ca="1" si="106">AF77-(H77+N77+T77)</f>
        <v>0</v>
      </c>
      <c r="AA77" s="95">
        <f t="shared" ca="1" si="100"/>
        <v>0</v>
      </c>
      <c r="AB77" s="95">
        <f t="shared" ca="1" si="101"/>
        <v>0</v>
      </c>
      <c r="AC77" s="93"/>
      <c r="AD77" s="104">
        <f ca="1">_xll.DBRW($B$3,AD$6,$C77,$B77,$B$6,AD$7,$B$9,AD$4,AD$5,$A77)</f>
        <v>0</v>
      </c>
      <c r="AE77" s="94">
        <f ca="1">_xll.DBRW($B$3,AE$6,$C77,$B77,$B$6,AE$7,$B$9,AE$4,AE$5,$A77)</f>
        <v>0</v>
      </c>
      <c r="AF77" s="94">
        <f ca="1">_xll.DBRW($B$3,AF$6,$C77,$B77,$B$6,AF$7,$B$9,AF$4,AF$5,$A77)</f>
        <v>0</v>
      </c>
      <c r="AG77" s="95">
        <f t="shared" ca="1" si="102"/>
        <v>0</v>
      </c>
      <c r="AH77" s="105">
        <f t="shared" ca="1" si="103"/>
        <v>0</v>
      </c>
    </row>
    <row r="78" spans="1:34" s="82" customFormat="1" ht="12" customHeight="1">
      <c r="A78" s="90" t="s">
        <v>106</v>
      </c>
      <c r="B78" s="79"/>
      <c r="C78" s="79"/>
      <c r="D78" s="80" t="str">
        <f>IF(Language="French","Consommation au 100 Km","Consumption per 100 Km")</f>
        <v>Consumption per 100 Km</v>
      </c>
      <c r="E78" s="80"/>
      <c r="F78" s="81" t="str">
        <f ca="1">IF(OR(F75=0,F77=0),"-",(F75/F77)*100)</f>
        <v>-</v>
      </c>
      <c r="G78" s="81" t="str">
        <f ca="1">IF(OR(G75=0,G77=0),"-",(G75/G77)*100)</f>
        <v>-</v>
      </c>
      <c r="H78" s="81" t="str">
        <f ca="1">IF(OR(H75=0,H77=0),"-",(H75/H77)*100)</f>
        <v>-</v>
      </c>
      <c r="I78" s="81" t="str">
        <f ca="1">IF(OR(F78=0,G78=0),"-",IFERROR((F78-G78),""))</f>
        <v/>
      </c>
      <c r="J78" s="81" t="str">
        <f ca="1">IF(OR(F78=0,H78=0),"-",IFERROR((F78-H78),""))</f>
        <v/>
      </c>
      <c r="K78" s="80"/>
      <c r="L78" s="81" t="str">
        <f ca="1">IF(OR(L75=0,L77=0),"-",(L75/L77)*100)</f>
        <v>-</v>
      </c>
      <c r="M78" s="81" t="str">
        <f ca="1">IF(OR(M75=0,M77=0),"-",(M75/M77)*100)</f>
        <v>-</v>
      </c>
      <c r="N78" s="81" t="str">
        <f ca="1">IF(OR(N75=0,N77=0),"-",(N75/N77)*100)</f>
        <v>-</v>
      </c>
      <c r="O78" s="81" t="str">
        <f ca="1">IF(OR(L78=0,M78=0),"-",IFERROR((L78-M78),""))</f>
        <v/>
      </c>
      <c r="P78" s="81" t="str">
        <f ca="1">IF(OR(L78=0,N78=0),"-",IFERROR((L78-N78),""))</f>
        <v/>
      </c>
      <c r="Q78" s="80"/>
      <c r="R78" s="81" t="str">
        <f ca="1">IF(OR(R75=0,R77=0),"-",(R75/R77)*100)</f>
        <v>-</v>
      </c>
      <c r="S78" s="81" t="str">
        <f ca="1">IF(OR(S75=0,S77=0),"-",(S75/S77)*100)</f>
        <v>-</v>
      </c>
      <c r="T78" s="81" t="str">
        <f ca="1">IF(OR(T75=0,T77=0),"-",(T75/T77)*100)</f>
        <v>-</v>
      </c>
      <c r="U78" s="81" t="str">
        <f ca="1">IF(OR(R78=0,S78=0),"-",IFERROR((R78-S78),""))</f>
        <v/>
      </c>
      <c r="V78" s="81" t="str">
        <f ca="1">IF(OR(R78=0,T78=0),"-",IFERROR((R78-T78),""))</f>
        <v/>
      </c>
      <c r="W78" s="80"/>
      <c r="X78" s="81" t="str">
        <f ca="1">IF(OR(X75=0,X77=0),"-",(X75/X77)*100)</f>
        <v>-</v>
      </c>
      <c r="Y78" s="81" t="str">
        <f ca="1">IF(OR(Y75=0,Y77=0),"-",(Y75/Y77)*100)</f>
        <v>-</v>
      </c>
      <c r="Z78" s="81" t="str">
        <f ca="1">IF(OR(Z75=0,Z77=0),"-",(Z75/Z77)*100)</f>
        <v>-</v>
      </c>
      <c r="AA78" s="81" t="str">
        <f ca="1">IF(OR(X78=0,Y78=0),"-",IFERROR((X78-Y78),""))</f>
        <v/>
      </c>
      <c r="AB78" s="81" t="str">
        <f ca="1">IF(OR(X78=0,Z78=0),"-",IFERROR((X78-Z78),""))</f>
        <v/>
      </c>
      <c r="AC78" s="80"/>
      <c r="AD78" s="106" t="str">
        <f ca="1">IF(OR(AD75=0,AD77=0),"-",(AD75/AD77)*100)</f>
        <v>-</v>
      </c>
      <c r="AE78" s="81" t="str">
        <f ca="1">IF(OR(AE75=0,AE77=0),"-",(AE75/AE77)*100)</f>
        <v>-</v>
      </c>
      <c r="AF78" s="81" t="str">
        <f ca="1">IF(OR(AF75=0,AF77=0),"-",(AF75/AF77)*100)</f>
        <v>-</v>
      </c>
      <c r="AG78" s="81" t="str">
        <f ca="1">IF(OR(AD78=0,AE78=0),"-",IFERROR((AD78-AE78),""))</f>
        <v/>
      </c>
      <c r="AH78" s="107" t="str">
        <f ca="1">IF(OR(AD78=0,AF78=0),"-",IFERROR((AD78-AF78),""))</f>
        <v/>
      </c>
    </row>
    <row r="79" spans="1:34" ht="30" customHeight="1">
      <c r="AD79" s="60"/>
      <c r="AE79" s="40"/>
      <c r="AF79" s="40"/>
      <c r="AG79" s="59"/>
      <c r="AH79" s="61"/>
    </row>
    <row r="80" spans="1:34" s="162" customFormat="1" ht="26.1" customHeight="1">
      <c r="A80" s="154" t="s">
        <v>80</v>
      </c>
      <c r="B80" s="155"/>
      <c r="C80" s="155"/>
      <c r="D80" s="165" t="str">
        <f ca="1">_xll.DBRA("tango_core_model:indicator",A80,Language)</f>
        <v>Fleet (RESOP)</v>
      </c>
      <c r="E80" s="157"/>
      <c r="F80" s="166">
        <f ca="1">_xll.DBRW($B$3,F$6,$B$5,$B$4,$B$6,F$7,$B$9,F$4,F$5,$A80)*F$8</f>
        <v>0</v>
      </c>
      <c r="G80" s="166">
        <f ca="1">_xll.DBRW($B$3,G$6,$B$5,$B$4,$B$6,G$7,$B$9,G$4,G$5,$A80)*G$8</f>
        <v>0</v>
      </c>
      <c r="H80" s="166">
        <f ca="1">_xll.DBRW($B$3,H$6,$B$5,$B$4,$B$6,H$7,$B$9,H$4,H$5,$A80)*H$8</f>
        <v>0</v>
      </c>
      <c r="I80" s="167">
        <f ca="1">IF(OR(F80="",G80=""),"-",IFERROR((F80-G80),""))</f>
        <v>0</v>
      </c>
      <c r="J80" s="167">
        <f ca="1">IF(OR(F80="",H80=""),"-",IFERROR((F80-H80),""))</f>
        <v>0</v>
      </c>
      <c r="K80" s="157"/>
      <c r="L80" s="166">
        <f ca="1">_xll.DBRW($B$3,L$6,$B$5,$B$4,$B$6,L$7,$B$9,L$4,L$5,$A80)*L$8</f>
        <v>0</v>
      </c>
      <c r="M80" s="166">
        <f ca="1">_xll.DBRW($B$3,M$6,$B$5,$B$4,$B$6,M$7,$B$9,M$4,M$5,$A80)*M$8</f>
        <v>0</v>
      </c>
      <c r="N80" s="166">
        <f ca="1">_xll.DBRW($B$3,N$6,$B$5,$B$4,$B$6,N$7,$B$9,N$4,N$5,$A80)*N$8</f>
        <v>0</v>
      </c>
      <c r="O80" s="167">
        <f ca="1">IF(OR(L80="",M80=""),"-",IFERROR((L80-M80),""))</f>
        <v>0</v>
      </c>
      <c r="P80" s="167">
        <f ca="1">IF(OR(L80="",N80=""),"-",IFERROR((L80-N80),""))</f>
        <v>0</v>
      </c>
      <c r="Q80" s="157"/>
      <c r="R80" s="166">
        <f ca="1">_xll.DBRW($B$3,R$6,$B$5,$B$4,$B$6,R$7,$B$9,R$4,R$5,$A80)*R$8</f>
        <v>0</v>
      </c>
      <c r="S80" s="166">
        <f ca="1">_xll.DBRW($B$3,S$6,$B$5,$B$4,$B$6,S$7,$B$9,S$4,S$5,$A80)*S$8</f>
        <v>0</v>
      </c>
      <c r="T80" s="166">
        <f ca="1">_xll.DBRW($B$3,T$6,$B$5,$B$4,$B$6,T$7,$B$9,T$4,T$5,$A80)*T$8</f>
        <v>0</v>
      </c>
      <c r="U80" s="167">
        <f ca="1">IF(OR(R80="",S80=""),"-",IFERROR((R80-S80),""))</f>
        <v>0</v>
      </c>
      <c r="V80" s="167">
        <f ca="1">IF(OR(R80="",T80=""),"-",IFERROR((R80-T80),""))</f>
        <v>0</v>
      </c>
      <c r="W80" s="157"/>
      <c r="X80" s="166">
        <f t="shared" ref="X80" ca="1" si="107">AD80-(F80+L80+R80)</f>
        <v>0</v>
      </c>
      <c r="Y80" s="166">
        <f t="shared" ref="Y80" ca="1" si="108">AE80-(G80+M80+S80)</f>
        <v>0</v>
      </c>
      <c r="Z80" s="166">
        <f t="shared" ref="Z80" ca="1" si="109">AF80-(H80+N80+T80)</f>
        <v>0</v>
      </c>
      <c r="AA80" s="167">
        <f ca="1">IF(OR(X80="",Y80=""),"-",IFERROR((X80-Y80),""))</f>
        <v>0</v>
      </c>
      <c r="AB80" s="167">
        <f ca="1">IF(OR(X80="",Z80=""),"-",IFERROR((X80-Z80),""))</f>
        <v>0</v>
      </c>
      <c r="AC80" s="157"/>
      <c r="AD80" s="168">
        <f ca="1">_xll.DBRW($B$3,AD$6,$B$5,$B$4,$B$6,AD$7,$B$9,AD$4,AD$5,$A80)*AD$8</f>
        <v>0</v>
      </c>
      <c r="AE80" s="166">
        <f ca="1">_xll.DBRW($B$3,AE$6,$B$5,$B$4,$B$6,AE$7,$B$9,AE$4,AE$5,$A80)*AE$8</f>
        <v>0</v>
      </c>
      <c r="AF80" s="166">
        <f ca="1">_xll.DBRW($B$3,AF$6,$B$5,$B$4,$B$6,AF$7,$B$9,AF$4,AF$5,$A80)*AF$8</f>
        <v>0</v>
      </c>
      <c r="AG80" s="167">
        <f ca="1">IF(OR(AD80="",AE80=""),"-",IFERROR((AD80-AE80),""))</f>
        <v>0</v>
      </c>
      <c r="AH80" s="169">
        <f ca="1">IF(OR(AD80="",AF80=""),"-",IFERROR((AD80-AF80),""))</f>
        <v>0</v>
      </c>
    </row>
    <row r="81" spans="1:34" s="149" customFormat="1" ht="12.75" customHeight="1">
      <c r="A81" s="142" t="s">
        <v>106</v>
      </c>
      <c r="B81" s="143"/>
      <c r="C81" s="143"/>
      <c r="D81" s="144" t="str">
        <f>IF(Language="French","% PAO","% revenues")</f>
        <v>% revenues</v>
      </c>
      <c r="E81" s="144"/>
      <c r="F81" s="145" t="str">
        <f ca="1">IF(OR(F80=0,F$17=0),"-",IF(ABS(F80/F$17)&gt;2,"-",-F80/F$17))</f>
        <v>-</v>
      </c>
      <c r="G81" s="145" t="str">
        <f ca="1">IF(OR(G80=0,G$17=0),"-",IF(ABS(G80/G$17)&gt;2,"-",-G80/G$17))</f>
        <v>-</v>
      </c>
      <c r="H81" s="145" t="str">
        <f ca="1">IF(OR(H80=0,H$17=0),"-",IF(ABS(H80/H$17)&gt;2,"-",-H80/H$17))</f>
        <v>-</v>
      </c>
      <c r="I81" s="146"/>
      <c r="J81" s="146"/>
      <c r="K81" s="144"/>
      <c r="L81" s="145" t="str">
        <f ca="1">IF(OR(L80=0,L$17=0),"-",IF(ABS(L80/L$17)&gt;2,"-",-L80/L$17))</f>
        <v>-</v>
      </c>
      <c r="M81" s="145" t="str">
        <f ca="1">IF(OR(M80=0,M$17=0),"-",IF(ABS(M80/M$17)&gt;2,"-",-M80/M$17))</f>
        <v>-</v>
      </c>
      <c r="N81" s="145" t="str">
        <f ca="1">IF(OR(N80=0,N$17=0),"-",IF(ABS(N80/N$17)&gt;2,"-",-N80/N$17))</f>
        <v>-</v>
      </c>
      <c r="O81" s="146"/>
      <c r="P81" s="146"/>
      <c r="Q81" s="144"/>
      <c r="R81" s="145" t="str">
        <f ca="1">IF(OR(R80=0,R$17=0),"-",IF(ABS(R80/R$17)&gt;2,"-",-R80/R$17))</f>
        <v>-</v>
      </c>
      <c r="S81" s="145" t="str">
        <f ca="1">IF(OR(S80=0,S$17=0),"-",IF(ABS(S80/S$17)&gt;2,"-",-S80/S$17))</f>
        <v>-</v>
      </c>
      <c r="T81" s="145" t="str">
        <f ca="1">IF(OR(T80=0,T$17=0),"-",IF(ABS(T80/T$17)&gt;2,"-",-T80/T$17))</f>
        <v>-</v>
      </c>
      <c r="U81" s="146"/>
      <c r="V81" s="146"/>
      <c r="W81" s="144"/>
      <c r="X81" s="145" t="str">
        <f ca="1">IF(OR(X80=0,X$17=0),"-",IF(ABS(X80/X$17)&gt;2,"-",-X80/X$17))</f>
        <v>-</v>
      </c>
      <c r="Y81" s="145" t="str">
        <f ca="1">IF(OR(Y80=0,Y$17=0),"-",IF(ABS(Y80/Y$17)&gt;2,"-",-Y80/Y$17))</f>
        <v>-</v>
      </c>
      <c r="Z81" s="145" t="str">
        <f ca="1">IF(OR(Z80=0,Z$17=0),"-",IF(ABS(Z80/Z$17)&gt;2,"-",-Z80/Z$17))</f>
        <v>-</v>
      </c>
      <c r="AA81" s="146"/>
      <c r="AB81" s="146"/>
      <c r="AC81" s="144"/>
      <c r="AD81" s="147" t="str">
        <f ca="1">IF(OR(AD80=0,AD$17=0),"-",IF(ABS(AD80/AD$17)&gt;2,"-",-AD80/AD$17))</f>
        <v>-</v>
      </c>
      <c r="AE81" s="145" t="str">
        <f ca="1">IF(OR(AE80=0,AE$17=0),"-",IF(ABS(AE80/AE$17)&gt;2,"-",-AE80/AE$17))</f>
        <v>-</v>
      </c>
      <c r="AF81" s="145" t="str">
        <f ca="1">IF(OR(AF80=0,AF$17=0),"-",IF(ABS(AF80/AF$17)&gt;2,"-",-AF80/AF$17))</f>
        <v>-</v>
      </c>
      <c r="AG81" s="146"/>
      <c r="AH81" s="148"/>
    </row>
    <row r="82" spans="1:34" s="40" customFormat="1" ht="12" customHeight="1">
      <c r="A82" s="90" t="s">
        <v>106</v>
      </c>
      <c r="B82" s="35"/>
      <c r="C82" s="35"/>
      <c r="D82" s="49" t="s">
        <v>105</v>
      </c>
      <c r="E82" s="49"/>
      <c r="F82" s="50">
        <f ca="1">F83+F84</f>
        <v>0</v>
      </c>
      <c r="G82" s="50">
        <f t="shared" ref="G82:H82" ca="1" si="110">G83+G84</f>
        <v>0</v>
      </c>
      <c r="H82" s="50">
        <f t="shared" ca="1" si="110"/>
        <v>0</v>
      </c>
      <c r="I82" s="51">
        <f t="shared" ref="I82:I86" ca="1" si="111">IF(OR(F82="",G82=""),"-",IFERROR((F82-G82),""))</f>
        <v>0</v>
      </c>
      <c r="J82" s="51">
        <f t="shared" ref="J82:J86" ca="1" si="112">IF(OR(F82="",H82=""),"-",IFERROR((F82-H82),""))</f>
        <v>0</v>
      </c>
      <c r="K82" s="49"/>
      <c r="L82" s="50">
        <f ca="1">L83+L84</f>
        <v>0</v>
      </c>
      <c r="M82" s="50">
        <f t="shared" ref="M82" ca="1" si="113">M83+M84</f>
        <v>0</v>
      </c>
      <c r="N82" s="50">
        <f t="shared" ref="N82" ca="1" si="114">N83+N84</f>
        <v>0</v>
      </c>
      <c r="O82" s="51">
        <f t="shared" ref="O82:O86" ca="1" si="115">IF(OR(L82="",M82=""),"-",IFERROR((L82-M82),""))</f>
        <v>0</v>
      </c>
      <c r="P82" s="51">
        <f t="shared" ref="P82:P86" ca="1" si="116">IF(OR(L82="",N82=""),"-",IFERROR((L82-N82),""))</f>
        <v>0</v>
      </c>
      <c r="Q82" s="49"/>
      <c r="R82" s="50">
        <f ca="1">R83+R84</f>
        <v>0</v>
      </c>
      <c r="S82" s="50">
        <f t="shared" ref="S82" ca="1" si="117">S83+S84</f>
        <v>0</v>
      </c>
      <c r="T82" s="50">
        <f t="shared" ref="T82" ca="1" si="118">T83+T84</f>
        <v>0</v>
      </c>
      <c r="U82" s="51">
        <f t="shared" ref="U82:U86" ca="1" si="119">IF(OR(R82="",S82=""),"-",IFERROR((R82-S82),""))</f>
        <v>0</v>
      </c>
      <c r="V82" s="51">
        <f t="shared" ref="V82:V86" ca="1" si="120">IF(OR(R82="",T82=""),"-",IFERROR((R82-T82),""))</f>
        <v>0</v>
      </c>
      <c r="W82" s="49"/>
      <c r="X82" s="50">
        <f ca="1">X83+X84</f>
        <v>0</v>
      </c>
      <c r="Y82" s="50">
        <f t="shared" ref="Y82" ca="1" si="121">Y83+Y84</f>
        <v>0</v>
      </c>
      <c r="Z82" s="50">
        <f t="shared" ref="Z82" ca="1" si="122">Z83+Z84</f>
        <v>0</v>
      </c>
      <c r="AA82" s="51">
        <f t="shared" ref="AA82:AA86" ca="1" si="123">IF(OR(X82="",Y82=""),"-",IFERROR((X82-Y82),""))</f>
        <v>0</v>
      </c>
      <c r="AB82" s="51">
        <f t="shared" ref="AB82:AB86" ca="1" si="124">IF(OR(X82="",Z82=""),"-",IFERROR((X82-Z82),""))</f>
        <v>0</v>
      </c>
      <c r="AC82" s="49"/>
      <c r="AD82" s="52">
        <f ca="1">AD83+AD84</f>
        <v>0</v>
      </c>
      <c r="AE82" s="50">
        <f t="shared" ref="AE82" ca="1" si="125">AE83+AE84</f>
        <v>0</v>
      </c>
      <c r="AF82" s="50">
        <f t="shared" ref="AF82" ca="1" si="126">AF83+AF84</f>
        <v>0</v>
      </c>
      <c r="AG82" s="51">
        <f t="shared" ref="AG82:AG86" ca="1" si="127">IF(OR(AD82="",AE82=""),"-",IFERROR((AD82-AE82),""))</f>
        <v>0</v>
      </c>
      <c r="AH82" s="53">
        <f t="shared" ref="AH82:AH86" ca="1" si="128">IF(OR(AD82="",AF82=""),"-",IFERROR((AD82-AF82),""))</f>
        <v>0</v>
      </c>
    </row>
    <row r="83" spans="1:34" s="40" customFormat="1" ht="12" hidden="1" customHeight="1" outlineLevel="1">
      <c r="A83" s="78" t="s">
        <v>102</v>
      </c>
      <c r="B83" s="35"/>
      <c r="C83" s="35"/>
      <c r="D83" s="49" t="str">
        <f ca="1">_xll.DBRA("tango_core_model:indicator",A83,Language)</f>
        <v>COS - Lease expenses (FL)</v>
      </c>
      <c r="E83" s="49"/>
      <c r="F83" s="50">
        <f ca="1">_xll.DBRW($B$3,F$6,$B$5,$B$4,$B$6,F$7,$B$9,F$4,F$5,$A83)*F$8</f>
        <v>0</v>
      </c>
      <c r="G83" s="50">
        <f ca="1">_xll.DBRW($B$3,G$6,$B$5,$B$4,$B$6,G$7,$B$9,G$4,G$5,$A83)*G$8</f>
        <v>0</v>
      </c>
      <c r="H83" s="50">
        <f ca="1">_xll.DBRW($B$3,H$6,$B$5,$B$4,$B$6,H$7,$B$9,H$4,H$5,$A83)*H$8</f>
        <v>0</v>
      </c>
      <c r="I83" s="51">
        <f t="shared" ca="1" si="111"/>
        <v>0</v>
      </c>
      <c r="J83" s="51">
        <f t="shared" ca="1" si="112"/>
        <v>0</v>
      </c>
      <c r="K83" s="49"/>
      <c r="L83" s="50">
        <f ca="1">_xll.DBRW($B$3,L$6,$B$5,$B$4,$B$6,L$7,$B$9,L$4,L$5,$A83)*L$8</f>
        <v>0</v>
      </c>
      <c r="M83" s="50">
        <f ca="1">_xll.DBRW($B$3,M$6,$B$5,$B$4,$B$6,M$7,$B$9,M$4,M$5,$A83)*M$8</f>
        <v>0</v>
      </c>
      <c r="N83" s="50">
        <f ca="1">_xll.DBRW($B$3,N$6,$B$5,$B$4,$B$6,N$7,$B$9,N$4,N$5,$A83)*N$8</f>
        <v>0</v>
      </c>
      <c r="O83" s="51">
        <f t="shared" ca="1" si="115"/>
        <v>0</v>
      </c>
      <c r="P83" s="51">
        <f t="shared" ca="1" si="116"/>
        <v>0</v>
      </c>
      <c r="Q83" s="49"/>
      <c r="R83" s="50">
        <f ca="1">_xll.DBRW($B$3,R$6,$B$5,$B$4,$B$6,R$7,$B$9,R$4,R$5,$A83)*R$8</f>
        <v>0</v>
      </c>
      <c r="S83" s="50">
        <f ca="1">_xll.DBRW($B$3,S$6,$B$5,$B$4,$B$6,S$7,$B$9,S$4,S$5,$A83)*S$8</f>
        <v>0</v>
      </c>
      <c r="T83" s="50">
        <f ca="1">_xll.DBRW($B$3,T$6,$B$5,$B$4,$B$6,T$7,$B$9,T$4,T$5,$A83)*T$8</f>
        <v>0</v>
      </c>
      <c r="U83" s="51">
        <f t="shared" ca="1" si="119"/>
        <v>0</v>
      </c>
      <c r="V83" s="51">
        <f t="shared" ca="1" si="120"/>
        <v>0</v>
      </c>
      <c r="W83" s="49"/>
      <c r="X83" s="50">
        <f t="shared" ref="X83:X85" ca="1" si="129">AD83-(F83+L83+R83)</f>
        <v>0</v>
      </c>
      <c r="Y83" s="50">
        <f t="shared" ref="Y83:Y85" ca="1" si="130">AE83-(G83+M83+S83)</f>
        <v>0</v>
      </c>
      <c r="Z83" s="50">
        <f t="shared" ref="Z83:Z85" ca="1" si="131">AF83-(H83+N83+T83)</f>
        <v>0</v>
      </c>
      <c r="AA83" s="51">
        <f t="shared" ca="1" si="123"/>
        <v>0</v>
      </c>
      <c r="AB83" s="51">
        <f t="shared" ca="1" si="124"/>
        <v>0</v>
      </c>
      <c r="AC83" s="49"/>
      <c r="AD83" s="52">
        <f ca="1">_xll.DBRW($B$3,AD$6,$B$5,$B$4,$B$6,AD$7,$B$9,AD$4,AD$5,$A83)*AD$8</f>
        <v>0</v>
      </c>
      <c r="AE83" s="50">
        <f ca="1">_xll.DBRW($B$3,AE$6,$B$5,$B$4,$B$6,AE$7,$B$9,AE$4,AE$5,$A83)*AE$8</f>
        <v>0</v>
      </c>
      <c r="AF83" s="50">
        <f ca="1">_xll.DBRW($B$3,AF$6,$B$5,$B$4,$B$6,AF$7,$B$9,AF$4,AF$5,$A83)*AF$8</f>
        <v>0</v>
      </c>
      <c r="AG83" s="51">
        <f t="shared" ca="1" si="127"/>
        <v>0</v>
      </c>
      <c r="AH83" s="53">
        <f t="shared" ca="1" si="128"/>
        <v>0</v>
      </c>
    </row>
    <row r="84" spans="1:34" s="40" customFormat="1" ht="12" hidden="1" customHeight="1" outlineLevel="1">
      <c r="A84" s="78" t="s">
        <v>103</v>
      </c>
      <c r="B84" s="35"/>
      <c r="C84" s="35"/>
      <c r="D84" s="49" t="str">
        <f ca="1">_xll.DBRA("tango_core_model:indicator",A84,Language)</f>
        <v>Operating lease (FL)</v>
      </c>
      <c r="E84" s="49"/>
      <c r="F84" s="50">
        <f ca="1">_xll.DBRW($B$3,F$6,$B$5,$B$4,$B$6,F$7,$B$9,F$4,F$5,$A84)*F$8</f>
        <v>0</v>
      </c>
      <c r="G84" s="50">
        <f ca="1">_xll.DBRW($B$3,G$6,$B$5,$B$4,$B$6,G$7,$B$9,G$4,G$5,$A84)*G$8</f>
        <v>0</v>
      </c>
      <c r="H84" s="50">
        <f ca="1">_xll.DBRW($B$3,H$6,$B$5,$B$4,$B$6,H$7,$B$9,H$4,H$5,$A84)*H$8</f>
        <v>0</v>
      </c>
      <c r="I84" s="51">
        <f t="shared" ca="1" si="111"/>
        <v>0</v>
      </c>
      <c r="J84" s="51">
        <f t="shared" ca="1" si="112"/>
        <v>0</v>
      </c>
      <c r="K84" s="49"/>
      <c r="L84" s="50">
        <f ca="1">_xll.DBRW($B$3,L$6,$B$5,$B$4,$B$6,L$7,$B$9,L$4,L$5,$A84)*L$8</f>
        <v>0</v>
      </c>
      <c r="M84" s="50">
        <f ca="1">_xll.DBRW($B$3,M$6,$B$5,$B$4,$B$6,M$7,$B$9,M$4,M$5,$A84)*M$8</f>
        <v>0</v>
      </c>
      <c r="N84" s="50">
        <f ca="1">_xll.DBRW($B$3,N$6,$B$5,$B$4,$B$6,N$7,$B$9,N$4,N$5,$A84)*N$8</f>
        <v>0</v>
      </c>
      <c r="O84" s="51">
        <f t="shared" ca="1" si="115"/>
        <v>0</v>
      </c>
      <c r="P84" s="51">
        <f t="shared" ca="1" si="116"/>
        <v>0</v>
      </c>
      <c r="Q84" s="49"/>
      <c r="R84" s="50">
        <f ca="1">_xll.DBRW($B$3,R$6,$B$5,$B$4,$B$6,R$7,$B$9,R$4,R$5,$A84)*R$8</f>
        <v>0</v>
      </c>
      <c r="S84" s="50">
        <f ca="1">_xll.DBRW($B$3,S$6,$B$5,$B$4,$B$6,S$7,$B$9,S$4,S$5,$A84)*S$8</f>
        <v>0</v>
      </c>
      <c r="T84" s="50">
        <f ca="1">_xll.DBRW($B$3,T$6,$B$5,$B$4,$B$6,T$7,$B$9,T$4,T$5,$A84)*T$8</f>
        <v>0</v>
      </c>
      <c r="U84" s="51">
        <f t="shared" ca="1" si="119"/>
        <v>0</v>
      </c>
      <c r="V84" s="51">
        <f t="shared" ca="1" si="120"/>
        <v>0</v>
      </c>
      <c r="W84" s="49"/>
      <c r="X84" s="50">
        <f t="shared" ca="1" si="129"/>
        <v>0</v>
      </c>
      <c r="Y84" s="50">
        <f t="shared" ca="1" si="130"/>
        <v>0</v>
      </c>
      <c r="Z84" s="50">
        <f t="shared" ca="1" si="131"/>
        <v>0</v>
      </c>
      <c r="AA84" s="51">
        <f t="shared" ca="1" si="123"/>
        <v>0</v>
      </c>
      <c r="AB84" s="51">
        <f t="shared" ca="1" si="124"/>
        <v>0</v>
      </c>
      <c r="AC84" s="49"/>
      <c r="AD84" s="52">
        <f ca="1">_xll.DBRW($B$3,AD$6,$B$5,$B$4,$B$6,AD$7,$B$9,AD$4,AD$5,$A84)*AD$8</f>
        <v>0</v>
      </c>
      <c r="AE84" s="50">
        <f ca="1">_xll.DBRW($B$3,AE$6,$B$5,$B$4,$B$6,AE$7,$B$9,AE$4,AE$5,$A84)*AE$8</f>
        <v>0</v>
      </c>
      <c r="AF84" s="50">
        <f ca="1">_xll.DBRW($B$3,AF$6,$B$5,$B$4,$B$6,AF$7,$B$9,AF$4,AF$5,$A84)*AF$8</f>
        <v>0</v>
      </c>
      <c r="AG84" s="51">
        <f t="shared" ca="1" si="127"/>
        <v>0</v>
      </c>
      <c r="AH84" s="53">
        <f t="shared" ca="1" si="128"/>
        <v>0</v>
      </c>
    </row>
    <row r="85" spans="1:34" s="40" customFormat="1" ht="12" customHeight="1" collapsed="1">
      <c r="A85" s="78" t="s">
        <v>104</v>
      </c>
      <c r="B85" s="35"/>
      <c r="C85" s="35"/>
      <c r="D85" s="49" t="str">
        <f ca="1">_xll.DBRA("tango_core_model:indicator",A85,Language)</f>
        <v>Amortization (FL)</v>
      </c>
      <c r="E85" s="49"/>
      <c r="F85" s="50">
        <f ca="1">_xll.DBRW($B$3,F$6,$B$5,$B$4,$B$6,F$7,$B$9,F$4,F$5,$A85)*F$8</f>
        <v>0</v>
      </c>
      <c r="G85" s="50">
        <f ca="1">_xll.DBRW($B$3,G$6,$B$5,$B$4,$B$6,G$7,$B$9,G$4,G$5,$A85)*G$8</f>
        <v>0</v>
      </c>
      <c r="H85" s="50">
        <f ca="1">_xll.DBRW($B$3,H$6,$B$5,$B$4,$B$6,H$7,$B$9,H$4,H$5,$A85)*H$8</f>
        <v>0</v>
      </c>
      <c r="I85" s="51">
        <f t="shared" ca="1" si="111"/>
        <v>0</v>
      </c>
      <c r="J85" s="51">
        <f t="shared" ca="1" si="112"/>
        <v>0</v>
      </c>
      <c r="K85" s="49"/>
      <c r="L85" s="50">
        <f ca="1">_xll.DBRW($B$3,L$6,$B$5,$B$4,$B$6,L$7,$B$9,L$4,L$5,$A85)*L$8</f>
        <v>0</v>
      </c>
      <c r="M85" s="50">
        <f ca="1">_xll.DBRW($B$3,M$6,$B$5,$B$4,$B$6,M$7,$B$9,M$4,M$5,$A85)*M$8</f>
        <v>0</v>
      </c>
      <c r="N85" s="50">
        <f ca="1">_xll.DBRW($B$3,N$6,$B$5,$B$4,$B$6,N$7,$B$9,N$4,N$5,$A85)*N$8</f>
        <v>0</v>
      </c>
      <c r="O85" s="51">
        <f t="shared" ca="1" si="115"/>
        <v>0</v>
      </c>
      <c r="P85" s="51">
        <f t="shared" ca="1" si="116"/>
        <v>0</v>
      </c>
      <c r="Q85" s="49"/>
      <c r="R85" s="50">
        <f ca="1">_xll.DBRW($B$3,R$6,$B$5,$B$4,$B$6,R$7,$B$9,R$4,R$5,$A85)*R$8</f>
        <v>0</v>
      </c>
      <c r="S85" s="50">
        <f ca="1">_xll.DBRW($B$3,S$6,$B$5,$B$4,$B$6,S$7,$B$9,S$4,S$5,$A85)*S$8</f>
        <v>0</v>
      </c>
      <c r="T85" s="50">
        <f ca="1">_xll.DBRW($B$3,T$6,$B$5,$B$4,$B$6,T$7,$B$9,T$4,T$5,$A85)*T$8</f>
        <v>0</v>
      </c>
      <c r="U85" s="51">
        <f t="shared" ca="1" si="119"/>
        <v>0</v>
      </c>
      <c r="V85" s="51">
        <f t="shared" ca="1" si="120"/>
        <v>0</v>
      </c>
      <c r="W85" s="49"/>
      <c r="X85" s="50">
        <f t="shared" ca="1" si="129"/>
        <v>0</v>
      </c>
      <c r="Y85" s="50">
        <f t="shared" ca="1" si="130"/>
        <v>0</v>
      </c>
      <c r="Z85" s="50">
        <f t="shared" ca="1" si="131"/>
        <v>0</v>
      </c>
      <c r="AA85" s="51">
        <f t="shared" ca="1" si="123"/>
        <v>0</v>
      </c>
      <c r="AB85" s="51">
        <f t="shared" ca="1" si="124"/>
        <v>0</v>
      </c>
      <c r="AC85" s="49"/>
      <c r="AD85" s="52">
        <f ca="1">_xll.DBRW($B$3,AD$6,$B$5,$B$4,$B$6,AD$7,$B$9,AD$4,AD$5,$A85)*AD$8</f>
        <v>0</v>
      </c>
      <c r="AE85" s="50">
        <f ca="1">_xll.DBRW($B$3,AE$6,$B$5,$B$4,$B$6,AE$7,$B$9,AE$4,AE$5,$A85)*AE$8</f>
        <v>0</v>
      </c>
      <c r="AF85" s="50">
        <f ca="1">_xll.DBRW($B$3,AF$6,$B$5,$B$4,$B$6,AF$7,$B$9,AF$4,AF$5,$A85)*AF$8</f>
        <v>0</v>
      </c>
      <c r="AG85" s="51">
        <f t="shared" ca="1" si="127"/>
        <v>0</v>
      </c>
      <c r="AH85" s="53">
        <f t="shared" ca="1" si="128"/>
        <v>0</v>
      </c>
    </row>
    <row r="86" spans="1:34" s="40" customFormat="1" ht="12" customHeight="1">
      <c r="A86" s="90" t="s">
        <v>106</v>
      </c>
      <c r="B86" s="35"/>
      <c r="C86" s="35"/>
      <c r="D86" s="49" t="str">
        <f>IF(Language="French","Autres","Other")</f>
        <v>Other</v>
      </c>
      <c r="E86" s="49"/>
      <c r="F86" s="50">
        <f ca="1">F80-SUM(F82,F85)</f>
        <v>0</v>
      </c>
      <c r="G86" s="50">
        <f t="shared" ref="G86:H86" ca="1" si="132">G80-SUM(G82,G85)</f>
        <v>0</v>
      </c>
      <c r="H86" s="50">
        <f t="shared" ca="1" si="132"/>
        <v>0</v>
      </c>
      <c r="I86" s="51">
        <f t="shared" ca="1" si="111"/>
        <v>0</v>
      </c>
      <c r="J86" s="51">
        <f t="shared" ca="1" si="112"/>
        <v>0</v>
      </c>
      <c r="K86" s="49"/>
      <c r="L86" s="50">
        <f ca="1">L80-SUM(L82,L85)</f>
        <v>0</v>
      </c>
      <c r="M86" s="50">
        <f t="shared" ref="M86" ca="1" si="133">M80-SUM(M82,M85)</f>
        <v>0</v>
      </c>
      <c r="N86" s="50">
        <f t="shared" ref="N86" ca="1" si="134">N80-SUM(N82,N85)</f>
        <v>0</v>
      </c>
      <c r="O86" s="51">
        <f t="shared" ca="1" si="115"/>
        <v>0</v>
      </c>
      <c r="P86" s="51">
        <f t="shared" ca="1" si="116"/>
        <v>0</v>
      </c>
      <c r="Q86" s="49"/>
      <c r="R86" s="50">
        <f ca="1">R80-SUM(R82,R85)</f>
        <v>0</v>
      </c>
      <c r="S86" s="50">
        <f t="shared" ref="S86" ca="1" si="135">S80-SUM(S82,S85)</f>
        <v>0</v>
      </c>
      <c r="T86" s="50">
        <f t="shared" ref="T86" ca="1" si="136">T80-SUM(T82,T85)</f>
        <v>0</v>
      </c>
      <c r="U86" s="51">
        <f t="shared" ca="1" si="119"/>
        <v>0</v>
      </c>
      <c r="V86" s="51">
        <f t="shared" ca="1" si="120"/>
        <v>0</v>
      </c>
      <c r="W86" s="49"/>
      <c r="X86" s="50">
        <f ca="1">X80-SUM(X82,X85)</f>
        <v>0</v>
      </c>
      <c r="Y86" s="50">
        <f t="shared" ref="Y86" ca="1" si="137">Y80-SUM(Y82,Y85)</f>
        <v>0</v>
      </c>
      <c r="Z86" s="50">
        <f t="shared" ref="Z86" ca="1" si="138">Z80-SUM(Z82,Z85)</f>
        <v>0</v>
      </c>
      <c r="AA86" s="51">
        <f t="shared" ca="1" si="123"/>
        <v>0</v>
      </c>
      <c r="AB86" s="51">
        <f t="shared" ca="1" si="124"/>
        <v>0</v>
      </c>
      <c r="AC86" s="49"/>
      <c r="AD86" s="52">
        <f ca="1">AD80-SUM(AD82,AD85)</f>
        <v>0</v>
      </c>
      <c r="AE86" s="50">
        <f t="shared" ref="AE86" ca="1" si="139">AE80-SUM(AE82,AE85)</f>
        <v>0</v>
      </c>
      <c r="AF86" s="50">
        <f t="shared" ref="AF86" ca="1" si="140">AF80-SUM(AF82,AF85)</f>
        <v>0</v>
      </c>
      <c r="AG86" s="51">
        <f t="shared" ca="1" si="127"/>
        <v>0</v>
      </c>
      <c r="AH86" s="53">
        <f t="shared" ca="1" si="128"/>
        <v>0</v>
      </c>
    </row>
    <row r="87" spans="1:34" ht="30" customHeight="1">
      <c r="AD87" s="60"/>
      <c r="AE87" s="40"/>
      <c r="AF87" s="40"/>
      <c r="AG87" s="59"/>
      <c r="AH87" s="61"/>
    </row>
    <row r="88" spans="1:34" s="162" customFormat="1" ht="26.1" customHeight="1">
      <c r="A88" s="154"/>
      <c r="B88" s="155"/>
      <c r="C88" s="155"/>
      <c r="D88" s="165" t="str">
        <f>D36</f>
        <v>SG&amp;A</v>
      </c>
      <c r="E88" s="157"/>
      <c r="F88" s="166">
        <f ca="1">F36</f>
        <v>0</v>
      </c>
      <c r="G88" s="166">
        <f ca="1">G36</f>
        <v>0</v>
      </c>
      <c r="H88" s="166">
        <f ca="1">H36</f>
        <v>0</v>
      </c>
      <c r="I88" s="167">
        <f ca="1">IF(OR(F88="",G88=""),"-",IFERROR((F88-G88),""))</f>
        <v>0</v>
      </c>
      <c r="J88" s="167">
        <f ca="1">IF(OR(F88="",H88=""),"-",IFERROR((F88-H88),""))</f>
        <v>0</v>
      </c>
      <c r="K88" s="157"/>
      <c r="L88" s="166">
        <f ca="1">L36</f>
        <v>0</v>
      </c>
      <c r="M88" s="166">
        <f ca="1">M36</f>
        <v>0</v>
      </c>
      <c r="N88" s="166">
        <f ca="1">N36</f>
        <v>0</v>
      </c>
      <c r="O88" s="167">
        <f ca="1">IF(OR(L88="",M88=""),"-",IFERROR((L88-M88),""))</f>
        <v>0</v>
      </c>
      <c r="P88" s="167">
        <f ca="1">IF(OR(L88="",N88=""),"-",IFERROR((L88-N88),""))</f>
        <v>0</v>
      </c>
      <c r="Q88" s="157"/>
      <c r="R88" s="166">
        <f ca="1">R36</f>
        <v>0</v>
      </c>
      <c r="S88" s="166">
        <f ca="1">S36</f>
        <v>0</v>
      </c>
      <c r="T88" s="166">
        <f ca="1">T36</f>
        <v>0</v>
      </c>
      <c r="U88" s="167">
        <f ca="1">IF(OR(R88="",S88=""),"-",IFERROR((R88-S88),""))</f>
        <v>0</v>
      </c>
      <c r="V88" s="167">
        <f ca="1">IF(OR(R88="",T88=""),"-",IFERROR((R88-T88),""))</f>
        <v>0</v>
      </c>
      <c r="W88" s="157"/>
      <c r="X88" s="166">
        <f ca="1">X36</f>
        <v>0</v>
      </c>
      <c r="Y88" s="166">
        <f ca="1">Y36</f>
        <v>0</v>
      </c>
      <c r="Z88" s="166">
        <f ca="1">Z36</f>
        <v>0</v>
      </c>
      <c r="AA88" s="167">
        <f ca="1">IF(OR(X88="",Y88=""),"-",IFERROR((X88-Y88),""))</f>
        <v>0</v>
      </c>
      <c r="AB88" s="167">
        <f ca="1">IF(OR(X88="",Z88=""),"-",IFERROR((X88-Z88),""))</f>
        <v>0</v>
      </c>
      <c r="AC88" s="157"/>
      <c r="AD88" s="168">
        <f ca="1">AD36</f>
        <v>0</v>
      </c>
      <c r="AE88" s="166">
        <f ca="1">AE36</f>
        <v>0</v>
      </c>
      <c r="AF88" s="166">
        <f ca="1">AF36</f>
        <v>0</v>
      </c>
      <c r="AG88" s="167">
        <f ca="1">IF(OR(AD88="",AE88=""),"-",IFERROR((AD88-AE88),""))</f>
        <v>0</v>
      </c>
      <c r="AH88" s="169">
        <f ca="1">IF(OR(AD88="",AF88=""),"-",IFERROR((AD88-AF88),""))</f>
        <v>0</v>
      </c>
    </row>
    <row r="89" spans="1:34" s="149" customFormat="1" ht="13.5" customHeight="1">
      <c r="A89" s="142" t="s">
        <v>106</v>
      </c>
      <c r="B89" s="143"/>
      <c r="C89" s="143"/>
      <c r="D89" s="144" t="str">
        <f>IF(Language="French","% PAO","% revenues")</f>
        <v>% revenues</v>
      </c>
      <c r="E89" s="144"/>
      <c r="F89" s="145" t="str">
        <f ca="1">IF(OR(F88=0,F$17=0),"-",IF(ABS(F88/F$17)&gt;2,"-",-F88/F$17))</f>
        <v>-</v>
      </c>
      <c r="G89" s="145" t="str">
        <f ca="1">IF(OR(G88=0,G$17=0),"-",IF(ABS(G88/G$17)&gt;2,"-",-G88/G$17))</f>
        <v>-</v>
      </c>
      <c r="H89" s="145" t="str">
        <f ca="1">IF(OR(H88=0,H$17=0),"-",IF(ABS(H88/H$17)&gt;2,"-",-H88/H$17))</f>
        <v>-</v>
      </c>
      <c r="I89" s="146"/>
      <c r="J89" s="146"/>
      <c r="K89" s="144"/>
      <c r="L89" s="145" t="str">
        <f ca="1">IF(OR(L88=0,L$17=0),"-",IF(ABS(L88/L$17)&gt;2,"-",-L88/L$17))</f>
        <v>-</v>
      </c>
      <c r="M89" s="145" t="str">
        <f ca="1">IF(OR(M88=0,M$17=0),"-",IF(ABS(M88/M$17)&gt;2,"-",-M88/M$17))</f>
        <v>-</v>
      </c>
      <c r="N89" s="145" t="str">
        <f ca="1">IF(OR(N88=0,N$17=0),"-",IF(ABS(N88/N$17)&gt;2,"-",-N88/N$17))</f>
        <v>-</v>
      </c>
      <c r="O89" s="146"/>
      <c r="P89" s="146"/>
      <c r="Q89" s="144"/>
      <c r="R89" s="145" t="str">
        <f ca="1">IF(OR(R88=0,R$17=0),"-",IF(ABS(R88/R$17)&gt;2,"-",-R88/R$17))</f>
        <v>-</v>
      </c>
      <c r="S89" s="145" t="str">
        <f ca="1">IF(OR(S88=0,S$17=0),"-",IF(ABS(S88/S$17)&gt;2,"-",-S88/S$17))</f>
        <v>-</v>
      </c>
      <c r="T89" s="145" t="str">
        <f ca="1">IF(OR(T88=0,T$17=0),"-",IF(ABS(T88/T$17)&gt;2,"-",-T88/T$17))</f>
        <v>-</v>
      </c>
      <c r="U89" s="146"/>
      <c r="V89" s="146"/>
      <c r="W89" s="144"/>
      <c r="X89" s="145" t="str">
        <f ca="1">IF(OR(X88=0,X$17=0),"-",IF(ABS(X88/X$17)&gt;2,"-",-X88/X$17))</f>
        <v>-</v>
      </c>
      <c r="Y89" s="145" t="str">
        <f ca="1">IF(OR(Y88=0,Y$17=0),"-",IF(ABS(Y88/Y$17)&gt;2,"-",-Y88/Y$17))</f>
        <v>-</v>
      </c>
      <c r="Z89" s="145" t="str">
        <f ca="1">IF(OR(Z88=0,Z$17=0),"-",IF(ABS(Z88/Z$17)&gt;2,"-",-Z88/Z$17))</f>
        <v>-</v>
      </c>
      <c r="AA89" s="146"/>
      <c r="AB89" s="146"/>
      <c r="AC89" s="144"/>
      <c r="AD89" s="147" t="str">
        <f ca="1">IF(OR(AD88=0,AD$17=0),"-",IF(ABS(AD88/AD$17)&gt;2,"-",-AD88/AD$17))</f>
        <v>-</v>
      </c>
      <c r="AE89" s="145" t="str">
        <f ca="1">IF(OR(AE88=0,AE$17=0),"-",IF(ABS(AE88/AE$17)&gt;2,"-",-AE88/AE$17))</f>
        <v>-</v>
      </c>
      <c r="AF89" s="145" t="str">
        <f ca="1">IF(OR(AF88=0,AF$17=0),"-",IF(ABS(AF88/AF$17)&gt;2,"-",-AF88/AF$17))</f>
        <v>-</v>
      </c>
      <c r="AG89" s="146"/>
      <c r="AH89" s="148"/>
    </row>
    <row r="90" spans="1:34" s="40" customFormat="1" ht="12" customHeight="1">
      <c r="A90" s="78" t="s">
        <v>89</v>
      </c>
      <c r="B90" s="35"/>
      <c r="C90" s="35"/>
      <c r="D90" s="49" t="str">
        <f ca="1">_xll.DBRA("tango_core_model:indicator",A90,Language)</f>
        <v>Business development expenses (RESOP)</v>
      </c>
      <c r="E90" s="49"/>
      <c r="F90" s="50">
        <f ca="1">_xll.DBRW($B$3,F$6,$B$5,$B$4,$B$6,F$7,$B$9,F$4,F$5,$A90)*F$8</f>
        <v>0</v>
      </c>
      <c r="G90" s="50">
        <f ca="1">_xll.DBRW($B$3,G$6,$B$5,$B$4,$B$6,G$7,$B$9,G$4,G$5,$A90)*G$8</f>
        <v>0</v>
      </c>
      <c r="H90" s="50">
        <f ca="1">_xll.DBRW($B$3,H$6,$B$5,$B$4,$B$6,H$7,$B$9,H$4,H$5,$A90)*H$8</f>
        <v>0</v>
      </c>
      <c r="I90" s="51">
        <f t="shared" ref="I90:I109" ca="1" si="141">IF(OR(F90="",G90=""),"-",IFERROR((F90-G90),""))</f>
        <v>0</v>
      </c>
      <c r="J90" s="51">
        <f t="shared" ref="J90:J109" ca="1" si="142">IF(OR(F90="",H90=""),"-",IFERROR((F90-H90),""))</f>
        <v>0</v>
      </c>
      <c r="K90" s="49"/>
      <c r="L90" s="50">
        <f ca="1">_xll.DBRW($B$3,L$6,$B$5,$B$4,$B$6,L$7,$B$9,L$4,L$5,$A90)*L$8</f>
        <v>0</v>
      </c>
      <c r="M90" s="50">
        <f ca="1">_xll.DBRW($B$3,M$6,$B$5,$B$4,$B$6,M$7,$B$9,M$4,M$5,$A90)*M$8</f>
        <v>0</v>
      </c>
      <c r="N90" s="50">
        <f ca="1">_xll.DBRW($B$3,N$6,$B$5,$B$4,$B$6,N$7,$B$9,N$4,N$5,$A90)*N$8</f>
        <v>0</v>
      </c>
      <c r="O90" s="51">
        <f t="shared" ref="O90:O109" ca="1" si="143">IF(OR(L90="",M90=""),"-",IFERROR((L90-M90),""))</f>
        <v>0</v>
      </c>
      <c r="P90" s="51">
        <f t="shared" ref="P90:P109" ca="1" si="144">IF(OR(L90="",N90=""),"-",IFERROR((L90-N90),""))</f>
        <v>0</v>
      </c>
      <c r="Q90" s="49"/>
      <c r="R90" s="50">
        <f ca="1">_xll.DBRW($B$3,R$6,$B$5,$B$4,$B$6,R$7,$B$9,R$4,R$5,$A90)*R$8</f>
        <v>0</v>
      </c>
      <c r="S90" s="50">
        <f ca="1">_xll.DBRW($B$3,S$6,$B$5,$B$4,$B$6,S$7,$B$9,S$4,S$5,$A90)*S$8</f>
        <v>0</v>
      </c>
      <c r="T90" s="50">
        <f ca="1">_xll.DBRW($B$3,T$6,$B$5,$B$4,$B$6,T$7,$B$9,T$4,T$5,$A90)*T$8</f>
        <v>0</v>
      </c>
      <c r="U90" s="51">
        <f t="shared" ref="U90:U109" ca="1" si="145">IF(OR(R90="",S90=""),"-",IFERROR((R90-S90),""))</f>
        <v>0</v>
      </c>
      <c r="V90" s="51">
        <f t="shared" ref="V90:V109" ca="1" si="146">IF(OR(R90="",T90=""),"-",IFERROR((R90-T90),""))</f>
        <v>0</v>
      </c>
      <c r="W90" s="49"/>
      <c r="X90" s="50">
        <f t="shared" ref="X90:X97" ca="1" si="147">AD90-(F90+L90+R90)</f>
        <v>0</v>
      </c>
      <c r="Y90" s="50">
        <f t="shared" ref="Y90:Y97" ca="1" si="148">AE90-(G90+M90+S90)</f>
        <v>0</v>
      </c>
      <c r="Z90" s="50">
        <f t="shared" ref="Z90:Z97" ca="1" si="149">AF90-(H90+N90+T90)</f>
        <v>0</v>
      </c>
      <c r="AA90" s="51">
        <f t="shared" ref="AA90:AA109" ca="1" si="150">IF(OR(X90="",Y90=""),"-",IFERROR((X90-Y90),""))</f>
        <v>0</v>
      </c>
      <c r="AB90" s="51">
        <f t="shared" ref="AB90:AB109" ca="1" si="151">IF(OR(X90="",Z90=""),"-",IFERROR((X90-Z90),""))</f>
        <v>0</v>
      </c>
      <c r="AC90" s="49"/>
      <c r="AD90" s="52">
        <f ca="1">_xll.DBRW($B$3,AD$6,$B$5,$B$4,$B$6,AD$7,$B$9,AD$4,AD$5,$A90)*AD$8</f>
        <v>0</v>
      </c>
      <c r="AE90" s="50">
        <f ca="1">_xll.DBRW($B$3,AE$6,$B$5,$B$4,$B$6,AE$7,$B$9,AE$4,AE$5,$A90)*AE$8</f>
        <v>0</v>
      </c>
      <c r="AF90" s="50">
        <f ca="1">_xll.DBRW($B$3,AF$6,$B$5,$B$4,$B$6,AF$7,$B$9,AF$4,AF$5,$A90)*AF$8</f>
        <v>0</v>
      </c>
      <c r="AG90" s="51">
        <f t="shared" ref="AG90:AG109" ca="1" si="152">IF(OR(AD90="",AE90=""),"-",IFERROR((AD90-AE90),""))</f>
        <v>0</v>
      </c>
      <c r="AH90" s="53">
        <f t="shared" ref="AH90:AH109" ca="1" si="153">IF(OR(AD90="",AF90=""),"-",IFERROR((AD90-AF90),""))</f>
        <v>0</v>
      </c>
    </row>
    <row r="91" spans="1:34" s="40" customFormat="1" ht="12" customHeight="1">
      <c r="A91" s="78" t="s">
        <v>41</v>
      </c>
      <c r="B91" s="35"/>
      <c r="C91" s="35"/>
      <c r="D91" s="49" t="str">
        <f ca="1">_xll.DBRA("tango_core_model:indicator",A91,Language)</f>
        <v>General Management (RESOP)</v>
      </c>
      <c r="E91" s="49"/>
      <c r="F91" s="50">
        <f ca="1">_xll.DBRW($B$3,F$6,$B$5,$B$4,$B$6,F$7,$B$9,F$4,F$5,$A91)*F$8</f>
        <v>0</v>
      </c>
      <c r="G91" s="50">
        <f ca="1">_xll.DBRW($B$3,G$6,$B$5,$B$4,$B$6,G$7,$B$9,G$4,G$5,$A91)*G$8</f>
        <v>0</v>
      </c>
      <c r="H91" s="50">
        <f ca="1">_xll.DBRW($B$3,H$6,$B$5,$B$4,$B$6,H$7,$B$9,H$4,H$5,$A91)*H$8</f>
        <v>0</v>
      </c>
      <c r="I91" s="51">
        <f t="shared" ca="1" si="141"/>
        <v>0</v>
      </c>
      <c r="J91" s="51">
        <f t="shared" ca="1" si="142"/>
        <v>0</v>
      </c>
      <c r="K91" s="49"/>
      <c r="L91" s="50">
        <f ca="1">_xll.DBRW($B$3,L$6,$B$5,$B$4,$B$6,L$7,$B$9,L$4,L$5,$A91)*L$8</f>
        <v>0</v>
      </c>
      <c r="M91" s="50">
        <f ca="1">_xll.DBRW($B$3,M$6,$B$5,$B$4,$B$6,M$7,$B$9,M$4,M$5,$A91)*M$8</f>
        <v>0</v>
      </c>
      <c r="N91" s="50">
        <f ca="1">_xll.DBRW($B$3,N$6,$B$5,$B$4,$B$6,N$7,$B$9,N$4,N$5,$A91)*N$8</f>
        <v>0</v>
      </c>
      <c r="O91" s="51">
        <f t="shared" ca="1" si="143"/>
        <v>0</v>
      </c>
      <c r="P91" s="51">
        <f t="shared" ca="1" si="144"/>
        <v>0</v>
      </c>
      <c r="Q91" s="49"/>
      <c r="R91" s="50">
        <f ca="1">_xll.DBRW($B$3,R$6,$B$5,$B$4,$B$6,R$7,$B$9,R$4,R$5,$A91)*R$8</f>
        <v>0</v>
      </c>
      <c r="S91" s="50">
        <f ca="1">_xll.DBRW($B$3,S$6,$B$5,$B$4,$B$6,S$7,$B$9,S$4,S$5,$A91)*S$8</f>
        <v>0</v>
      </c>
      <c r="T91" s="50">
        <f ca="1">_xll.DBRW($B$3,T$6,$B$5,$B$4,$B$6,T$7,$B$9,T$4,T$5,$A91)*T$8</f>
        <v>0</v>
      </c>
      <c r="U91" s="51">
        <f t="shared" ca="1" si="145"/>
        <v>0</v>
      </c>
      <c r="V91" s="51">
        <f t="shared" ca="1" si="146"/>
        <v>0</v>
      </c>
      <c r="W91" s="49"/>
      <c r="X91" s="50">
        <f t="shared" ca="1" si="147"/>
        <v>0</v>
      </c>
      <c r="Y91" s="50">
        <f t="shared" ca="1" si="148"/>
        <v>0</v>
      </c>
      <c r="Z91" s="50">
        <f t="shared" ca="1" si="149"/>
        <v>0</v>
      </c>
      <c r="AA91" s="51">
        <f t="shared" ca="1" si="150"/>
        <v>0</v>
      </c>
      <c r="AB91" s="51">
        <f t="shared" ca="1" si="151"/>
        <v>0</v>
      </c>
      <c r="AC91" s="49"/>
      <c r="AD91" s="52">
        <f ca="1">_xll.DBRW($B$3,AD$6,$B$5,$B$4,$B$6,AD$7,$B$9,AD$4,AD$5,$A91)*AD$8</f>
        <v>0</v>
      </c>
      <c r="AE91" s="50">
        <f ca="1">_xll.DBRW($B$3,AE$6,$B$5,$B$4,$B$6,AE$7,$B$9,AE$4,AE$5,$A91)*AE$8</f>
        <v>0</v>
      </c>
      <c r="AF91" s="50">
        <f ca="1">_xll.DBRW($B$3,AF$6,$B$5,$B$4,$B$6,AF$7,$B$9,AF$4,AF$5,$A91)*AF$8</f>
        <v>0</v>
      </c>
      <c r="AG91" s="51">
        <f t="shared" ca="1" si="152"/>
        <v>0</v>
      </c>
      <c r="AH91" s="53">
        <f t="shared" ca="1" si="153"/>
        <v>0</v>
      </c>
    </row>
    <row r="92" spans="1:34" s="40" customFormat="1" ht="12" customHeight="1">
      <c r="A92" s="78" t="s">
        <v>40</v>
      </c>
      <c r="B92" s="35"/>
      <c r="C92" s="35"/>
      <c r="D92" s="49" t="str">
        <f ca="1">_xll.DBRA("tango_core_model:indicator",A92,Language)</f>
        <v>Finance</v>
      </c>
      <c r="E92" s="49"/>
      <c r="F92" s="50">
        <f ca="1">_xll.DBRW($B$3,F$6,$B$5,$B$4,$B$6,F$7,$B$9,F$4,F$5,$A92)*F$8</f>
        <v>0</v>
      </c>
      <c r="G92" s="50">
        <f ca="1">_xll.DBRW($B$3,G$6,$B$5,$B$4,$B$6,G$7,$B$9,G$4,G$5,$A92)*G$8</f>
        <v>0</v>
      </c>
      <c r="H92" s="50">
        <f ca="1">_xll.DBRW($B$3,H$6,$B$5,$B$4,$B$6,H$7,$B$9,H$4,H$5,$A92)*H$8</f>
        <v>0</v>
      </c>
      <c r="I92" s="51">
        <f t="shared" ca="1" si="141"/>
        <v>0</v>
      </c>
      <c r="J92" s="51">
        <f t="shared" ca="1" si="142"/>
        <v>0</v>
      </c>
      <c r="K92" s="49"/>
      <c r="L92" s="50">
        <f ca="1">_xll.DBRW($B$3,L$6,$B$5,$B$4,$B$6,L$7,$B$9,L$4,L$5,$A92)*L$8</f>
        <v>0</v>
      </c>
      <c r="M92" s="50">
        <f ca="1">_xll.DBRW($B$3,M$6,$B$5,$B$4,$B$6,M$7,$B$9,M$4,M$5,$A92)*M$8</f>
        <v>0</v>
      </c>
      <c r="N92" s="50">
        <f ca="1">_xll.DBRW($B$3,N$6,$B$5,$B$4,$B$6,N$7,$B$9,N$4,N$5,$A92)*N$8</f>
        <v>0</v>
      </c>
      <c r="O92" s="51">
        <f t="shared" ca="1" si="143"/>
        <v>0</v>
      </c>
      <c r="P92" s="51">
        <f t="shared" ca="1" si="144"/>
        <v>0</v>
      </c>
      <c r="Q92" s="49"/>
      <c r="R92" s="50">
        <f ca="1">_xll.DBRW($B$3,R$6,$B$5,$B$4,$B$6,R$7,$B$9,R$4,R$5,$A92)*R$8</f>
        <v>0</v>
      </c>
      <c r="S92" s="50">
        <f ca="1">_xll.DBRW($B$3,S$6,$B$5,$B$4,$B$6,S$7,$B$9,S$4,S$5,$A92)*S$8</f>
        <v>0</v>
      </c>
      <c r="T92" s="50">
        <f ca="1">_xll.DBRW($B$3,T$6,$B$5,$B$4,$B$6,T$7,$B$9,T$4,T$5,$A92)*T$8</f>
        <v>0</v>
      </c>
      <c r="U92" s="51">
        <f t="shared" ca="1" si="145"/>
        <v>0</v>
      </c>
      <c r="V92" s="51">
        <f t="shared" ca="1" si="146"/>
        <v>0</v>
      </c>
      <c r="W92" s="49"/>
      <c r="X92" s="50">
        <f t="shared" ca="1" si="147"/>
        <v>0</v>
      </c>
      <c r="Y92" s="50">
        <f t="shared" ca="1" si="148"/>
        <v>0</v>
      </c>
      <c r="Z92" s="50">
        <f t="shared" ca="1" si="149"/>
        <v>0</v>
      </c>
      <c r="AA92" s="51">
        <f t="shared" ca="1" si="150"/>
        <v>0</v>
      </c>
      <c r="AB92" s="51">
        <f t="shared" ca="1" si="151"/>
        <v>0</v>
      </c>
      <c r="AC92" s="49"/>
      <c r="AD92" s="52">
        <f ca="1">_xll.DBRW($B$3,AD$6,$B$5,$B$4,$B$6,AD$7,$B$9,AD$4,AD$5,$A92)*AD$8</f>
        <v>0</v>
      </c>
      <c r="AE92" s="50">
        <f ca="1">_xll.DBRW($B$3,AE$6,$B$5,$B$4,$B$6,AE$7,$B$9,AE$4,AE$5,$A92)*AE$8</f>
        <v>0</v>
      </c>
      <c r="AF92" s="50">
        <f ca="1">_xll.DBRW($B$3,AF$6,$B$5,$B$4,$B$6,AF$7,$B$9,AF$4,AF$5,$A92)*AF$8</f>
        <v>0</v>
      </c>
      <c r="AG92" s="51">
        <f t="shared" ca="1" si="152"/>
        <v>0</v>
      </c>
      <c r="AH92" s="53">
        <f t="shared" ca="1" si="153"/>
        <v>0</v>
      </c>
    </row>
    <row r="93" spans="1:34" s="40" customFormat="1" ht="12" customHeight="1">
      <c r="A93" s="78" t="s">
        <v>42</v>
      </c>
      <c r="B93" s="35"/>
      <c r="C93" s="35"/>
      <c r="D93" s="49" t="str">
        <f ca="1">_xll.DBRA("tango_core_model:indicator",A93,Language)</f>
        <v>General Services</v>
      </c>
      <c r="E93" s="49"/>
      <c r="F93" s="50">
        <f ca="1">_xll.DBRW($B$3,F$6,$B$5,$B$4,$B$6,F$7,$B$9,F$4,F$5,$A93)*F$8</f>
        <v>0</v>
      </c>
      <c r="G93" s="50">
        <f ca="1">_xll.DBRW($B$3,G$6,$B$5,$B$4,$B$6,G$7,$B$9,G$4,G$5,$A93)*G$8</f>
        <v>0</v>
      </c>
      <c r="H93" s="50">
        <f ca="1">_xll.DBRW($B$3,H$6,$B$5,$B$4,$B$6,H$7,$B$9,H$4,H$5,$A93)*H$8</f>
        <v>0</v>
      </c>
      <c r="I93" s="51">
        <f t="shared" ca="1" si="141"/>
        <v>0</v>
      </c>
      <c r="J93" s="51">
        <f t="shared" ca="1" si="142"/>
        <v>0</v>
      </c>
      <c r="K93" s="49"/>
      <c r="L93" s="50">
        <f ca="1">_xll.DBRW($B$3,L$6,$B$5,$B$4,$B$6,L$7,$B$9,L$4,L$5,$A93)*L$8</f>
        <v>0</v>
      </c>
      <c r="M93" s="50">
        <f ca="1">_xll.DBRW($B$3,M$6,$B$5,$B$4,$B$6,M$7,$B$9,M$4,M$5,$A93)*M$8</f>
        <v>0</v>
      </c>
      <c r="N93" s="50">
        <f ca="1">_xll.DBRW($B$3,N$6,$B$5,$B$4,$B$6,N$7,$B$9,N$4,N$5,$A93)*N$8</f>
        <v>0</v>
      </c>
      <c r="O93" s="51">
        <f t="shared" ca="1" si="143"/>
        <v>0</v>
      </c>
      <c r="P93" s="51">
        <f t="shared" ca="1" si="144"/>
        <v>0</v>
      </c>
      <c r="Q93" s="49"/>
      <c r="R93" s="50">
        <f ca="1">_xll.DBRW($B$3,R$6,$B$5,$B$4,$B$6,R$7,$B$9,R$4,R$5,$A93)*R$8</f>
        <v>0</v>
      </c>
      <c r="S93" s="50">
        <f ca="1">_xll.DBRW($B$3,S$6,$B$5,$B$4,$B$6,S$7,$B$9,S$4,S$5,$A93)*S$8</f>
        <v>0</v>
      </c>
      <c r="T93" s="50">
        <f ca="1">_xll.DBRW($B$3,T$6,$B$5,$B$4,$B$6,T$7,$B$9,T$4,T$5,$A93)*T$8</f>
        <v>0</v>
      </c>
      <c r="U93" s="51">
        <f t="shared" ca="1" si="145"/>
        <v>0</v>
      </c>
      <c r="V93" s="51">
        <f t="shared" ca="1" si="146"/>
        <v>0</v>
      </c>
      <c r="W93" s="49"/>
      <c r="X93" s="50">
        <f t="shared" ca="1" si="147"/>
        <v>0</v>
      </c>
      <c r="Y93" s="50">
        <f t="shared" ca="1" si="148"/>
        <v>0</v>
      </c>
      <c r="Z93" s="50">
        <f t="shared" ca="1" si="149"/>
        <v>0</v>
      </c>
      <c r="AA93" s="51">
        <f t="shared" ca="1" si="150"/>
        <v>0</v>
      </c>
      <c r="AB93" s="51">
        <f t="shared" ca="1" si="151"/>
        <v>0</v>
      </c>
      <c r="AC93" s="49"/>
      <c r="AD93" s="52">
        <f ca="1">_xll.DBRW($B$3,AD$6,$B$5,$B$4,$B$6,AD$7,$B$9,AD$4,AD$5,$A93)*AD$8</f>
        <v>0</v>
      </c>
      <c r="AE93" s="50">
        <f ca="1">_xll.DBRW($B$3,AE$6,$B$5,$B$4,$B$6,AE$7,$B$9,AE$4,AE$5,$A93)*AE$8</f>
        <v>0</v>
      </c>
      <c r="AF93" s="50">
        <f ca="1">_xll.DBRW($B$3,AF$6,$B$5,$B$4,$B$6,AF$7,$B$9,AF$4,AF$5,$A93)*AF$8</f>
        <v>0</v>
      </c>
      <c r="AG93" s="51">
        <f t="shared" ca="1" si="152"/>
        <v>0</v>
      </c>
      <c r="AH93" s="53">
        <f t="shared" ca="1" si="153"/>
        <v>0</v>
      </c>
    </row>
    <row r="94" spans="1:34" s="40" customFormat="1" ht="12" customHeight="1">
      <c r="A94" s="78" t="s">
        <v>43</v>
      </c>
      <c r="B94" s="35"/>
      <c r="C94" s="35"/>
      <c r="D94" s="49" t="str">
        <f ca="1">_xll.DBRA("tango_core_model:indicator",A94,Language)</f>
        <v>HR department</v>
      </c>
      <c r="E94" s="49"/>
      <c r="F94" s="50">
        <f ca="1">_xll.DBRW($B$3,F$6,$B$5,$B$4,$B$6,F$7,$B$9,F$4,F$5,$A94)*F$8</f>
        <v>0</v>
      </c>
      <c r="G94" s="50">
        <f ca="1">_xll.DBRW($B$3,G$6,$B$5,$B$4,$B$6,G$7,$B$9,G$4,G$5,$A94)*G$8</f>
        <v>0</v>
      </c>
      <c r="H94" s="50">
        <f ca="1">_xll.DBRW($B$3,H$6,$B$5,$B$4,$B$6,H$7,$B$9,H$4,H$5,$A94)*H$8</f>
        <v>0</v>
      </c>
      <c r="I94" s="51">
        <f t="shared" ca="1" si="141"/>
        <v>0</v>
      </c>
      <c r="J94" s="51">
        <f t="shared" ca="1" si="142"/>
        <v>0</v>
      </c>
      <c r="K94" s="49"/>
      <c r="L94" s="50">
        <f ca="1">_xll.DBRW($B$3,L$6,$B$5,$B$4,$B$6,L$7,$B$9,L$4,L$5,$A94)*L$8</f>
        <v>0</v>
      </c>
      <c r="M94" s="50">
        <f ca="1">_xll.DBRW($B$3,M$6,$B$5,$B$4,$B$6,M$7,$B$9,M$4,M$5,$A94)*M$8</f>
        <v>0</v>
      </c>
      <c r="N94" s="50">
        <f ca="1">_xll.DBRW($B$3,N$6,$B$5,$B$4,$B$6,N$7,$B$9,N$4,N$5,$A94)*N$8</f>
        <v>0</v>
      </c>
      <c r="O94" s="51">
        <f t="shared" ca="1" si="143"/>
        <v>0</v>
      </c>
      <c r="P94" s="51">
        <f t="shared" ca="1" si="144"/>
        <v>0</v>
      </c>
      <c r="Q94" s="49"/>
      <c r="R94" s="50">
        <f ca="1">_xll.DBRW($B$3,R$6,$B$5,$B$4,$B$6,R$7,$B$9,R$4,R$5,$A94)*R$8</f>
        <v>0</v>
      </c>
      <c r="S94" s="50">
        <f ca="1">_xll.DBRW($B$3,S$6,$B$5,$B$4,$B$6,S$7,$B$9,S$4,S$5,$A94)*S$8</f>
        <v>0</v>
      </c>
      <c r="T94" s="50">
        <f ca="1">_xll.DBRW($B$3,T$6,$B$5,$B$4,$B$6,T$7,$B$9,T$4,T$5,$A94)*T$8</f>
        <v>0</v>
      </c>
      <c r="U94" s="51">
        <f t="shared" ca="1" si="145"/>
        <v>0</v>
      </c>
      <c r="V94" s="51">
        <f t="shared" ca="1" si="146"/>
        <v>0</v>
      </c>
      <c r="W94" s="49"/>
      <c r="X94" s="50">
        <f t="shared" ca="1" si="147"/>
        <v>0</v>
      </c>
      <c r="Y94" s="50">
        <f t="shared" ca="1" si="148"/>
        <v>0</v>
      </c>
      <c r="Z94" s="50">
        <f t="shared" ca="1" si="149"/>
        <v>0</v>
      </c>
      <c r="AA94" s="51">
        <f t="shared" ca="1" si="150"/>
        <v>0</v>
      </c>
      <c r="AB94" s="51">
        <f t="shared" ca="1" si="151"/>
        <v>0</v>
      </c>
      <c r="AC94" s="49"/>
      <c r="AD94" s="52">
        <f ca="1">_xll.DBRW($B$3,AD$6,$B$5,$B$4,$B$6,AD$7,$B$9,AD$4,AD$5,$A94)*AD$8</f>
        <v>0</v>
      </c>
      <c r="AE94" s="50">
        <f ca="1">_xll.DBRW($B$3,AE$6,$B$5,$B$4,$B$6,AE$7,$B$9,AE$4,AE$5,$A94)*AE$8</f>
        <v>0</v>
      </c>
      <c r="AF94" s="50">
        <f ca="1">_xll.DBRW($B$3,AF$6,$B$5,$B$4,$B$6,AF$7,$B$9,AF$4,AF$5,$A94)*AF$8</f>
        <v>0</v>
      </c>
      <c r="AG94" s="51">
        <f t="shared" ca="1" si="152"/>
        <v>0</v>
      </c>
      <c r="AH94" s="53">
        <f t="shared" ca="1" si="153"/>
        <v>0</v>
      </c>
    </row>
    <row r="95" spans="1:34" s="40" customFormat="1" ht="12" customHeight="1">
      <c r="A95" s="78" t="s">
        <v>45</v>
      </c>
      <c r="B95" s="35"/>
      <c r="C95" s="35"/>
      <c r="D95" s="49" t="str">
        <f ca="1">_xll.DBRA("tango_core_model:indicator",A95,Language)</f>
        <v>IT</v>
      </c>
      <c r="E95" s="49"/>
      <c r="F95" s="50">
        <f ca="1">_xll.DBRW($B$3,F$6,$B$5,$B$4,$B$6,F$7,$B$9,F$4,F$5,$A95)*F$8</f>
        <v>0</v>
      </c>
      <c r="G95" s="50">
        <f ca="1">_xll.DBRW($B$3,G$6,$B$5,$B$4,$B$6,G$7,$B$9,G$4,G$5,$A95)*G$8</f>
        <v>0</v>
      </c>
      <c r="H95" s="50">
        <f ca="1">_xll.DBRW($B$3,H$6,$B$5,$B$4,$B$6,H$7,$B$9,H$4,H$5,$A95)*H$8</f>
        <v>0</v>
      </c>
      <c r="I95" s="51">
        <f t="shared" ca="1" si="141"/>
        <v>0</v>
      </c>
      <c r="J95" s="51">
        <f t="shared" ca="1" si="142"/>
        <v>0</v>
      </c>
      <c r="K95" s="49"/>
      <c r="L95" s="50">
        <f ca="1">_xll.DBRW($B$3,L$6,$B$5,$B$4,$B$6,L$7,$B$9,L$4,L$5,$A95)*L$8</f>
        <v>0</v>
      </c>
      <c r="M95" s="50">
        <f ca="1">_xll.DBRW($B$3,M$6,$B$5,$B$4,$B$6,M$7,$B$9,M$4,M$5,$A95)*M$8</f>
        <v>0</v>
      </c>
      <c r="N95" s="50">
        <f ca="1">_xll.DBRW($B$3,N$6,$B$5,$B$4,$B$6,N$7,$B$9,N$4,N$5,$A95)*N$8</f>
        <v>0</v>
      </c>
      <c r="O95" s="51">
        <f t="shared" ca="1" si="143"/>
        <v>0</v>
      </c>
      <c r="P95" s="51">
        <f t="shared" ca="1" si="144"/>
        <v>0</v>
      </c>
      <c r="Q95" s="49"/>
      <c r="R95" s="50">
        <f ca="1">_xll.DBRW($B$3,R$6,$B$5,$B$4,$B$6,R$7,$B$9,R$4,R$5,$A95)*R$8</f>
        <v>0</v>
      </c>
      <c r="S95" s="50">
        <f ca="1">_xll.DBRW($B$3,S$6,$B$5,$B$4,$B$6,S$7,$B$9,S$4,S$5,$A95)*S$8</f>
        <v>0</v>
      </c>
      <c r="T95" s="50">
        <f ca="1">_xll.DBRW($B$3,T$6,$B$5,$B$4,$B$6,T$7,$B$9,T$4,T$5,$A95)*T$8</f>
        <v>0</v>
      </c>
      <c r="U95" s="51">
        <f t="shared" ca="1" si="145"/>
        <v>0</v>
      </c>
      <c r="V95" s="51">
        <f t="shared" ca="1" si="146"/>
        <v>0</v>
      </c>
      <c r="W95" s="49"/>
      <c r="X95" s="50">
        <f t="shared" ca="1" si="147"/>
        <v>0</v>
      </c>
      <c r="Y95" s="50">
        <f t="shared" ca="1" si="148"/>
        <v>0</v>
      </c>
      <c r="Z95" s="50">
        <f t="shared" ca="1" si="149"/>
        <v>0</v>
      </c>
      <c r="AA95" s="51">
        <f t="shared" ca="1" si="150"/>
        <v>0</v>
      </c>
      <c r="AB95" s="51">
        <f t="shared" ca="1" si="151"/>
        <v>0</v>
      </c>
      <c r="AC95" s="49"/>
      <c r="AD95" s="52">
        <f ca="1">_xll.DBRW($B$3,AD$6,$B$5,$B$4,$B$6,AD$7,$B$9,AD$4,AD$5,$A95)*AD$8</f>
        <v>0</v>
      </c>
      <c r="AE95" s="50">
        <f ca="1">_xll.DBRW($B$3,AE$6,$B$5,$B$4,$B$6,AE$7,$B$9,AE$4,AE$5,$A95)*AE$8</f>
        <v>0</v>
      </c>
      <c r="AF95" s="50">
        <f ca="1">_xll.DBRW($B$3,AF$6,$B$5,$B$4,$B$6,AF$7,$B$9,AF$4,AF$5,$A95)*AF$8</f>
        <v>0</v>
      </c>
      <c r="AG95" s="51">
        <f t="shared" ca="1" si="152"/>
        <v>0</v>
      </c>
      <c r="AH95" s="53">
        <f t="shared" ca="1" si="153"/>
        <v>0</v>
      </c>
    </row>
    <row r="96" spans="1:34" s="40" customFormat="1" ht="12" customHeight="1">
      <c r="A96" s="78" t="s">
        <v>46</v>
      </c>
      <c r="B96" s="35"/>
      <c r="C96" s="35"/>
      <c r="D96" s="49" t="str">
        <f ca="1">_xll.DBRA("tango_core_model:indicator",A96,Language)</f>
        <v>Legal</v>
      </c>
      <c r="E96" s="49"/>
      <c r="F96" s="50">
        <f ca="1">_xll.DBRW($B$3,F$6,$B$5,$B$4,$B$6,F$7,$B$9,F$4,F$5,$A96)*F$8</f>
        <v>0</v>
      </c>
      <c r="G96" s="50">
        <f ca="1">_xll.DBRW($B$3,G$6,$B$5,$B$4,$B$6,G$7,$B$9,G$4,G$5,$A96)*G$8</f>
        <v>0</v>
      </c>
      <c r="H96" s="50">
        <f ca="1">_xll.DBRW($B$3,H$6,$B$5,$B$4,$B$6,H$7,$B$9,H$4,H$5,$A96)*H$8</f>
        <v>0</v>
      </c>
      <c r="I96" s="51">
        <f t="shared" ca="1" si="141"/>
        <v>0</v>
      </c>
      <c r="J96" s="51">
        <f t="shared" ca="1" si="142"/>
        <v>0</v>
      </c>
      <c r="K96" s="49"/>
      <c r="L96" s="50">
        <f ca="1">_xll.DBRW($B$3,L$6,$B$5,$B$4,$B$6,L$7,$B$9,L$4,L$5,$A96)*L$8</f>
        <v>0</v>
      </c>
      <c r="M96" s="50">
        <f ca="1">_xll.DBRW($B$3,M$6,$B$5,$B$4,$B$6,M$7,$B$9,M$4,M$5,$A96)*M$8</f>
        <v>0</v>
      </c>
      <c r="N96" s="50">
        <f ca="1">_xll.DBRW($B$3,N$6,$B$5,$B$4,$B$6,N$7,$B$9,N$4,N$5,$A96)*N$8</f>
        <v>0</v>
      </c>
      <c r="O96" s="51">
        <f t="shared" ca="1" si="143"/>
        <v>0</v>
      </c>
      <c r="P96" s="51">
        <f t="shared" ca="1" si="144"/>
        <v>0</v>
      </c>
      <c r="Q96" s="49"/>
      <c r="R96" s="50">
        <f ca="1">_xll.DBRW($B$3,R$6,$B$5,$B$4,$B$6,R$7,$B$9,R$4,R$5,$A96)*R$8</f>
        <v>0</v>
      </c>
      <c r="S96" s="50">
        <f ca="1">_xll.DBRW($B$3,S$6,$B$5,$B$4,$B$6,S$7,$B$9,S$4,S$5,$A96)*S$8</f>
        <v>0</v>
      </c>
      <c r="T96" s="50">
        <f ca="1">_xll.DBRW($B$3,T$6,$B$5,$B$4,$B$6,T$7,$B$9,T$4,T$5,$A96)*T$8</f>
        <v>0</v>
      </c>
      <c r="U96" s="51">
        <f t="shared" ca="1" si="145"/>
        <v>0</v>
      </c>
      <c r="V96" s="51">
        <f t="shared" ca="1" si="146"/>
        <v>0</v>
      </c>
      <c r="W96" s="49"/>
      <c r="X96" s="50">
        <f t="shared" ca="1" si="147"/>
        <v>0</v>
      </c>
      <c r="Y96" s="50">
        <f t="shared" ca="1" si="148"/>
        <v>0</v>
      </c>
      <c r="Z96" s="50">
        <f t="shared" ca="1" si="149"/>
        <v>0</v>
      </c>
      <c r="AA96" s="51">
        <f t="shared" ca="1" si="150"/>
        <v>0</v>
      </c>
      <c r="AB96" s="51">
        <f t="shared" ca="1" si="151"/>
        <v>0</v>
      </c>
      <c r="AC96" s="49"/>
      <c r="AD96" s="52">
        <f ca="1">_xll.DBRW($B$3,AD$6,$B$5,$B$4,$B$6,AD$7,$B$9,AD$4,AD$5,$A96)*AD$8</f>
        <v>0</v>
      </c>
      <c r="AE96" s="50">
        <f ca="1">_xll.DBRW($B$3,AE$6,$B$5,$B$4,$B$6,AE$7,$B$9,AE$4,AE$5,$A96)*AE$8</f>
        <v>0</v>
      </c>
      <c r="AF96" s="50">
        <f ca="1">_xll.DBRW($B$3,AF$6,$B$5,$B$4,$B$6,AF$7,$B$9,AF$4,AF$5,$A96)*AF$8</f>
        <v>0</v>
      </c>
      <c r="AG96" s="51">
        <f t="shared" ca="1" si="152"/>
        <v>0</v>
      </c>
      <c r="AH96" s="53">
        <f t="shared" ca="1" si="153"/>
        <v>0</v>
      </c>
    </row>
    <row r="97" spans="1:34" s="40" customFormat="1" ht="12" customHeight="1">
      <c r="A97" s="78" t="s">
        <v>47</v>
      </c>
      <c r="B97" s="35"/>
      <c r="C97" s="35"/>
      <c r="D97" s="49" t="str">
        <f ca="1">_xll.DBRA("tango_core_model:indicator",A97,Language)</f>
        <v>Management fees</v>
      </c>
      <c r="E97" s="49"/>
      <c r="F97" s="50">
        <f ca="1">_xll.DBRW($B$3,F$6,$B$5,$B$4,$B$6,F$7,$B$9,F$4,F$5,$A97)*F$8</f>
        <v>0</v>
      </c>
      <c r="G97" s="50">
        <f ca="1">_xll.DBRW($B$3,G$6,$B$5,$B$4,$B$6,G$7,$B$9,G$4,G$5,$A97)*G$8</f>
        <v>0</v>
      </c>
      <c r="H97" s="50">
        <f ca="1">_xll.DBRW($B$3,H$6,$B$5,$B$4,$B$6,H$7,$B$9,H$4,H$5,$A97)*H$8</f>
        <v>0</v>
      </c>
      <c r="I97" s="51">
        <f t="shared" ca="1" si="141"/>
        <v>0</v>
      </c>
      <c r="J97" s="51">
        <f t="shared" ca="1" si="142"/>
        <v>0</v>
      </c>
      <c r="K97" s="49"/>
      <c r="L97" s="50">
        <f ca="1">_xll.DBRW($B$3,L$6,$B$5,$B$4,$B$6,L$7,$B$9,L$4,L$5,$A97)*L$8</f>
        <v>0</v>
      </c>
      <c r="M97" s="50">
        <f ca="1">_xll.DBRW($B$3,M$6,$B$5,$B$4,$B$6,M$7,$B$9,M$4,M$5,$A97)*M$8</f>
        <v>0</v>
      </c>
      <c r="N97" s="50">
        <f ca="1">_xll.DBRW($B$3,N$6,$B$5,$B$4,$B$6,N$7,$B$9,N$4,N$5,$A97)*N$8</f>
        <v>0</v>
      </c>
      <c r="O97" s="51">
        <f t="shared" ca="1" si="143"/>
        <v>0</v>
      </c>
      <c r="P97" s="51">
        <f t="shared" ca="1" si="144"/>
        <v>0</v>
      </c>
      <c r="Q97" s="49"/>
      <c r="R97" s="50">
        <f ca="1">_xll.DBRW($B$3,R$6,$B$5,$B$4,$B$6,R$7,$B$9,R$4,R$5,$A97)*R$8</f>
        <v>0</v>
      </c>
      <c r="S97" s="50">
        <f ca="1">_xll.DBRW($B$3,S$6,$B$5,$B$4,$B$6,S$7,$B$9,S$4,S$5,$A97)*S$8</f>
        <v>0</v>
      </c>
      <c r="T97" s="50">
        <f ca="1">_xll.DBRW($B$3,T$6,$B$5,$B$4,$B$6,T$7,$B$9,T$4,T$5,$A97)*T$8</f>
        <v>0</v>
      </c>
      <c r="U97" s="51">
        <f t="shared" ca="1" si="145"/>
        <v>0</v>
      </c>
      <c r="V97" s="51">
        <f t="shared" ca="1" si="146"/>
        <v>0</v>
      </c>
      <c r="W97" s="49"/>
      <c r="X97" s="50">
        <f t="shared" ca="1" si="147"/>
        <v>0</v>
      </c>
      <c r="Y97" s="50">
        <f t="shared" ca="1" si="148"/>
        <v>0</v>
      </c>
      <c r="Z97" s="50">
        <f t="shared" ca="1" si="149"/>
        <v>0</v>
      </c>
      <c r="AA97" s="51">
        <f t="shared" ca="1" si="150"/>
        <v>0</v>
      </c>
      <c r="AB97" s="51">
        <f t="shared" ca="1" si="151"/>
        <v>0</v>
      </c>
      <c r="AC97" s="49"/>
      <c r="AD97" s="52">
        <f ca="1">_xll.DBRW($B$3,AD$6,$B$5,$B$4,$B$6,AD$7,$B$9,AD$4,AD$5,$A97)*AD$8</f>
        <v>0</v>
      </c>
      <c r="AE97" s="50">
        <f ca="1">_xll.DBRW($B$3,AE$6,$B$5,$B$4,$B$6,AE$7,$B$9,AE$4,AE$5,$A97)*AE$8</f>
        <v>0</v>
      </c>
      <c r="AF97" s="50">
        <f ca="1">_xll.DBRW($B$3,AF$6,$B$5,$B$4,$B$6,AF$7,$B$9,AF$4,AF$5,$A97)*AF$8</f>
        <v>0</v>
      </c>
      <c r="AG97" s="51">
        <f t="shared" ca="1" si="152"/>
        <v>0</v>
      </c>
      <c r="AH97" s="53">
        <f t="shared" ca="1" si="153"/>
        <v>0</v>
      </c>
    </row>
    <row r="98" spans="1:34" s="40" customFormat="1" ht="12" customHeight="1">
      <c r="A98" s="90" t="s">
        <v>106</v>
      </c>
      <c r="B98" s="35"/>
      <c r="C98" s="35"/>
      <c r="D98" s="49" t="str">
        <f>IF(Language="French","Autres","Other")</f>
        <v>Other</v>
      </c>
      <c r="E98" s="49"/>
      <c r="F98" s="50">
        <f ca="1">SUM(F99:F106)</f>
        <v>0</v>
      </c>
      <c r="G98" s="50">
        <f t="shared" ref="G98:H98" ca="1" si="154">SUM(G99:G106)</f>
        <v>0</v>
      </c>
      <c r="H98" s="50">
        <f t="shared" ca="1" si="154"/>
        <v>0</v>
      </c>
      <c r="I98" s="51">
        <f t="shared" ca="1" si="141"/>
        <v>0</v>
      </c>
      <c r="J98" s="51">
        <f t="shared" ca="1" si="142"/>
        <v>0</v>
      </c>
      <c r="K98" s="49"/>
      <c r="L98" s="50">
        <f ca="1">SUM(L99:L106)</f>
        <v>0</v>
      </c>
      <c r="M98" s="50">
        <f t="shared" ref="M98" ca="1" si="155">SUM(M99:M106)</f>
        <v>0</v>
      </c>
      <c r="N98" s="50">
        <f t="shared" ref="N98" ca="1" si="156">SUM(N99:N106)</f>
        <v>0</v>
      </c>
      <c r="O98" s="51">
        <f t="shared" ca="1" si="143"/>
        <v>0</v>
      </c>
      <c r="P98" s="51">
        <f t="shared" ca="1" si="144"/>
        <v>0</v>
      </c>
      <c r="Q98" s="49"/>
      <c r="R98" s="50">
        <f ca="1">SUM(R99:R106)</f>
        <v>0</v>
      </c>
      <c r="S98" s="50">
        <f t="shared" ref="S98" ca="1" si="157">SUM(S99:S106)</f>
        <v>0</v>
      </c>
      <c r="T98" s="50">
        <f t="shared" ref="T98" ca="1" si="158">SUM(T99:T106)</f>
        <v>0</v>
      </c>
      <c r="U98" s="51">
        <f t="shared" ca="1" si="145"/>
        <v>0</v>
      </c>
      <c r="V98" s="51">
        <f t="shared" ca="1" si="146"/>
        <v>0</v>
      </c>
      <c r="W98" s="49"/>
      <c r="X98" s="50">
        <f ca="1">SUM(X99:X106)</f>
        <v>0</v>
      </c>
      <c r="Y98" s="50">
        <f t="shared" ref="Y98" ca="1" si="159">SUM(Y99:Y106)</f>
        <v>0</v>
      </c>
      <c r="Z98" s="50">
        <f t="shared" ref="Z98" ca="1" si="160">SUM(Z99:Z106)</f>
        <v>0</v>
      </c>
      <c r="AA98" s="51">
        <f t="shared" ca="1" si="150"/>
        <v>0</v>
      </c>
      <c r="AB98" s="51">
        <f t="shared" ca="1" si="151"/>
        <v>0</v>
      </c>
      <c r="AC98" s="49"/>
      <c r="AD98" s="52">
        <f ca="1">SUM(AD99:AD106)</f>
        <v>0</v>
      </c>
      <c r="AE98" s="50">
        <f t="shared" ref="AE98" ca="1" si="161">SUM(AE99:AE106)</f>
        <v>0</v>
      </c>
      <c r="AF98" s="50">
        <f t="shared" ref="AF98" ca="1" si="162">SUM(AF99:AF106)</f>
        <v>0</v>
      </c>
      <c r="AG98" s="51">
        <f t="shared" ca="1" si="152"/>
        <v>0</v>
      </c>
      <c r="AH98" s="53">
        <f t="shared" ca="1" si="153"/>
        <v>0</v>
      </c>
    </row>
    <row r="99" spans="1:34" s="40" customFormat="1" ht="12" hidden="1" customHeight="1" outlineLevel="1">
      <c r="A99" s="78" t="s">
        <v>44</v>
      </c>
      <c r="B99" s="35"/>
      <c r="C99" s="35"/>
      <c r="D99" s="49" t="str">
        <f ca="1">_xll.DBRA("tango_core_model:indicator",A99,Language)</f>
        <v>Internal audit</v>
      </c>
      <c r="E99" s="49"/>
      <c r="F99" s="50">
        <f ca="1">_xll.DBRW($B$3,F$6,$B$5,$B$4,$B$6,F$7,$B$9,F$4,F$5,$A99)*F$8</f>
        <v>0</v>
      </c>
      <c r="G99" s="50">
        <f ca="1">_xll.DBRW($B$3,G$6,$B$5,$B$4,$B$6,G$7,$B$9,G$4,G$5,$A99)*G$8</f>
        <v>0</v>
      </c>
      <c r="H99" s="50">
        <f ca="1">_xll.DBRW($B$3,H$6,$B$5,$B$4,$B$6,H$7,$B$9,H$4,H$5,$A99)*H$8</f>
        <v>0</v>
      </c>
      <c r="I99" s="51">
        <f t="shared" ca="1" si="141"/>
        <v>0</v>
      </c>
      <c r="J99" s="51">
        <f t="shared" ca="1" si="142"/>
        <v>0</v>
      </c>
      <c r="K99" s="49"/>
      <c r="L99" s="50">
        <f ca="1">_xll.DBRW($B$3,L$6,$B$5,$B$4,$B$6,L$7,$B$9,L$4,L$5,$A99)*L$8</f>
        <v>0</v>
      </c>
      <c r="M99" s="50">
        <f ca="1">_xll.DBRW($B$3,M$6,$B$5,$B$4,$B$6,M$7,$B$9,M$4,M$5,$A99)*M$8</f>
        <v>0</v>
      </c>
      <c r="N99" s="50">
        <f ca="1">_xll.DBRW($B$3,N$6,$B$5,$B$4,$B$6,N$7,$B$9,N$4,N$5,$A99)*N$8</f>
        <v>0</v>
      </c>
      <c r="O99" s="51">
        <f t="shared" ca="1" si="143"/>
        <v>0</v>
      </c>
      <c r="P99" s="51">
        <f t="shared" ca="1" si="144"/>
        <v>0</v>
      </c>
      <c r="Q99" s="49"/>
      <c r="R99" s="50">
        <f ca="1">_xll.DBRW($B$3,R$6,$B$5,$B$4,$B$6,R$7,$B$9,R$4,R$5,$A99)*R$8</f>
        <v>0</v>
      </c>
      <c r="S99" s="50">
        <f ca="1">_xll.DBRW($B$3,S$6,$B$5,$B$4,$B$6,S$7,$B$9,S$4,S$5,$A99)*S$8</f>
        <v>0</v>
      </c>
      <c r="T99" s="50">
        <f ca="1">_xll.DBRW($B$3,T$6,$B$5,$B$4,$B$6,T$7,$B$9,T$4,T$5,$A99)*T$8</f>
        <v>0</v>
      </c>
      <c r="U99" s="51">
        <f t="shared" ca="1" si="145"/>
        <v>0</v>
      </c>
      <c r="V99" s="51">
        <f t="shared" ca="1" si="146"/>
        <v>0</v>
      </c>
      <c r="W99" s="49"/>
      <c r="X99" s="50">
        <f t="shared" ref="X99:X106" ca="1" si="163">AD99-(F99+L99+R99)</f>
        <v>0</v>
      </c>
      <c r="Y99" s="50">
        <f t="shared" ref="Y99:Y106" ca="1" si="164">AE99-(G99+M99+S99)</f>
        <v>0</v>
      </c>
      <c r="Z99" s="50">
        <f t="shared" ref="Z99:Z106" ca="1" si="165">AF99-(H99+N99+T99)</f>
        <v>0</v>
      </c>
      <c r="AA99" s="51">
        <f t="shared" ca="1" si="150"/>
        <v>0</v>
      </c>
      <c r="AB99" s="51">
        <f t="shared" ca="1" si="151"/>
        <v>0</v>
      </c>
      <c r="AC99" s="49"/>
      <c r="AD99" s="52">
        <f ca="1">_xll.DBRW($B$3,AD$6,$B$5,$B$4,$B$6,AD$7,$B$9,AD$4,AD$5,$A99)*AD$8</f>
        <v>0</v>
      </c>
      <c r="AE99" s="50">
        <f ca="1">_xll.DBRW($B$3,AE$6,$B$5,$B$4,$B$6,AE$7,$B$9,AE$4,AE$5,$A99)*AE$8</f>
        <v>0</v>
      </c>
      <c r="AF99" s="50">
        <f ca="1">_xll.DBRW($B$3,AF$6,$B$5,$B$4,$B$6,AF$7,$B$9,AF$4,AF$5,$A99)*AF$8</f>
        <v>0</v>
      </c>
      <c r="AG99" s="51">
        <f t="shared" ca="1" si="152"/>
        <v>0</v>
      </c>
      <c r="AH99" s="53">
        <f t="shared" ca="1" si="153"/>
        <v>0</v>
      </c>
    </row>
    <row r="100" spans="1:34" s="40" customFormat="1" ht="12" hidden="1" customHeight="1" outlineLevel="1">
      <c r="A100" s="78" t="s">
        <v>48</v>
      </c>
      <c r="B100" s="35"/>
      <c r="C100" s="35"/>
      <c r="D100" s="49" t="str">
        <f ca="1">_xll.DBRA("tango_core_model:indicator",A100,Language)</f>
        <v>Purchasing</v>
      </c>
      <c r="E100" s="49"/>
      <c r="F100" s="50">
        <f ca="1">_xll.DBRW($B$3,F$6,$B$5,$B$4,$B$6,F$7,$B$9,F$4,F$5,$A100)*F$8</f>
        <v>0</v>
      </c>
      <c r="G100" s="50">
        <f ca="1">_xll.DBRW($B$3,G$6,$B$5,$B$4,$B$6,G$7,$B$9,G$4,G$5,$A100)*G$8</f>
        <v>0</v>
      </c>
      <c r="H100" s="50">
        <f ca="1">_xll.DBRW($B$3,H$6,$B$5,$B$4,$B$6,H$7,$B$9,H$4,H$5,$A100)*H$8</f>
        <v>0</v>
      </c>
      <c r="I100" s="51">
        <f t="shared" ca="1" si="141"/>
        <v>0</v>
      </c>
      <c r="J100" s="51">
        <f t="shared" ca="1" si="142"/>
        <v>0</v>
      </c>
      <c r="K100" s="49"/>
      <c r="L100" s="50">
        <f ca="1">_xll.DBRW($B$3,L$6,$B$5,$B$4,$B$6,L$7,$B$9,L$4,L$5,$A100)*L$8</f>
        <v>0</v>
      </c>
      <c r="M100" s="50">
        <f ca="1">_xll.DBRW($B$3,M$6,$B$5,$B$4,$B$6,M$7,$B$9,M$4,M$5,$A100)*M$8</f>
        <v>0</v>
      </c>
      <c r="N100" s="50">
        <f ca="1">_xll.DBRW($B$3,N$6,$B$5,$B$4,$B$6,N$7,$B$9,N$4,N$5,$A100)*N$8</f>
        <v>0</v>
      </c>
      <c r="O100" s="51">
        <f t="shared" ca="1" si="143"/>
        <v>0</v>
      </c>
      <c r="P100" s="51">
        <f t="shared" ca="1" si="144"/>
        <v>0</v>
      </c>
      <c r="Q100" s="49"/>
      <c r="R100" s="50">
        <f ca="1">_xll.DBRW($B$3,R$6,$B$5,$B$4,$B$6,R$7,$B$9,R$4,R$5,$A100)*R$8</f>
        <v>0</v>
      </c>
      <c r="S100" s="50">
        <f ca="1">_xll.DBRW($B$3,S$6,$B$5,$B$4,$B$6,S$7,$B$9,S$4,S$5,$A100)*S$8</f>
        <v>0</v>
      </c>
      <c r="T100" s="50">
        <f ca="1">_xll.DBRW($B$3,T$6,$B$5,$B$4,$B$6,T$7,$B$9,T$4,T$5,$A100)*T$8</f>
        <v>0</v>
      </c>
      <c r="U100" s="51">
        <f t="shared" ca="1" si="145"/>
        <v>0</v>
      </c>
      <c r="V100" s="51">
        <f t="shared" ca="1" si="146"/>
        <v>0</v>
      </c>
      <c r="W100" s="49"/>
      <c r="X100" s="50">
        <f t="shared" ca="1" si="163"/>
        <v>0</v>
      </c>
      <c r="Y100" s="50">
        <f t="shared" ca="1" si="164"/>
        <v>0</v>
      </c>
      <c r="Z100" s="50">
        <f t="shared" ca="1" si="165"/>
        <v>0</v>
      </c>
      <c r="AA100" s="51">
        <f t="shared" ca="1" si="150"/>
        <v>0</v>
      </c>
      <c r="AB100" s="51">
        <f t="shared" ca="1" si="151"/>
        <v>0</v>
      </c>
      <c r="AC100" s="49"/>
      <c r="AD100" s="52">
        <f ca="1">_xll.DBRW($B$3,AD$6,$B$5,$B$4,$B$6,AD$7,$B$9,AD$4,AD$5,$A100)*AD$8</f>
        <v>0</v>
      </c>
      <c r="AE100" s="50">
        <f ca="1">_xll.DBRW($B$3,AE$6,$B$5,$B$4,$B$6,AE$7,$B$9,AE$4,AE$5,$A100)*AE$8</f>
        <v>0</v>
      </c>
      <c r="AF100" s="50">
        <f ca="1">_xll.DBRW($B$3,AF$6,$B$5,$B$4,$B$6,AF$7,$B$9,AF$4,AF$5,$A100)*AF$8</f>
        <v>0</v>
      </c>
      <c r="AG100" s="51">
        <f t="shared" ca="1" si="152"/>
        <v>0</v>
      </c>
      <c r="AH100" s="53">
        <f t="shared" ca="1" si="153"/>
        <v>0</v>
      </c>
    </row>
    <row r="101" spans="1:34" s="40" customFormat="1" ht="12" hidden="1" customHeight="1" outlineLevel="1">
      <c r="A101" s="78" t="s">
        <v>49</v>
      </c>
      <c r="B101" s="35"/>
      <c r="C101" s="35"/>
      <c r="D101" s="49" t="str">
        <f ca="1">_xll.DBRA("tango_core_model:indicator",A101,Language)</f>
        <v>R &amp; D</v>
      </c>
      <c r="E101" s="49"/>
      <c r="F101" s="50">
        <f ca="1">_xll.DBRW($B$3,F$6,$B$5,$B$4,$B$6,F$7,$B$9,F$4,F$5,$A101)*F$8</f>
        <v>0</v>
      </c>
      <c r="G101" s="50">
        <f ca="1">_xll.DBRW($B$3,G$6,$B$5,$B$4,$B$6,G$7,$B$9,G$4,G$5,$A101)*G$8</f>
        <v>0</v>
      </c>
      <c r="H101" s="50">
        <f ca="1">_xll.DBRW($B$3,H$6,$B$5,$B$4,$B$6,H$7,$B$9,H$4,H$5,$A101)*H$8</f>
        <v>0</v>
      </c>
      <c r="I101" s="51">
        <f t="shared" ca="1" si="141"/>
        <v>0</v>
      </c>
      <c r="J101" s="51">
        <f t="shared" ca="1" si="142"/>
        <v>0</v>
      </c>
      <c r="K101" s="49"/>
      <c r="L101" s="50">
        <f ca="1">_xll.DBRW($B$3,L$6,$B$5,$B$4,$B$6,L$7,$B$9,L$4,L$5,$A101)*L$8</f>
        <v>0</v>
      </c>
      <c r="M101" s="50">
        <f ca="1">_xll.DBRW($B$3,M$6,$B$5,$B$4,$B$6,M$7,$B$9,M$4,M$5,$A101)*M$8</f>
        <v>0</v>
      </c>
      <c r="N101" s="50">
        <f ca="1">_xll.DBRW($B$3,N$6,$B$5,$B$4,$B$6,N$7,$B$9,N$4,N$5,$A101)*N$8</f>
        <v>0</v>
      </c>
      <c r="O101" s="51">
        <f t="shared" ca="1" si="143"/>
        <v>0</v>
      </c>
      <c r="P101" s="51">
        <f t="shared" ca="1" si="144"/>
        <v>0</v>
      </c>
      <c r="Q101" s="49"/>
      <c r="R101" s="50">
        <f ca="1">_xll.DBRW($B$3,R$6,$B$5,$B$4,$B$6,R$7,$B$9,R$4,R$5,$A101)*R$8</f>
        <v>0</v>
      </c>
      <c r="S101" s="50">
        <f ca="1">_xll.DBRW($B$3,S$6,$B$5,$B$4,$B$6,S$7,$B$9,S$4,S$5,$A101)*S$8</f>
        <v>0</v>
      </c>
      <c r="T101" s="50">
        <f ca="1">_xll.DBRW($B$3,T$6,$B$5,$B$4,$B$6,T$7,$B$9,T$4,T$5,$A101)*T$8</f>
        <v>0</v>
      </c>
      <c r="U101" s="51">
        <f t="shared" ca="1" si="145"/>
        <v>0</v>
      </c>
      <c r="V101" s="51">
        <f t="shared" ca="1" si="146"/>
        <v>0</v>
      </c>
      <c r="W101" s="49"/>
      <c r="X101" s="50">
        <f t="shared" ca="1" si="163"/>
        <v>0</v>
      </c>
      <c r="Y101" s="50">
        <f t="shared" ca="1" si="164"/>
        <v>0</v>
      </c>
      <c r="Z101" s="50">
        <f t="shared" ca="1" si="165"/>
        <v>0</v>
      </c>
      <c r="AA101" s="51">
        <f t="shared" ca="1" si="150"/>
        <v>0</v>
      </c>
      <c r="AB101" s="51">
        <f t="shared" ca="1" si="151"/>
        <v>0</v>
      </c>
      <c r="AC101" s="49"/>
      <c r="AD101" s="52">
        <f ca="1">_xll.DBRW($B$3,AD$6,$B$5,$B$4,$B$6,AD$7,$B$9,AD$4,AD$5,$A101)*AD$8</f>
        <v>0</v>
      </c>
      <c r="AE101" s="50">
        <f ca="1">_xll.DBRW($B$3,AE$6,$B$5,$B$4,$B$6,AE$7,$B$9,AE$4,AE$5,$A101)*AE$8</f>
        <v>0</v>
      </c>
      <c r="AF101" s="50">
        <f ca="1">_xll.DBRW($B$3,AF$6,$B$5,$B$4,$B$6,AF$7,$B$9,AF$4,AF$5,$A101)*AF$8</f>
        <v>0</v>
      </c>
      <c r="AG101" s="51">
        <f t="shared" ca="1" si="152"/>
        <v>0</v>
      </c>
      <c r="AH101" s="53">
        <f t="shared" ca="1" si="153"/>
        <v>0</v>
      </c>
    </row>
    <row r="102" spans="1:34" s="40" customFormat="1" ht="12" hidden="1" customHeight="1" outlineLevel="1">
      <c r="A102" s="78" t="s">
        <v>50</v>
      </c>
      <c r="B102" s="35"/>
      <c r="C102" s="35"/>
      <c r="D102" s="49" t="str">
        <f ca="1">_xll.DBRA("tango_core_model:indicator",A102,Language)</f>
        <v>Risk management</v>
      </c>
      <c r="E102" s="49"/>
      <c r="F102" s="50">
        <f ca="1">_xll.DBRW($B$3,F$6,$B$5,$B$4,$B$6,F$7,$B$9,F$4,F$5,$A102)*F$8</f>
        <v>0</v>
      </c>
      <c r="G102" s="50">
        <f ca="1">_xll.DBRW($B$3,G$6,$B$5,$B$4,$B$6,G$7,$B$9,G$4,G$5,$A102)*G$8</f>
        <v>0</v>
      </c>
      <c r="H102" s="50">
        <f ca="1">_xll.DBRW($B$3,H$6,$B$5,$B$4,$B$6,H$7,$B$9,H$4,H$5,$A102)*H$8</f>
        <v>0</v>
      </c>
      <c r="I102" s="51">
        <f t="shared" ca="1" si="141"/>
        <v>0</v>
      </c>
      <c r="J102" s="51">
        <f t="shared" ca="1" si="142"/>
        <v>0</v>
      </c>
      <c r="K102" s="49"/>
      <c r="L102" s="50">
        <f ca="1">_xll.DBRW($B$3,L$6,$B$5,$B$4,$B$6,L$7,$B$9,L$4,L$5,$A102)*L$8</f>
        <v>0</v>
      </c>
      <c r="M102" s="50">
        <f ca="1">_xll.DBRW($B$3,M$6,$B$5,$B$4,$B$6,M$7,$B$9,M$4,M$5,$A102)*M$8</f>
        <v>0</v>
      </c>
      <c r="N102" s="50">
        <f ca="1">_xll.DBRW($B$3,N$6,$B$5,$B$4,$B$6,N$7,$B$9,N$4,N$5,$A102)*N$8</f>
        <v>0</v>
      </c>
      <c r="O102" s="51">
        <f t="shared" ca="1" si="143"/>
        <v>0</v>
      </c>
      <c r="P102" s="51">
        <f t="shared" ca="1" si="144"/>
        <v>0</v>
      </c>
      <c r="Q102" s="49"/>
      <c r="R102" s="50">
        <f ca="1">_xll.DBRW($B$3,R$6,$B$5,$B$4,$B$6,R$7,$B$9,R$4,R$5,$A102)*R$8</f>
        <v>0</v>
      </c>
      <c r="S102" s="50">
        <f ca="1">_xll.DBRW($B$3,S$6,$B$5,$B$4,$B$6,S$7,$B$9,S$4,S$5,$A102)*S$8</f>
        <v>0</v>
      </c>
      <c r="T102" s="50">
        <f ca="1">_xll.DBRW($B$3,T$6,$B$5,$B$4,$B$6,T$7,$B$9,T$4,T$5,$A102)*T$8</f>
        <v>0</v>
      </c>
      <c r="U102" s="51">
        <f t="shared" ca="1" si="145"/>
        <v>0</v>
      </c>
      <c r="V102" s="51">
        <f t="shared" ca="1" si="146"/>
        <v>0</v>
      </c>
      <c r="W102" s="49"/>
      <c r="X102" s="50">
        <f t="shared" ca="1" si="163"/>
        <v>0</v>
      </c>
      <c r="Y102" s="50">
        <f t="shared" ca="1" si="164"/>
        <v>0</v>
      </c>
      <c r="Z102" s="50">
        <f t="shared" ca="1" si="165"/>
        <v>0</v>
      </c>
      <c r="AA102" s="51">
        <f t="shared" ca="1" si="150"/>
        <v>0</v>
      </c>
      <c r="AB102" s="51">
        <f t="shared" ca="1" si="151"/>
        <v>0</v>
      </c>
      <c r="AC102" s="49"/>
      <c r="AD102" s="52">
        <f ca="1">_xll.DBRW($B$3,AD$6,$B$5,$B$4,$B$6,AD$7,$B$9,AD$4,AD$5,$A102)*AD$8</f>
        <v>0</v>
      </c>
      <c r="AE102" s="50">
        <f ca="1">_xll.DBRW($B$3,AE$6,$B$5,$B$4,$B$6,AE$7,$B$9,AE$4,AE$5,$A102)*AE$8</f>
        <v>0</v>
      </c>
      <c r="AF102" s="50">
        <f ca="1">_xll.DBRW($B$3,AF$6,$B$5,$B$4,$B$6,AF$7,$B$9,AF$4,AF$5,$A102)*AF$8</f>
        <v>0</v>
      </c>
      <c r="AG102" s="51">
        <f t="shared" ca="1" si="152"/>
        <v>0</v>
      </c>
      <c r="AH102" s="53">
        <f t="shared" ca="1" si="153"/>
        <v>0</v>
      </c>
    </row>
    <row r="103" spans="1:34" s="40" customFormat="1" ht="12" hidden="1" customHeight="1" outlineLevel="1">
      <c r="A103" s="78" t="s">
        <v>51</v>
      </c>
      <c r="B103" s="35"/>
      <c r="C103" s="35"/>
      <c r="D103" s="49" t="str">
        <f ca="1">_xll.DBRA("tango_core_model:indicator",A103,Language)</f>
        <v>QHSE</v>
      </c>
      <c r="E103" s="49"/>
      <c r="F103" s="50">
        <f ca="1">_xll.DBRW($B$3,F$6,$B$5,$B$4,$B$6,F$7,$B$9,F$4,F$5,$A103)*F$8</f>
        <v>0</v>
      </c>
      <c r="G103" s="50">
        <f ca="1">_xll.DBRW($B$3,G$6,$B$5,$B$4,$B$6,G$7,$B$9,G$4,G$5,$A103)*G$8</f>
        <v>0</v>
      </c>
      <c r="H103" s="50">
        <f ca="1">_xll.DBRW($B$3,H$6,$B$5,$B$4,$B$6,H$7,$B$9,H$4,H$5,$A103)*H$8</f>
        <v>0</v>
      </c>
      <c r="I103" s="51">
        <f t="shared" ca="1" si="141"/>
        <v>0</v>
      </c>
      <c r="J103" s="51">
        <f t="shared" ca="1" si="142"/>
        <v>0</v>
      </c>
      <c r="K103" s="49"/>
      <c r="L103" s="50">
        <f ca="1">_xll.DBRW($B$3,L$6,$B$5,$B$4,$B$6,L$7,$B$9,L$4,L$5,$A103)*L$8</f>
        <v>0</v>
      </c>
      <c r="M103" s="50">
        <f ca="1">_xll.DBRW($B$3,M$6,$B$5,$B$4,$B$6,M$7,$B$9,M$4,M$5,$A103)*M$8</f>
        <v>0</v>
      </c>
      <c r="N103" s="50">
        <f ca="1">_xll.DBRW($B$3,N$6,$B$5,$B$4,$B$6,N$7,$B$9,N$4,N$5,$A103)*N$8</f>
        <v>0</v>
      </c>
      <c r="O103" s="51">
        <f t="shared" ca="1" si="143"/>
        <v>0</v>
      </c>
      <c r="P103" s="51">
        <f t="shared" ca="1" si="144"/>
        <v>0</v>
      </c>
      <c r="Q103" s="49"/>
      <c r="R103" s="50">
        <f ca="1">_xll.DBRW($B$3,R$6,$B$5,$B$4,$B$6,R$7,$B$9,R$4,R$5,$A103)*R$8</f>
        <v>0</v>
      </c>
      <c r="S103" s="50">
        <f ca="1">_xll.DBRW($B$3,S$6,$B$5,$B$4,$B$6,S$7,$B$9,S$4,S$5,$A103)*S$8</f>
        <v>0</v>
      </c>
      <c r="T103" s="50">
        <f ca="1">_xll.DBRW($B$3,T$6,$B$5,$B$4,$B$6,T$7,$B$9,T$4,T$5,$A103)*T$8</f>
        <v>0</v>
      </c>
      <c r="U103" s="51">
        <f t="shared" ca="1" si="145"/>
        <v>0</v>
      </c>
      <c r="V103" s="51">
        <f t="shared" ca="1" si="146"/>
        <v>0</v>
      </c>
      <c r="W103" s="49"/>
      <c r="X103" s="50">
        <f t="shared" ca="1" si="163"/>
        <v>0</v>
      </c>
      <c r="Y103" s="50">
        <f t="shared" ca="1" si="164"/>
        <v>0</v>
      </c>
      <c r="Z103" s="50">
        <f t="shared" ca="1" si="165"/>
        <v>0</v>
      </c>
      <c r="AA103" s="51">
        <f t="shared" ca="1" si="150"/>
        <v>0</v>
      </c>
      <c r="AB103" s="51">
        <f t="shared" ca="1" si="151"/>
        <v>0</v>
      </c>
      <c r="AC103" s="49"/>
      <c r="AD103" s="52">
        <f ca="1">_xll.DBRW($B$3,AD$6,$B$5,$B$4,$B$6,AD$7,$B$9,AD$4,AD$5,$A103)*AD$8</f>
        <v>0</v>
      </c>
      <c r="AE103" s="50">
        <f ca="1">_xll.DBRW($B$3,AE$6,$B$5,$B$4,$B$6,AE$7,$B$9,AE$4,AE$5,$A103)*AE$8</f>
        <v>0</v>
      </c>
      <c r="AF103" s="50">
        <f ca="1">_xll.DBRW($B$3,AF$6,$B$5,$B$4,$B$6,AF$7,$B$9,AF$4,AF$5,$A103)*AF$8</f>
        <v>0</v>
      </c>
      <c r="AG103" s="51">
        <f t="shared" ca="1" si="152"/>
        <v>0</v>
      </c>
      <c r="AH103" s="53">
        <f t="shared" ca="1" si="153"/>
        <v>0</v>
      </c>
    </row>
    <row r="104" spans="1:34" s="40" customFormat="1" ht="12" hidden="1" customHeight="1" outlineLevel="1">
      <c r="A104" s="78" t="s">
        <v>52</v>
      </c>
      <c r="B104" s="35"/>
      <c r="C104" s="35"/>
      <c r="D104" s="49" t="str">
        <f ca="1">_xll.DBRA("tango_core_model:indicator",A104,Language)</f>
        <v>Technical department</v>
      </c>
      <c r="E104" s="49"/>
      <c r="F104" s="50">
        <f ca="1">_xll.DBRW($B$3,F$6,$B$5,$B$4,$B$6,F$7,$B$9,F$4,F$5,$A104)*F$8</f>
        <v>0</v>
      </c>
      <c r="G104" s="50">
        <f ca="1">_xll.DBRW($B$3,G$6,$B$5,$B$4,$B$6,G$7,$B$9,G$4,G$5,$A104)*G$8</f>
        <v>0</v>
      </c>
      <c r="H104" s="50">
        <f ca="1">_xll.DBRW($B$3,H$6,$B$5,$B$4,$B$6,H$7,$B$9,H$4,H$5,$A104)*H$8</f>
        <v>0</v>
      </c>
      <c r="I104" s="51">
        <f t="shared" ca="1" si="141"/>
        <v>0</v>
      </c>
      <c r="J104" s="51">
        <f t="shared" ca="1" si="142"/>
        <v>0</v>
      </c>
      <c r="K104" s="49"/>
      <c r="L104" s="50">
        <f ca="1">_xll.DBRW($B$3,L$6,$B$5,$B$4,$B$6,L$7,$B$9,L$4,L$5,$A104)*L$8</f>
        <v>0</v>
      </c>
      <c r="M104" s="50">
        <f ca="1">_xll.DBRW($B$3,M$6,$B$5,$B$4,$B$6,M$7,$B$9,M$4,M$5,$A104)*M$8</f>
        <v>0</v>
      </c>
      <c r="N104" s="50">
        <f ca="1">_xll.DBRW($B$3,N$6,$B$5,$B$4,$B$6,N$7,$B$9,N$4,N$5,$A104)*N$8</f>
        <v>0</v>
      </c>
      <c r="O104" s="51">
        <f t="shared" ca="1" si="143"/>
        <v>0</v>
      </c>
      <c r="P104" s="51">
        <f t="shared" ca="1" si="144"/>
        <v>0</v>
      </c>
      <c r="Q104" s="49"/>
      <c r="R104" s="50">
        <f ca="1">_xll.DBRW($B$3,R$6,$B$5,$B$4,$B$6,R$7,$B$9,R$4,R$5,$A104)*R$8</f>
        <v>0</v>
      </c>
      <c r="S104" s="50">
        <f ca="1">_xll.DBRW($B$3,S$6,$B$5,$B$4,$B$6,S$7,$B$9,S$4,S$5,$A104)*S$8</f>
        <v>0</v>
      </c>
      <c r="T104" s="50">
        <f ca="1">_xll.DBRW($B$3,T$6,$B$5,$B$4,$B$6,T$7,$B$9,T$4,T$5,$A104)*T$8</f>
        <v>0</v>
      </c>
      <c r="U104" s="51">
        <f t="shared" ca="1" si="145"/>
        <v>0</v>
      </c>
      <c r="V104" s="51">
        <f t="shared" ca="1" si="146"/>
        <v>0</v>
      </c>
      <c r="W104" s="49"/>
      <c r="X104" s="50">
        <f t="shared" ca="1" si="163"/>
        <v>0</v>
      </c>
      <c r="Y104" s="50">
        <f t="shared" ca="1" si="164"/>
        <v>0</v>
      </c>
      <c r="Z104" s="50">
        <f t="shared" ca="1" si="165"/>
        <v>0</v>
      </c>
      <c r="AA104" s="51">
        <f t="shared" ca="1" si="150"/>
        <v>0</v>
      </c>
      <c r="AB104" s="51">
        <f t="shared" ca="1" si="151"/>
        <v>0</v>
      </c>
      <c r="AC104" s="49"/>
      <c r="AD104" s="52">
        <f ca="1">_xll.DBRW($B$3,AD$6,$B$5,$B$4,$B$6,AD$7,$B$9,AD$4,AD$5,$A104)*AD$8</f>
        <v>0</v>
      </c>
      <c r="AE104" s="50">
        <f ca="1">_xll.DBRW($B$3,AE$6,$B$5,$B$4,$B$6,AE$7,$B$9,AE$4,AE$5,$A104)*AE$8</f>
        <v>0</v>
      </c>
      <c r="AF104" s="50">
        <f ca="1">_xll.DBRW($B$3,AF$6,$B$5,$B$4,$B$6,AF$7,$B$9,AF$4,AF$5,$A104)*AF$8</f>
        <v>0</v>
      </c>
      <c r="AG104" s="51">
        <f t="shared" ca="1" si="152"/>
        <v>0</v>
      </c>
      <c r="AH104" s="53">
        <f t="shared" ca="1" si="153"/>
        <v>0</v>
      </c>
    </row>
    <row r="105" spans="1:34" s="40" customFormat="1" ht="12" hidden="1" customHeight="1" outlineLevel="1">
      <c r="A105" s="78" t="s">
        <v>39</v>
      </c>
      <c r="B105" s="35"/>
      <c r="C105" s="35"/>
      <c r="D105" s="49" t="str">
        <f ca="1">_xll.DBRA("tango_core_model:indicator",A105,Language)</f>
        <v>Communication</v>
      </c>
      <c r="E105" s="49"/>
      <c r="F105" s="50">
        <f ca="1">_xll.DBRW($B$3,F$6,$B$5,$B$4,$B$6,F$7,$B$9,F$4,F$5,$A105)*F$8</f>
        <v>0</v>
      </c>
      <c r="G105" s="50">
        <f ca="1">_xll.DBRW($B$3,G$6,$B$5,$B$4,$B$6,G$7,$B$9,G$4,G$5,$A105)*G$8</f>
        <v>0</v>
      </c>
      <c r="H105" s="50">
        <f ca="1">_xll.DBRW($B$3,H$6,$B$5,$B$4,$B$6,H$7,$B$9,H$4,H$5,$A105)*H$8</f>
        <v>0</v>
      </c>
      <c r="I105" s="51">
        <f t="shared" ca="1" si="141"/>
        <v>0</v>
      </c>
      <c r="J105" s="51">
        <f t="shared" ca="1" si="142"/>
        <v>0</v>
      </c>
      <c r="K105" s="49"/>
      <c r="L105" s="50">
        <f ca="1">_xll.DBRW($B$3,L$6,$B$5,$B$4,$B$6,L$7,$B$9,L$4,L$5,$A105)*L$8</f>
        <v>0</v>
      </c>
      <c r="M105" s="50">
        <f ca="1">_xll.DBRW($B$3,M$6,$B$5,$B$4,$B$6,M$7,$B$9,M$4,M$5,$A105)*M$8</f>
        <v>0</v>
      </c>
      <c r="N105" s="50">
        <f ca="1">_xll.DBRW($B$3,N$6,$B$5,$B$4,$B$6,N$7,$B$9,N$4,N$5,$A105)*N$8</f>
        <v>0</v>
      </c>
      <c r="O105" s="51">
        <f t="shared" ca="1" si="143"/>
        <v>0</v>
      </c>
      <c r="P105" s="51">
        <f t="shared" ca="1" si="144"/>
        <v>0</v>
      </c>
      <c r="Q105" s="49"/>
      <c r="R105" s="50">
        <f ca="1">_xll.DBRW($B$3,R$6,$B$5,$B$4,$B$6,R$7,$B$9,R$4,R$5,$A105)*R$8</f>
        <v>0</v>
      </c>
      <c r="S105" s="50">
        <f ca="1">_xll.DBRW($B$3,S$6,$B$5,$B$4,$B$6,S$7,$B$9,S$4,S$5,$A105)*S$8</f>
        <v>0</v>
      </c>
      <c r="T105" s="50">
        <f ca="1">_xll.DBRW($B$3,T$6,$B$5,$B$4,$B$6,T$7,$B$9,T$4,T$5,$A105)*T$8</f>
        <v>0</v>
      </c>
      <c r="U105" s="51">
        <f t="shared" ca="1" si="145"/>
        <v>0</v>
      </c>
      <c r="V105" s="51">
        <f t="shared" ca="1" si="146"/>
        <v>0</v>
      </c>
      <c r="W105" s="49"/>
      <c r="X105" s="50">
        <f t="shared" ca="1" si="163"/>
        <v>0</v>
      </c>
      <c r="Y105" s="50">
        <f t="shared" ca="1" si="164"/>
        <v>0</v>
      </c>
      <c r="Z105" s="50">
        <f t="shared" ca="1" si="165"/>
        <v>0</v>
      </c>
      <c r="AA105" s="51">
        <f t="shared" ca="1" si="150"/>
        <v>0</v>
      </c>
      <c r="AB105" s="51">
        <f t="shared" ca="1" si="151"/>
        <v>0</v>
      </c>
      <c r="AC105" s="49"/>
      <c r="AD105" s="52">
        <f ca="1">_xll.DBRW($B$3,AD$6,$B$5,$B$4,$B$6,AD$7,$B$9,AD$4,AD$5,$A105)*AD$8</f>
        <v>0</v>
      </c>
      <c r="AE105" s="50">
        <f ca="1">_xll.DBRW($B$3,AE$6,$B$5,$B$4,$B$6,AE$7,$B$9,AE$4,AE$5,$A105)*AE$8</f>
        <v>0</v>
      </c>
      <c r="AF105" s="50">
        <f ca="1">_xll.DBRW($B$3,AF$6,$B$5,$B$4,$B$6,AF$7,$B$9,AF$4,AF$5,$A105)*AF$8</f>
        <v>0</v>
      </c>
      <c r="AG105" s="51">
        <f t="shared" ca="1" si="152"/>
        <v>0</v>
      </c>
      <c r="AH105" s="53">
        <f t="shared" ca="1" si="153"/>
        <v>0</v>
      </c>
    </row>
    <row r="106" spans="1:34" s="40" customFormat="1" ht="12" hidden="1" customHeight="1" outlineLevel="1">
      <c r="A106" s="78" t="s">
        <v>53</v>
      </c>
      <c r="B106" s="35"/>
      <c r="C106" s="35"/>
      <c r="D106" s="49" t="str">
        <f ca="1">_xll.DBRA("tango_core_model:indicator",A106,Language)</f>
        <v>Tax Management</v>
      </c>
      <c r="E106" s="49"/>
      <c r="F106" s="50">
        <f ca="1">_xll.DBRW($B$3,F$6,$B$5,$B$4,$B$6,F$7,$B$9,F$4,F$5,$A106)*F$8</f>
        <v>0</v>
      </c>
      <c r="G106" s="50">
        <f ca="1">_xll.DBRW($B$3,G$6,$B$5,$B$4,$B$6,G$7,$B$9,G$4,G$5,$A106)*G$8</f>
        <v>0</v>
      </c>
      <c r="H106" s="50">
        <f ca="1">_xll.DBRW($B$3,H$6,$B$5,$B$4,$B$6,H$7,$B$9,H$4,H$5,$A106)*H$8</f>
        <v>0</v>
      </c>
      <c r="I106" s="51">
        <f t="shared" ca="1" si="141"/>
        <v>0</v>
      </c>
      <c r="J106" s="51">
        <f t="shared" ca="1" si="142"/>
        <v>0</v>
      </c>
      <c r="K106" s="49"/>
      <c r="L106" s="50">
        <f ca="1">_xll.DBRW($B$3,L$6,$B$5,$B$4,$B$6,L$7,$B$9,L$4,L$5,$A106)*L$8</f>
        <v>0</v>
      </c>
      <c r="M106" s="50">
        <f ca="1">_xll.DBRW($B$3,M$6,$B$5,$B$4,$B$6,M$7,$B$9,M$4,M$5,$A106)*M$8</f>
        <v>0</v>
      </c>
      <c r="N106" s="50">
        <f ca="1">_xll.DBRW($B$3,N$6,$B$5,$B$4,$B$6,N$7,$B$9,N$4,N$5,$A106)*N$8</f>
        <v>0</v>
      </c>
      <c r="O106" s="51">
        <f t="shared" ca="1" si="143"/>
        <v>0</v>
      </c>
      <c r="P106" s="51">
        <f t="shared" ca="1" si="144"/>
        <v>0</v>
      </c>
      <c r="Q106" s="49"/>
      <c r="R106" s="50">
        <f ca="1">_xll.DBRW($B$3,R$6,$B$5,$B$4,$B$6,R$7,$B$9,R$4,R$5,$A106)*R$8</f>
        <v>0</v>
      </c>
      <c r="S106" s="50">
        <f ca="1">_xll.DBRW($B$3,S$6,$B$5,$B$4,$B$6,S$7,$B$9,S$4,S$5,$A106)*S$8</f>
        <v>0</v>
      </c>
      <c r="T106" s="50">
        <f ca="1">_xll.DBRW($B$3,T$6,$B$5,$B$4,$B$6,T$7,$B$9,T$4,T$5,$A106)*T$8</f>
        <v>0</v>
      </c>
      <c r="U106" s="51">
        <f t="shared" ca="1" si="145"/>
        <v>0</v>
      </c>
      <c r="V106" s="51">
        <f t="shared" ca="1" si="146"/>
        <v>0</v>
      </c>
      <c r="W106" s="49"/>
      <c r="X106" s="50">
        <f t="shared" ca="1" si="163"/>
        <v>0</v>
      </c>
      <c r="Y106" s="50">
        <f t="shared" ca="1" si="164"/>
        <v>0</v>
      </c>
      <c r="Z106" s="50">
        <f t="shared" ca="1" si="165"/>
        <v>0</v>
      </c>
      <c r="AA106" s="51">
        <f t="shared" ca="1" si="150"/>
        <v>0</v>
      </c>
      <c r="AB106" s="51">
        <f t="shared" ca="1" si="151"/>
        <v>0</v>
      </c>
      <c r="AC106" s="49"/>
      <c r="AD106" s="52">
        <f ca="1">_xll.DBRW($B$3,AD$6,$B$5,$B$4,$B$6,AD$7,$B$9,AD$4,AD$5,$A106)*AD$8</f>
        <v>0</v>
      </c>
      <c r="AE106" s="50">
        <f ca="1">_xll.DBRW($B$3,AE$6,$B$5,$B$4,$B$6,AE$7,$B$9,AE$4,AE$5,$A106)*AE$8</f>
        <v>0</v>
      </c>
      <c r="AF106" s="50">
        <f ca="1">_xll.DBRW($B$3,AF$6,$B$5,$B$4,$B$6,AF$7,$B$9,AF$4,AF$5,$A106)*AF$8</f>
        <v>0</v>
      </c>
      <c r="AG106" s="51">
        <f t="shared" ca="1" si="152"/>
        <v>0</v>
      </c>
      <c r="AH106" s="53">
        <f t="shared" ca="1" si="153"/>
        <v>0</v>
      </c>
    </row>
    <row r="107" spans="1:34" s="40" customFormat="1" ht="12" customHeight="1" collapsed="1" thickBot="1">
      <c r="A107" s="90" t="s">
        <v>106</v>
      </c>
      <c r="B107" s="35"/>
      <c r="C107" s="35"/>
      <c r="D107" s="49" t="s">
        <v>110</v>
      </c>
      <c r="E107" s="49"/>
      <c r="F107" s="50">
        <f ca="1">SUM(F108:F109)</f>
        <v>0</v>
      </c>
      <c r="G107" s="50">
        <f t="shared" ref="G107:H107" ca="1" si="166">SUM(G108:G109)</f>
        <v>0</v>
      </c>
      <c r="H107" s="50">
        <f t="shared" ca="1" si="166"/>
        <v>0</v>
      </c>
      <c r="I107" s="51">
        <f t="shared" ca="1" si="141"/>
        <v>0</v>
      </c>
      <c r="J107" s="51">
        <f t="shared" ca="1" si="142"/>
        <v>0</v>
      </c>
      <c r="K107" s="49"/>
      <c r="L107" s="50">
        <f t="shared" ref="L107:N107" ca="1" si="167">SUM(L108:L109)</f>
        <v>0</v>
      </c>
      <c r="M107" s="50">
        <f t="shared" ca="1" si="167"/>
        <v>0</v>
      </c>
      <c r="N107" s="50">
        <f t="shared" ca="1" si="167"/>
        <v>0</v>
      </c>
      <c r="O107" s="51">
        <f t="shared" ca="1" si="143"/>
        <v>0</v>
      </c>
      <c r="P107" s="51">
        <f t="shared" ca="1" si="144"/>
        <v>0</v>
      </c>
      <c r="Q107" s="49"/>
      <c r="R107" s="50">
        <f t="shared" ref="R107:T107" ca="1" si="168">SUM(R108:R109)</f>
        <v>0</v>
      </c>
      <c r="S107" s="50">
        <f t="shared" ca="1" si="168"/>
        <v>0</v>
      </c>
      <c r="T107" s="50">
        <f t="shared" ca="1" si="168"/>
        <v>0</v>
      </c>
      <c r="U107" s="51">
        <f t="shared" ca="1" si="145"/>
        <v>0</v>
      </c>
      <c r="V107" s="51">
        <f t="shared" ca="1" si="146"/>
        <v>0</v>
      </c>
      <c r="W107" s="49"/>
      <c r="X107" s="50">
        <f t="shared" ref="X107:Z107" ca="1" si="169">SUM(X108:X109)</f>
        <v>0</v>
      </c>
      <c r="Y107" s="50">
        <f t="shared" ca="1" si="169"/>
        <v>0</v>
      </c>
      <c r="Z107" s="50">
        <f t="shared" ca="1" si="169"/>
        <v>0</v>
      </c>
      <c r="AA107" s="51">
        <f t="shared" ca="1" si="150"/>
        <v>0</v>
      </c>
      <c r="AB107" s="51">
        <f t="shared" ca="1" si="151"/>
        <v>0</v>
      </c>
      <c r="AC107" s="49"/>
      <c r="AD107" s="125">
        <f t="shared" ref="AD107:AF107" ca="1" si="170">SUM(AD108:AD109)</f>
        <v>0</v>
      </c>
      <c r="AE107" s="126">
        <f t="shared" ca="1" si="170"/>
        <v>0</v>
      </c>
      <c r="AF107" s="126">
        <f t="shared" ca="1" si="170"/>
        <v>0</v>
      </c>
      <c r="AG107" s="68">
        <f t="shared" ca="1" si="152"/>
        <v>0</v>
      </c>
      <c r="AH107" s="69">
        <f t="shared" ca="1" si="153"/>
        <v>0</v>
      </c>
    </row>
    <row r="108" spans="1:34" s="40" customFormat="1" ht="12" hidden="1" customHeight="1" outlineLevel="1" thickTop="1">
      <c r="A108" s="78" t="s">
        <v>38</v>
      </c>
      <c r="B108" s="35"/>
      <c r="C108" s="35"/>
      <c r="D108" s="49" t="str">
        <f ca="1">_xll.DBRA("tango_core_model:indicator",A108,Language)</f>
        <v>G&amp;A Overhead costs - Vector Reconciliation</v>
      </c>
      <c r="E108" s="49"/>
      <c r="F108" s="50">
        <f ca="1">_xll.DBRW($B$3,F$6,$B$5,$B$4,$B$6,F$7,$B$9,F$4,F$5,$A108)*F$8</f>
        <v>0</v>
      </c>
      <c r="G108" s="50">
        <f ca="1">_xll.DBRW($B$3,G$6,$B$5,$B$4,$B$6,G$7,$B$9,G$4,G$5,$A108)*G$8</f>
        <v>0</v>
      </c>
      <c r="H108" s="50">
        <f ca="1">_xll.DBRW($B$3,H$6,$B$5,$B$4,$B$6,H$7,$B$9,H$4,H$5,$A108)*H$8</f>
        <v>0</v>
      </c>
      <c r="I108" s="51">
        <f t="shared" ca="1" si="141"/>
        <v>0</v>
      </c>
      <c r="J108" s="51">
        <f t="shared" ca="1" si="142"/>
        <v>0</v>
      </c>
      <c r="K108" s="49"/>
      <c r="L108" s="50">
        <f ca="1">_xll.DBRW($B$3,L$6,$B$5,$B$4,$B$6,L$7,$B$9,L$4,L$5,$A108)*L$8</f>
        <v>0</v>
      </c>
      <c r="M108" s="50">
        <f ca="1">_xll.DBRW($B$3,M$6,$B$5,$B$4,$B$6,M$7,$B$9,M$4,M$5,$A108)*M$8</f>
        <v>0</v>
      </c>
      <c r="N108" s="50">
        <f ca="1">_xll.DBRW($B$3,N$6,$B$5,$B$4,$B$6,N$7,$B$9,N$4,N$5,$A108)*N$8</f>
        <v>0</v>
      </c>
      <c r="O108" s="51">
        <f t="shared" ca="1" si="143"/>
        <v>0</v>
      </c>
      <c r="P108" s="51">
        <f t="shared" ca="1" si="144"/>
        <v>0</v>
      </c>
      <c r="Q108" s="49"/>
      <c r="R108" s="50">
        <f ca="1">_xll.DBRW($B$3,R$6,$B$5,$B$4,$B$6,R$7,$B$9,R$4,R$5,$A108)*R$8</f>
        <v>0</v>
      </c>
      <c r="S108" s="50">
        <f ca="1">_xll.DBRW($B$3,S$6,$B$5,$B$4,$B$6,S$7,$B$9,S$4,S$5,$A108)*S$8</f>
        <v>0</v>
      </c>
      <c r="T108" s="50">
        <f ca="1">_xll.DBRW($B$3,T$6,$B$5,$B$4,$B$6,T$7,$B$9,T$4,T$5,$A108)*T$8</f>
        <v>0</v>
      </c>
      <c r="U108" s="51">
        <f t="shared" ca="1" si="145"/>
        <v>0</v>
      </c>
      <c r="V108" s="51">
        <f t="shared" ca="1" si="146"/>
        <v>0</v>
      </c>
      <c r="W108" s="49"/>
      <c r="X108" s="50">
        <f t="shared" ref="X108:X109" ca="1" si="171">AD108-(F108+L108+R108)</f>
        <v>0</v>
      </c>
      <c r="Y108" s="50">
        <f t="shared" ref="Y108:Y109" ca="1" si="172">AE108-(G108+M108+S108)</f>
        <v>0</v>
      </c>
      <c r="Z108" s="50">
        <f t="shared" ref="Z108:Z109" ca="1" si="173">AF108-(H108+N108+T108)</f>
        <v>0</v>
      </c>
      <c r="AA108" s="51">
        <f t="shared" ca="1" si="150"/>
        <v>0</v>
      </c>
      <c r="AB108" s="51">
        <f t="shared" ca="1" si="151"/>
        <v>0</v>
      </c>
      <c r="AC108" s="49"/>
      <c r="AD108" s="52">
        <f ca="1">_xll.DBRW($B$3,AD$6,$B$5,$B$4,$B$6,AD$7,$B$9,AD$4,AD$5,$A108)*AD$8</f>
        <v>0</v>
      </c>
      <c r="AE108" s="50">
        <f ca="1">_xll.DBRW($B$3,AE$6,$B$5,$B$4,$B$6,AE$7,$B$9,AE$4,AE$5,$A108)*AE$8</f>
        <v>0</v>
      </c>
      <c r="AF108" s="50">
        <f ca="1">_xll.DBRW($B$3,AF$6,$B$5,$B$4,$B$6,AF$7,$B$9,AF$4,AF$5,$A108)*AF$8</f>
        <v>0</v>
      </c>
      <c r="AG108" s="51">
        <f t="shared" ca="1" si="152"/>
        <v>0</v>
      </c>
      <c r="AH108" s="53">
        <f t="shared" ca="1" si="153"/>
        <v>0</v>
      </c>
    </row>
    <row r="109" spans="1:34" s="40" customFormat="1" ht="12" hidden="1" customHeight="1" outlineLevel="1">
      <c r="A109" s="78" t="s">
        <v>109</v>
      </c>
      <c r="B109" s="35"/>
      <c r="C109" s="35"/>
      <c r="D109" s="49" t="str">
        <f ca="1">_xll.DBRA("tango_core_model:indicator",A109,Language)</f>
        <v>Business development expenses - Vector Reconciliation</v>
      </c>
      <c r="E109" s="49"/>
      <c r="F109" s="50">
        <f ca="1">_xll.DBRW($B$3,F$6,$B$5,$B$4,$B$6,F$7,$B$9,F$4,F$5,$A109)*F$8</f>
        <v>0</v>
      </c>
      <c r="G109" s="50">
        <f ca="1">_xll.DBRW($B$3,G$6,$B$5,$B$4,$B$6,G$7,$B$9,G$4,G$5,$A109)*G$8</f>
        <v>0</v>
      </c>
      <c r="H109" s="50">
        <f ca="1">_xll.DBRW($B$3,H$6,$B$5,$B$4,$B$6,H$7,$B$9,H$4,H$5,$A109)*H$8</f>
        <v>0</v>
      </c>
      <c r="I109" s="51">
        <f t="shared" ca="1" si="141"/>
        <v>0</v>
      </c>
      <c r="J109" s="51">
        <f t="shared" ca="1" si="142"/>
        <v>0</v>
      </c>
      <c r="K109" s="49"/>
      <c r="L109" s="50">
        <f ca="1">_xll.DBRW($B$3,L$6,$B$5,$B$4,$B$6,L$7,$B$9,L$4,L$5,$A109)*L$8</f>
        <v>0</v>
      </c>
      <c r="M109" s="50">
        <f ca="1">_xll.DBRW($B$3,M$6,$B$5,$B$4,$B$6,M$7,$B$9,M$4,M$5,$A109)*M$8</f>
        <v>0</v>
      </c>
      <c r="N109" s="50">
        <f ca="1">_xll.DBRW($B$3,N$6,$B$5,$B$4,$B$6,N$7,$B$9,N$4,N$5,$A109)*N$8</f>
        <v>0</v>
      </c>
      <c r="O109" s="51">
        <f t="shared" ca="1" si="143"/>
        <v>0</v>
      </c>
      <c r="P109" s="51">
        <f t="shared" ca="1" si="144"/>
        <v>0</v>
      </c>
      <c r="Q109" s="49"/>
      <c r="R109" s="50">
        <f ca="1">_xll.DBRW($B$3,R$6,$B$5,$B$4,$B$6,R$7,$B$9,R$4,R$5,$A109)*R$8</f>
        <v>0</v>
      </c>
      <c r="S109" s="50">
        <f ca="1">_xll.DBRW($B$3,S$6,$B$5,$B$4,$B$6,S$7,$B$9,S$4,S$5,$A109)*S$8</f>
        <v>0</v>
      </c>
      <c r="T109" s="50">
        <f ca="1">_xll.DBRW($B$3,T$6,$B$5,$B$4,$B$6,T$7,$B$9,T$4,T$5,$A109)*T$8</f>
        <v>0</v>
      </c>
      <c r="U109" s="51">
        <f t="shared" ca="1" si="145"/>
        <v>0</v>
      </c>
      <c r="V109" s="51">
        <f t="shared" ca="1" si="146"/>
        <v>0</v>
      </c>
      <c r="W109" s="49"/>
      <c r="X109" s="50">
        <f t="shared" ca="1" si="171"/>
        <v>0</v>
      </c>
      <c r="Y109" s="50">
        <f t="shared" ca="1" si="172"/>
        <v>0</v>
      </c>
      <c r="Z109" s="50">
        <f t="shared" ca="1" si="173"/>
        <v>0</v>
      </c>
      <c r="AA109" s="51">
        <f t="shared" ca="1" si="150"/>
        <v>0</v>
      </c>
      <c r="AB109" s="51">
        <f t="shared" ca="1" si="151"/>
        <v>0</v>
      </c>
      <c r="AC109" s="49"/>
      <c r="AD109" s="52">
        <f ca="1">_xll.DBRW($B$3,AD$6,$B$5,$B$4,$B$6,AD$7,$B$9,AD$4,AD$5,$A109)*AD$8</f>
        <v>0</v>
      </c>
      <c r="AE109" s="50">
        <f ca="1">_xll.DBRW($B$3,AE$6,$B$5,$B$4,$B$6,AE$7,$B$9,AE$4,AE$5,$A109)*AE$8</f>
        <v>0</v>
      </c>
      <c r="AF109" s="50">
        <f ca="1">_xll.DBRW($B$3,AF$6,$B$5,$B$4,$B$6,AF$7,$B$9,AF$4,AF$5,$A109)*AF$8</f>
        <v>0</v>
      </c>
      <c r="AG109" s="51">
        <f t="shared" ca="1" si="152"/>
        <v>0</v>
      </c>
      <c r="AH109" s="53">
        <f t="shared" ca="1" si="153"/>
        <v>0</v>
      </c>
    </row>
    <row r="110" spans="1:34" ht="12.75" collapsed="1" thickTop="1"/>
    <row r="114" spans="3:34">
      <c r="C114" s="29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</row>
  </sheetData>
  <mergeCells count="32">
    <mergeCell ref="L13:P13"/>
    <mergeCell ref="O14:O15"/>
    <mergeCell ref="D1:AH1"/>
    <mergeCell ref="AL4:BA4"/>
    <mergeCell ref="X13:AB13"/>
    <mergeCell ref="AA14:AA15"/>
    <mergeCell ref="AB14:AB15"/>
    <mergeCell ref="AD13:AH13"/>
    <mergeCell ref="AG14:AG15"/>
    <mergeCell ref="AH14:AH15"/>
    <mergeCell ref="P14:P15"/>
    <mergeCell ref="R13:V13"/>
    <mergeCell ref="U14:U15"/>
    <mergeCell ref="V14:V15"/>
    <mergeCell ref="F13:J13"/>
    <mergeCell ref="I14:I15"/>
    <mergeCell ref="J14:J15"/>
    <mergeCell ref="AD53:AH53"/>
    <mergeCell ref="I54:I55"/>
    <mergeCell ref="J54:J55"/>
    <mergeCell ref="O54:O55"/>
    <mergeCell ref="P54:P55"/>
    <mergeCell ref="U54:U55"/>
    <mergeCell ref="V54:V55"/>
    <mergeCell ref="AA54:AA55"/>
    <mergeCell ref="AB54:AB55"/>
    <mergeCell ref="AG54:AG55"/>
    <mergeCell ref="AH54:AH55"/>
    <mergeCell ref="F53:J53"/>
    <mergeCell ref="L53:P53"/>
    <mergeCell ref="R53:V53"/>
    <mergeCell ref="X53:AB53"/>
  </mergeCells>
  <pageMargins left="0.19685039370078741" right="0.19685039370078741" top="0.59055118110236227" bottom="0.59055118110236227" header="0.31496062992125984" footer="0.31496062992125984"/>
  <pageSetup paperSize="9" scale="54" orientation="portrait" r:id="rId1"/>
  <headerFooter alignWithMargins="0">
    <oddFooter>&amp;L&amp;Z
&amp;F&amp;C&amp;A&amp;R&amp;D&amp;T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FF0000"/>
    <pageSetUpPr fitToPage="1"/>
  </sheetPr>
  <dimension ref="A1:BF39"/>
  <sheetViews>
    <sheetView showGridLines="0" topLeftCell="C1" zoomScaleNormal="100" workbookViewId="0">
      <selection activeCell="B18" sqref="B18:B1048572"/>
    </sheetView>
  </sheetViews>
  <sheetFormatPr baseColWidth="10" defaultRowHeight="12" outlineLevelRow="1" outlineLevelCol="2"/>
  <cols>
    <col min="1" max="1" width="16.140625" style="29" hidden="1" customWidth="1"/>
    <col min="2" max="2" width="23.7109375" style="29" hidden="1" customWidth="1"/>
    <col min="3" max="3" width="5.7109375" style="30" customWidth="1"/>
    <col min="4" max="4" width="29.85546875" style="30" bestFit="1" customWidth="1"/>
    <col min="5" max="5" width="16.5703125" style="30" customWidth="1"/>
    <col min="6" max="6" width="1.140625" style="30" customWidth="1"/>
    <col min="7" max="9" width="8.7109375" style="29" customWidth="1"/>
    <col min="10" max="10" width="7.7109375" style="62" hidden="1" customWidth="1" outlineLevel="1"/>
    <col min="11" max="11" width="5.85546875" style="62" hidden="1" customWidth="1" outlineLevel="1"/>
    <col min="12" max="12" width="1.140625" style="30" customWidth="1" collapsed="1"/>
    <col min="13" max="13" width="8.7109375" style="29" customWidth="1"/>
    <col min="14" max="15" width="8.7109375" style="29" hidden="1" customWidth="1" outlineLevel="1"/>
    <col min="16" max="16" width="7.7109375" style="62" hidden="1" customWidth="1" outlineLevel="2"/>
    <col min="17" max="17" width="5.85546875" style="62" hidden="1" customWidth="1" outlineLevel="2"/>
    <col min="18" max="18" width="0.5703125" style="30" customWidth="1" collapsed="1"/>
    <col min="19" max="19" width="8.7109375" style="29" customWidth="1"/>
    <col min="20" max="21" width="8.7109375" style="29" hidden="1" customWidth="1" outlineLevel="1"/>
    <col min="22" max="22" width="7.7109375" style="62" hidden="1" customWidth="1" outlineLevel="1"/>
    <col min="23" max="23" width="5.85546875" style="62" hidden="1" customWidth="1" outlineLevel="1"/>
    <col min="24" max="24" width="0.5703125" style="30" customWidth="1" collapsed="1"/>
    <col min="25" max="25" width="8.7109375" style="29" customWidth="1"/>
    <col min="26" max="27" width="8.7109375" style="29" hidden="1" customWidth="1" outlineLevel="1"/>
    <col min="28" max="28" width="7.7109375" style="62" hidden="1" customWidth="1" outlineLevel="1"/>
    <col min="29" max="29" width="5.85546875" style="62" hidden="1" customWidth="1" outlineLevel="1"/>
    <col min="30" max="30" width="0.5703125" style="30" customWidth="1" collapsed="1"/>
    <col min="31" max="31" width="8.7109375" style="29" customWidth="1"/>
    <col min="32" max="33" width="8.7109375" style="29" hidden="1" customWidth="1" outlineLevel="1"/>
    <col min="34" max="35" width="7.7109375" style="62" hidden="1" customWidth="1" outlineLevel="1"/>
    <col min="36" max="36" width="0.140625" style="62" hidden="1" customWidth="1" outlineLevel="1"/>
    <col min="37" max="37" width="0.5703125" style="30" customWidth="1" collapsed="1"/>
    <col min="38" max="38" width="8.7109375" style="29" customWidth="1"/>
    <col min="39" max="40" width="8.7109375" style="29" hidden="1" customWidth="1" outlineLevel="1"/>
    <col min="41" max="41" width="7.7109375" style="62" hidden="1" customWidth="1" outlineLevel="1"/>
    <col min="42" max="42" width="5.85546875" style="62" hidden="1" customWidth="1" outlineLevel="1"/>
    <col min="43" max="43" width="1.140625" style="30" customWidth="1" collapsed="1"/>
    <col min="44" max="46" width="8.7109375" style="29" customWidth="1"/>
    <col min="47" max="47" width="7.7109375" style="62" hidden="1" customWidth="1" outlineLevel="1"/>
    <col min="48" max="48" width="5.85546875" style="62" hidden="1" customWidth="1" outlineLevel="1"/>
    <col min="49" max="49" width="1.140625" style="30" customWidth="1" collapsed="1"/>
    <col min="50" max="52" width="8.7109375" style="29" customWidth="1"/>
    <col min="53" max="53" width="7.7109375" style="62" hidden="1" customWidth="1" outlineLevel="1"/>
    <col min="54" max="54" width="5.85546875" style="62" hidden="1" customWidth="1" outlineLevel="1"/>
    <col min="55" max="55" width="1.140625" style="30" customWidth="1" collapsed="1"/>
    <col min="56" max="58" width="8.7109375" style="29" customWidth="1"/>
    <col min="59" max="178" width="11.42578125" style="40"/>
    <col min="179" max="179" width="19.140625" style="40" customWidth="1"/>
    <col min="180" max="190" width="9.28515625" style="40" customWidth="1"/>
    <col min="191" max="434" width="11.42578125" style="40"/>
    <col min="435" max="435" width="19.140625" style="40" customWidth="1"/>
    <col min="436" max="446" width="9.28515625" style="40" customWidth="1"/>
    <col min="447" max="690" width="11.42578125" style="40"/>
    <col min="691" max="691" width="19.140625" style="40" customWidth="1"/>
    <col min="692" max="702" width="9.28515625" style="40" customWidth="1"/>
    <col min="703" max="946" width="11.42578125" style="40"/>
    <col min="947" max="947" width="19.140625" style="40" customWidth="1"/>
    <col min="948" max="958" width="9.28515625" style="40" customWidth="1"/>
    <col min="959" max="1202" width="11.42578125" style="40"/>
    <col min="1203" max="1203" width="19.140625" style="40" customWidth="1"/>
    <col min="1204" max="1214" width="9.28515625" style="40" customWidth="1"/>
    <col min="1215" max="1458" width="11.42578125" style="40"/>
    <col min="1459" max="1459" width="19.140625" style="40" customWidth="1"/>
    <col min="1460" max="1470" width="9.28515625" style="40" customWidth="1"/>
    <col min="1471" max="1714" width="11.42578125" style="40"/>
    <col min="1715" max="1715" width="19.140625" style="40" customWidth="1"/>
    <col min="1716" max="1726" width="9.28515625" style="40" customWidth="1"/>
    <col min="1727" max="1970" width="11.42578125" style="40"/>
    <col min="1971" max="1971" width="19.140625" style="40" customWidth="1"/>
    <col min="1972" max="1982" width="9.28515625" style="40" customWidth="1"/>
    <col min="1983" max="2226" width="11.42578125" style="40"/>
    <col min="2227" max="2227" width="19.140625" style="40" customWidth="1"/>
    <col min="2228" max="2238" width="9.28515625" style="40" customWidth="1"/>
    <col min="2239" max="2482" width="11.42578125" style="40"/>
    <col min="2483" max="2483" width="19.140625" style="40" customWidth="1"/>
    <col min="2484" max="2494" width="9.28515625" style="40" customWidth="1"/>
    <col min="2495" max="2738" width="11.42578125" style="40"/>
    <col min="2739" max="2739" width="19.140625" style="40" customWidth="1"/>
    <col min="2740" max="2750" width="9.28515625" style="40" customWidth="1"/>
    <col min="2751" max="2994" width="11.42578125" style="40"/>
    <col min="2995" max="2995" width="19.140625" style="40" customWidth="1"/>
    <col min="2996" max="3006" width="9.28515625" style="40" customWidth="1"/>
    <col min="3007" max="3250" width="11.42578125" style="40"/>
    <col min="3251" max="3251" width="19.140625" style="40" customWidth="1"/>
    <col min="3252" max="3262" width="9.28515625" style="40" customWidth="1"/>
    <col min="3263" max="3506" width="11.42578125" style="40"/>
    <col min="3507" max="3507" width="19.140625" style="40" customWidth="1"/>
    <col min="3508" max="3518" width="9.28515625" style="40" customWidth="1"/>
    <col min="3519" max="3762" width="11.42578125" style="40"/>
    <col min="3763" max="3763" width="19.140625" style="40" customWidth="1"/>
    <col min="3764" max="3774" width="9.28515625" style="40" customWidth="1"/>
    <col min="3775" max="4018" width="11.42578125" style="40"/>
    <col min="4019" max="4019" width="19.140625" style="40" customWidth="1"/>
    <col min="4020" max="4030" width="9.28515625" style="40" customWidth="1"/>
    <col min="4031" max="4274" width="11.42578125" style="40"/>
    <col min="4275" max="4275" width="19.140625" style="40" customWidth="1"/>
    <col min="4276" max="4286" width="9.28515625" style="40" customWidth="1"/>
    <col min="4287" max="4530" width="11.42578125" style="40"/>
    <col min="4531" max="4531" width="19.140625" style="40" customWidth="1"/>
    <col min="4532" max="4542" width="9.28515625" style="40" customWidth="1"/>
    <col min="4543" max="4786" width="11.42578125" style="40"/>
    <col min="4787" max="4787" width="19.140625" style="40" customWidth="1"/>
    <col min="4788" max="4798" width="9.28515625" style="40" customWidth="1"/>
    <col min="4799" max="5042" width="11.42578125" style="40"/>
    <col min="5043" max="5043" width="19.140625" style="40" customWidth="1"/>
    <col min="5044" max="5054" width="9.28515625" style="40" customWidth="1"/>
    <col min="5055" max="5298" width="11.42578125" style="40"/>
    <col min="5299" max="5299" width="19.140625" style="40" customWidth="1"/>
    <col min="5300" max="5310" width="9.28515625" style="40" customWidth="1"/>
    <col min="5311" max="5554" width="11.42578125" style="40"/>
    <col min="5555" max="5555" width="19.140625" style="40" customWidth="1"/>
    <col min="5556" max="5566" width="9.28515625" style="40" customWidth="1"/>
    <col min="5567" max="5810" width="11.42578125" style="40"/>
    <col min="5811" max="5811" width="19.140625" style="40" customWidth="1"/>
    <col min="5812" max="5822" width="9.28515625" style="40" customWidth="1"/>
    <col min="5823" max="6066" width="11.42578125" style="40"/>
    <col min="6067" max="6067" width="19.140625" style="40" customWidth="1"/>
    <col min="6068" max="6078" width="9.28515625" style="40" customWidth="1"/>
    <col min="6079" max="6322" width="11.42578125" style="40"/>
    <col min="6323" max="6323" width="19.140625" style="40" customWidth="1"/>
    <col min="6324" max="6334" width="9.28515625" style="40" customWidth="1"/>
    <col min="6335" max="6578" width="11.42578125" style="40"/>
    <col min="6579" max="6579" width="19.140625" style="40" customWidth="1"/>
    <col min="6580" max="6590" width="9.28515625" style="40" customWidth="1"/>
    <col min="6591" max="6834" width="11.42578125" style="40"/>
    <col min="6835" max="6835" width="19.140625" style="40" customWidth="1"/>
    <col min="6836" max="6846" width="9.28515625" style="40" customWidth="1"/>
    <col min="6847" max="7090" width="11.42578125" style="40"/>
    <col min="7091" max="7091" width="19.140625" style="40" customWidth="1"/>
    <col min="7092" max="7102" width="9.28515625" style="40" customWidth="1"/>
    <col min="7103" max="7346" width="11.42578125" style="40"/>
    <col min="7347" max="7347" width="19.140625" style="40" customWidth="1"/>
    <col min="7348" max="7358" width="9.28515625" style="40" customWidth="1"/>
    <col min="7359" max="7602" width="11.42578125" style="40"/>
    <col min="7603" max="7603" width="19.140625" style="40" customWidth="1"/>
    <col min="7604" max="7614" width="9.28515625" style="40" customWidth="1"/>
    <col min="7615" max="7858" width="11.42578125" style="40"/>
    <col min="7859" max="7859" width="19.140625" style="40" customWidth="1"/>
    <col min="7860" max="7870" width="9.28515625" style="40" customWidth="1"/>
    <col min="7871" max="8114" width="11.42578125" style="40"/>
    <col min="8115" max="8115" width="19.140625" style="40" customWidth="1"/>
    <col min="8116" max="8126" width="9.28515625" style="40" customWidth="1"/>
    <col min="8127" max="8370" width="11.42578125" style="40"/>
    <col min="8371" max="8371" width="19.140625" style="40" customWidth="1"/>
    <col min="8372" max="8382" width="9.28515625" style="40" customWidth="1"/>
    <col min="8383" max="8626" width="11.42578125" style="40"/>
    <col min="8627" max="8627" width="19.140625" style="40" customWidth="1"/>
    <col min="8628" max="8638" width="9.28515625" style="40" customWidth="1"/>
    <col min="8639" max="8882" width="11.42578125" style="40"/>
    <col min="8883" max="8883" width="19.140625" style="40" customWidth="1"/>
    <col min="8884" max="8894" width="9.28515625" style="40" customWidth="1"/>
    <col min="8895" max="9138" width="11.42578125" style="40"/>
    <col min="9139" max="9139" width="19.140625" style="40" customWidth="1"/>
    <col min="9140" max="9150" width="9.28515625" style="40" customWidth="1"/>
    <col min="9151" max="9394" width="11.42578125" style="40"/>
    <col min="9395" max="9395" width="19.140625" style="40" customWidth="1"/>
    <col min="9396" max="9406" width="9.28515625" style="40" customWidth="1"/>
    <col min="9407" max="9650" width="11.42578125" style="40"/>
    <col min="9651" max="9651" width="19.140625" style="40" customWidth="1"/>
    <col min="9652" max="9662" width="9.28515625" style="40" customWidth="1"/>
    <col min="9663" max="9906" width="11.42578125" style="40"/>
    <col min="9907" max="9907" width="19.140625" style="40" customWidth="1"/>
    <col min="9908" max="9918" width="9.28515625" style="40" customWidth="1"/>
    <col min="9919" max="10162" width="11.42578125" style="40"/>
    <col min="10163" max="10163" width="19.140625" style="40" customWidth="1"/>
    <col min="10164" max="10174" width="9.28515625" style="40" customWidth="1"/>
    <col min="10175" max="10418" width="11.42578125" style="40"/>
    <col min="10419" max="10419" width="19.140625" style="40" customWidth="1"/>
    <col min="10420" max="10430" width="9.28515625" style="40" customWidth="1"/>
    <col min="10431" max="10674" width="11.42578125" style="40"/>
    <col min="10675" max="10675" width="19.140625" style="40" customWidth="1"/>
    <col min="10676" max="10686" width="9.28515625" style="40" customWidth="1"/>
    <col min="10687" max="10930" width="11.42578125" style="40"/>
    <col min="10931" max="10931" width="19.140625" style="40" customWidth="1"/>
    <col min="10932" max="10942" width="9.28515625" style="40" customWidth="1"/>
    <col min="10943" max="11186" width="11.42578125" style="40"/>
    <col min="11187" max="11187" width="19.140625" style="40" customWidth="1"/>
    <col min="11188" max="11198" width="9.28515625" style="40" customWidth="1"/>
    <col min="11199" max="11442" width="11.42578125" style="40"/>
    <col min="11443" max="11443" width="19.140625" style="40" customWidth="1"/>
    <col min="11444" max="11454" width="9.28515625" style="40" customWidth="1"/>
    <col min="11455" max="11698" width="11.42578125" style="40"/>
    <col min="11699" max="11699" width="19.140625" style="40" customWidth="1"/>
    <col min="11700" max="11710" width="9.28515625" style="40" customWidth="1"/>
    <col min="11711" max="11954" width="11.42578125" style="40"/>
    <col min="11955" max="11955" width="19.140625" style="40" customWidth="1"/>
    <col min="11956" max="11966" width="9.28515625" style="40" customWidth="1"/>
    <col min="11967" max="12210" width="11.42578125" style="40"/>
    <col min="12211" max="12211" width="19.140625" style="40" customWidth="1"/>
    <col min="12212" max="12222" width="9.28515625" style="40" customWidth="1"/>
    <col min="12223" max="12466" width="11.42578125" style="40"/>
    <col min="12467" max="12467" width="19.140625" style="40" customWidth="1"/>
    <col min="12468" max="12478" width="9.28515625" style="40" customWidth="1"/>
    <col min="12479" max="12722" width="11.42578125" style="40"/>
    <col min="12723" max="12723" width="19.140625" style="40" customWidth="1"/>
    <col min="12724" max="12734" width="9.28515625" style="40" customWidth="1"/>
    <col min="12735" max="12978" width="11.42578125" style="40"/>
    <col min="12979" max="12979" width="19.140625" style="40" customWidth="1"/>
    <col min="12980" max="12990" width="9.28515625" style="40" customWidth="1"/>
    <col min="12991" max="13234" width="11.42578125" style="40"/>
    <col min="13235" max="13235" width="19.140625" style="40" customWidth="1"/>
    <col min="13236" max="13246" width="9.28515625" style="40" customWidth="1"/>
    <col min="13247" max="13490" width="11.42578125" style="40"/>
    <col min="13491" max="13491" width="19.140625" style="40" customWidth="1"/>
    <col min="13492" max="13502" width="9.28515625" style="40" customWidth="1"/>
    <col min="13503" max="13746" width="11.42578125" style="40"/>
    <col min="13747" max="13747" width="19.140625" style="40" customWidth="1"/>
    <col min="13748" max="13758" width="9.28515625" style="40" customWidth="1"/>
    <col min="13759" max="14002" width="11.42578125" style="40"/>
    <col min="14003" max="14003" width="19.140625" style="40" customWidth="1"/>
    <col min="14004" max="14014" width="9.28515625" style="40" customWidth="1"/>
    <col min="14015" max="14258" width="11.42578125" style="40"/>
    <col min="14259" max="14259" width="19.140625" style="40" customWidth="1"/>
    <col min="14260" max="14270" width="9.28515625" style="40" customWidth="1"/>
    <col min="14271" max="14514" width="11.42578125" style="40"/>
    <col min="14515" max="14515" width="19.140625" style="40" customWidth="1"/>
    <col min="14516" max="14526" width="9.28515625" style="40" customWidth="1"/>
    <col min="14527" max="14770" width="11.42578125" style="40"/>
    <col min="14771" max="14771" width="19.140625" style="40" customWidth="1"/>
    <col min="14772" max="14782" width="9.28515625" style="40" customWidth="1"/>
    <col min="14783" max="15026" width="11.42578125" style="40"/>
    <col min="15027" max="15027" width="19.140625" style="40" customWidth="1"/>
    <col min="15028" max="15038" width="9.28515625" style="40" customWidth="1"/>
    <col min="15039" max="15282" width="11.42578125" style="40"/>
    <col min="15283" max="15283" width="19.140625" style="40" customWidth="1"/>
    <col min="15284" max="15294" width="9.28515625" style="40" customWidth="1"/>
    <col min="15295" max="15538" width="11.42578125" style="40"/>
    <col min="15539" max="15539" width="19.140625" style="40" customWidth="1"/>
    <col min="15540" max="15550" width="9.28515625" style="40" customWidth="1"/>
    <col min="15551" max="15794" width="11.42578125" style="40"/>
    <col min="15795" max="15795" width="19.140625" style="40" customWidth="1"/>
    <col min="15796" max="15806" width="9.28515625" style="40" customWidth="1"/>
    <col min="15807" max="16050" width="11.42578125" style="40"/>
    <col min="16051" max="16051" width="19.140625" style="40" customWidth="1"/>
    <col min="16052" max="16062" width="9.28515625" style="40" customWidth="1"/>
    <col min="16063" max="16384" width="11.42578125" style="40"/>
  </cols>
  <sheetData>
    <row r="1" spans="1:58" s="123" customFormat="1" ht="39" customHeight="1">
      <c r="A1" s="119"/>
      <c r="B1" s="119"/>
      <c r="C1" s="260" t="str">
        <f ca="1">IF(Language="English",UPPER(_xll.DBRA("tango_core_model:legal_organization",Country,Language))&amp;"  - OPERATING DASHBOARD BY CONTRACT - TOP 20- "&amp;_xll.DBRA("tango_core_model:gaap",Gaap,Language),UPPER(_xll.DBRA("tango_core_model:legal_organization",Country,Language))&amp;"  - DASHBOARD OPERATIONNEL PAR CONTRAT - TOP 20- "&amp;_xll.DBRA("tango_core_model:gaap",Gaap,Language))</f>
        <v>NOT AFFECTED  - OPERATING DASHBOARD BY CONTRACT - TOP 20- Local Gaap Management tool</v>
      </c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0"/>
      <c r="AP1" s="260"/>
      <c r="AQ1" s="260"/>
      <c r="AR1" s="260"/>
      <c r="AS1" s="260"/>
      <c r="AT1" s="260"/>
      <c r="AU1" s="260"/>
      <c r="AV1" s="260"/>
      <c r="AW1" s="260"/>
      <c r="AX1" s="260"/>
      <c r="AY1" s="260"/>
      <c r="AZ1" s="260"/>
      <c r="BA1" s="260"/>
      <c r="BB1" s="260"/>
      <c r="BC1" s="260"/>
      <c r="BD1" s="260"/>
      <c r="BE1" s="260"/>
      <c r="BF1" s="260"/>
    </row>
    <row r="2" spans="1:58" s="123" customFormat="1">
      <c r="A2" s="17"/>
      <c r="B2" s="17"/>
      <c r="C2" s="17"/>
      <c r="D2" s="17"/>
      <c r="E2" s="17"/>
      <c r="F2" s="18"/>
      <c r="G2" s="186"/>
      <c r="H2" s="187"/>
      <c r="I2" s="187"/>
      <c r="J2" s="188"/>
      <c r="K2" s="188"/>
      <c r="L2" s="18"/>
      <c r="M2" s="186"/>
      <c r="N2" s="187"/>
      <c r="O2" s="187"/>
      <c r="P2" s="188"/>
      <c r="Q2" s="188"/>
      <c r="R2" s="18"/>
      <c r="S2" s="186"/>
      <c r="T2" s="187"/>
      <c r="U2" s="187"/>
      <c r="V2" s="188"/>
      <c r="W2" s="188"/>
      <c r="X2" s="18"/>
      <c r="Y2" s="186"/>
      <c r="Z2" s="187"/>
      <c r="AA2" s="187"/>
      <c r="AB2" s="188"/>
      <c r="AC2" s="188"/>
      <c r="AD2" s="18"/>
      <c r="AE2" s="186"/>
      <c r="AF2" s="187"/>
      <c r="AG2" s="187"/>
      <c r="AH2" s="188"/>
      <c r="AI2" s="188"/>
      <c r="AJ2" s="188"/>
      <c r="AK2" s="18"/>
      <c r="AL2" s="186"/>
      <c r="AM2" s="187"/>
      <c r="AN2" s="187"/>
      <c r="AO2" s="188"/>
      <c r="AP2" s="188"/>
      <c r="AQ2" s="18"/>
      <c r="AR2" s="186"/>
      <c r="AS2" s="187"/>
      <c r="AT2" s="187"/>
      <c r="AU2" s="188"/>
      <c r="AV2" s="188"/>
      <c r="AW2" s="18"/>
      <c r="AX2" s="186"/>
      <c r="AY2" s="187"/>
      <c r="AZ2" s="187"/>
      <c r="BA2" s="188"/>
      <c r="BB2" s="188"/>
      <c r="BC2" s="18"/>
      <c r="BD2" s="186"/>
      <c r="BE2" s="187"/>
      <c r="BF2" s="187"/>
    </row>
    <row r="3" spans="1:58" s="35" customFormat="1" hidden="1" outlineLevel="1">
      <c r="A3" s="71" t="s">
        <v>27</v>
      </c>
      <c r="B3" s="71" t="str">
        <f>Cube</f>
        <v>tango_core_model:Report_PL</v>
      </c>
      <c r="C3" s="1"/>
      <c r="D3" s="1"/>
      <c r="E3" s="22"/>
      <c r="F3" s="189"/>
      <c r="G3" s="190"/>
      <c r="H3" s="190"/>
      <c r="I3" s="190"/>
      <c r="J3" s="191"/>
      <c r="K3" s="192"/>
      <c r="L3" s="189"/>
      <c r="M3" s="190"/>
      <c r="N3" s="190"/>
      <c r="O3" s="190"/>
      <c r="P3" s="191"/>
      <c r="Q3" s="192"/>
      <c r="R3" s="189"/>
      <c r="S3" s="190"/>
      <c r="T3" s="190"/>
      <c r="U3" s="190"/>
      <c r="V3" s="191"/>
      <c r="W3" s="192"/>
      <c r="X3" s="189"/>
      <c r="Y3" s="190"/>
      <c r="Z3" s="190"/>
      <c r="AA3" s="190"/>
      <c r="AB3" s="191"/>
      <c r="AC3" s="192"/>
      <c r="AD3" s="189"/>
      <c r="AE3" s="190"/>
      <c r="AF3" s="190"/>
      <c r="AG3" s="190"/>
      <c r="AH3" s="191"/>
      <c r="AI3" s="191"/>
      <c r="AJ3" s="192"/>
      <c r="AK3" s="189"/>
      <c r="AL3" s="190"/>
      <c r="AM3" s="190"/>
      <c r="AN3" s="190"/>
      <c r="AO3" s="191"/>
      <c r="AP3" s="192"/>
      <c r="AQ3" s="189"/>
      <c r="AR3" s="190"/>
      <c r="AS3" s="190"/>
      <c r="AT3" s="190"/>
      <c r="AU3" s="191"/>
      <c r="AV3" s="192"/>
      <c r="AW3" s="189"/>
      <c r="AX3" s="190"/>
      <c r="AY3" s="190"/>
      <c r="AZ3" s="190"/>
      <c r="BA3" s="191"/>
      <c r="BB3" s="192"/>
      <c r="BC3" s="189"/>
      <c r="BD3" s="190"/>
      <c r="BE3" s="190"/>
      <c r="BF3" s="190"/>
    </row>
    <row r="4" spans="1:58" s="28" customFormat="1" ht="24" hidden="1" outlineLevel="1">
      <c r="A4" s="72" t="s">
        <v>22</v>
      </c>
      <c r="B4" s="72" t="str">
        <f ca="1">Gaap</f>
        <v>Local Gaap Management tool</v>
      </c>
      <c r="C4" s="184"/>
      <c r="D4" s="25"/>
      <c r="E4" s="70" t="s">
        <v>32</v>
      </c>
      <c r="G4" s="70" t="str">
        <f ca="1">Context!$E$16</f>
        <v>2019.02_YTD</v>
      </c>
      <c r="H4" s="70" t="str">
        <f ca="1">Context!$F$16</f>
        <v>2019.02_YTD</v>
      </c>
      <c r="I4" s="70" t="str">
        <f ca="1">Context!$G$16</f>
        <v>2018.02_YTD</v>
      </c>
      <c r="J4" s="75"/>
      <c r="K4" s="75"/>
      <c r="M4" s="70" t="str">
        <f ca="1">Context!$E$16</f>
        <v>2019.02_YTD</v>
      </c>
      <c r="N4" s="70" t="str">
        <f ca="1">Context!$F$16</f>
        <v>2019.02_YTD</v>
      </c>
      <c r="O4" s="70" t="str">
        <f ca="1">Context!$G$16</f>
        <v>2018.02_YTD</v>
      </c>
      <c r="P4" s="75"/>
      <c r="Q4" s="75"/>
      <c r="S4" s="70" t="str">
        <f ca="1">Context!$E$16</f>
        <v>2019.02_YTD</v>
      </c>
      <c r="T4" s="70" t="str">
        <f ca="1">Context!$F$16</f>
        <v>2019.02_YTD</v>
      </c>
      <c r="U4" s="70" t="str">
        <f ca="1">Context!$G$16</f>
        <v>2018.02_YTD</v>
      </c>
      <c r="V4" s="75"/>
      <c r="W4" s="75"/>
      <c r="Y4" s="70" t="str">
        <f ca="1">Context!$E$16</f>
        <v>2019.02_YTD</v>
      </c>
      <c r="Z4" s="70" t="str">
        <f ca="1">Context!$F$16</f>
        <v>2019.02_YTD</v>
      </c>
      <c r="AA4" s="70" t="str">
        <f ca="1">Context!$G$16</f>
        <v>2018.02_YTD</v>
      </c>
      <c r="AB4" s="75"/>
      <c r="AC4" s="75"/>
      <c r="AE4" s="70" t="str">
        <f ca="1">Context!$E$16</f>
        <v>2019.02_YTD</v>
      </c>
      <c r="AF4" s="70" t="str">
        <f ca="1">Context!$F$16</f>
        <v>2019.02_YTD</v>
      </c>
      <c r="AG4" s="70" t="str">
        <f ca="1">Context!$G$16</f>
        <v>2018.02_YTD</v>
      </c>
      <c r="AH4" s="75"/>
      <c r="AI4" s="75"/>
      <c r="AJ4" s="75"/>
      <c r="AL4" s="70" t="str">
        <f ca="1">Context!$E$16</f>
        <v>2019.02_YTD</v>
      </c>
      <c r="AM4" s="70" t="str">
        <f ca="1">Context!$F$16</f>
        <v>2019.02_YTD</v>
      </c>
      <c r="AN4" s="70" t="str">
        <f ca="1">Context!$G$16</f>
        <v>2018.02_YTD</v>
      </c>
      <c r="AO4" s="75"/>
      <c r="AP4" s="75"/>
      <c r="AR4" s="70" t="str">
        <f ca="1">Context!$E$16</f>
        <v>2019.02_YTD</v>
      </c>
      <c r="AS4" s="70" t="str">
        <f ca="1">Context!$F$16</f>
        <v>2019.02_YTD</v>
      </c>
      <c r="AT4" s="70" t="str">
        <f ca="1">Context!$G$16</f>
        <v>2018.02_YTD</v>
      </c>
      <c r="AU4" s="75"/>
      <c r="AV4" s="75"/>
      <c r="AX4" s="70" t="str">
        <f ca="1">Context!$E$16</f>
        <v>2019.02_YTD</v>
      </c>
      <c r="AY4" s="70" t="str">
        <f ca="1">Context!$F$16</f>
        <v>2019.02_YTD</v>
      </c>
      <c r="AZ4" s="70" t="str">
        <f ca="1">Context!$G$16</f>
        <v>2018.02_YTD</v>
      </c>
      <c r="BA4" s="75"/>
      <c r="BB4" s="75"/>
      <c r="BD4" s="70" t="str">
        <f ca="1">Context!$E$16</f>
        <v>2019.02_YTD</v>
      </c>
      <c r="BE4" s="70" t="str">
        <f ca="1">Context!$F$16</f>
        <v>2019.02_YTD</v>
      </c>
      <c r="BF4" s="70" t="str">
        <f ca="1">Context!$G$16</f>
        <v>2018.02_YTD</v>
      </c>
    </row>
    <row r="5" spans="1:58" s="122" customFormat="1" hidden="1" outlineLevel="1">
      <c r="A5" s="71" t="s">
        <v>25</v>
      </c>
      <c r="B5" s="71" t="str">
        <f ca="1">_xll.SUBNM("tango_core_model:Currency","","MEUR")</f>
        <v>MEUR</v>
      </c>
      <c r="C5" s="1"/>
      <c r="D5" s="1"/>
      <c r="E5" s="76" t="s">
        <v>33</v>
      </c>
      <c r="F5" s="22"/>
      <c r="G5" s="70" t="str">
        <f>Context!$E$17</f>
        <v>ACT_TOT</v>
      </c>
      <c r="H5" s="70" t="str">
        <f>Context!$F$17</f>
        <v>BUDG_VC_TOT</v>
      </c>
      <c r="I5" s="70" t="str">
        <f ca="1">Context!$G$17</f>
        <v>ACT_TOT</v>
      </c>
      <c r="J5" s="75"/>
      <c r="K5" s="77"/>
      <c r="L5" s="22"/>
      <c r="M5" s="70" t="str">
        <f>Context!$E$17</f>
        <v>ACT_TOT</v>
      </c>
      <c r="N5" s="70" t="str">
        <f>Context!$F$17</f>
        <v>BUDG_VC_TOT</v>
      </c>
      <c r="O5" s="70" t="str">
        <f ca="1">Context!$G$17</f>
        <v>ACT_TOT</v>
      </c>
      <c r="P5" s="75"/>
      <c r="Q5" s="77"/>
      <c r="R5" s="22"/>
      <c r="S5" s="70" t="str">
        <f>Context!$E$17</f>
        <v>ACT_TOT</v>
      </c>
      <c r="T5" s="70" t="str">
        <f>Context!$F$17</f>
        <v>BUDG_VC_TOT</v>
      </c>
      <c r="U5" s="70" t="str">
        <f ca="1">Context!$G$17</f>
        <v>ACT_TOT</v>
      </c>
      <c r="V5" s="75"/>
      <c r="W5" s="77"/>
      <c r="X5" s="22"/>
      <c r="Y5" s="70" t="str">
        <f>Context!$E$17</f>
        <v>ACT_TOT</v>
      </c>
      <c r="Z5" s="70" t="str">
        <f>Context!$F$17</f>
        <v>BUDG_VC_TOT</v>
      </c>
      <c r="AA5" s="70" t="str">
        <f ca="1">Context!$G$17</f>
        <v>ACT_TOT</v>
      </c>
      <c r="AB5" s="75"/>
      <c r="AC5" s="77"/>
      <c r="AD5" s="22"/>
      <c r="AE5" s="70" t="str">
        <f>Context!$E$17</f>
        <v>ACT_TOT</v>
      </c>
      <c r="AF5" s="70" t="str">
        <f>Context!$F$17</f>
        <v>BUDG_VC_TOT</v>
      </c>
      <c r="AG5" s="70" t="str">
        <f ca="1">Context!$G$17</f>
        <v>ACT_TOT</v>
      </c>
      <c r="AH5" s="75"/>
      <c r="AI5" s="75"/>
      <c r="AJ5" s="77"/>
      <c r="AK5" s="22"/>
      <c r="AL5" s="70" t="str">
        <f>Context!$E$17</f>
        <v>ACT_TOT</v>
      </c>
      <c r="AM5" s="70" t="str">
        <f>Context!$F$17</f>
        <v>BUDG_VC_TOT</v>
      </c>
      <c r="AN5" s="70" t="str">
        <f ca="1">Context!$G$17</f>
        <v>ACT_TOT</v>
      </c>
      <c r="AO5" s="75"/>
      <c r="AP5" s="77"/>
      <c r="AQ5" s="22"/>
      <c r="AR5" s="70" t="str">
        <f>Context!$E$17</f>
        <v>ACT_TOT</v>
      </c>
      <c r="AS5" s="70" t="str">
        <f>Context!$F$17</f>
        <v>BUDG_VC_TOT</v>
      </c>
      <c r="AT5" s="70" t="str">
        <f ca="1">Context!$G$17</f>
        <v>ACT_TOT</v>
      </c>
      <c r="AU5" s="75"/>
      <c r="AV5" s="77"/>
      <c r="AW5" s="22"/>
      <c r="AX5" s="70" t="str">
        <f>Context!$E$17</f>
        <v>ACT_TOT</v>
      </c>
      <c r="AY5" s="70" t="str">
        <f>Context!$F$17</f>
        <v>BUDG_VC_TOT</v>
      </c>
      <c r="AZ5" s="70" t="str">
        <f ca="1">Context!$G$17</f>
        <v>ACT_TOT</v>
      </c>
      <c r="BA5" s="75"/>
      <c r="BB5" s="77"/>
      <c r="BC5" s="22"/>
      <c r="BD5" s="70" t="str">
        <f>Context!$E$17</f>
        <v>ACT_TOT</v>
      </c>
      <c r="BE5" s="70" t="str">
        <f>Context!$F$17</f>
        <v>BUDG_VC_TOT</v>
      </c>
      <c r="BF5" s="70" t="str">
        <f ca="1">Context!$G$17</f>
        <v>ACT_TOT</v>
      </c>
    </row>
    <row r="6" spans="1:58" s="122" customFormat="1" ht="12.75" hidden="1" outlineLevel="1">
      <c r="A6" s="71" t="s">
        <v>23</v>
      </c>
      <c r="B6" s="71" t="str">
        <f ca="1">Integration_Rate</f>
        <v>APP</v>
      </c>
      <c r="C6" s="1"/>
      <c r="D6" s="1"/>
      <c r="E6" s="27" t="s">
        <v>115</v>
      </c>
      <c r="F6" s="22"/>
      <c r="G6" s="91" t="s">
        <v>128</v>
      </c>
      <c r="H6" s="70" t="str">
        <f>G6</f>
        <v>TPL10_dest_nosub</v>
      </c>
      <c r="I6" s="70" t="str">
        <f>H6</f>
        <v>TPL10_dest_nosub</v>
      </c>
      <c r="J6" s="75"/>
      <c r="K6" s="77"/>
      <c r="L6" s="22"/>
      <c r="M6" s="91" t="str">
        <f>Country!A26</f>
        <v>PL0000_DO</v>
      </c>
      <c r="N6" s="70" t="str">
        <f>M6</f>
        <v>PL0000_DO</v>
      </c>
      <c r="O6" s="70" t="str">
        <f>N6</f>
        <v>PL0000_DO</v>
      </c>
      <c r="P6" s="75"/>
      <c r="Q6" s="77"/>
      <c r="R6" s="22"/>
      <c r="S6" s="91" t="str">
        <f>Country!A27</f>
        <v>PL0000_MF</v>
      </c>
      <c r="T6" s="70" t="str">
        <f>S6</f>
        <v>PL0000_MF</v>
      </c>
      <c r="U6" s="70" t="str">
        <f>T6</f>
        <v>PL0000_MF</v>
      </c>
      <c r="V6" s="75"/>
      <c r="W6" s="77"/>
      <c r="X6" s="22"/>
      <c r="Y6" s="91" t="str">
        <f>Country!A28</f>
        <v>PL0000_ET</v>
      </c>
      <c r="Z6" s="70" t="str">
        <f>Y6</f>
        <v>PL0000_ET</v>
      </c>
      <c r="AA6" s="70" t="str">
        <f>Z6</f>
        <v>PL0000_ET</v>
      </c>
      <c r="AB6" s="75"/>
      <c r="AC6" s="77"/>
      <c r="AD6" s="22"/>
      <c r="AE6" s="91" t="str">
        <f>Country!A29</f>
        <v>PL0000_FL</v>
      </c>
      <c r="AF6" s="70" t="str">
        <f>AE6</f>
        <v>PL0000_FL</v>
      </c>
      <c r="AG6" s="70" t="str">
        <f>AF6</f>
        <v>PL0000_FL</v>
      </c>
      <c r="AH6" s="75"/>
      <c r="AI6" s="75"/>
      <c r="AJ6" s="77"/>
      <c r="AK6" s="22"/>
      <c r="AL6" s="91" t="str">
        <f>Country!A30</f>
        <v>PL0000_Other</v>
      </c>
      <c r="AM6" s="70" t="str">
        <f>AL6</f>
        <v>PL0000_Other</v>
      </c>
      <c r="AN6" s="70" t="str">
        <f>AM6</f>
        <v>PL0000_Other</v>
      </c>
      <c r="AO6" s="75"/>
      <c r="AP6" s="77"/>
      <c r="AQ6" s="22"/>
      <c r="AR6" s="91" t="str">
        <f>Country!A33</f>
        <v>GROSS_MARGIN_dest</v>
      </c>
      <c r="AS6" s="70" t="str">
        <f>AR6</f>
        <v>GROSS_MARGIN_dest</v>
      </c>
      <c r="AT6" s="70" t="str">
        <f>AS6</f>
        <v>GROSS_MARGIN_dest</v>
      </c>
      <c r="AU6" s="75"/>
      <c r="AV6" s="77"/>
      <c r="AW6" s="22"/>
      <c r="AX6" s="91" t="str">
        <f>Country!A48</f>
        <v>RESOP_bef_mgmt_fees</v>
      </c>
      <c r="AY6" s="70" t="str">
        <f>AX6</f>
        <v>RESOP_bef_mgmt_fees</v>
      </c>
      <c r="AZ6" s="70" t="str">
        <f>AY6</f>
        <v>RESOP_bef_mgmt_fees</v>
      </c>
      <c r="BA6" s="75"/>
      <c r="BB6" s="77"/>
      <c r="BC6" s="22"/>
      <c r="BD6" s="91">
        <f ca="1">Country!G48</f>
        <v>0</v>
      </c>
      <c r="BE6" s="70">
        <f ca="1">BD6</f>
        <v>0</v>
      </c>
      <c r="BF6" s="70">
        <f ca="1">BE6</f>
        <v>0</v>
      </c>
    </row>
    <row r="7" spans="1:58" s="124" customFormat="1" hidden="1" outlineLevel="1">
      <c r="A7" s="98" t="s">
        <v>26</v>
      </c>
      <c r="B7" s="98" t="str">
        <f ca="1">Country</f>
        <v>NA</v>
      </c>
      <c r="C7" s="99"/>
      <c r="D7" s="99"/>
      <c r="E7" s="98" t="s">
        <v>31</v>
      </c>
      <c r="F7" s="99"/>
      <c r="G7" s="98">
        <f ca="1">IF(LEFT(G4,1)="F",_xll.DBR("tango_core_model:ST_Currency",G4,MID(G5,1,LEN(G5)-4),Devise,"EUR",$E$7),_xll.DBR("tango_core_model:ST_Currency",LEFT(G4,7),MID(G5,1,LEN(G5)-4),Devise,"EUR",$E$7))</f>
        <v>1</v>
      </c>
      <c r="H7" s="98">
        <f ca="1">IF(LEFT(H4,1)="F",_xll.DBR("tango_core_model:ST_Currency",H4,MID(H5,1,LEN(H5)-4),Devise,"EUR",$E$7),_xll.DBR("tango_core_model:ST_Currency",LEFT(H4,7),MID(H5,1,LEN(H5)-4),Devise,"EUR",$E$7))</f>
        <v>1</v>
      </c>
      <c r="I7" s="98">
        <f ca="1">IF(LEFT(I4,1)="F",_xll.DBR("tango_core_model:ST_Currency",I4,MID(I5,1,LEN(I5)-4),Devise,"EUR",$E$7),_xll.DBR("tango_core_model:ST_Currency",LEFT(I4,7),MID(I5,1,LEN(I5)-4),Devise,"EUR",$E$7))</f>
        <v>1</v>
      </c>
      <c r="J7" s="100"/>
      <c r="K7" s="100"/>
      <c r="L7" s="99"/>
      <c r="M7" s="98">
        <f ca="1">IF(LEFT(M4,1)="F",_xll.DBR("tango_core_model:ST_Currency",M4,MID(M5,1,LEN(M5)-4),Devise,"EUR",$E$7),_xll.DBR("tango_core_model:ST_Currency",LEFT(M4,7),MID(M5,1,LEN(M5)-4),Devise,"EUR",$E$7))</f>
        <v>1</v>
      </c>
      <c r="N7" s="98">
        <f ca="1">IF(LEFT(N4,1)="F",_xll.DBR("tango_core_model:ST_Currency",N4,MID(N5,1,LEN(N5)-4),Devise,"EUR",$E$7),_xll.DBR("tango_core_model:ST_Currency",LEFT(N4,7),MID(N5,1,LEN(N5)-4),Devise,"EUR",$E$7))</f>
        <v>1</v>
      </c>
      <c r="O7" s="98">
        <f ca="1">IF(LEFT(O4,1)="F",_xll.DBR("tango_core_model:ST_Currency",O4,MID(O5,1,LEN(O5)-4),Devise,"EUR",$E$7),_xll.DBR("tango_core_model:ST_Currency",LEFT(O4,7),MID(O5,1,LEN(O5)-4),Devise,"EUR",$E$7))</f>
        <v>1</v>
      </c>
      <c r="P7" s="100"/>
      <c r="Q7" s="100"/>
      <c r="R7" s="99"/>
      <c r="S7" s="98">
        <f ca="1">IF(LEFT(S4,1)="F",_xll.DBR("tango_core_model:ST_Currency",S4,MID(S5,1,LEN(S5)-4),Devise,"EUR",$E$7),_xll.DBR("tango_core_model:ST_Currency",LEFT(S4,7),MID(S5,1,LEN(S5)-4),Devise,"EUR",$E$7))</f>
        <v>1</v>
      </c>
      <c r="T7" s="98">
        <f ca="1">IF(LEFT(T4,1)="F",_xll.DBR("tango_core_model:ST_Currency",T4,MID(T5,1,LEN(T5)-4),Devise,"EUR",$E$7),_xll.DBR("tango_core_model:ST_Currency",LEFT(T4,7),MID(T5,1,LEN(T5)-4),Devise,"EUR",$E$7))</f>
        <v>1</v>
      </c>
      <c r="U7" s="98">
        <f ca="1">IF(LEFT(U4,1)="F",_xll.DBR("tango_core_model:ST_Currency",U4,MID(U5,1,LEN(U5)-4),Devise,"EUR",$E$7),_xll.DBR("tango_core_model:ST_Currency",LEFT(U4,7),MID(U5,1,LEN(U5)-4),Devise,"EUR",$E$7))</f>
        <v>1</v>
      </c>
      <c r="V7" s="100"/>
      <c r="W7" s="100"/>
      <c r="X7" s="99"/>
      <c r="Y7" s="98">
        <f ca="1">IF(LEFT(Y4,1)="F",_xll.DBR("tango_core_model:ST_Currency",Y4,MID(Y5,1,LEN(Y5)-4),Devise,"EUR",$E$7),_xll.DBR("tango_core_model:ST_Currency",LEFT(Y4,7),MID(Y5,1,LEN(Y5)-4),Devise,"EUR",$E$7))</f>
        <v>1</v>
      </c>
      <c r="Z7" s="98">
        <f ca="1">IF(LEFT(Z4,1)="F",_xll.DBR("tango_core_model:ST_Currency",Z4,MID(Z5,1,LEN(Z5)-4),Devise,"EUR",$E$7),_xll.DBR("tango_core_model:ST_Currency",LEFT(Z4,7),MID(Z5,1,LEN(Z5)-4),Devise,"EUR",$E$7))</f>
        <v>1</v>
      </c>
      <c r="AA7" s="98">
        <f ca="1">IF(LEFT(AA4,1)="F",_xll.DBR("tango_core_model:ST_Currency",AA4,MID(AA5,1,LEN(AA5)-4),Devise,"EUR",$E$7),_xll.DBR("tango_core_model:ST_Currency",LEFT(AA4,7),MID(AA5,1,LEN(AA5)-4),Devise,"EUR",$E$7))</f>
        <v>1</v>
      </c>
      <c r="AB7" s="100"/>
      <c r="AC7" s="100"/>
      <c r="AD7" s="99"/>
      <c r="AE7" s="98">
        <f ca="1">IF(LEFT(AE4,1)="F",_xll.DBR("tango_core_model:ST_Currency",AE4,MID(AE5,1,LEN(AE5)-4),Devise,"EUR",$E$7),_xll.DBR("tango_core_model:ST_Currency",LEFT(AE4,7),MID(AE5,1,LEN(AE5)-4),Devise,"EUR",$E$7))</f>
        <v>1</v>
      </c>
      <c r="AF7" s="98">
        <f ca="1">IF(LEFT(AF4,1)="F",_xll.DBR("tango_core_model:ST_Currency",AF4,MID(AF5,1,LEN(AF5)-4),Devise,"EUR",$E$7),_xll.DBR("tango_core_model:ST_Currency",LEFT(AF4,7),MID(AF5,1,LEN(AF5)-4),Devise,"EUR",$E$7))</f>
        <v>1</v>
      </c>
      <c r="AG7" s="98">
        <f ca="1">IF(LEFT(AG4,1)="F",_xll.DBR("tango_core_model:ST_Currency",AG4,MID(AG5,1,LEN(AG5)-4),Devise,"EUR",$E$7),_xll.DBR("tango_core_model:ST_Currency",LEFT(AG4,7),MID(AG5,1,LEN(AG5)-4),Devise,"EUR",$E$7))</f>
        <v>1</v>
      </c>
      <c r="AH7" s="100"/>
      <c r="AI7" s="100"/>
      <c r="AJ7" s="100"/>
      <c r="AK7" s="99"/>
      <c r="AL7" s="98">
        <f ca="1">IF(LEFT(AL4,1)="F",_xll.DBR("tango_core_model:ST_Currency",AL4,MID(AL5,1,LEN(AL5)-4),Devise,"EUR",$E$7),_xll.DBR("tango_core_model:ST_Currency",LEFT(AL4,7),MID(AL5,1,LEN(AL5)-4),Devise,"EUR",$E$7))</f>
        <v>1</v>
      </c>
      <c r="AM7" s="98">
        <f ca="1">IF(LEFT(AM4,1)="F",_xll.DBR("tango_core_model:ST_Currency",AM4,MID(AM5,1,LEN(AM5)-4),Devise,"EUR",$E$7),_xll.DBR("tango_core_model:ST_Currency",LEFT(AM4,7),MID(AM5,1,LEN(AM5)-4),Devise,"EUR",$E$7))</f>
        <v>1</v>
      </c>
      <c r="AN7" s="98">
        <f ca="1">IF(LEFT(AN4,1)="F",_xll.DBR("tango_core_model:ST_Currency",AN4,MID(AN5,1,LEN(AN5)-4),Devise,"EUR",$E$7),_xll.DBR("tango_core_model:ST_Currency",LEFT(AN4,7),MID(AN5,1,LEN(AN5)-4),Devise,"EUR",$E$7))</f>
        <v>1</v>
      </c>
      <c r="AO7" s="100"/>
      <c r="AP7" s="100"/>
      <c r="AQ7" s="99"/>
      <c r="AR7" s="98">
        <f ca="1">IF(LEFT(AR4,1)="F",_xll.DBR("tango_core_model:ST_Currency",AR4,MID(AR5,1,LEN(AR5)-4),Devise,"EUR",$E$7),_xll.DBR("tango_core_model:ST_Currency",LEFT(AR4,7),MID(AR5,1,LEN(AR5)-4),Devise,"EUR",$E$7))</f>
        <v>1</v>
      </c>
      <c r="AS7" s="98">
        <f ca="1">IF(LEFT(AS4,1)="F",_xll.DBR("tango_core_model:ST_Currency",AS4,MID(AS5,1,LEN(AS5)-4),Devise,"EUR",$E$7),_xll.DBR("tango_core_model:ST_Currency",LEFT(AS4,7),MID(AS5,1,LEN(AS5)-4),Devise,"EUR",$E$7))</f>
        <v>1</v>
      </c>
      <c r="AT7" s="98">
        <f ca="1">IF(LEFT(AT4,1)="F",_xll.DBR("tango_core_model:ST_Currency",AT4,MID(AT5,1,LEN(AT5)-4),Devise,"EUR",$E$7),_xll.DBR("tango_core_model:ST_Currency",LEFT(AT4,7),MID(AT5,1,LEN(AT5)-4),Devise,"EUR",$E$7))</f>
        <v>1</v>
      </c>
      <c r="AU7" s="100"/>
      <c r="AV7" s="100"/>
      <c r="AW7" s="99"/>
      <c r="AX7" s="98">
        <f ca="1">IF(LEFT(AX4,1)="F",_xll.DBR("tango_core_model:ST_Currency",AX4,MID(AX5,1,LEN(AX5)-4),Devise,"EUR",$E$7),_xll.DBR("tango_core_model:ST_Currency",LEFT(AX4,7),MID(AX5,1,LEN(AX5)-4),Devise,"EUR",$E$7))</f>
        <v>1</v>
      </c>
      <c r="AY7" s="98">
        <f ca="1">IF(LEFT(AY4,1)="F",_xll.DBR("tango_core_model:ST_Currency",AY4,MID(AY5,1,LEN(AY5)-4),Devise,"EUR",$E$7),_xll.DBR("tango_core_model:ST_Currency",LEFT(AY4,7),MID(AY5,1,LEN(AY5)-4),Devise,"EUR",$E$7))</f>
        <v>1</v>
      </c>
      <c r="AZ7" s="98">
        <f ca="1">IF(LEFT(AZ4,1)="F",_xll.DBR("tango_core_model:ST_Currency",AZ4,MID(AZ5,1,LEN(AZ5)-4),Devise,"EUR",$E$7),_xll.DBR("tango_core_model:ST_Currency",LEFT(AZ4,7),MID(AZ5,1,LEN(AZ5)-4),Devise,"EUR",$E$7))</f>
        <v>1</v>
      </c>
      <c r="BA7" s="100"/>
      <c r="BB7" s="100"/>
      <c r="BC7" s="99"/>
      <c r="BD7" s="98">
        <f ca="1">IF(LEFT(BD4,1)="F",_xll.DBR("tango_core_model:ST_Currency",BD4,MID(BD5,1,LEN(BD5)-4),Devise,"EUR",$E$7),_xll.DBR("tango_core_model:ST_Currency",LEFT(BD4,7),MID(BD5,1,LEN(BD5)-4),Devise,"EUR",$E$7))</f>
        <v>1</v>
      </c>
      <c r="BE7" s="98">
        <f ca="1">IF(LEFT(BE4,1)="F",_xll.DBR("tango_core_model:ST_Currency",BE4,MID(BE5,1,LEN(BE5)-4),Devise,"EUR",$E$7),_xll.DBR("tango_core_model:ST_Currency",LEFT(BE4,7),MID(BE5,1,LEN(BE5)-4),Devise,"EUR",$E$7))</f>
        <v>1</v>
      </c>
      <c r="BF7" s="98">
        <f ca="1">IF(LEFT(BF4,1)="F",_xll.DBR("tango_core_model:ST_Currency",BF4,MID(BF5,1,LEN(BF5)-4),Devise,"EUR",$E$7),_xll.DBR("tango_core_model:ST_Currency",LEFT(BF4,7),MID(BF5,1,LEN(BF5)-4),Devise,"EUR",$E$7))</f>
        <v>1</v>
      </c>
    </row>
    <row r="8" spans="1:58" s="124" customFormat="1" hidden="1" outlineLevel="1">
      <c r="A8" s="101"/>
      <c r="B8" s="101"/>
      <c r="C8" s="185"/>
      <c r="D8" s="99"/>
      <c r="E8" s="102" t="s">
        <v>30</v>
      </c>
      <c r="F8" s="103"/>
      <c r="G8" s="98">
        <f ca="1">IF(LEFT(G4,1)="F",_xll.DBR("tango_core_model:ST_Currency",G4,MID(G5,1,LEN(G5)-4),Devise,"EUR",$E$8),_xll.DBR("tango_core_model:ST_Currency",LEFT(G4,7),MID(G5,1,LEN(G5)-4),Devise,"EUR",$E$8))</f>
        <v>1</v>
      </c>
      <c r="H8" s="98">
        <f ca="1">IF(LEFT(H4,1)="F",_xll.DBR("tango_core_model:ST_Currency",H4,MID(H5,1,LEN(H5)-4),Devise,"EUR",$E$8),_xll.DBR("tango_core_model:ST_Currency",LEFT(H4,7),MID(H5,1,LEN(H5)-4),Devise,"EUR",$E$8))</f>
        <v>1</v>
      </c>
      <c r="I8" s="98">
        <f ca="1">IF(LEFT(I4,1)="F",_xll.DBR("tango_core_model:ST_Currency",I4,MID(I5,1,LEN(I5)-4),Devise,"EUR",$E$8),_xll.DBR("tango_core_model:ST_Currency",LEFT(I4,7),MID(I5,1,LEN(I5)-4),Devise,"EUR",$E$8))</f>
        <v>1</v>
      </c>
      <c r="J8" s="100"/>
      <c r="K8" s="100"/>
      <c r="L8" s="103"/>
      <c r="M8" s="98">
        <f ca="1">IF(LEFT(M4,1)="F",_xll.DBR("tango_core_model:ST_Currency",M4,MID(M5,1,LEN(M5)-4),Devise,"EUR",$E$8),_xll.DBR("tango_core_model:ST_Currency",LEFT(M4,7),MID(M5,1,LEN(M5)-4),Devise,"EUR",$E$8))</f>
        <v>1</v>
      </c>
      <c r="N8" s="98">
        <f ca="1">IF(LEFT(N4,1)="F",_xll.DBR("tango_core_model:ST_Currency",N4,MID(N5,1,LEN(N5)-4),Devise,"EUR",$E$8),_xll.DBR("tango_core_model:ST_Currency",LEFT(N4,7),MID(N5,1,LEN(N5)-4),Devise,"EUR",$E$8))</f>
        <v>1</v>
      </c>
      <c r="O8" s="98">
        <f ca="1">IF(LEFT(O4,1)="F",_xll.DBR("tango_core_model:ST_Currency",O4,MID(O5,1,LEN(O5)-4),Devise,"EUR",$E$8),_xll.DBR("tango_core_model:ST_Currency",LEFT(O4,7),MID(O5,1,LEN(O5)-4),Devise,"EUR",$E$8))</f>
        <v>1</v>
      </c>
      <c r="P8" s="100"/>
      <c r="Q8" s="100"/>
      <c r="R8" s="103"/>
      <c r="S8" s="98">
        <f ca="1">IF(LEFT(S4,1)="F",_xll.DBR("tango_core_model:ST_Currency",S4,MID(S5,1,LEN(S5)-4),Devise,"EUR",$E$8),_xll.DBR("tango_core_model:ST_Currency",LEFT(S4,7),MID(S5,1,LEN(S5)-4),Devise,"EUR",$E$8))</f>
        <v>1</v>
      </c>
      <c r="T8" s="98">
        <f ca="1">IF(LEFT(T4,1)="F",_xll.DBR("tango_core_model:ST_Currency",T4,MID(T5,1,LEN(T5)-4),Devise,"EUR",$E$8),_xll.DBR("tango_core_model:ST_Currency",LEFT(T4,7),MID(T5,1,LEN(T5)-4),Devise,"EUR",$E$8))</f>
        <v>1</v>
      </c>
      <c r="U8" s="98">
        <f ca="1">IF(LEFT(U4,1)="F",_xll.DBR("tango_core_model:ST_Currency",U4,MID(U5,1,LEN(U5)-4),Devise,"EUR",$E$8),_xll.DBR("tango_core_model:ST_Currency",LEFT(U4,7),MID(U5,1,LEN(U5)-4),Devise,"EUR",$E$8))</f>
        <v>1</v>
      </c>
      <c r="V8" s="100"/>
      <c r="W8" s="100"/>
      <c r="X8" s="103"/>
      <c r="Y8" s="98">
        <f ca="1">IF(LEFT(Y4,1)="F",_xll.DBR("tango_core_model:ST_Currency",Y4,MID(Y5,1,LEN(Y5)-4),Devise,"EUR",$E$8),_xll.DBR("tango_core_model:ST_Currency",LEFT(Y4,7),MID(Y5,1,LEN(Y5)-4),Devise,"EUR",$E$8))</f>
        <v>1</v>
      </c>
      <c r="Z8" s="98">
        <f ca="1">IF(LEFT(Z4,1)="F",_xll.DBR("tango_core_model:ST_Currency",Z4,MID(Z5,1,LEN(Z5)-4),Devise,"EUR",$E$8),_xll.DBR("tango_core_model:ST_Currency",LEFT(Z4,7),MID(Z5,1,LEN(Z5)-4),Devise,"EUR",$E$8))</f>
        <v>1</v>
      </c>
      <c r="AA8" s="98">
        <f ca="1">IF(LEFT(AA4,1)="F",_xll.DBR("tango_core_model:ST_Currency",AA4,MID(AA5,1,LEN(AA5)-4),Devise,"EUR",$E$8),_xll.DBR("tango_core_model:ST_Currency",LEFT(AA4,7),MID(AA5,1,LEN(AA5)-4),Devise,"EUR",$E$8))</f>
        <v>1</v>
      </c>
      <c r="AB8" s="100"/>
      <c r="AC8" s="100"/>
      <c r="AD8" s="103"/>
      <c r="AE8" s="98">
        <f ca="1">IF(LEFT(AE4,1)="F",_xll.DBR("tango_core_model:ST_Currency",AE4,MID(AE5,1,LEN(AE5)-4),Devise,"EUR",$E$8),_xll.DBR("tango_core_model:ST_Currency",LEFT(AE4,7),MID(AE5,1,LEN(AE5)-4),Devise,"EUR",$E$8))</f>
        <v>1</v>
      </c>
      <c r="AF8" s="98">
        <f ca="1">IF(LEFT(AF4,1)="F",_xll.DBR("tango_core_model:ST_Currency",AF4,MID(AF5,1,LEN(AF5)-4),Devise,"EUR",$E$8),_xll.DBR("tango_core_model:ST_Currency",LEFT(AF4,7),MID(AF5,1,LEN(AF5)-4),Devise,"EUR",$E$8))</f>
        <v>1</v>
      </c>
      <c r="AG8" s="98">
        <f ca="1">IF(LEFT(AG4,1)="F",_xll.DBR("tango_core_model:ST_Currency",AG4,MID(AG5,1,LEN(AG5)-4),Devise,"EUR",$E$8),_xll.DBR("tango_core_model:ST_Currency",LEFT(AG4,7),MID(AG5,1,LEN(AG5)-4),Devise,"EUR",$E$8))</f>
        <v>1</v>
      </c>
      <c r="AH8" s="100"/>
      <c r="AI8" s="100"/>
      <c r="AJ8" s="100"/>
      <c r="AK8" s="103"/>
      <c r="AL8" s="98">
        <f ca="1">IF(LEFT(AL4,1)="F",_xll.DBR("tango_core_model:ST_Currency",AL4,MID(AL5,1,LEN(AL5)-4),Devise,"EUR",$E$8),_xll.DBR("tango_core_model:ST_Currency",LEFT(AL4,7),MID(AL5,1,LEN(AL5)-4),Devise,"EUR",$E$8))</f>
        <v>1</v>
      </c>
      <c r="AM8" s="98">
        <f ca="1">IF(LEFT(AM4,1)="F",_xll.DBR("tango_core_model:ST_Currency",AM4,MID(AM5,1,LEN(AM5)-4),Devise,"EUR",$E$8),_xll.DBR("tango_core_model:ST_Currency",LEFT(AM4,7),MID(AM5,1,LEN(AM5)-4),Devise,"EUR",$E$8))</f>
        <v>1</v>
      </c>
      <c r="AN8" s="98">
        <f ca="1">IF(LEFT(AN4,1)="F",_xll.DBR("tango_core_model:ST_Currency",AN4,MID(AN5,1,LEN(AN5)-4),Devise,"EUR",$E$8),_xll.DBR("tango_core_model:ST_Currency",LEFT(AN4,7),MID(AN5,1,LEN(AN5)-4),Devise,"EUR",$E$8))</f>
        <v>1</v>
      </c>
      <c r="AO8" s="100"/>
      <c r="AP8" s="100"/>
      <c r="AQ8" s="103"/>
      <c r="AR8" s="98">
        <f ca="1">IF(LEFT(AR4,1)="F",_xll.DBR("tango_core_model:ST_Currency",AR4,MID(AR5,1,LEN(AR5)-4),Devise,"EUR",$E$8),_xll.DBR("tango_core_model:ST_Currency",LEFT(AR4,7),MID(AR5,1,LEN(AR5)-4),Devise,"EUR",$E$8))</f>
        <v>1</v>
      </c>
      <c r="AS8" s="98">
        <f ca="1">IF(LEFT(AS4,1)="F",_xll.DBR("tango_core_model:ST_Currency",AS4,MID(AS5,1,LEN(AS5)-4),Devise,"EUR",$E$8),_xll.DBR("tango_core_model:ST_Currency",LEFT(AS4,7),MID(AS5,1,LEN(AS5)-4),Devise,"EUR",$E$8))</f>
        <v>1</v>
      </c>
      <c r="AT8" s="98">
        <f ca="1">IF(LEFT(AT4,1)="F",_xll.DBR("tango_core_model:ST_Currency",AT4,MID(AT5,1,LEN(AT5)-4),Devise,"EUR",$E$8),_xll.DBR("tango_core_model:ST_Currency",LEFT(AT4,7),MID(AT5,1,LEN(AT5)-4),Devise,"EUR",$E$8))</f>
        <v>1</v>
      </c>
      <c r="AU8" s="100"/>
      <c r="AV8" s="100"/>
      <c r="AW8" s="103"/>
      <c r="AX8" s="98">
        <f ca="1">IF(LEFT(AX4,1)="F",_xll.DBR("tango_core_model:ST_Currency",AX4,MID(AX5,1,LEN(AX5)-4),Devise,"EUR",$E$8),_xll.DBR("tango_core_model:ST_Currency",LEFT(AX4,7),MID(AX5,1,LEN(AX5)-4),Devise,"EUR",$E$8))</f>
        <v>1</v>
      </c>
      <c r="AY8" s="98">
        <f ca="1">IF(LEFT(AY4,1)="F",_xll.DBR("tango_core_model:ST_Currency",AY4,MID(AY5,1,LEN(AY5)-4),Devise,"EUR",$E$8),_xll.DBR("tango_core_model:ST_Currency",LEFT(AY4,7),MID(AY5,1,LEN(AY5)-4),Devise,"EUR",$E$8))</f>
        <v>1</v>
      </c>
      <c r="AZ8" s="98">
        <f ca="1">IF(LEFT(AZ4,1)="F",_xll.DBR("tango_core_model:ST_Currency",AZ4,MID(AZ5,1,LEN(AZ5)-4),Devise,"EUR",$E$8),_xll.DBR("tango_core_model:ST_Currency",LEFT(AZ4,7),MID(AZ5,1,LEN(AZ5)-4),Devise,"EUR",$E$8))</f>
        <v>1</v>
      </c>
      <c r="BA8" s="100"/>
      <c r="BB8" s="100"/>
      <c r="BC8" s="103"/>
      <c r="BD8" s="98">
        <f ca="1">IF(LEFT(BD4,1)="F",_xll.DBR("tango_core_model:ST_Currency",BD4,MID(BD5,1,LEN(BD5)-4),Devise,"EUR",$E$8),_xll.DBR("tango_core_model:ST_Currency",LEFT(BD4,7),MID(BD5,1,LEN(BD5)-4),Devise,"EUR",$E$8))</f>
        <v>1</v>
      </c>
      <c r="BE8" s="98">
        <f ca="1">IF(LEFT(BE4,1)="F",_xll.DBR("tango_core_model:ST_Currency",BE4,MID(BE5,1,LEN(BE5)-4),Devise,"EUR",$E$8),_xll.DBR("tango_core_model:ST_Currency",LEFT(BE4,7),MID(BE5,1,LEN(BE5)-4),Devise,"EUR",$E$8))</f>
        <v>1</v>
      </c>
      <c r="BF8" s="98">
        <f ca="1">IF(LEFT(BF4,1)="F",_xll.DBR("tango_core_model:ST_Currency",BF4,MID(BF5,1,LEN(BF5)-4),Devise,"EUR",$E$8),_xll.DBR("tango_core_model:ST_Currency",LEFT(BF4,7),MID(BF5,1,LEN(BF5)-4),Devise,"EUR",$E$8))</f>
        <v>1</v>
      </c>
    </row>
    <row r="9" spans="1:58" ht="12.75" hidden="1" outlineLevel="1">
      <c r="E9" s="31"/>
      <c r="F9" s="32"/>
      <c r="G9" s="33"/>
      <c r="H9" s="33"/>
      <c r="I9" s="33"/>
      <c r="J9" s="34"/>
      <c r="K9" s="34"/>
      <c r="L9" s="32"/>
      <c r="M9" s="91" t="s">
        <v>129</v>
      </c>
      <c r="N9" s="33"/>
      <c r="O9" s="33"/>
      <c r="P9" s="34"/>
      <c r="Q9" s="34"/>
      <c r="R9" s="32"/>
      <c r="S9" s="33"/>
      <c r="T9" s="33"/>
      <c r="U9" s="33"/>
      <c r="V9" s="34"/>
      <c r="W9" s="34"/>
      <c r="X9" s="32"/>
      <c r="Y9" s="33"/>
      <c r="Z9" s="33"/>
      <c r="AA9" s="33"/>
      <c r="AB9" s="34"/>
      <c r="AC9" s="34"/>
      <c r="AD9" s="32"/>
      <c r="AE9" s="33"/>
      <c r="AF9" s="33"/>
      <c r="AG9" s="33"/>
      <c r="AH9" s="34"/>
      <c r="AI9" s="34"/>
      <c r="AJ9" s="34"/>
      <c r="AK9" s="32"/>
      <c r="AL9" s="33"/>
      <c r="AM9" s="33"/>
      <c r="AN9" s="33"/>
      <c r="AO9" s="34"/>
      <c r="AP9" s="34"/>
      <c r="AQ9" s="32"/>
      <c r="AR9" s="33"/>
      <c r="AS9" s="33"/>
      <c r="AT9" s="33"/>
      <c r="AU9" s="34"/>
      <c r="AV9" s="34"/>
      <c r="AW9" s="32"/>
      <c r="AX9" s="33"/>
      <c r="AY9" s="33"/>
      <c r="AZ9" s="33"/>
      <c r="BA9" s="34"/>
      <c r="BB9" s="34"/>
      <c r="BC9" s="32"/>
      <c r="BD9" s="33"/>
      <c r="BE9" s="33"/>
      <c r="BF9" s="33"/>
    </row>
    <row r="10" spans="1:58" ht="27" collapsed="1" thickBot="1">
      <c r="E10" s="31"/>
      <c r="F10" s="32"/>
      <c r="G10" s="97" t="str">
        <f>IF(Language="English","Zoom by contract","Zoom par contrat")</f>
        <v>Zoom by contract</v>
      </c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7"/>
      <c r="BA10" s="97"/>
      <c r="BB10" s="97"/>
      <c r="BC10" s="97"/>
      <c r="BD10" s="97"/>
      <c r="BE10" s="97"/>
      <c r="BF10" s="97"/>
    </row>
    <row r="11" spans="1:58" ht="12.75" thickBot="1">
      <c r="F11" s="32"/>
      <c r="G11" s="33"/>
      <c r="H11" s="33"/>
      <c r="I11" s="33"/>
      <c r="J11" s="34"/>
      <c r="K11" s="34"/>
      <c r="L11" s="32"/>
      <c r="M11" s="33"/>
      <c r="N11" s="33"/>
      <c r="O11" s="33"/>
      <c r="P11" s="34"/>
      <c r="Q11" s="34"/>
      <c r="R11" s="32"/>
      <c r="S11" s="33"/>
      <c r="T11" s="33"/>
      <c r="U11" s="33"/>
      <c r="V11" s="34"/>
      <c r="W11" s="34"/>
      <c r="X11" s="32"/>
      <c r="Y11" s="33"/>
      <c r="Z11" s="33"/>
      <c r="AA11" s="33"/>
      <c r="AB11" s="34"/>
      <c r="AC11" s="34"/>
      <c r="AD11" s="32"/>
      <c r="AE11" s="33"/>
      <c r="AF11" s="33"/>
      <c r="AG11" s="33"/>
      <c r="AH11" s="34"/>
      <c r="AI11" s="34"/>
      <c r="AJ11" s="34"/>
      <c r="AK11" s="32"/>
      <c r="AL11" s="33"/>
      <c r="AM11" s="33"/>
      <c r="AN11" s="33"/>
      <c r="AO11" s="34"/>
      <c r="AP11" s="34"/>
      <c r="AQ11" s="32"/>
      <c r="AR11" s="33"/>
      <c r="AS11" s="33"/>
      <c r="AT11" s="33"/>
      <c r="AU11" s="34"/>
      <c r="AV11" s="34"/>
      <c r="AW11" s="32"/>
      <c r="AX11" s="33"/>
      <c r="AY11" s="33"/>
      <c r="AZ11" s="33"/>
      <c r="BA11" s="34"/>
      <c r="BB11" s="34"/>
      <c r="BC11" s="32"/>
      <c r="BD11" s="33"/>
      <c r="BE11" s="33"/>
      <c r="BF11" s="33"/>
    </row>
    <row r="12" spans="1:58" s="193" customFormat="1" ht="22.5" customHeight="1" thickBot="1">
      <c r="B12" s="194"/>
      <c r="C12" s="194"/>
      <c r="D12" s="194"/>
      <c r="F12" s="194"/>
      <c r="G12" s="265" t="str">
        <f ca="1">_xll.DBRA("tango_core_model:indicator",G6,Language)</f>
        <v>REVENUE FROM ORDINARY ACTIVITIES (ROA) net of subcontracted transport and reinvoicing</v>
      </c>
      <c r="H12" s="266"/>
      <c r="I12" s="266"/>
      <c r="J12" s="266"/>
      <c r="K12" s="267"/>
      <c r="L12" s="194"/>
      <c r="M12" s="271" t="str">
        <f ca="1">_xll.DBRA("tango_core_model:indicator",M9,Language)</f>
        <v>COST OF SALES (COS) net of subcontracted transport</v>
      </c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272"/>
      <c r="AJ12" s="272"/>
      <c r="AK12" s="272"/>
      <c r="AL12" s="272"/>
      <c r="AM12" s="272"/>
      <c r="AN12" s="272"/>
      <c r="AO12" s="272"/>
      <c r="AP12" s="273"/>
      <c r="AQ12" s="194"/>
      <c r="AR12" s="265" t="str">
        <f ca="1">_xll.DBRA("tango_core_model:indicator",AR6,Language)</f>
        <v>GROSS MARGIN (by destination)</v>
      </c>
      <c r="AS12" s="266"/>
      <c r="AT12" s="266"/>
      <c r="AU12" s="266"/>
      <c r="AV12" s="267"/>
      <c r="AW12" s="194"/>
      <c r="AX12" s="265" t="str">
        <f ca="1">_xll.DBRA("tango_core_model:indicator",AX6,Language)</f>
        <v>OPERATING PROFIT bef. Mgmt &amp; Brand fees</v>
      </c>
      <c r="AY12" s="266"/>
      <c r="AZ12" s="266"/>
      <c r="BA12" s="266"/>
      <c r="BB12" s="267"/>
      <c r="BC12" s="194"/>
      <c r="BD12" s="277" t="str">
        <f ca="1">AX12&amp;" %"</f>
        <v>OPERATING PROFIT bef. Mgmt &amp; Brand fees %</v>
      </c>
      <c r="BE12" s="278"/>
      <c r="BF12" s="278"/>
    </row>
    <row r="13" spans="1:58" s="193" customFormat="1" ht="22.5" customHeight="1" thickBot="1">
      <c r="B13" s="194"/>
      <c r="C13" s="194"/>
      <c r="D13" s="194"/>
      <c r="F13" s="194"/>
      <c r="G13" s="268"/>
      <c r="H13" s="269"/>
      <c r="I13" s="269"/>
      <c r="J13" s="269"/>
      <c r="K13" s="270"/>
      <c r="L13" s="194"/>
      <c r="M13" s="274" t="s">
        <v>19</v>
      </c>
      <c r="N13" s="275"/>
      <c r="O13" s="275"/>
      <c r="P13" s="275"/>
      <c r="Q13" s="276"/>
      <c r="R13" s="194"/>
      <c r="S13" s="274" t="s">
        <v>124</v>
      </c>
      <c r="T13" s="275"/>
      <c r="U13" s="275"/>
      <c r="V13" s="275"/>
      <c r="W13" s="276"/>
      <c r="X13" s="194"/>
      <c r="Y13" s="274" t="s">
        <v>125</v>
      </c>
      <c r="Z13" s="275"/>
      <c r="AA13" s="275"/>
      <c r="AB13" s="275"/>
      <c r="AC13" s="276"/>
      <c r="AD13" s="194"/>
      <c r="AE13" s="274" t="s">
        <v>126</v>
      </c>
      <c r="AF13" s="275"/>
      <c r="AG13" s="275"/>
      <c r="AH13" s="275"/>
      <c r="AI13" s="275"/>
      <c r="AJ13" s="276"/>
      <c r="AK13" s="194"/>
      <c r="AL13" s="274" t="s">
        <v>127</v>
      </c>
      <c r="AM13" s="275"/>
      <c r="AN13" s="275"/>
      <c r="AO13" s="275"/>
      <c r="AP13" s="276"/>
      <c r="AQ13" s="194"/>
      <c r="AR13" s="268"/>
      <c r="AS13" s="269"/>
      <c r="AT13" s="269"/>
      <c r="AU13" s="269"/>
      <c r="AV13" s="270"/>
      <c r="AW13" s="194"/>
      <c r="AX13" s="268"/>
      <c r="AY13" s="269"/>
      <c r="AZ13" s="269"/>
      <c r="BA13" s="269"/>
      <c r="BB13" s="270"/>
      <c r="BC13" s="194"/>
      <c r="BD13" s="279"/>
      <c r="BE13" s="280"/>
      <c r="BF13" s="280"/>
    </row>
    <row r="14" spans="1:58" s="193" customFormat="1" ht="15" customHeight="1">
      <c r="A14" s="196" t="s">
        <v>24</v>
      </c>
      <c r="B14" s="197" t="s">
        <v>28</v>
      </c>
      <c r="C14" s="194"/>
      <c r="D14" s="264" t="str">
        <f ca="1">_xll.DBRA("tango_core_model:gaap",B4,Language)</f>
        <v>Local Gaap Management tool</v>
      </c>
      <c r="E14" s="264"/>
      <c r="F14" s="194"/>
      <c r="G14" s="198" t="str">
        <f ca="1">SUBSTITUTE(G4,"_YTD","")</f>
        <v>2019.02</v>
      </c>
      <c r="H14" s="199" t="str">
        <f ca="1">SUBSTITUTE(H4,"_YTD","")</f>
        <v>2019.02</v>
      </c>
      <c r="I14" s="199" t="str">
        <f ca="1">SUBSTITUTE(I4,"_YTD","")</f>
        <v>2018.02</v>
      </c>
      <c r="J14" s="262" t="str">
        <f ca="1">IF(LEFT(H14,1)="F","Var vs "&amp;H15&amp;" "&amp;RIGHT(H14,4),"Var vs "&amp;H15&amp;" "&amp;LEFT(H14,4))</f>
        <v>Var vs BUDG_VC 2019</v>
      </c>
      <c r="K14" s="262" t="str">
        <f ca="1">IF(LEFT(I14,1)="F","Var vs "&amp;I15&amp;" "&amp;RIGHT(I14,4),"Var vs "&amp;I15&amp;" "&amp;LEFT(I14,4))</f>
        <v>Var vs ACT 2018</v>
      </c>
      <c r="L14" s="195"/>
      <c r="M14" s="200" t="str">
        <f ca="1">SUBSTITUTE(M4,"_YTD","")</f>
        <v>2019.02</v>
      </c>
      <c r="N14" s="199" t="str">
        <f ca="1">SUBSTITUTE(N4,"_YTD","")</f>
        <v>2019.02</v>
      </c>
      <c r="O14" s="199" t="str">
        <f ca="1">SUBSTITUTE(O4,"_YTD","")</f>
        <v>2018.02</v>
      </c>
      <c r="P14" s="262" t="str">
        <f ca="1">IF(LEFT(N14,1)="F","Var vs "&amp;N15&amp;" "&amp;RIGHT(N14,4),"Var vs "&amp;N15&amp;" "&amp;LEFT(N14,4))</f>
        <v>Var vs BUDG_VC 2019</v>
      </c>
      <c r="Q14" s="262" t="str">
        <f ca="1">IF(LEFT(O14,1)="F","Var vs "&amp;O15&amp;" "&amp;RIGHT(O14,4),"Var vs "&amp;O15&amp;" "&amp;LEFT(O14,4))</f>
        <v>Var vs ACT 2018</v>
      </c>
      <c r="R14" s="195"/>
      <c r="S14" s="200" t="str">
        <f ca="1">SUBSTITUTE(S4,"_YTD","")</f>
        <v>2019.02</v>
      </c>
      <c r="T14" s="199" t="str">
        <f ca="1">SUBSTITUTE(T4,"_YTD","")</f>
        <v>2019.02</v>
      </c>
      <c r="U14" s="199" t="str">
        <f ca="1">SUBSTITUTE(U4,"_YTD","")</f>
        <v>2018.02</v>
      </c>
      <c r="V14" s="262" t="str">
        <f ca="1">IF(LEFT(T14,1)="F","Var vs "&amp;T15&amp;" "&amp;RIGHT(T14,4),"Var vs "&amp;T15&amp;" "&amp;LEFT(T14,4))</f>
        <v>Var vs BUDG_VC 2019</v>
      </c>
      <c r="W14" s="262" t="str">
        <f ca="1">IF(LEFT(U14,1)="F","Var vs "&amp;U15&amp;" "&amp;RIGHT(U14,4),"Var vs "&amp;U15&amp;" "&amp;LEFT(U14,4))</f>
        <v>Var vs ACT 2018</v>
      </c>
      <c r="X14" s="195"/>
      <c r="Y14" s="200" t="str">
        <f ca="1">SUBSTITUTE(Y4,"_YTD","")</f>
        <v>2019.02</v>
      </c>
      <c r="Z14" s="199" t="str">
        <f ca="1">SUBSTITUTE(Z4,"_YTD","")</f>
        <v>2019.02</v>
      </c>
      <c r="AA14" s="199" t="str">
        <f ca="1">SUBSTITUTE(AA4,"_YTD","")</f>
        <v>2018.02</v>
      </c>
      <c r="AB14" s="262" t="str">
        <f ca="1">IF(LEFT(Z14,1)="F","Var vs "&amp;Z15&amp;" "&amp;RIGHT(Z14,4),"Var vs "&amp;Z15&amp;" "&amp;LEFT(Z14,4))</f>
        <v>Var vs BUDG_VC 2019</v>
      </c>
      <c r="AC14" s="262" t="str">
        <f ca="1">IF(LEFT(AA14,1)="F","Var vs "&amp;AA15&amp;" "&amp;RIGHT(AA14,4),"Var vs "&amp;AA15&amp;" "&amp;LEFT(AA14,4))</f>
        <v>Var vs ACT 2018</v>
      </c>
      <c r="AD14" s="195"/>
      <c r="AE14" s="200" t="str">
        <f ca="1">SUBSTITUTE(AE4,"_YTD","")</f>
        <v>2019.02</v>
      </c>
      <c r="AF14" s="199" t="str">
        <f ca="1">SUBSTITUTE(AF4,"_YTD","")</f>
        <v>2019.02</v>
      </c>
      <c r="AG14" s="199" t="str">
        <f ca="1">SUBSTITUTE(AG4,"_YTD","")</f>
        <v>2018.02</v>
      </c>
      <c r="AH14" s="262" t="str">
        <f ca="1">IF(LEFT(AF14,1)="F","Var vs "&amp;AF15&amp;" "&amp;RIGHT(AF14,4),"Var vs "&amp;AF15&amp;" "&amp;LEFT(AF14,4))</f>
        <v>Var vs BUDG_VC 2019</v>
      </c>
      <c r="AI14" s="262" t="str">
        <f ca="1">IF(LEFT(AG14,1)="F","Var vs "&amp;AG15&amp;" "&amp;RIGHT(AG14,4),"Var vs "&amp;AG15&amp;" "&amp;LEFT(AG14,4))</f>
        <v>Var vs ACT 2018</v>
      </c>
      <c r="AJ14" s="262" t="str">
        <f ca="1">"Var vs "&amp;AG15</f>
        <v>Var vs ACT</v>
      </c>
      <c r="AK14" s="195"/>
      <c r="AL14" s="200" t="str">
        <f ca="1">SUBSTITUTE(AL4,"_YTD","")</f>
        <v>2019.02</v>
      </c>
      <c r="AM14" s="199" t="str">
        <f ca="1">SUBSTITUTE(AM4,"_YTD","")</f>
        <v>2019.02</v>
      </c>
      <c r="AN14" s="199" t="str">
        <f ca="1">SUBSTITUTE(AN4,"_YTD","")</f>
        <v>2018.02</v>
      </c>
      <c r="AO14" s="262" t="str">
        <f ca="1">IF(LEFT(AM14,1)="F","Var vs "&amp;AM15&amp;" "&amp;RIGHT(AM14,4),"Var vs "&amp;AM15&amp;" "&amp;LEFT(AM14,4))</f>
        <v>Var vs BUDG_VC 2019</v>
      </c>
      <c r="AP14" s="262" t="str">
        <f ca="1">IF(LEFT(AN14,1)="F","Var vs "&amp;AN15&amp;" "&amp;RIGHT(AN14,4),"Var vs "&amp;AN15&amp;" "&amp;LEFT(AN14,4))</f>
        <v>Var vs ACT 2018</v>
      </c>
      <c r="AQ14" s="195"/>
      <c r="AR14" s="200" t="str">
        <f ca="1">SUBSTITUTE(AR4,"_YTD","")</f>
        <v>2019.02</v>
      </c>
      <c r="AS14" s="199" t="str">
        <f ca="1">SUBSTITUTE(AS4,"_YTD","")</f>
        <v>2019.02</v>
      </c>
      <c r="AT14" s="199" t="str">
        <f ca="1">SUBSTITUTE(AT4,"_YTD","")</f>
        <v>2018.02</v>
      </c>
      <c r="AU14" s="262" t="str">
        <f ca="1">IF(LEFT(AS14,1)="F","Var vs "&amp;AS15&amp;" "&amp;RIGHT(AS14,4),"Var vs "&amp;AS15&amp;" "&amp;LEFT(AS14,4))</f>
        <v>Var vs BUDG_VC 2019</v>
      </c>
      <c r="AV14" s="262" t="str">
        <f ca="1">IF(LEFT(AT14,1)="F","Var vs "&amp;AT15&amp;" "&amp;RIGHT(AT14,4),"Var vs "&amp;AT15&amp;" "&amp;LEFT(AT14,4))</f>
        <v>Var vs ACT 2018</v>
      </c>
      <c r="AW14" s="195"/>
      <c r="AX14" s="200" t="str">
        <f ca="1">SUBSTITUTE(AX4,"_YTD","")</f>
        <v>2019.02</v>
      </c>
      <c r="AY14" s="199" t="str">
        <f ca="1">SUBSTITUTE(AY4,"_YTD","")</f>
        <v>2019.02</v>
      </c>
      <c r="AZ14" s="199" t="str">
        <f ca="1">SUBSTITUTE(AZ4,"_YTD","")</f>
        <v>2018.02</v>
      </c>
      <c r="BA14" s="262" t="str">
        <f ca="1">IF(LEFT(AY14,1)="F","Var vs "&amp;AY15&amp;" "&amp;RIGHT(AY14,4),"Var vs "&amp;AY15&amp;" "&amp;LEFT(AY14,4))</f>
        <v>Var vs BUDG_VC 2019</v>
      </c>
      <c r="BB14" s="262" t="str">
        <f ca="1">IF(LEFT(AZ14,1)="F","Var vs "&amp;AZ15&amp;" "&amp;RIGHT(AZ14,4),"Var vs "&amp;AZ15&amp;" "&amp;LEFT(AZ14,4))</f>
        <v>Var vs ACT 2018</v>
      </c>
      <c r="BC14" s="195"/>
      <c r="BD14" s="233" t="str">
        <f ca="1">SUBSTITUTE(BD4,"_YTD","")</f>
        <v>2019.02</v>
      </c>
      <c r="BE14" s="234" t="str">
        <f ca="1">SUBSTITUTE(BE4,"_YTD","")</f>
        <v>2019.02</v>
      </c>
      <c r="BF14" s="234" t="str">
        <f ca="1">SUBSTITUTE(BF4,"_YTD","")</f>
        <v>2018.02</v>
      </c>
    </row>
    <row r="15" spans="1:58" s="193" customFormat="1" ht="15" customHeight="1">
      <c r="A15" s="194"/>
      <c r="B15" s="194"/>
      <c r="C15" s="194"/>
      <c r="D15" s="194"/>
      <c r="E15" s="201" t="str">
        <f ca="1">"M"&amp;Devise</f>
        <v>MEUR</v>
      </c>
      <c r="F15" s="194"/>
      <c r="G15" s="198" t="str">
        <f>SUBSTITUTE(G5,"_TOT","")</f>
        <v>ACT</v>
      </c>
      <c r="H15" s="199" t="str">
        <f>SUBSTITUTE(H5,"_TOT","")</f>
        <v>BUDG_VC</v>
      </c>
      <c r="I15" s="199" t="str">
        <f ca="1">SUBSTITUTE(I5,"_TOT","")</f>
        <v>ACT</v>
      </c>
      <c r="J15" s="263"/>
      <c r="K15" s="263"/>
      <c r="L15" s="195"/>
      <c r="M15" s="200" t="str">
        <f>SUBSTITUTE(M5,"_TOT","")</f>
        <v>ACT</v>
      </c>
      <c r="N15" s="199" t="str">
        <f>SUBSTITUTE(N5,"_TOT","")</f>
        <v>BUDG_VC</v>
      </c>
      <c r="O15" s="199" t="str">
        <f ca="1">SUBSTITUTE(O5,"_TOT","")</f>
        <v>ACT</v>
      </c>
      <c r="P15" s="263"/>
      <c r="Q15" s="263"/>
      <c r="R15" s="195"/>
      <c r="S15" s="200" t="str">
        <f>SUBSTITUTE(S5,"_TOT","")</f>
        <v>ACT</v>
      </c>
      <c r="T15" s="199" t="str">
        <f>SUBSTITUTE(T5,"_TOT","")</f>
        <v>BUDG_VC</v>
      </c>
      <c r="U15" s="199" t="str">
        <f ca="1">SUBSTITUTE(U5,"_TOT","")</f>
        <v>ACT</v>
      </c>
      <c r="V15" s="263"/>
      <c r="W15" s="263"/>
      <c r="X15" s="195"/>
      <c r="Y15" s="200" t="str">
        <f>SUBSTITUTE(Y5,"_TOT","")</f>
        <v>ACT</v>
      </c>
      <c r="Z15" s="199" t="str">
        <f>SUBSTITUTE(Z5,"_TOT","")</f>
        <v>BUDG_VC</v>
      </c>
      <c r="AA15" s="199" t="str">
        <f ca="1">SUBSTITUTE(AA5,"_TOT","")</f>
        <v>ACT</v>
      </c>
      <c r="AB15" s="263"/>
      <c r="AC15" s="263"/>
      <c r="AD15" s="195"/>
      <c r="AE15" s="200" t="str">
        <f>SUBSTITUTE(AE5,"_TOT","")</f>
        <v>ACT</v>
      </c>
      <c r="AF15" s="199" t="str">
        <f>SUBSTITUTE(AF5,"_TOT","")</f>
        <v>BUDG_VC</v>
      </c>
      <c r="AG15" s="199" t="str">
        <f ca="1">SUBSTITUTE(AG5,"_TOT","")</f>
        <v>ACT</v>
      </c>
      <c r="AH15" s="263"/>
      <c r="AI15" s="263"/>
      <c r="AJ15" s="263"/>
      <c r="AK15" s="195"/>
      <c r="AL15" s="200" t="str">
        <f>SUBSTITUTE(AL5,"_TOT","")</f>
        <v>ACT</v>
      </c>
      <c r="AM15" s="199" t="str">
        <f>SUBSTITUTE(AM5,"_TOT","")</f>
        <v>BUDG_VC</v>
      </c>
      <c r="AN15" s="199" t="str">
        <f ca="1">SUBSTITUTE(AN5,"_TOT","")</f>
        <v>ACT</v>
      </c>
      <c r="AO15" s="263"/>
      <c r="AP15" s="263"/>
      <c r="AQ15" s="195"/>
      <c r="AR15" s="200" t="str">
        <f>SUBSTITUTE(AR5,"_TOT","")</f>
        <v>ACT</v>
      </c>
      <c r="AS15" s="199" t="str">
        <f>SUBSTITUTE(AS5,"_TOT","")</f>
        <v>BUDG_VC</v>
      </c>
      <c r="AT15" s="199" t="str">
        <f ca="1">SUBSTITUTE(AT5,"_TOT","")</f>
        <v>ACT</v>
      </c>
      <c r="AU15" s="263"/>
      <c r="AV15" s="263"/>
      <c r="AW15" s="195"/>
      <c r="AX15" s="200" t="str">
        <f>SUBSTITUTE(AX5,"_TOT","")</f>
        <v>ACT</v>
      </c>
      <c r="AY15" s="199" t="str">
        <f>SUBSTITUTE(AY5,"_TOT","")</f>
        <v>BUDG_VC</v>
      </c>
      <c r="AZ15" s="199" t="str">
        <f ca="1">SUBSTITUTE(AZ5,"_TOT","")</f>
        <v>ACT</v>
      </c>
      <c r="BA15" s="263"/>
      <c r="BB15" s="263"/>
      <c r="BC15" s="195"/>
      <c r="BD15" s="233" t="str">
        <f>SUBSTITUTE(BD5,"_TOT","")</f>
        <v>ACT</v>
      </c>
      <c r="BE15" s="234" t="str">
        <f>SUBSTITUTE(BE5,"_TOT","")</f>
        <v>BUDG_VC</v>
      </c>
      <c r="BF15" s="234" t="str">
        <f ca="1">SUBSTITUTE(BF5,"_TOT","")</f>
        <v>ACT</v>
      </c>
    </row>
    <row r="16" spans="1:58" s="208" customFormat="1" ht="12.75">
      <c r="A16" s="202"/>
      <c r="B16" s="193"/>
      <c r="C16" s="193"/>
      <c r="D16" s="193"/>
      <c r="E16" s="203"/>
      <c r="F16" s="204"/>
      <c r="G16" s="205"/>
      <c r="H16" s="206"/>
      <c r="I16" s="206"/>
      <c r="J16" s="207"/>
      <c r="K16" s="207"/>
      <c r="L16" s="204"/>
      <c r="M16" s="206"/>
      <c r="N16" s="206"/>
      <c r="O16" s="206"/>
      <c r="P16" s="207"/>
      <c r="Q16" s="207"/>
      <c r="R16" s="204"/>
      <c r="S16" s="206"/>
      <c r="T16" s="206"/>
      <c r="U16" s="206"/>
      <c r="V16" s="207"/>
      <c r="W16" s="207"/>
      <c r="X16" s="204"/>
      <c r="Y16" s="206"/>
      <c r="Z16" s="206"/>
      <c r="AA16" s="206"/>
      <c r="AB16" s="207"/>
      <c r="AC16" s="207"/>
      <c r="AD16" s="204"/>
      <c r="AE16" s="206"/>
      <c r="AF16" s="206"/>
      <c r="AG16" s="206"/>
      <c r="AH16" s="207"/>
      <c r="AI16" s="207"/>
      <c r="AJ16" s="207"/>
      <c r="AK16" s="204"/>
      <c r="AL16" s="206"/>
      <c r="AM16" s="206"/>
      <c r="AN16" s="206"/>
      <c r="AO16" s="207"/>
      <c r="AP16" s="207"/>
      <c r="AQ16" s="204"/>
      <c r="AR16" s="206"/>
      <c r="AS16" s="206"/>
      <c r="AT16" s="206"/>
      <c r="AU16" s="207"/>
      <c r="AV16" s="207"/>
      <c r="AW16" s="204"/>
      <c r="AX16" s="206"/>
      <c r="AY16" s="206"/>
      <c r="AZ16" s="206"/>
      <c r="BA16" s="207"/>
      <c r="BB16" s="207"/>
      <c r="BC16" s="204"/>
      <c r="BD16" s="206"/>
      <c r="BE16" s="206"/>
      <c r="BF16" s="206"/>
    </row>
    <row r="17" spans="1:58" s="87" customFormat="1" ht="19.5" customHeight="1">
      <c r="A17" s="209" t="s">
        <v>121</v>
      </c>
      <c r="B17" s="210" t="s">
        <v>130</v>
      </c>
      <c r="C17" s="211"/>
      <c r="D17" s="83" t="str">
        <f>IF(Language="French","Total contrats","Total contracts")</f>
        <v>Total contracts</v>
      </c>
      <c r="E17" s="83" t="str">
        <f ca="1">_xll.DBRA("tango_core_model:activity",A17,Language)</f>
        <v>All activity</v>
      </c>
      <c r="F17" s="84"/>
      <c r="G17" s="85">
        <f ca="1">_xll.DBRW($B$3,$A17,$B$5,$B$4,$B$6,$B$7,$B17,G$4,G$5,G$6)*G$7</f>
        <v>0</v>
      </c>
      <c r="H17" s="85">
        <f ca="1">_xll.DBRW($B$3,$A17,$B$5,$B$4,$B$6,$B$7,$B17,H$4,H$5,H$6)*H$7</f>
        <v>0</v>
      </c>
      <c r="I17" s="85">
        <f ca="1">_xll.DBRW($B$3,$A17,$B$5,$B$4,$B$6,$B$7,$B17,I$4,I$5,I$6)*I$7</f>
        <v>0</v>
      </c>
      <c r="J17" s="86">
        <f t="shared" ref="J17:J38" ca="1" si="0">IF(OR(G17="",H17=""),"-",IFERROR((G17-H17),""))</f>
        <v>0</v>
      </c>
      <c r="K17" s="86">
        <f t="shared" ref="K17:K38" ca="1" si="1">IF(OR(G17="",I17=""),"-",IFERROR((G17-I17),""))</f>
        <v>0</v>
      </c>
      <c r="L17" s="84"/>
      <c r="M17" s="85">
        <f ca="1">_xll.DBRW($B$3,$A17,$B$5,$B$4,$B$6,$B$7,$B17,M$4,M$5,M$6)*M$7</f>
        <v>0</v>
      </c>
      <c r="N17" s="85">
        <f ca="1">_xll.DBRW($B$3,$A17,$B$5,$B$4,$B$6,$B$7,$B17,N$4,N$5,N$6)*N$7</f>
        <v>0</v>
      </c>
      <c r="O17" s="85">
        <f ca="1">_xll.DBRW($B$3,$A17,$B$5,$B$4,$B$6,$B$7,$B17,O$4,O$5,O$6)*O$7</f>
        <v>0</v>
      </c>
      <c r="P17" s="86">
        <f t="shared" ref="P17:P38" ca="1" si="2">IF(OR(M17="",N17=""),"-",IFERROR((M17-N17),""))</f>
        <v>0</v>
      </c>
      <c r="Q17" s="86">
        <f t="shared" ref="Q17:Q38" ca="1" si="3">IF(OR(M17="",O17=""),"-",IFERROR((M17-O17),""))</f>
        <v>0</v>
      </c>
      <c r="R17" s="84"/>
      <c r="S17" s="85">
        <f ca="1">_xll.DBRW($B$3,$A17,$B$5,$B$4,$B$6,$B$7,$B17,S$4,S$5,S$6)*S$7</f>
        <v>0</v>
      </c>
      <c r="T17" s="85">
        <f ca="1">_xll.DBRW($B$3,$A17,$B$5,$B$4,$B$6,$B$7,$B17,T$4,T$5,T$6)*T$7</f>
        <v>0</v>
      </c>
      <c r="U17" s="85">
        <f ca="1">_xll.DBRW($B$3,$A17,$B$5,$B$4,$B$6,$B$7,$B17,U$4,U$5,U$6)*U$7</f>
        <v>0</v>
      </c>
      <c r="V17" s="86">
        <f t="shared" ref="V17:V38" ca="1" si="4">IF(OR(S17="",T17=""),"-",IFERROR((S17-T17),""))</f>
        <v>0</v>
      </c>
      <c r="W17" s="86">
        <f t="shared" ref="W17:W38" ca="1" si="5">IF(OR(S17="",U17=""),"-",IFERROR((S17-U17),""))</f>
        <v>0</v>
      </c>
      <c r="X17" s="84"/>
      <c r="Y17" s="85">
        <f ca="1">_xll.DBRW($B$3,$A17,$B$5,$B$4,$B$6,$B$7,$B17,Y$4,Y$5,Y$6)*Y$7</f>
        <v>0</v>
      </c>
      <c r="Z17" s="85">
        <f ca="1">_xll.DBRW($B$3,$A17,$B$5,$B$4,$B$6,$B$7,$B17,Z$4,Z$5,Z$6)*Z$7</f>
        <v>0</v>
      </c>
      <c r="AA17" s="85">
        <f ca="1">_xll.DBRW($B$3,$A17,$B$5,$B$4,$B$6,$B$7,$B17,AA$4,AA$5,AA$6)*AA$7</f>
        <v>0</v>
      </c>
      <c r="AB17" s="86">
        <f t="shared" ref="AB17:AB38" ca="1" si="6">IF(OR(Y17="",Z17=""),"-",IFERROR((Y17-Z17),""))</f>
        <v>0</v>
      </c>
      <c r="AC17" s="86">
        <f t="shared" ref="AC17:AC38" ca="1" si="7">IF(OR(Y17="",AA17=""),"-",IFERROR((Y17-AA17),""))</f>
        <v>0</v>
      </c>
      <c r="AD17" s="84"/>
      <c r="AE17" s="85">
        <f ca="1">_xll.DBRW($B$3,$A17,$B$5,$B$4,$B$6,$B$7,$B17,AE$4,AE$5,AE$6)*AE$7</f>
        <v>0</v>
      </c>
      <c r="AF17" s="85">
        <f ca="1">_xll.DBRW($B$3,$A17,$B$5,$B$4,$B$6,$B$7,$B17,AF$4,AF$5,AF$6)*AF$7</f>
        <v>0</v>
      </c>
      <c r="AG17" s="85">
        <f ca="1">_xll.DBRW($B$3,$A17,$B$5,$B$4,$B$6,$B$7,$B17,AG$4,AG$5,AG$6)*AG$7</f>
        <v>0</v>
      </c>
      <c r="AH17" s="86">
        <f t="shared" ref="AH17:AH38" ca="1" si="8">IF(OR(AE17="",AF17=""),"-",IFERROR((AE17-AF17),""))</f>
        <v>0</v>
      </c>
      <c r="AI17" s="86">
        <f t="shared" ref="AI17:AI38" ca="1" si="9">IF(OR(AE17="",AG17=""),"-",IFERROR((AE17-AG17),""))</f>
        <v>0</v>
      </c>
      <c r="AJ17" s="86">
        <f t="shared" ref="AJ17:AJ38" ca="1" si="10">IF(OR(AE17="",AG17=""),"-",IFERROR((AE17-AG17),""))</f>
        <v>0</v>
      </c>
      <c r="AK17" s="84"/>
      <c r="AL17" s="85">
        <f ca="1">_xll.DBRW($B$3,$A17,$B$5,$B$4,$B$6,$B$7,$B17,AL$4,AL$5,AL$6)*AL$7</f>
        <v>0</v>
      </c>
      <c r="AM17" s="85">
        <f ca="1">_xll.DBRW($B$3,$A17,$B$5,$B$4,$B$6,$B$7,$B17,AM$4,AM$5,AM$6)*AM$7</f>
        <v>0</v>
      </c>
      <c r="AN17" s="85">
        <f ca="1">_xll.DBRW($B$3,$A17,$B$5,$B$4,$B$6,$B$7,$B17,AN$4,AN$5,AN$6)*AN$7</f>
        <v>0</v>
      </c>
      <c r="AO17" s="86">
        <f t="shared" ref="AO17:AO38" ca="1" si="11">IF(OR(AL17="",AM17=""),"-",IFERROR((AL17-AM17),""))</f>
        <v>0</v>
      </c>
      <c r="AP17" s="86">
        <f t="shared" ref="AP17:AP38" ca="1" si="12">IF(OR(AL17="",AN17=""),"-",IFERROR((AL17-AN17),""))</f>
        <v>0</v>
      </c>
      <c r="AQ17" s="84"/>
      <c r="AR17" s="85">
        <f ca="1">_xll.DBRW($B$3,$A17,$B$5,$B$4,$B$6,$B$7,$B17,AR$4,AR$5,AR$6)*AR$7</f>
        <v>0</v>
      </c>
      <c r="AS17" s="85">
        <f ca="1">_xll.DBRW($B$3,$A17,$B$5,$B$4,$B$6,$B$7,$B17,AS$4,AS$5,AS$6)*AS$7</f>
        <v>0</v>
      </c>
      <c r="AT17" s="85">
        <f ca="1">_xll.DBRW($B$3,$A17,$B$5,$B$4,$B$6,$B$7,$B17,AT$4,AT$5,AT$6)*AT$7</f>
        <v>0</v>
      </c>
      <c r="AU17" s="86">
        <f t="shared" ref="AU17:AU38" ca="1" si="13">IF(OR(AR17="",AS17=""),"-",IFERROR((AR17-AS17),""))</f>
        <v>0</v>
      </c>
      <c r="AV17" s="86">
        <f t="shared" ref="AV17:AV38" ca="1" si="14">IF(OR(AR17="",AT17=""),"-",IFERROR((AR17-AT17),""))</f>
        <v>0</v>
      </c>
      <c r="AW17" s="84"/>
      <c r="AX17" s="85">
        <f ca="1">_xll.DBRW($B$3,$A17,$B$5,$B$4,$B$6,$B$7,$B17,AX$4,AX$5,AX$6)*AX$7</f>
        <v>0</v>
      </c>
      <c r="AY17" s="85">
        <f ca="1">_xll.DBRW($B$3,$A17,$B$5,$B$4,$B$6,$B$7,$B17,AY$4,AY$5,AY$6)*AY$7</f>
        <v>0</v>
      </c>
      <c r="AZ17" s="85">
        <f ca="1">_xll.DBRW($B$3,$A17,$B$5,$B$4,$B$6,$B$7,$B17,AZ$4,AZ$5,AZ$6)*AZ$7</f>
        <v>0</v>
      </c>
      <c r="BA17" s="86">
        <f t="shared" ref="BA17:BA38" ca="1" si="15">IF(OR(AX17="",AY17=""),"-",IFERROR((AX17-AY17),""))</f>
        <v>0</v>
      </c>
      <c r="BB17" s="86">
        <f t="shared" ref="BB17:BB38" ca="1" si="16">IF(OR(AX17="",AZ17=""),"-",IFERROR((AX17-AZ17),""))</f>
        <v>0</v>
      </c>
      <c r="BC17" s="84"/>
      <c r="BD17" s="235" t="str">
        <f t="shared" ref="BD17:BD26" ca="1" si="17">IF(ISERROR(AX17/G17),"-",IF(ABS(AX17/G17)&gt;2,"-",AX17/G17))</f>
        <v>-</v>
      </c>
      <c r="BE17" s="235" t="str">
        <f t="shared" ref="BE17:BE38" ca="1" si="18">IF(ISERROR(AY17/H17),"-",IF(ABS(AY17/H17)&gt;2,"-",AY17/H17))</f>
        <v>-</v>
      </c>
      <c r="BF17" s="235" t="str">
        <f t="shared" ref="BF17:BF38" ca="1" si="19">IF(ISERROR(AZ17/I17),"-",IF(ABS(AZ17/I17)&gt;2,"-",AZ17/I17))</f>
        <v>-</v>
      </c>
    </row>
    <row r="18" spans="1:58" s="208" customFormat="1" ht="15" customHeight="1">
      <c r="A18" s="209" t="s">
        <v>121</v>
      </c>
      <c r="B18" s="210" t="s">
        <v>139</v>
      </c>
      <c r="C18" s="212">
        <v>1</v>
      </c>
      <c r="D18" s="193" t="str">
        <f ca="1">_xll.DBRA("tango_core_model:management_organization",B18,Language)</f>
        <v/>
      </c>
      <c r="E18" s="236" t="str">
        <f ca="1">_xll.DBRA("tango_core_model:activity",_xll.DBRA("tango_core_model:management_organization",B18,"sub_activity"),Language)</f>
        <v/>
      </c>
      <c r="F18" s="213"/>
      <c r="G18" s="214" t="str">
        <f ca="1">IFERROR(_xll.DBRW($B$3,$A18,$B$5,$B$4,$B$6,$B$7,$B18,G$4,G$5,G$6)*G$7,"")</f>
        <v/>
      </c>
      <c r="H18" s="215" t="str">
        <f ca="1">IFERROR(_xll.DBRW($B$3,$A18,$B$5,$B$4,$B$6,$B$7,$B18,H$4,H$5,H$6)*H$7,"")</f>
        <v/>
      </c>
      <c r="I18" s="215" t="str">
        <f ca="1">IFERROR(_xll.DBRW($B$3,$A18,$B$5,$B$4,$B$6,$B$7,$B18,I$4,I$5,I$6)*I$7,"")</f>
        <v/>
      </c>
      <c r="J18" s="216" t="str">
        <f t="shared" ca="1" si="0"/>
        <v>-</v>
      </c>
      <c r="K18" s="216" t="str">
        <f t="shared" ca="1" si="1"/>
        <v>-</v>
      </c>
      <c r="L18" s="213"/>
      <c r="M18" s="217" t="str">
        <f ca="1">IFERROR(_xll.DBRW($B$3,$A18,$B$5,$B$4,$B$6,$B$7,$B18,M$4,M$5,M$6)*M$7,"")</f>
        <v/>
      </c>
      <c r="N18" s="215" t="str">
        <f ca="1">IFERROR(_xll.DBRW($B$3,$A18,$B$5,$B$4,$B$6,$B$7,$B18,N$4,N$5,N$6)*N$7,"")</f>
        <v/>
      </c>
      <c r="O18" s="215" t="str">
        <f ca="1">IFERROR(_xll.DBRW($B$3,$A18,$B$5,$B$4,$B$6,$B$7,$B18,O$4,O$5,O$6)*O$7,"")</f>
        <v/>
      </c>
      <c r="P18" s="216" t="str">
        <f t="shared" ca="1" si="2"/>
        <v>-</v>
      </c>
      <c r="Q18" s="216" t="str">
        <f t="shared" ca="1" si="3"/>
        <v>-</v>
      </c>
      <c r="R18" s="213"/>
      <c r="S18" s="217" t="str">
        <f ca="1">IFERROR(_xll.DBRW($B$3,$A18,$B$5,$B$4,$B$6,$B$7,$B18,S$4,S$5,S$6)*S$7,"")</f>
        <v/>
      </c>
      <c r="T18" s="215" t="str">
        <f ca="1">IFERROR(_xll.DBRW($B$3,$A18,$B$5,$B$4,$B$6,$B$7,$B18,T$4,T$5,T$6)*T$7,"")</f>
        <v/>
      </c>
      <c r="U18" s="215" t="str">
        <f ca="1">IFERROR(_xll.DBRW($B$3,$A18,$B$5,$B$4,$B$6,$B$7,$B18,U$4,U$5,U$6)*U$7,"")</f>
        <v/>
      </c>
      <c r="V18" s="216" t="str">
        <f t="shared" ca="1" si="4"/>
        <v>-</v>
      </c>
      <c r="W18" s="216" t="str">
        <f t="shared" ca="1" si="5"/>
        <v>-</v>
      </c>
      <c r="X18" s="213"/>
      <c r="Y18" s="217" t="str">
        <f ca="1">IFERROR(_xll.DBRW($B$3,$A18,$B$5,$B$4,$B$6,$B$7,$B18,Y$4,Y$5,Y$6)*Y$7,"")</f>
        <v/>
      </c>
      <c r="Z18" s="215" t="str">
        <f ca="1">IFERROR(_xll.DBRW($B$3,$A18,$B$5,$B$4,$B$6,$B$7,$B18,Z$4,Z$5,Z$6)*Z$7,"")</f>
        <v/>
      </c>
      <c r="AA18" s="215" t="str">
        <f ca="1">IFERROR(_xll.DBRW($B$3,$A18,$B$5,$B$4,$B$6,$B$7,$B18,AA$4,AA$5,AA$6)*AA$7,"")</f>
        <v/>
      </c>
      <c r="AB18" s="216" t="str">
        <f t="shared" ca="1" si="6"/>
        <v>-</v>
      </c>
      <c r="AC18" s="216" t="str">
        <f t="shared" ca="1" si="7"/>
        <v>-</v>
      </c>
      <c r="AD18" s="213"/>
      <c r="AE18" s="217" t="str">
        <f ca="1">IFERROR(_xll.DBRW($B$3,$A18,$B$5,$B$4,$B$6,$B$7,$B18,AE$4,AE$5,AE$6)*AE$7,"")</f>
        <v/>
      </c>
      <c r="AF18" s="215" t="str">
        <f ca="1">IFERROR(_xll.DBRW($B$3,$A18,$B$5,$B$4,$B$6,$B$7,$B18,AF$4,AF$5,AF$6)*AF$7,"")</f>
        <v/>
      </c>
      <c r="AG18" s="215" t="str">
        <f ca="1">IFERROR(_xll.DBRW($B$3,$A18,$B$5,$B$4,$B$6,$B$7,$B18,AG$4,AG$5,AG$6)*AG$7,"")</f>
        <v/>
      </c>
      <c r="AH18" s="216" t="str">
        <f t="shared" ca="1" si="8"/>
        <v>-</v>
      </c>
      <c r="AI18" s="216" t="str">
        <f t="shared" ca="1" si="9"/>
        <v>-</v>
      </c>
      <c r="AJ18" s="216" t="str">
        <f t="shared" ca="1" si="10"/>
        <v>-</v>
      </c>
      <c r="AK18" s="213"/>
      <c r="AL18" s="217" t="str">
        <f ca="1">IFERROR(_xll.DBRW($B$3,$A18,$B$5,$B$4,$B$6,$B$7,$B18,AL$4,AL$5,AL$6)*AL$7,"")</f>
        <v/>
      </c>
      <c r="AM18" s="215" t="str">
        <f ca="1">IFERROR(_xll.DBRW($B$3,$A18,$B$5,$B$4,$B$6,$B$7,$B18,AM$4,AM$5,AM$6)*AM$7,"")</f>
        <v/>
      </c>
      <c r="AN18" s="215" t="str">
        <f ca="1">IFERROR(_xll.DBRW($B$3,$A18,$B$5,$B$4,$B$6,$B$7,$B18,AN$4,AN$5,AN$6)*AN$7,"")</f>
        <v/>
      </c>
      <c r="AO18" s="216" t="str">
        <f t="shared" ca="1" si="11"/>
        <v>-</v>
      </c>
      <c r="AP18" s="216" t="str">
        <f t="shared" ca="1" si="12"/>
        <v>-</v>
      </c>
      <c r="AQ18" s="213"/>
      <c r="AR18" s="218" t="str">
        <f ca="1">IFERROR(_xll.DBRW($B$3,$A18,$B$5,$B$4,$B$6,$B$7,$B18,AR$4,AR$5,AR$6)*AR$7,"")</f>
        <v/>
      </c>
      <c r="AS18" s="215" t="str">
        <f ca="1">IFERROR(_xll.DBRW($B$3,$A18,$B$5,$B$4,$B$6,$B$7,$B18,AS$4,AS$5,AS$6)*AS$7,"")</f>
        <v/>
      </c>
      <c r="AT18" s="215" t="str">
        <f ca="1">IFERROR(_xll.DBRW($B$3,$A18,$B$5,$B$4,$B$6,$B$7,$B18,AT$4,AT$5,AT$6)*AT$7,"")</f>
        <v/>
      </c>
      <c r="AU18" s="216" t="str">
        <f t="shared" ca="1" si="13"/>
        <v>-</v>
      </c>
      <c r="AV18" s="216" t="str">
        <f t="shared" ca="1" si="14"/>
        <v>-</v>
      </c>
      <c r="AW18" s="213"/>
      <c r="AX18" s="218" t="str">
        <f ca="1">IFERROR(_xll.DBRW($B$3,$A18,$B$5,$B$4,$B$6,$B$7,$B18,AX$4,AX$5,AX$6)*AX$7,"")</f>
        <v/>
      </c>
      <c r="AY18" s="215" t="str">
        <f ca="1">IFERROR(_xll.DBRW($B$3,$A18,$B$5,$B$4,$B$6,$B$7,$B18,AY$4,AY$5,AY$6)*AY$7,"")</f>
        <v/>
      </c>
      <c r="AZ18" s="215" t="str">
        <f ca="1">IFERROR(_xll.DBRW($B$3,$A18,$B$5,$B$4,$B$6,$B$7,$B18,AZ$4,AZ$5,AZ$6)*AZ$7,"")</f>
        <v/>
      </c>
      <c r="BA18" s="216" t="str">
        <f t="shared" ca="1" si="15"/>
        <v>-</v>
      </c>
      <c r="BB18" s="216" t="str">
        <f t="shared" ca="1" si="16"/>
        <v>-</v>
      </c>
      <c r="BC18" s="213"/>
      <c r="BD18" s="231" t="str">
        <f t="shared" ca="1" si="17"/>
        <v>-</v>
      </c>
      <c r="BE18" s="232" t="str">
        <f t="shared" ca="1" si="18"/>
        <v>-</v>
      </c>
      <c r="BF18" s="232" t="str">
        <f t="shared" ca="1" si="19"/>
        <v>-</v>
      </c>
    </row>
    <row r="19" spans="1:58" s="208" customFormat="1" ht="15" customHeight="1">
      <c r="A19" s="209" t="s">
        <v>121</v>
      </c>
      <c r="B19" s="210"/>
      <c r="C19" s="212">
        <v>2</v>
      </c>
      <c r="D19" s="193" t="str">
        <f ca="1">_xll.DBRA("tango_core_model:management_organization",B19,Language)</f>
        <v/>
      </c>
      <c r="E19" s="237" t="str">
        <f ca="1">_xll.DBRA("tango_core_model:activity",_xll.DBRA("tango_core_model:management_organization",B19,"sub_activity"),Language)</f>
        <v/>
      </c>
      <c r="F19" s="213"/>
      <c r="G19" s="214" t="str">
        <f ca="1">IFERROR(_xll.DBRW($B$3,$A19,$B$5,$B$4,$B$6,$B$7,$B19,G$4,G$5,G$6)*G$7,"")</f>
        <v/>
      </c>
      <c r="H19" s="215" t="str">
        <f ca="1">IFERROR(_xll.DBRW($B$3,$A19,$B$5,$B$4,$B$6,$B$7,$B19,H$4,H$5,H$6)*H$7,"")</f>
        <v/>
      </c>
      <c r="I19" s="215" t="str">
        <f ca="1">IFERROR(_xll.DBRW($B$3,$A19,$B$5,$B$4,$B$6,$B$7,$B19,I$4,I$5,I$6)*I$7,"")</f>
        <v/>
      </c>
      <c r="J19" s="216" t="str">
        <f t="shared" ca="1" si="0"/>
        <v>-</v>
      </c>
      <c r="K19" s="216" t="str">
        <f t="shared" ca="1" si="1"/>
        <v>-</v>
      </c>
      <c r="L19" s="213"/>
      <c r="M19" s="217" t="str">
        <f ca="1">IFERROR(_xll.DBRW($B$3,$A19,$B$5,$B$4,$B$6,$B$7,$B19,M$4,M$5,M$6)*M$7,"")</f>
        <v/>
      </c>
      <c r="N19" s="215" t="str">
        <f ca="1">IFERROR(_xll.DBRW($B$3,$A19,$B$5,$B$4,$B$6,$B$7,$B19,N$4,N$5,N$6)*N$7,"")</f>
        <v/>
      </c>
      <c r="O19" s="215" t="str">
        <f ca="1">IFERROR(_xll.DBRW($B$3,$A19,$B$5,$B$4,$B$6,$B$7,$B19,O$4,O$5,O$6)*O$7,"")</f>
        <v/>
      </c>
      <c r="P19" s="216" t="str">
        <f t="shared" ca="1" si="2"/>
        <v>-</v>
      </c>
      <c r="Q19" s="216" t="str">
        <f t="shared" ca="1" si="3"/>
        <v>-</v>
      </c>
      <c r="R19" s="213"/>
      <c r="S19" s="217" t="str">
        <f ca="1">IFERROR(_xll.DBRW($B$3,$A19,$B$5,$B$4,$B$6,$B$7,$B19,S$4,S$5,S$6)*S$7,"")</f>
        <v/>
      </c>
      <c r="T19" s="215" t="str">
        <f ca="1">IFERROR(_xll.DBRW($B$3,$A19,$B$5,$B$4,$B$6,$B$7,$B19,T$4,T$5,T$6)*T$7,"")</f>
        <v/>
      </c>
      <c r="U19" s="215" t="str">
        <f ca="1">IFERROR(_xll.DBRW($B$3,$A19,$B$5,$B$4,$B$6,$B$7,$B19,U$4,U$5,U$6)*U$7,"")</f>
        <v/>
      </c>
      <c r="V19" s="216" t="str">
        <f t="shared" ca="1" si="4"/>
        <v>-</v>
      </c>
      <c r="W19" s="216" t="str">
        <f t="shared" ca="1" si="5"/>
        <v>-</v>
      </c>
      <c r="X19" s="213"/>
      <c r="Y19" s="217" t="str">
        <f ca="1">IFERROR(_xll.DBRW($B$3,$A19,$B$5,$B$4,$B$6,$B$7,$B19,Y$4,Y$5,Y$6)*Y$7,"")</f>
        <v/>
      </c>
      <c r="Z19" s="215" t="str">
        <f ca="1">IFERROR(_xll.DBRW($B$3,$A19,$B$5,$B$4,$B$6,$B$7,$B19,Z$4,Z$5,Z$6)*Z$7,"")</f>
        <v/>
      </c>
      <c r="AA19" s="215" t="str">
        <f ca="1">IFERROR(_xll.DBRW($B$3,$A19,$B$5,$B$4,$B$6,$B$7,$B19,AA$4,AA$5,AA$6)*AA$7,"")</f>
        <v/>
      </c>
      <c r="AB19" s="216" t="str">
        <f t="shared" ca="1" si="6"/>
        <v>-</v>
      </c>
      <c r="AC19" s="216" t="str">
        <f t="shared" ca="1" si="7"/>
        <v>-</v>
      </c>
      <c r="AD19" s="213"/>
      <c r="AE19" s="217" t="str">
        <f ca="1">IFERROR(_xll.DBRW($B$3,$A19,$B$5,$B$4,$B$6,$B$7,$B19,AE$4,AE$5,AE$6)*AE$7,"")</f>
        <v/>
      </c>
      <c r="AF19" s="215" t="str">
        <f ca="1">IFERROR(_xll.DBRW($B$3,$A19,$B$5,$B$4,$B$6,$B$7,$B19,AF$4,AF$5,AF$6)*AF$7,"")</f>
        <v/>
      </c>
      <c r="AG19" s="215" t="str">
        <f ca="1">IFERROR(_xll.DBRW($B$3,$A19,$B$5,$B$4,$B$6,$B$7,$B19,AG$4,AG$5,AG$6)*AG$7,"")</f>
        <v/>
      </c>
      <c r="AH19" s="216" t="str">
        <f t="shared" ca="1" si="8"/>
        <v>-</v>
      </c>
      <c r="AI19" s="216" t="str">
        <f t="shared" ca="1" si="9"/>
        <v>-</v>
      </c>
      <c r="AJ19" s="216" t="str">
        <f t="shared" ca="1" si="10"/>
        <v>-</v>
      </c>
      <c r="AK19" s="213"/>
      <c r="AL19" s="217" t="str">
        <f ca="1">IFERROR(_xll.DBRW($B$3,$A19,$B$5,$B$4,$B$6,$B$7,$B19,AL$4,AL$5,AL$6)*AL$7,"")</f>
        <v/>
      </c>
      <c r="AM19" s="215" t="str">
        <f ca="1">IFERROR(_xll.DBRW($B$3,$A19,$B$5,$B$4,$B$6,$B$7,$B19,AM$4,AM$5,AM$6)*AM$7,"")</f>
        <v/>
      </c>
      <c r="AN19" s="215" t="str">
        <f ca="1">IFERROR(_xll.DBRW($B$3,$A19,$B$5,$B$4,$B$6,$B$7,$B19,AN$4,AN$5,AN$6)*AN$7,"")</f>
        <v/>
      </c>
      <c r="AO19" s="216" t="str">
        <f t="shared" ca="1" si="11"/>
        <v>-</v>
      </c>
      <c r="AP19" s="216" t="str">
        <f t="shared" ca="1" si="12"/>
        <v>-</v>
      </c>
      <c r="AQ19" s="213"/>
      <c r="AR19" s="218" t="str">
        <f ca="1">IFERROR(_xll.DBRW($B$3,$A19,$B$5,$B$4,$B$6,$B$7,$B19,AR$4,AR$5,AR$6)*AR$7,"")</f>
        <v/>
      </c>
      <c r="AS19" s="215" t="str">
        <f ca="1">IFERROR(_xll.DBRW($B$3,$A19,$B$5,$B$4,$B$6,$B$7,$B19,AS$4,AS$5,AS$6)*AS$7,"")</f>
        <v/>
      </c>
      <c r="AT19" s="215" t="str">
        <f ca="1">IFERROR(_xll.DBRW($B$3,$A19,$B$5,$B$4,$B$6,$B$7,$B19,AT$4,AT$5,AT$6)*AT$7,"")</f>
        <v/>
      </c>
      <c r="AU19" s="216" t="str">
        <f t="shared" ca="1" si="13"/>
        <v>-</v>
      </c>
      <c r="AV19" s="216" t="str">
        <f t="shared" ca="1" si="14"/>
        <v>-</v>
      </c>
      <c r="AW19" s="213"/>
      <c r="AX19" s="218" t="str">
        <f ca="1">IFERROR(_xll.DBRW($B$3,$A19,$B$5,$B$4,$B$6,$B$7,$B19,AX$4,AX$5,AX$6)*AX$7,"")</f>
        <v/>
      </c>
      <c r="AY19" s="215" t="str">
        <f ca="1">IFERROR(_xll.DBRW($B$3,$A19,$B$5,$B$4,$B$6,$B$7,$B19,AY$4,AY$5,AY$6)*AY$7,"")</f>
        <v/>
      </c>
      <c r="AZ19" s="215" t="str">
        <f ca="1">IFERROR(_xll.DBRW($B$3,$A19,$B$5,$B$4,$B$6,$B$7,$B19,AZ$4,AZ$5,AZ$6)*AZ$7,"")</f>
        <v/>
      </c>
      <c r="BA19" s="216" t="str">
        <f t="shared" ca="1" si="15"/>
        <v>-</v>
      </c>
      <c r="BB19" s="216" t="str">
        <f t="shared" ca="1" si="16"/>
        <v>-</v>
      </c>
      <c r="BC19" s="213"/>
      <c r="BD19" s="231" t="str">
        <f t="shared" ca="1" si="17"/>
        <v>-</v>
      </c>
      <c r="BE19" s="232" t="str">
        <f t="shared" ca="1" si="18"/>
        <v>-</v>
      </c>
      <c r="BF19" s="232" t="str">
        <f t="shared" ca="1" si="19"/>
        <v>-</v>
      </c>
    </row>
    <row r="20" spans="1:58" s="208" customFormat="1" ht="15" customHeight="1">
      <c r="A20" s="209" t="s">
        <v>121</v>
      </c>
      <c r="B20" s="210"/>
      <c r="C20" s="212">
        <v>3</v>
      </c>
      <c r="D20" s="193" t="str">
        <f ca="1">_xll.DBRA("tango_core_model:management_organization",B20,Language)</f>
        <v/>
      </c>
      <c r="E20" s="237" t="str">
        <f ca="1">_xll.DBRA("tango_core_model:activity",_xll.DBRA("tango_core_model:management_organization",B20,"sub_activity"),Language)</f>
        <v/>
      </c>
      <c r="F20" s="213"/>
      <c r="G20" s="214" t="str">
        <f ca="1">IFERROR(_xll.DBRW($B$3,$A20,$B$5,$B$4,$B$6,$B$7,$B20,G$4,G$5,G$6)*G$7,"")</f>
        <v/>
      </c>
      <c r="H20" s="215" t="str">
        <f ca="1">IFERROR(_xll.DBRW($B$3,$A20,$B$5,$B$4,$B$6,$B$7,$B20,H$4,H$5,H$6)*H$7,"")</f>
        <v/>
      </c>
      <c r="I20" s="215" t="str">
        <f ca="1">IFERROR(_xll.DBRW($B$3,$A20,$B$5,$B$4,$B$6,$B$7,$B20,I$4,I$5,I$6)*I$7,"")</f>
        <v/>
      </c>
      <c r="J20" s="216" t="str">
        <f t="shared" ca="1" si="0"/>
        <v>-</v>
      </c>
      <c r="K20" s="216" t="str">
        <f t="shared" ca="1" si="1"/>
        <v>-</v>
      </c>
      <c r="L20" s="213"/>
      <c r="M20" s="217" t="str">
        <f ca="1">IFERROR(_xll.DBRW($B$3,$A20,$B$5,$B$4,$B$6,$B$7,$B20,M$4,M$5,M$6)*M$7,"")</f>
        <v/>
      </c>
      <c r="N20" s="215" t="str">
        <f ca="1">IFERROR(_xll.DBRW($B$3,$A20,$B$5,$B$4,$B$6,$B$7,$B20,N$4,N$5,N$6)*N$7,"")</f>
        <v/>
      </c>
      <c r="O20" s="215" t="str">
        <f ca="1">IFERROR(_xll.DBRW($B$3,$A20,$B$5,$B$4,$B$6,$B$7,$B20,O$4,O$5,O$6)*O$7,"")</f>
        <v/>
      </c>
      <c r="P20" s="216" t="str">
        <f t="shared" ca="1" si="2"/>
        <v>-</v>
      </c>
      <c r="Q20" s="216" t="str">
        <f t="shared" ca="1" si="3"/>
        <v>-</v>
      </c>
      <c r="R20" s="213"/>
      <c r="S20" s="217" t="str">
        <f ca="1">IFERROR(_xll.DBRW($B$3,$A20,$B$5,$B$4,$B$6,$B$7,$B20,S$4,S$5,S$6)*S$7,"")</f>
        <v/>
      </c>
      <c r="T20" s="215" t="str">
        <f ca="1">IFERROR(_xll.DBRW($B$3,$A20,$B$5,$B$4,$B$6,$B$7,$B20,T$4,T$5,T$6)*T$7,"")</f>
        <v/>
      </c>
      <c r="U20" s="215" t="str">
        <f ca="1">IFERROR(_xll.DBRW($B$3,$A20,$B$5,$B$4,$B$6,$B$7,$B20,U$4,U$5,U$6)*U$7,"")</f>
        <v/>
      </c>
      <c r="V20" s="216" t="str">
        <f t="shared" ca="1" si="4"/>
        <v>-</v>
      </c>
      <c r="W20" s="216" t="str">
        <f t="shared" ca="1" si="5"/>
        <v>-</v>
      </c>
      <c r="X20" s="213"/>
      <c r="Y20" s="217" t="str">
        <f ca="1">IFERROR(_xll.DBRW($B$3,$A20,$B$5,$B$4,$B$6,$B$7,$B20,Y$4,Y$5,Y$6)*Y$7,"")</f>
        <v/>
      </c>
      <c r="Z20" s="215" t="str">
        <f ca="1">IFERROR(_xll.DBRW($B$3,$A20,$B$5,$B$4,$B$6,$B$7,$B20,Z$4,Z$5,Z$6)*Z$7,"")</f>
        <v/>
      </c>
      <c r="AA20" s="215" t="str">
        <f ca="1">IFERROR(_xll.DBRW($B$3,$A20,$B$5,$B$4,$B$6,$B$7,$B20,AA$4,AA$5,AA$6)*AA$7,"")</f>
        <v/>
      </c>
      <c r="AB20" s="216" t="str">
        <f t="shared" ca="1" si="6"/>
        <v>-</v>
      </c>
      <c r="AC20" s="216" t="str">
        <f t="shared" ca="1" si="7"/>
        <v>-</v>
      </c>
      <c r="AD20" s="213"/>
      <c r="AE20" s="217" t="str">
        <f ca="1">IFERROR(_xll.DBRW($B$3,$A20,$B$5,$B$4,$B$6,$B$7,$B20,AE$4,AE$5,AE$6)*AE$7,"")</f>
        <v/>
      </c>
      <c r="AF20" s="215" t="str">
        <f ca="1">IFERROR(_xll.DBRW($B$3,$A20,$B$5,$B$4,$B$6,$B$7,$B20,AF$4,AF$5,AF$6)*AF$7,"")</f>
        <v/>
      </c>
      <c r="AG20" s="215" t="str">
        <f ca="1">IFERROR(_xll.DBRW($B$3,$A20,$B$5,$B$4,$B$6,$B$7,$B20,AG$4,AG$5,AG$6)*AG$7,"")</f>
        <v/>
      </c>
      <c r="AH20" s="216" t="str">
        <f t="shared" ca="1" si="8"/>
        <v>-</v>
      </c>
      <c r="AI20" s="216" t="str">
        <f t="shared" ca="1" si="9"/>
        <v>-</v>
      </c>
      <c r="AJ20" s="216" t="str">
        <f t="shared" ca="1" si="10"/>
        <v>-</v>
      </c>
      <c r="AK20" s="213"/>
      <c r="AL20" s="217" t="str">
        <f ca="1">IFERROR(_xll.DBRW($B$3,$A20,$B$5,$B$4,$B$6,$B$7,$B20,AL$4,AL$5,AL$6)*AL$7,"")</f>
        <v/>
      </c>
      <c r="AM20" s="215" t="str">
        <f ca="1">IFERROR(_xll.DBRW($B$3,$A20,$B$5,$B$4,$B$6,$B$7,$B20,AM$4,AM$5,AM$6)*AM$7,"")</f>
        <v/>
      </c>
      <c r="AN20" s="215" t="str">
        <f ca="1">IFERROR(_xll.DBRW($B$3,$A20,$B$5,$B$4,$B$6,$B$7,$B20,AN$4,AN$5,AN$6)*AN$7,"")</f>
        <v/>
      </c>
      <c r="AO20" s="216" t="str">
        <f t="shared" ca="1" si="11"/>
        <v>-</v>
      </c>
      <c r="AP20" s="216" t="str">
        <f t="shared" ca="1" si="12"/>
        <v>-</v>
      </c>
      <c r="AQ20" s="213"/>
      <c r="AR20" s="218" t="str">
        <f ca="1">IFERROR(_xll.DBRW($B$3,$A20,$B$5,$B$4,$B$6,$B$7,$B20,AR$4,AR$5,AR$6)*AR$7,"")</f>
        <v/>
      </c>
      <c r="AS20" s="215" t="str">
        <f ca="1">IFERROR(_xll.DBRW($B$3,$A20,$B$5,$B$4,$B$6,$B$7,$B20,AS$4,AS$5,AS$6)*AS$7,"")</f>
        <v/>
      </c>
      <c r="AT20" s="215" t="str">
        <f ca="1">IFERROR(_xll.DBRW($B$3,$A20,$B$5,$B$4,$B$6,$B$7,$B20,AT$4,AT$5,AT$6)*AT$7,"")</f>
        <v/>
      </c>
      <c r="AU20" s="216" t="str">
        <f t="shared" ca="1" si="13"/>
        <v>-</v>
      </c>
      <c r="AV20" s="216" t="str">
        <f t="shared" ca="1" si="14"/>
        <v>-</v>
      </c>
      <c r="AW20" s="213"/>
      <c r="AX20" s="218" t="str">
        <f ca="1">IFERROR(_xll.DBRW($B$3,$A20,$B$5,$B$4,$B$6,$B$7,$B20,AX$4,AX$5,AX$6)*AX$7,"")</f>
        <v/>
      </c>
      <c r="AY20" s="215" t="str">
        <f ca="1">IFERROR(_xll.DBRW($B$3,$A20,$B$5,$B$4,$B$6,$B$7,$B20,AY$4,AY$5,AY$6)*AY$7,"")</f>
        <v/>
      </c>
      <c r="AZ20" s="215" t="str">
        <f ca="1">IFERROR(_xll.DBRW($B$3,$A20,$B$5,$B$4,$B$6,$B$7,$B20,AZ$4,AZ$5,AZ$6)*AZ$7,"")</f>
        <v/>
      </c>
      <c r="BA20" s="216" t="str">
        <f t="shared" ca="1" si="15"/>
        <v>-</v>
      </c>
      <c r="BB20" s="216" t="str">
        <f t="shared" ca="1" si="16"/>
        <v>-</v>
      </c>
      <c r="BC20" s="213"/>
      <c r="BD20" s="231" t="str">
        <f t="shared" ca="1" si="17"/>
        <v>-</v>
      </c>
      <c r="BE20" s="232" t="str">
        <f t="shared" ca="1" si="18"/>
        <v>-</v>
      </c>
      <c r="BF20" s="232" t="str">
        <f t="shared" ca="1" si="19"/>
        <v>-</v>
      </c>
    </row>
    <row r="21" spans="1:58" s="208" customFormat="1" ht="15" customHeight="1">
      <c r="A21" s="209" t="s">
        <v>121</v>
      </c>
      <c r="B21" s="210"/>
      <c r="C21" s="212">
        <v>4</v>
      </c>
      <c r="D21" s="193" t="str">
        <f ca="1">_xll.DBRA("tango_core_model:management_organization",B21,Language)</f>
        <v/>
      </c>
      <c r="E21" s="237" t="str">
        <f ca="1">_xll.DBRA("tango_core_model:activity",_xll.DBRA("tango_core_model:management_organization",B21,"sub_activity"),Language)</f>
        <v/>
      </c>
      <c r="F21" s="219"/>
      <c r="G21" s="214" t="str">
        <f ca="1">IFERROR(_xll.DBRW($B$3,$A21,$B$5,$B$4,$B$6,$B$7,$B21,G$4,G$5,G$6)*G$7,"")</f>
        <v/>
      </c>
      <c r="H21" s="215" t="str">
        <f ca="1">IFERROR(_xll.DBRW($B$3,$A21,$B$5,$B$4,$B$6,$B$7,$B21,H$4,H$5,H$6)*H$7,"")</f>
        <v/>
      </c>
      <c r="I21" s="215" t="str">
        <f ca="1">IFERROR(_xll.DBRW($B$3,$A21,$B$5,$B$4,$B$6,$B$7,$B21,I$4,I$5,I$6)*I$7,"")</f>
        <v/>
      </c>
      <c r="J21" s="216" t="str">
        <f t="shared" ca="1" si="0"/>
        <v>-</v>
      </c>
      <c r="K21" s="216" t="str">
        <f t="shared" ca="1" si="1"/>
        <v>-</v>
      </c>
      <c r="L21" s="219"/>
      <c r="M21" s="217" t="str">
        <f ca="1">IFERROR(_xll.DBRW($B$3,$A21,$B$5,$B$4,$B$6,$B$7,$B21,M$4,M$5,M$6)*M$7,"")</f>
        <v/>
      </c>
      <c r="N21" s="215" t="str">
        <f ca="1">IFERROR(_xll.DBRW($B$3,$A21,$B$5,$B$4,$B$6,$B$7,$B21,N$4,N$5,N$6)*N$7,"")</f>
        <v/>
      </c>
      <c r="O21" s="215" t="str">
        <f ca="1">IFERROR(_xll.DBRW($B$3,$A21,$B$5,$B$4,$B$6,$B$7,$B21,O$4,O$5,O$6)*O$7,"")</f>
        <v/>
      </c>
      <c r="P21" s="216" t="str">
        <f t="shared" ca="1" si="2"/>
        <v>-</v>
      </c>
      <c r="Q21" s="216" t="str">
        <f t="shared" ca="1" si="3"/>
        <v>-</v>
      </c>
      <c r="R21" s="219"/>
      <c r="S21" s="217" t="str">
        <f ca="1">IFERROR(_xll.DBRW($B$3,$A21,$B$5,$B$4,$B$6,$B$7,$B21,S$4,S$5,S$6)*S$7,"")</f>
        <v/>
      </c>
      <c r="T21" s="215" t="str">
        <f ca="1">IFERROR(_xll.DBRW($B$3,$A21,$B$5,$B$4,$B$6,$B$7,$B21,T$4,T$5,T$6)*T$7,"")</f>
        <v/>
      </c>
      <c r="U21" s="215" t="str">
        <f ca="1">IFERROR(_xll.DBRW($B$3,$A21,$B$5,$B$4,$B$6,$B$7,$B21,U$4,U$5,U$6)*U$7,"")</f>
        <v/>
      </c>
      <c r="V21" s="216" t="str">
        <f t="shared" ca="1" si="4"/>
        <v>-</v>
      </c>
      <c r="W21" s="216" t="str">
        <f t="shared" ca="1" si="5"/>
        <v>-</v>
      </c>
      <c r="X21" s="219"/>
      <c r="Y21" s="217" t="str">
        <f ca="1">IFERROR(_xll.DBRW($B$3,$A21,$B$5,$B$4,$B$6,$B$7,$B21,Y$4,Y$5,Y$6)*Y$7,"")</f>
        <v/>
      </c>
      <c r="Z21" s="215" t="str">
        <f ca="1">IFERROR(_xll.DBRW($B$3,$A21,$B$5,$B$4,$B$6,$B$7,$B21,Z$4,Z$5,Z$6)*Z$7,"")</f>
        <v/>
      </c>
      <c r="AA21" s="215" t="str">
        <f ca="1">IFERROR(_xll.DBRW($B$3,$A21,$B$5,$B$4,$B$6,$B$7,$B21,AA$4,AA$5,AA$6)*AA$7,"")</f>
        <v/>
      </c>
      <c r="AB21" s="216" t="str">
        <f t="shared" ca="1" si="6"/>
        <v>-</v>
      </c>
      <c r="AC21" s="216" t="str">
        <f t="shared" ca="1" si="7"/>
        <v>-</v>
      </c>
      <c r="AD21" s="219"/>
      <c r="AE21" s="217" t="str">
        <f ca="1">IFERROR(_xll.DBRW($B$3,$A21,$B$5,$B$4,$B$6,$B$7,$B21,AE$4,AE$5,AE$6)*AE$7,"")</f>
        <v/>
      </c>
      <c r="AF21" s="215" t="str">
        <f ca="1">IFERROR(_xll.DBRW($B$3,$A21,$B$5,$B$4,$B$6,$B$7,$B21,AF$4,AF$5,AF$6)*AF$7,"")</f>
        <v/>
      </c>
      <c r="AG21" s="215" t="str">
        <f ca="1">IFERROR(_xll.DBRW($B$3,$A21,$B$5,$B$4,$B$6,$B$7,$B21,AG$4,AG$5,AG$6)*AG$7,"")</f>
        <v/>
      </c>
      <c r="AH21" s="216" t="str">
        <f t="shared" ca="1" si="8"/>
        <v>-</v>
      </c>
      <c r="AI21" s="216" t="str">
        <f t="shared" ca="1" si="9"/>
        <v>-</v>
      </c>
      <c r="AJ21" s="216" t="str">
        <f t="shared" ca="1" si="10"/>
        <v>-</v>
      </c>
      <c r="AK21" s="219"/>
      <c r="AL21" s="217" t="str">
        <f ca="1">IFERROR(_xll.DBRW($B$3,$A21,$B$5,$B$4,$B$6,$B$7,$B21,AL$4,AL$5,AL$6)*AL$7,"")</f>
        <v/>
      </c>
      <c r="AM21" s="215" t="str">
        <f ca="1">IFERROR(_xll.DBRW($B$3,$A21,$B$5,$B$4,$B$6,$B$7,$B21,AM$4,AM$5,AM$6)*AM$7,"")</f>
        <v/>
      </c>
      <c r="AN21" s="215" t="str">
        <f ca="1">IFERROR(_xll.DBRW($B$3,$A21,$B$5,$B$4,$B$6,$B$7,$B21,AN$4,AN$5,AN$6)*AN$7,"")</f>
        <v/>
      </c>
      <c r="AO21" s="216" t="str">
        <f t="shared" ca="1" si="11"/>
        <v>-</v>
      </c>
      <c r="AP21" s="216" t="str">
        <f t="shared" ca="1" si="12"/>
        <v>-</v>
      </c>
      <c r="AQ21" s="219"/>
      <c r="AR21" s="218" t="str">
        <f ca="1">IFERROR(_xll.DBRW($B$3,$A21,$B$5,$B$4,$B$6,$B$7,$B21,AR$4,AR$5,AR$6)*AR$7,"")</f>
        <v/>
      </c>
      <c r="AS21" s="215" t="str">
        <f ca="1">IFERROR(_xll.DBRW($B$3,$A21,$B$5,$B$4,$B$6,$B$7,$B21,AS$4,AS$5,AS$6)*AS$7,"")</f>
        <v/>
      </c>
      <c r="AT21" s="215" t="str">
        <f ca="1">IFERROR(_xll.DBRW($B$3,$A21,$B$5,$B$4,$B$6,$B$7,$B21,AT$4,AT$5,AT$6)*AT$7,"")</f>
        <v/>
      </c>
      <c r="AU21" s="216" t="str">
        <f t="shared" ca="1" si="13"/>
        <v>-</v>
      </c>
      <c r="AV21" s="216" t="str">
        <f t="shared" ca="1" si="14"/>
        <v>-</v>
      </c>
      <c r="AW21" s="219"/>
      <c r="AX21" s="218" t="str">
        <f ca="1">IFERROR(_xll.DBRW($B$3,$A21,$B$5,$B$4,$B$6,$B$7,$B21,AX$4,AX$5,AX$6)*AX$7,"")</f>
        <v/>
      </c>
      <c r="AY21" s="215" t="str">
        <f ca="1">IFERROR(_xll.DBRW($B$3,$A21,$B$5,$B$4,$B$6,$B$7,$B21,AY$4,AY$5,AY$6)*AY$7,"")</f>
        <v/>
      </c>
      <c r="AZ21" s="215" t="str">
        <f ca="1">IFERROR(_xll.DBRW($B$3,$A21,$B$5,$B$4,$B$6,$B$7,$B21,AZ$4,AZ$5,AZ$6)*AZ$7,"")</f>
        <v/>
      </c>
      <c r="BA21" s="216" t="str">
        <f t="shared" ca="1" si="15"/>
        <v>-</v>
      </c>
      <c r="BB21" s="216" t="str">
        <f t="shared" ca="1" si="16"/>
        <v>-</v>
      </c>
      <c r="BC21" s="219"/>
      <c r="BD21" s="231" t="str">
        <f t="shared" ca="1" si="17"/>
        <v>-</v>
      </c>
      <c r="BE21" s="232" t="str">
        <f t="shared" ca="1" si="18"/>
        <v>-</v>
      </c>
      <c r="BF21" s="232" t="str">
        <f t="shared" ca="1" si="19"/>
        <v>-</v>
      </c>
    </row>
    <row r="22" spans="1:58" s="208" customFormat="1" ht="15" customHeight="1">
      <c r="A22" s="209" t="s">
        <v>121</v>
      </c>
      <c r="B22" s="210"/>
      <c r="C22" s="212">
        <v>5</v>
      </c>
      <c r="D22" s="193" t="str">
        <f ca="1">_xll.DBRA("tango_core_model:management_organization",B22,Language)</f>
        <v/>
      </c>
      <c r="E22" s="237" t="str">
        <f ca="1">_xll.DBRA("tango_core_model:activity",_xll.DBRA("tango_core_model:management_organization",B22,"sub_activity"),Language)</f>
        <v/>
      </c>
      <c r="F22" s="219"/>
      <c r="G22" s="214" t="str">
        <f ca="1">IFERROR(_xll.DBRW($B$3,$A22,$B$5,$B$4,$B$6,$B$7,$B22,G$4,G$5,G$6)*G$7,"")</f>
        <v/>
      </c>
      <c r="H22" s="215" t="str">
        <f ca="1">IFERROR(_xll.DBRW($B$3,$A22,$B$5,$B$4,$B$6,$B$7,$B22,H$4,H$5,H$6)*H$7,"")</f>
        <v/>
      </c>
      <c r="I22" s="215" t="str">
        <f ca="1">IFERROR(_xll.DBRW($B$3,$A22,$B$5,$B$4,$B$6,$B$7,$B22,I$4,I$5,I$6)*I$7,"")</f>
        <v/>
      </c>
      <c r="J22" s="216" t="str">
        <f t="shared" ca="1" si="0"/>
        <v>-</v>
      </c>
      <c r="K22" s="216" t="str">
        <f t="shared" ca="1" si="1"/>
        <v>-</v>
      </c>
      <c r="L22" s="219"/>
      <c r="M22" s="217" t="str">
        <f ca="1">IFERROR(_xll.DBRW($B$3,$A22,$B$5,$B$4,$B$6,$B$7,$B22,M$4,M$5,M$6)*M$7,"")</f>
        <v/>
      </c>
      <c r="N22" s="215" t="str">
        <f ca="1">IFERROR(_xll.DBRW($B$3,$A22,$B$5,$B$4,$B$6,$B$7,$B22,N$4,N$5,N$6)*N$7,"")</f>
        <v/>
      </c>
      <c r="O22" s="215" t="str">
        <f ca="1">IFERROR(_xll.DBRW($B$3,$A22,$B$5,$B$4,$B$6,$B$7,$B22,O$4,O$5,O$6)*O$7,"")</f>
        <v/>
      </c>
      <c r="P22" s="216" t="str">
        <f t="shared" ca="1" si="2"/>
        <v>-</v>
      </c>
      <c r="Q22" s="216" t="str">
        <f t="shared" ca="1" si="3"/>
        <v>-</v>
      </c>
      <c r="R22" s="219"/>
      <c r="S22" s="217" t="str">
        <f ca="1">IFERROR(_xll.DBRW($B$3,$A22,$B$5,$B$4,$B$6,$B$7,$B22,S$4,S$5,S$6)*S$7,"")</f>
        <v/>
      </c>
      <c r="T22" s="215" t="str">
        <f ca="1">IFERROR(_xll.DBRW($B$3,$A22,$B$5,$B$4,$B$6,$B$7,$B22,T$4,T$5,T$6)*T$7,"")</f>
        <v/>
      </c>
      <c r="U22" s="215" t="str">
        <f ca="1">IFERROR(_xll.DBRW($B$3,$A22,$B$5,$B$4,$B$6,$B$7,$B22,U$4,U$5,U$6)*U$7,"")</f>
        <v/>
      </c>
      <c r="V22" s="216" t="str">
        <f t="shared" ca="1" si="4"/>
        <v>-</v>
      </c>
      <c r="W22" s="216" t="str">
        <f t="shared" ca="1" si="5"/>
        <v>-</v>
      </c>
      <c r="X22" s="219"/>
      <c r="Y22" s="217" t="str">
        <f ca="1">IFERROR(_xll.DBRW($B$3,$A22,$B$5,$B$4,$B$6,$B$7,$B22,Y$4,Y$5,Y$6)*Y$7,"")</f>
        <v/>
      </c>
      <c r="Z22" s="215" t="str">
        <f ca="1">IFERROR(_xll.DBRW($B$3,$A22,$B$5,$B$4,$B$6,$B$7,$B22,Z$4,Z$5,Z$6)*Z$7,"")</f>
        <v/>
      </c>
      <c r="AA22" s="215" t="str">
        <f ca="1">IFERROR(_xll.DBRW($B$3,$A22,$B$5,$B$4,$B$6,$B$7,$B22,AA$4,AA$5,AA$6)*AA$7,"")</f>
        <v/>
      </c>
      <c r="AB22" s="216" t="str">
        <f t="shared" ca="1" si="6"/>
        <v>-</v>
      </c>
      <c r="AC22" s="216" t="str">
        <f t="shared" ca="1" si="7"/>
        <v>-</v>
      </c>
      <c r="AD22" s="219"/>
      <c r="AE22" s="217" t="str">
        <f ca="1">IFERROR(_xll.DBRW($B$3,$A22,$B$5,$B$4,$B$6,$B$7,$B22,AE$4,AE$5,AE$6)*AE$7,"")</f>
        <v/>
      </c>
      <c r="AF22" s="215" t="str">
        <f ca="1">IFERROR(_xll.DBRW($B$3,$A22,$B$5,$B$4,$B$6,$B$7,$B22,AF$4,AF$5,AF$6)*AF$7,"")</f>
        <v/>
      </c>
      <c r="AG22" s="215" t="str">
        <f ca="1">IFERROR(_xll.DBRW($B$3,$A22,$B$5,$B$4,$B$6,$B$7,$B22,AG$4,AG$5,AG$6)*AG$7,"")</f>
        <v/>
      </c>
      <c r="AH22" s="216" t="str">
        <f t="shared" ca="1" si="8"/>
        <v>-</v>
      </c>
      <c r="AI22" s="216" t="str">
        <f t="shared" ca="1" si="9"/>
        <v>-</v>
      </c>
      <c r="AJ22" s="216" t="str">
        <f t="shared" ca="1" si="10"/>
        <v>-</v>
      </c>
      <c r="AK22" s="219"/>
      <c r="AL22" s="217" t="str">
        <f ca="1">IFERROR(_xll.DBRW($B$3,$A22,$B$5,$B$4,$B$6,$B$7,$B22,AL$4,AL$5,AL$6)*AL$7,"")</f>
        <v/>
      </c>
      <c r="AM22" s="215" t="str">
        <f ca="1">IFERROR(_xll.DBRW($B$3,$A22,$B$5,$B$4,$B$6,$B$7,$B22,AM$4,AM$5,AM$6)*AM$7,"")</f>
        <v/>
      </c>
      <c r="AN22" s="215" t="str">
        <f ca="1">IFERROR(_xll.DBRW($B$3,$A22,$B$5,$B$4,$B$6,$B$7,$B22,AN$4,AN$5,AN$6)*AN$7,"")</f>
        <v/>
      </c>
      <c r="AO22" s="216" t="str">
        <f t="shared" ca="1" si="11"/>
        <v>-</v>
      </c>
      <c r="AP22" s="216" t="str">
        <f t="shared" ca="1" si="12"/>
        <v>-</v>
      </c>
      <c r="AQ22" s="219"/>
      <c r="AR22" s="218" t="str">
        <f ca="1">IFERROR(_xll.DBRW($B$3,$A22,$B$5,$B$4,$B$6,$B$7,$B22,AR$4,AR$5,AR$6)*AR$7,"")</f>
        <v/>
      </c>
      <c r="AS22" s="215" t="str">
        <f ca="1">IFERROR(_xll.DBRW($B$3,$A22,$B$5,$B$4,$B$6,$B$7,$B22,AS$4,AS$5,AS$6)*AS$7,"")</f>
        <v/>
      </c>
      <c r="AT22" s="215" t="str">
        <f ca="1">IFERROR(_xll.DBRW($B$3,$A22,$B$5,$B$4,$B$6,$B$7,$B22,AT$4,AT$5,AT$6)*AT$7,"")</f>
        <v/>
      </c>
      <c r="AU22" s="216" t="str">
        <f t="shared" ca="1" si="13"/>
        <v>-</v>
      </c>
      <c r="AV22" s="216" t="str">
        <f t="shared" ca="1" si="14"/>
        <v>-</v>
      </c>
      <c r="AW22" s="219"/>
      <c r="AX22" s="218" t="str">
        <f ca="1">IFERROR(_xll.DBRW($B$3,$A22,$B$5,$B$4,$B$6,$B$7,$B22,AX$4,AX$5,AX$6)*AX$7,"")</f>
        <v/>
      </c>
      <c r="AY22" s="215" t="str">
        <f ca="1">IFERROR(_xll.DBRW($B$3,$A22,$B$5,$B$4,$B$6,$B$7,$B22,AY$4,AY$5,AY$6)*AY$7,"")</f>
        <v/>
      </c>
      <c r="AZ22" s="215" t="str">
        <f ca="1">IFERROR(_xll.DBRW($B$3,$A22,$B$5,$B$4,$B$6,$B$7,$B22,AZ$4,AZ$5,AZ$6)*AZ$7,"")</f>
        <v/>
      </c>
      <c r="BA22" s="216" t="str">
        <f t="shared" ca="1" si="15"/>
        <v>-</v>
      </c>
      <c r="BB22" s="216" t="str">
        <f t="shared" ca="1" si="16"/>
        <v>-</v>
      </c>
      <c r="BC22" s="219"/>
      <c r="BD22" s="231" t="str">
        <f t="shared" ca="1" si="17"/>
        <v>-</v>
      </c>
      <c r="BE22" s="232" t="str">
        <f t="shared" ca="1" si="18"/>
        <v>-</v>
      </c>
      <c r="BF22" s="232" t="str">
        <f t="shared" ca="1" si="19"/>
        <v>-</v>
      </c>
    </row>
    <row r="23" spans="1:58" s="208" customFormat="1" ht="15" customHeight="1">
      <c r="A23" s="209" t="s">
        <v>121</v>
      </c>
      <c r="B23" s="210"/>
      <c r="C23" s="212">
        <v>6</v>
      </c>
      <c r="D23" s="193" t="str">
        <f ca="1">_xll.DBRA("tango_core_model:management_organization",B23,Language)</f>
        <v/>
      </c>
      <c r="E23" s="237" t="str">
        <f ca="1">_xll.DBRA("tango_core_model:activity",_xll.DBRA("tango_core_model:management_organization",B23,"sub_activity"),Language)</f>
        <v/>
      </c>
      <c r="F23" s="219"/>
      <c r="G23" s="214" t="str">
        <f ca="1">IFERROR(_xll.DBRW($B$3,$A23,$B$5,$B$4,$B$6,$B$7,$B23,G$4,G$5,G$6)*G$7,"")</f>
        <v/>
      </c>
      <c r="H23" s="215" t="str">
        <f ca="1">IFERROR(_xll.DBRW($B$3,$A23,$B$5,$B$4,$B$6,$B$7,$B23,H$4,H$5,H$6)*H$7,"")</f>
        <v/>
      </c>
      <c r="I23" s="215" t="str">
        <f ca="1">IFERROR(_xll.DBRW($B$3,$A23,$B$5,$B$4,$B$6,$B$7,$B23,I$4,I$5,I$6)*I$7,"")</f>
        <v/>
      </c>
      <c r="J23" s="216" t="str">
        <f t="shared" ca="1" si="0"/>
        <v>-</v>
      </c>
      <c r="K23" s="216" t="str">
        <f t="shared" ca="1" si="1"/>
        <v>-</v>
      </c>
      <c r="L23" s="219"/>
      <c r="M23" s="217" t="str">
        <f ca="1">IFERROR(_xll.DBRW($B$3,$A23,$B$5,$B$4,$B$6,$B$7,$B23,M$4,M$5,M$6)*M$7,"")</f>
        <v/>
      </c>
      <c r="N23" s="215" t="str">
        <f ca="1">IFERROR(_xll.DBRW($B$3,$A23,$B$5,$B$4,$B$6,$B$7,$B23,N$4,N$5,N$6)*N$7,"")</f>
        <v/>
      </c>
      <c r="O23" s="215" t="str">
        <f ca="1">IFERROR(_xll.DBRW($B$3,$A23,$B$5,$B$4,$B$6,$B$7,$B23,O$4,O$5,O$6)*O$7,"")</f>
        <v/>
      </c>
      <c r="P23" s="216" t="str">
        <f t="shared" ca="1" si="2"/>
        <v>-</v>
      </c>
      <c r="Q23" s="216" t="str">
        <f t="shared" ca="1" si="3"/>
        <v>-</v>
      </c>
      <c r="R23" s="219"/>
      <c r="S23" s="217" t="str">
        <f ca="1">IFERROR(_xll.DBRW($B$3,$A23,$B$5,$B$4,$B$6,$B$7,$B23,S$4,S$5,S$6)*S$7,"")</f>
        <v/>
      </c>
      <c r="T23" s="215" t="str">
        <f ca="1">IFERROR(_xll.DBRW($B$3,$A23,$B$5,$B$4,$B$6,$B$7,$B23,T$4,T$5,T$6)*T$7,"")</f>
        <v/>
      </c>
      <c r="U23" s="215" t="str">
        <f ca="1">IFERROR(_xll.DBRW($B$3,$A23,$B$5,$B$4,$B$6,$B$7,$B23,U$4,U$5,U$6)*U$7,"")</f>
        <v/>
      </c>
      <c r="V23" s="216" t="str">
        <f t="shared" ca="1" si="4"/>
        <v>-</v>
      </c>
      <c r="W23" s="216" t="str">
        <f t="shared" ca="1" si="5"/>
        <v>-</v>
      </c>
      <c r="X23" s="219"/>
      <c r="Y23" s="217" t="str">
        <f ca="1">IFERROR(_xll.DBRW($B$3,$A23,$B$5,$B$4,$B$6,$B$7,$B23,Y$4,Y$5,Y$6)*Y$7,"")</f>
        <v/>
      </c>
      <c r="Z23" s="215" t="str">
        <f ca="1">IFERROR(_xll.DBRW($B$3,$A23,$B$5,$B$4,$B$6,$B$7,$B23,Z$4,Z$5,Z$6)*Z$7,"")</f>
        <v/>
      </c>
      <c r="AA23" s="215" t="str">
        <f ca="1">IFERROR(_xll.DBRW($B$3,$A23,$B$5,$B$4,$B$6,$B$7,$B23,AA$4,AA$5,AA$6)*AA$7,"")</f>
        <v/>
      </c>
      <c r="AB23" s="216" t="str">
        <f t="shared" ca="1" si="6"/>
        <v>-</v>
      </c>
      <c r="AC23" s="216" t="str">
        <f t="shared" ca="1" si="7"/>
        <v>-</v>
      </c>
      <c r="AD23" s="219"/>
      <c r="AE23" s="217" t="str">
        <f ca="1">IFERROR(_xll.DBRW($B$3,$A23,$B$5,$B$4,$B$6,$B$7,$B23,AE$4,AE$5,AE$6)*AE$7,"")</f>
        <v/>
      </c>
      <c r="AF23" s="215" t="str">
        <f ca="1">IFERROR(_xll.DBRW($B$3,$A23,$B$5,$B$4,$B$6,$B$7,$B23,AF$4,AF$5,AF$6)*AF$7,"")</f>
        <v/>
      </c>
      <c r="AG23" s="215" t="str">
        <f ca="1">IFERROR(_xll.DBRW($B$3,$A23,$B$5,$B$4,$B$6,$B$7,$B23,AG$4,AG$5,AG$6)*AG$7,"")</f>
        <v/>
      </c>
      <c r="AH23" s="216" t="str">
        <f t="shared" ca="1" si="8"/>
        <v>-</v>
      </c>
      <c r="AI23" s="216" t="str">
        <f t="shared" ca="1" si="9"/>
        <v>-</v>
      </c>
      <c r="AJ23" s="216" t="str">
        <f t="shared" ca="1" si="10"/>
        <v>-</v>
      </c>
      <c r="AK23" s="219"/>
      <c r="AL23" s="217" t="str">
        <f ca="1">IFERROR(_xll.DBRW($B$3,$A23,$B$5,$B$4,$B$6,$B$7,$B23,AL$4,AL$5,AL$6)*AL$7,"")</f>
        <v/>
      </c>
      <c r="AM23" s="215" t="str">
        <f ca="1">IFERROR(_xll.DBRW($B$3,$A23,$B$5,$B$4,$B$6,$B$7,$B23,AM$4,AM$5,AM$6)*AM$7,"")</f>
        <v/>
      </c>
      <c r="AN23" s="215" t="str">
        <f ca="1">IFERROR(_xll.DBRW($B$3,$A23,$B$5,$B$4,$B$6,$B$7,$B23,AN$4,AN$5,AN$6)*AN$7,"")</f>
        <v/>
      </c>
      <c r="AO23" s="216" t="str">
        <f t="shared" ca="1" si="11"/>
        <v>-</v>
      </c>
      <c r="AP23" s="216" t="str">
        <f t="shared" ca="1" si="12"/>
        <v>-</v>
      </c>
      <c r="AQ23" s="219"/>
      <c r="AR23" s="218" t="str">
        <f ca="1">IFERROR(_xll.DBRW($B$3,$A23,$B$5,$B$4,$B$6,$B$7,$B23,AR$4,AR$5,AR$6)*AR$7,"")</f>
        <v/>
      </c>
      <c r="AS23" s="215" t="str">
        <f ca="1">IFERROR(_xll.DBRW($B$3,$A23,$B$5,$B$4,$B$6,$B$7,$B23,AS$4,AS$5,AS$6)*AS$7,"")</f>
        <v/>
      </c>
      <c r="AT23" s="215" t="str">
        <f ca="1">IFERROR(_xll.DBRW($B$3,$A23,$B$5,$B$4,$B$6,$B$7,$B23,AT$4,AT$5,AT$6)*AT$7,"")</f>
        <v/>
      </c>
      <c r="AU23" s="216" t="str">
        <f t="shared" ca="1" si="13"/>
        <v>-</v>
      </c>
      <c r="AV23" s="216" t="str">
        <f t="shared" ca="1" si="14"/>
        <v>-</v>
      </c>
      <c r="AW23" s="219"/>
      <c r="AX23" s="218" t="str">
        <f ca="1">IFERROR(_xll.DBRW($B$3,$A23,$B$5,$B$4,$B$6,$B$7,$B23,AX$4,AX$5,AX$6)*AX$7,"")</f>
        <v/>
      </c>
      <c r="AY23" s="215" t="str">
        <f ca="1">IFERROR(_xll.DBRW($B$3,$A23,$B$5,$B$4,$B$6,$B$7,$B23,AY$4,AY$5,AY$6)*AY$7,"")</f>
        <v/>
      </c>
      <c r="AZ23" s="215" t="str">
        <f ca="1">IFERROR(_xll.DBRW($B$3,$A23,$B$5,$B$4,$B$6,$B$7,$B23,AZ$4,AZ$5,AZ$6)*AZ$7,"")</f>
        <v/>
      </c>
      <c r="BA23" s="216" t="str">
        <f t="shared" ca="1" si="15"/>
        <v>-</v>
      </c>
      <c r="BB23" s="216" t="str">
        <f t="shared" ca="1" si="16"/>
        <v>-</v>
      </c>
      <c r="BC23" s="219"/>
      <c r="BD23" s="231" t="str">
        <f t="shared" ca="1" si="17"/>
        <v>-</v>
      </c>
      <c r="BE23" s="232" t="str">
        <f t="shared" ca="1" si="18"/>
        <v>-</v>
      </c>
      <c r="BF23" s="232" t="str">
        <f t="shared" ca="1" si="19"/>
        <v>-</v>
      </c>
    </row>
    <row r="24" spans="1:58" s="208" customFormat="1" ht="15" customHeight="1">
      <c r="A24" s="209" t="s">
        <v>121</v>
      </c>
      <c r="B24" s="210"/>
      <c r="C24" s="212">
        <v>7</v>
      </c>
      <c r="D24" s="193" t="str">
        <f ca="1">_xll.DBRA("tango_core_model:management_organization",B24,Language)</f>
        <v/>
      </c>
      <c r="E24" s="237" t="str">
        <f ca="1">_xll.DBRA("tango_core_model:activity",_xll.DBRA("tango_core_model:management_organization",B24,"sub_activity"),Language)</f>
        <v/>
      </c>
      <c r="F24" s="219"/>
      <c r="G24" s="214" t="str">
        <f ca="1">IFERROR(_xll.DBRW($B$3,$A24,$B$5,$B$4,$B$6,$B$7,$B24,G$4,G$5,G$6)*G$7,"")</f>
        <v/>
      </c>
      <c r="H24" s="215" t="str">
        <f ca="1">IFERROR(_xll.DBRW($B$3,$A24,$B$5,$B$4,$B$6,$B$7,$B24,H$4,H$5,H$6)*H$7,"")</f>
        <v/>
      </c>
      <c r="I24" s="215" t="str">
        <f ca="1">IFERROR(_xll.DBRW($B$3,$A24,$B$5,$B$4,$B$6,$B$7,$B24,I$4,I$5,I$6)*I$7,"")</f>
        <v/>
      </c>
      <c r="J24" s="216" t="str">
        <f t="shared" ca="1" si="0"/>
        <v>-</v>
      </c>
      <c r="K24" s="216" t="str">
        <f t="shared" ca="1" si="1"/>
        <v>-</v>
      </c>
      <c r="L24" s="219"/>
      <c r="M24" s="217" t="str">
        <f ca="1">IFERROR(_xll.DBRW($B$3,$A24,$B$5,$B$4,$B$6,$B$7,$B24,M$4,M$5,M$6)*M$7,"")</f>
        <v/>
      </c>
      <c r="N24" s="215" t="str">
        <f ca="1">IFERROR(_xll.DBRW($B$3,$A24,$B$5,$B$4,$B$6,$B$7,$B24,N$4,N$5,N$6)*N$7,"")</f>
        <v/>
      </c>
      <c r="O24" s="215" t="str">
        <f ca="1">IFERROR(_xll.DBRW($B$3,$A24,$B$5,$B$4,$B$6,$B$7,$B24,O$4,O$5,O$6)*O$7,"")</f>
        <v/>
      </c>
      <c r="P24" s="216" t="str">
        <f t="shared" ca="1" si="2"/>
        <v>-</v>
      </c>
      <c r="Q24" s="216" t="str">
        <f t="shared" ca="1" si="3"/>
        <v>-</v>
      </c>
      <c r="R24" s="219"/>
      <c r="S24" s="217" t="str">
        <f ca="1">IFERROR(_xll.DBRW($B$3,$A24,$B$5,$B$4,$B$6,$B$7,$B24,S$4,S$5,S$6)*S$7,"")</f>
        <v/>
      </c>
      <c r="T24" s="215" t="str">
        <f ca="1">IFERROR(_xll.DBRW($B$3,$A24,$B$5,$B$4,$B$6,$B$7,$B24,T$4,T$5,T$6)*T$7,"")</f>
        <v/>
      </c>
      <c r="U24" s="215" t="str">
        <f ca="1">IFERROR(_xll.DBRW($B$3,$A24,$B$5,$B$4,$B$6,$B$7,$B24,U$4,U$5,U$6)*U$7,"")</f>
        <v/>
      </c>
      <c r="V24" s="216" t="str">
        <f t="shared" ca="1" si="4"/>
        <v>-</v>
      </c>
      <c r="W24" s="216" t="str">
        <f t="shared" ca="1" si="5"/>
        <v>-</v>
      </c>
      <c r="X24" s="219"/>
      <c r="Y24" s="217" t="str">
        <f ca="1">IFERROR(_xll.DBRW($B$3,$A24,$B$5,$B$4,$B$6,$B$7,$B24,Y$4,Y$5,Y$6)*Y$7,"")</f>
        <v/>
      </c>
      <c r="Z24" s="215" t="str">
        <f ca="1">IFERROR(_xll.DBRW($B$3,$A24,$B$5,$B$4,$B$6,$B$7,$B24,Z$4,Z$5,Z$6)*Z$7,"")</f>
        <v/>
      </c>
      <c r="AA24" s="215" t="str">
        <f ca="1">IFERROR(_xll.DBRW($B$3,$A24,$B$5,$B$4,$B$6,$B$7,$B24,AA$4,AA$5,AA$6)*AA$7,"")</f>
        <v/>
      </c>
      <c r="AB24" s="216" t="str">
        <f t="shared" ca="1" si="6"/>
        <v>-</v>
      </c>
      <c r="AC24" s="216" t="str">
        <f t="shared" ca="1" si="7"/>
        <v>-</v>
      </c>
      <c r="AD24" s="219"/>
      <c r="AE24" s="217" t="str">
        <f ca="1">IFERROR(_xll.DBRW($B$3,$A24,$B$5,$B$4,$B$6,$B$7,$B24,AE$4,AE$5,AE$6)*AE$7,"")</f>
        <v/>
      </c>
      <c r="AF24" s="215" t="str">
        <f ca="1">IFERROR(_xll.DBRW($B$3,$A24,$B$5,$B$4,$B$6,$B$7,$B24,AF$4,AF$5,AF$6)*AF$7,"")</f>
        <v/>
      </c>
      <c r="AG24" s="215" t="str">
        <f ca="1">IFERROR(_xll.DBRW($B$3,$A24,$B$5,$B$4,$B$6,$B$7,$B24,AG$4,AG$5,AG$6)*AG$7,"")</f>
        <v/>
      </c>
      <c r="AH24" s="216" t="str">
        <f t="shared" ca="1" si="8"/>
        <v>-</v>
      </c>
      <c r="AI24" s="216" t="str">
        <f t="shared" ca="1" si="9"/>
        <v>-</v>
      </c>
      <c r="AJ24" s="216" t="str">
        <f t="shared" ca="1" si="10"/>
        <v>-</v>
      </c>
      <c r="AK24" s="219"/>
      <c r="AL24" s="217" t="str">
        <f ca="1">IFERROR(_xll.DBRW($B$3,$A24,$B$5,$B$4,$B$6,$B$7,$B24,AL$4,AL$5,AL$6)*AL$7,"")</f>
        <v/>
      </c>
      <c r="AM24" s="215" t="str">
        <f ca="1">IFERROR(_xll.DBRW($B$3,$A24,$B$5,$B$4,$B$6,$B$7,$B24,AM$4,AM$5,AM$6)*AM$7,"")</f>
        <v/>
      </c>
      <c r="AN24" s="215" t="str">
        <f ca="1">IFERROR(_xll.DBRW($B$3,$A24,$B$5,$B$4,$B$6,$B$7,$B24,AN$4,AN$5,AN$6)*AN$7,"")</f>
        <v/>
      </c>
      <c r="AO24" s="216" t="str">
        <f t="shared" ca="1" si="11"/>
        <v>-</v>
      </c>
      <c r="AP24" s="216" t="str">
        <f t="shared" ca="1" si="12"/>
        <v>-</v>
      </c>
      <c r="AQ24" s="219"/>
      <c r="AR24" s="218" t="str">
        <f ca="1">IFERROR(_xll.DBRW($B$3,$A24,$B$5,$B$4,$B$6,$B$7,$B24,AR$4,AR$5,AR$6)*AR$7,"")</f>
        <v/>
      </c>
      <c r="AS24" s="215" t="str">
        <f ca="1">IFERROR(_xll.DBRW($B$3,$A24,$B$5,$B$4,$B$6,$B$7,$B24,AS$4,AS$5,AS$6)*AS$7,"")</f>
        <v/>
      </c>
      <c r="AT24" s="215" t="str">
        <f ca="1">IFERROR(_xll.DBRW($B$3,$A24,$B$5,$B$4,$B$6,$B$7,$B24,AT$4,AT$5,AT$6)*AT$7,"")</f>
        <v/>
      </c>
      <c r="AU24" s="216" t="str">
        <f t="shared" ca="1" si="13"/>
        <v>-</v>
      </c>
      <c r="AV24" s="216" t="str">
        <f t="shared" ca="1" si="14"/>
        <v>-</v>
      </c>
      <c r="AW24" s="219"/>
      <c r="AX24" s="218" t="str">
        <f ca="1">IFERROR(_xll.DBRW($B$3,$A24,$B$5,$B$4,$B$6,$B$7,$B24,AX$4,AX$5,AX$6)*AX$7,"")</f>
        <v/>
      </c>
      <c r="AY24" s="215" t="str">
        <f ca="1">IFERROR(_xll.DBRW($B$3,$A24,$B$5,$B$4,$B$6,$B$7,$B24,AY$4,AY$5,AY$6)*AY$7,"")</f>
        <v/>
      </c>
      <c r="AZ24" s="215" t="str">
        <f ca="1">IFERROR(_xll.DBRW($B$3,$A24,$B$5,$B$4,$B$6,$B$7,$B24,AZ$4,AZ$5,AZ$6)*AZ$7,"")</f>
        <v/>
      </c>
      <c r="BA24" s="216" t="str">
        <f t="shared" ca="1" si="15"/>
        <v>-</v>
      </c>
      <c r="BB24" s="216" t="str">
        <f t="shared" ca="1" si="16"/>
        <v>-</v>
      </c>
      <c r="BC24" s="219"/>
      <c r="BD24" s="231" t="str">
        <f t="shared" ca="1" si="17"/>
        <v>-</v>
      </c>
      <c r="BE24" s="232" t="str">
        <f t="shared" ca="1" si="18"/>
        <v>-</v>
      </c>
      <c r="BF24" s="232" t="str">
        <f t="shared" ca="1" si="19"/>
        <v>-</v>
      </c>
    </row>
    <row r="25" spans="1:58" s="208" customFormat="1" ht="15" customHeight="1">
      <c r="A25" s="209" t="s">
        <v>121</v>
      </c>
      <c r="B25" s="210"/>
      <c r="C25" s="212">
        <v>8</v>
      </c>
      <c r="D25" s="193" t="str">
        <f ca="1">_xll.DBRA("tango_core_model:management_organization",B25,Language)</f>
        <v/>
      </c>
      <c r="E25" s="237" t="str">
        <f ca="1">_xll.DBRA("tango_core_model:activity",_xll.DBRA("tango_core_model:management_organization",B25,"sub_activity"),Language)</f>
        <v/>
      </c>
      <c r="F25" s="220"/>
      <c r="G25" s="214" t="str">
        <f ca="1">IFERROR(_xll.DBRW($B$3,$A25,$B$5,$B$4,$B$6,$B$7,$B25,G$4,G$5,G$6)*G$7,"")</f>
        <v/>
      </c>
      <c r="H25" s="215" t="str">
        <f ca="1">IFERROR(_xll.DBRW($B$3,$A25,$B$5,$B$4,$B$6,$B$7,$B25,H$4,H$5,H$6)*H$7,"")</f>
        <v/>
      </c>
      <c r="I25" s="215" t="str">
        <f ca="1">IFERROR(_xll.DBRW($B$3,$A25,$B$5,$B$4,$B$6,$B$7,$B25,I$4,I$5,I$6)*I$7,"")</f>
        <v/>
      </c>
      <c r="J25" s="216" t="str">
        <f t="shared" ca="1" si="0"/>
        <v>-</v>
      </c>
      <c r="K25" s="216" t="str">
        <f t="shared" ca="1" si="1"/>
        <v>-</v>
      </c>
      <c r="L25" s="220"/>
      <c r="M25" s="217" t="str">
        <f ca="1">IFERROR(_xll.DBRW($B$3,$A25,$B$5,$B$4,$B$6,$B$7,$B25,M$4,M$5,M$6)*M$7,"")</f>
        <v/>
      </c>
      <c r="N25" s="215" t="str">
        <f ca="1">IFERROR(_xll.DBRW($B$3,$A25,$B$5,$B$4,$B$6,$B$7,$B25,N$4,N$5,N$6)*N$7,"")</f>
        <v/>
      </c>
      <c r="O25" s="215" t="str">
        <f ca="1">IFERROR(_xll.DBRW($B$3,$A25,$B$5,$B$4,$B$6,$B$7,$B25,O$4,O$5,O$6)*O$7,"")</f>
        <v/>
      </c>
      <c r="P25" s="216" t="str">
        <f t="shared" ca="1" si="2"/>
        <v>-</v>
      </c>
      <c r="Q25" s="216" t="str">
        <f t="shared" ca="1" si="3"/>
        <v>-</v>
      </c>
      <c r="R25" s="220"/>
      <c r="S25" s="217" t="str">
        <f ca="1">IFERROR(_xll.DBRW($B$3,$A25,$B$5,$B$4,$B$6,$B$7,$B25,S$4,S$5,S$6)*S$7,"")</f>
        <v/>
      </c>
      <c r="T25" s="215" t="str">
        <f ca="1">IFERROR(_xll.DBRW($B$3,$A25,$B$5,$B$4,$B$6,$B$7,$B25,T$4,T$5,T$6)*T$7,"")</f>
        <v/>
      </c>
      <c r="U25" s="215" t="str">
        <f ca="1">IFERROR(_xll.DBRW($B$3,$A25,$B$5,$B$4,$B$6,$B$7,$B25,U$4,U$5,U$6)*U$7,"")</f>
        <v/>
      </c>
      <c r="V25" s="216" t="str">
        <f t="shared" ca="1" si="4"/>
        <v>-</v>
      </c>
      <c r="W25" s="216" t="str">
        <f t="shared" ca="1" si="5"/>
        <v>-</v>
      </c>
      <c r="X25" s="220"/>
      <c r="Y25" s="217" t="str">
        <f ca="1">IFERROR(_xll.DBRW($B$3,$A25,$B$5,$B$4,$B$6,$B$7,$B25,Y$4,Y$5,Y$6)*Y$7,"")</f>
        <v/>
      </c>
      <c r="Z25" s="215" t="str">
        <f ca="1">IFERROR(_xll.DBRW($B$3,$A25,$B$5,$B$4,$B$6,$B$7,$B25,Z$4,Z$5,Z$6)*Z$7,"")</f>
        <v/>
      </c>
      <c r="AA25" s="215" t="str">
        <f ca="1">IFERROR(_xll.DBRW($B$3,$A25,$B$5,$B$4,$B$6,$B$7,$B25,AA$4,AA$5,AA$6)*AA$7,"")</f>
        <v/>
      </c>
      <c r="AB25" s="216" t="str">
        <f t="shared" ca="1" si="6"/>
        <v>-</v>
      </c>
      <c r="AC25" s="216" t="str">
        <f t="shared" ca="1" si="7"/>
        <v>-</v>
      </c>
      <c r="AD25" s="220"/>
      <c r="AE25" s="217" t="str">
        <f ca="1">IFERROR(_xll.DBRW($B$3,$A25,$B$5,$B$4,$B$6,$B$7,$B25,AE$4,AE$5,AE$6)*AE$7,"")</f>
        <v/>
      </c>
      <c r="AF25" s="215" t="str">
        <f ca="1">IFERROR(_xll.DBRW($B$3,$A25,$B$5,$B$4,$B$6,$B$7,$B25,AF$4,AF$5,AF$6)*AF$7,"")</f>
        <v/>
      </c>
      <c r="AG25" s="215" t="str">
        <f ca="1">IFERROR(_xll.DBRW($B$3,$A25,$B$5,$B$4,$B$6,$B$7,$B25,AG$4,AG$5,AG$6)*AG$7,"")</f>
        <v/>
      </c>
      <c r="AH25" s="216" t="str">
        <f t="shared" ca="1" si="8"/>
        <v>-</v>
      </c>
      <c r="AI25" s="216" t="str">
        <f t="shared" ca="1" si="9"/>
        <v>-</v>
      </c>
      <c r="AJ25" s="216" t="str">
        <f t="shared" ca="1" si="10"/>
        <v>-</v>
      </c>
      <c r="AK25" s="220"/>
      <c r="AL25" s="217" t="str">
        <f ca="1">IFERROR(_xll.DBRW($B$3,$A25,$B$5,$B$4,$B$6,$B$7,$B25,AL$4,AL$5,AL$6)*AL$7,"")</f>
        <v/>
      </c>
      <c r="AM25" s="215" t="str">
        <f ca="1">IFERROR(_xll.DBRW($B$3,$A25,$B$5,$B$4,$B$6,$B$7,$B25,AM$4,AM$5,AM$6)*AM$7,"")</f>
        <v/>
      </c>
      <c r="AN25" s="215" t="str">
        <f ca="1">IFERROR(_xll.DBRW($B$3,$A25,$B$5,$B$4,$B$6,$B$7,$B25,AN$4,AN$5,AN$6)*AN$7,"")</f>
        <v/>
      </c>
      <c r="AO25" s="216" t="str">
        <f t="shared" ca="1" si="11"/>
        <v>-</v>
      </c>
      <c r="AP25" s="216" t="str">
        <f t="shared" ca="1" si="12"/>
        <v>-</v>
      </c>
      <c r="AQ25" s="220"/>
      <c r="AR25" s="218" t="str">
        <f ca="1">IFERROR(_xll.DBRW($B$3,$A25,$B$5,$B$4,$B$6,$B$7,$B25,AR$4,AR$5,AR$6)*AR$7,"")</f>
        <v/>
      </c>
      <c r="AS25" s="215" t="str">
        <f ca="1">IFERROR(_xll.DBRW($B$3,$A25,$B$5,$B$4,$B$6,$B$7,$B25,AS$4,AS$5,AS$6)*AS$7,"")</f>
        <v/>
      </c>
      <c r="AT25" s="215" t="str">
        <f ca="1">IFERROR(_xll.DBRW($B$3,$A25,$B$5,$B$4,$B$6,$B$7,$B25,AT$4,AT$5,AT$6)*AT$7,"")</f>
        <v/>
      </c>
      <c r="AU25" s="216" t="str">
        <f t="shared" ca="1" si="13"/>
        <v>-</v>
      </c>
      <c r="AV25" s="216" t="str">
        <f t="shared" ca="1" si="14"/>
        <v>-</v>
      </c>
      <c r="AW25" s="220"/>
      <c r="AX25" s="218" t="str">
        <f ca="1">IFERROR(_xll.DBRW($B$3,$A25,$B$5,$B$4,$B$6,$B$7,$B25,AX$4,AX$5,AX$6)*AX$7,"")</f>
        <v/>
      </c>
      <c r="AY25" s="215" t="str">
        <f ca="1">IFERROR(_xll.DBRW($B$3,$A25,$B$5,$B$4,$B$6,$B$7,$B25,AY$4,AY$5,AY$6)*AY$7,"")</f>
        <v/>
      </c>
      <c r="AZ25" s="215" t="str">
        <f ca="1">IFERROR(_xll.DBRW($B$3,$A25,$B$5,$B$4,$B$6,$B$7,$B25,AZ$4,AZ$5,AZ$6)*AZ$7,"")</f>
        <v/>
      </c>
      <c r="BA25" s="216" t="str">
        <f t="shared" ca="1" si="15"/>
        <v>-</v>
      </c>
      <c r="BB25" s="216" t="str">
        <f t="shared" ca="1" si="16"/>
        <v>-</v>
      </c>
      <c r="BC25" s="220"/>
      <c r="BD25" s="231" t="str">
        <f t="shared" ca="1" si="17"/>
        <v>-</v>
      </c>
      <c r="BE25" s="232" t="str">
        <f t="shared" ca="1" si="18"/>
        <v>-</v>
      </c>
      <c r="BF25" s="232" t="str">
        <f t="shared" ca="1" si="19"/>
        <v>-</v>
      </c>
    </row>
    <row r="26" spans="1:58" s="208" customFormat="1" ht="15" customHeight="1">
      <c r="A26" s="209" t="s">
        <v>121</v>
      </c>
      <c r="B26" s="210"/>
      <c r="C26" s="212">
        <v>9</v>
      </c>
      <c r="D26" s="193" t="str">
        <f ca="1">_xll.DBRA("tango_core_model:management_organization",B26,Language)</f>
        <v/>
      </c>
      <c r="E26" s="237" t="str">
        <f ca="1">_xll.DBRA("tango_core_model:activity",_xll.DBRA("tango_core_model:management_organization",B26,"sub_activity"),Language)</f>
        <v/>
      </c>
      <c r="F26" s="220"/>
      <c r="G26" s="214" t="str">
        <f ca="1">IFERROR(_xll.DBRW($B$3,$A26,$B$5,$B$4,$B$6,$B$7,$B26,G$4,G$5,G$6)*G$7,"")</f>
        <v/>
      </c>
      <c r="H26" s="215" t="str">
        <f ca="1">IFERROR(_xll.DBRW($B$3,$A26,$B$5,$B$4,$B$6,$B$7,$B26,H$4,H$5,H$6)*H$7,"")</f>
        <v/>
      </c>
      <c r="I26" s="215" t="str">
        <f ca="1">IFERROR(_xll.DBRW($B$3,$A26,$B$5,$B$4,$B$6,$B$7,$B26,I$4,I$5,I$6)*I$7,"")</f>
        <v/>
      </c>
      <c r="J26" s="216" t="str">
        <f t="shared" ca="1" si="0"/>
        <v>-</v>
      </c>
      <c r="K26" s="216" t="str">
        <f t="shared" ca="1" si="1"/>
        <v>-</v>
      </c>
      <c r="L26" s="220"/>
      <c r="M26" s="217" t="str">
        <f ca="1">IFERROR(_xll.DBRW($B$3,$A26,$B$5,$B$4,$B$6,$B$7,$B26,M$4,M$5,M$6)*M$7,"")</f>
        <v/>
      </c>
      <c r="N26" s="215" t="str">
        <f ca="1">IFERROR(_xll.DBRW($B$3,$A26,$B$5,$B$4,$B$6,$B$7,$B26,N$4,N$5,N$6)*N$7,"")</f>
        <v/>
      </c>
      <c r="O26" s="215" t="str">
        <f ca="1">IFERROR(_xll.DBRW($B$3,$A26,$B$5,$B$4,$B$6,$B$7,$B26,O$4,O$5,O$6)*O$7,"")</f>
        <v/>
      </c>
      <c r="P26" s="216" t="str">
        <f t="shared" ca="1" si="2"/>
        <v>-</v>
      </c>
      <c r="Q26" s="216" t="str">
        <f t="shared" ca="1" si="3"/>
        <v>-</v>
      </c>
      <c r="R26" s="220"/>
      <c r="S26" s="217" t="str">
        <f ca="1">IFERROR(_xll.DBRW($B$3,$A26,$B$5,$B$4,$B$6,$B$7,$B26,S$4,S$5,S$6)*S$7,"")</f>
        <v/>
      </c>
      <c r="T26" s="215" t="str">
        <f ca="1">IFERROR(_xll.DBRW($B$3,$A26,$B$5,$B$4,$B$6,$B$7,$B26,T$4,T$5,T$6)*T$7,"")</f>
        <v/>
      </c>
      <c r="U26" s="215" t="str">
        <f ca="1">IFERROR(_xll.DBRW($B$3,$A26,$B$5,$B$4,$B$6,$B$7,$B26,U$4,U$5,U$6)*U$7,"")</f>
        <v/>
      </c>
      <c r="V26" s="216" t="str">
        <f t="shared" ca="1" si="4"/>
        <v>-</v>
      </c>
      <c r="W26" s="216" t="str">
        <f t="shared" ca="1" si="5"/>
        <v>-</v>
      </c>
      <c r="X26" s="220"/>
      <c r="Y26" s="217" t="str">
        <f ca="1">IFERROR(_xll.DBRW($B$3,$A26,$B$5,$B$4,$B$6,$B$7,$B26,Y$4,Y$5,Y$6)*Y$7,"")</f>
        <v/>
      </c>
      <c r="Z26" s="215" t="str">
        <f ca="1">IFERROR(_xll.DBRW($B$3,$A26,$B$5,$B$4,$B$6,$B$7,$B26,Z$4,Z$5,Z$6)*Z$7,"")</f>
        <v/>
      </c>
      <c r="AA26" s="215" t="str">
        <f ca="1">IFERROR(_xll.DBRW($B$3,$A26,$B$5,$B$4,$B$6,$B$7,$B26,AA$4,AA$5,AA$6)*AA$7,"")</f>
        <v/>
      </c>
      <c r="AB26" s="216" t="str">
        <f t="shared" ca="1" si="6"/>
        <v>-</v>
      </c>
      <c r="AC26" s="216" t="str">
        <f t="shared" ca="1" si="7"/>
        <v>-</v>
      </c>
      <c r="AD26" s="220"/>
      <c r="AE26" s="217" t="str">
        <f ca="1">IFERROR(_xll.DBRW($B$3,$A26,$B$5,$B$4,$B$6,$B$7,$B26,AE$4,AE$5,AE$6)*AE$7,"")</f>
        <v/>
      </c>
      <c r="AF26" s="215" t="str">
        <f ca="1">IFERROR(_xll.DBRW($B$3,$A26,$B$5,$B$4,$B$6,$B$7,$B26,AF$4,AF$5,AF$6)*AF$7,"")</f>
        <v/>
      </c>
      <c r="AG26" s="215" t="str">
        <f ca="1">IFERROR(_xll.DBRW($B$3,$A26,$B$5,$B$4,$B$6,$B$7,$B26,AG$4,AG$5,AG$6)*AG$7,"")</f>
        <v/>
      </c>
      <c r="AH26" s="216" t="str">
        <f t="shared" ca="1" si="8"/>
        <v>-</v>
      </c>
      <c r="AI26" s="216" t="str">
        <f t="shared" ca="1" si="9"/>
        <v>-</v>
      </c>
      <c r="AJ26" s="216" t="str">
        <f t="shared" ca="1" si="10"/>
        <v>-</v>
      </c>
      <c r="AK26" s="220"/>
      <c r="AL26" s="217" t="str">
        <f ca="1">IFERROR(_xll.DBRW($B$3,$A26,$B$5,$B$4,$B$6,$B$7,$B26,AL$4,AL$5,AL$6)*AL$7,"")</f>
        <v/>
      </c>
      <c r="AM26" s="215" t="str">
        <f ca="1">IFERROR(_xll.DBRW($B$3,$A26,$B$5,$B$4,$B$6,$B$7,$B26,AM$4,AM$5,AM$6)*AM$7,"")</f>
        <v/>
      </c>
      <c r="AN26" s="215" t="str">
        <f ca="1">IFERROR(_xll.DBRW($B$3,$A26,$B$5,$B$4,$B$6,$B$7,$B26,AN$4,AN$5,AN$6)*AN$7,"")</f>
        <v/>
      </c>
      <c r="AO26" s="216" t="str">
        <f t="shared" ca="1" si="11"/>
        <v>-</v>
      </c>
      <c r="AP26" s="216" t="str">
        <f t="shared" ca="1" si="12"/>
        <v>-</v>
      </c>
      <c r="AQ26" s="220"/>
      <c r="AR26" s="218" t="str">
        <f ca="1">IFERROR(_xll.DBRW($B$3,$A26,$B$5,$B$4,$B$6,$B$7,$B26,AR$4,AR$5,AR$6)*AR$7,"")</f>
        <v/>
      </c>
      <c r="AS26" s="215" t="str">
        <f ca="1">IFERROR(_xll.DBRW($B$3,$A26,$B$5,$B$4,$B$6,$B$7,$B26,AS$4,AS$5,AS$6)*AS$7,"")</f>
        <v/>
      </c>
      <c r="AT26" s="215" t="str">
        <f ca="1">IFERROR(_xll.DBRW($B$3,$A26,$B$5,$B$4,$B$6,$B$7,$B26,AT$4,AT$5,AT$6)*AT$7,"")</f>
        <v/>
      </c>
      <c r="AU26" s="216" t="str">
        <f t="shared" ca="1" si="13"/>
        <v>-</v>
      </c>
      <c r="AV26" s="216" t="str">
        <f t="shared" ca="1" si="14"/>
        <v>-</v>
      </c>
      <c r="AW26" s="220"/>
      <c r="AX26" s="218" t="str">
        <f ca="1">IFERROR(_xll.DBRW($B$3,$A26,$B$5,$B$4,$B$6,$B$7,$B26,AX$4,AX$5,AX$6)*AX$7,"")</f>
        <v/>
      </c>
      <c r="AY26" s="215" t="str">
        <f ca="1">IFERROR(_xll.DBRW($B$3,$A26,$B$5,$B$4,$B$6,$B$7,$B26,AY$4,AY$5,AY$6)*AY$7,"")</f>
        <v/>
      </c>
      <c r="AZ26" s="215" t="str">
        <f ca="1">IFERROR(_xll.DBRW($B$3,$A26,$B$5,$B$4,$B$6,$B$7,$B26,AZ$4,AZ$5,AZ$6)*AZ$7,"")</f>
        <v/>
      </c>
      <c r="BA26" s="216" t="str">
        <f t="shared" ca="1" si="15"/>
        <v>-</v>
      </c>
      <c r="BB26" s="216" t="str">
        <f t="shared" ca="1" si="16"/>
        <v>-</v>
      </c>
      <c r="BC26" s="220"/>
      <c r="BD26" s="231" t="str">
        <f t="shared" ca="1" si="17"/>
        <v>-</v>
      </c>
      <c r="BE26" s="232" t="str">
        <f t="shared" ca="1" si="18"/>
        <v>-</v>
      </c>
      <c r="BF26" s="232" t="str">
        <f t="shared" ca="1" si="19"/>
        <v>-</v>
      </c>
    </row>
    <row r="27" spans="1:58" s="208" customFormat="1" ht="15" customHeight="1">
      <c r="A27" s="209" t="s">
        <v>121</v>
      </c>
      <c r="B27" s="210"/>
      <c r="C27" s="212">
        <v>10</v>
      </c>
      <c r="D27" s="193" t="str">
        <f ca="1">_xll.DBRA("tango_core_model:management_organization",B27,Language)</f>
        <v/>
      </c>
      <c r="E27" s="237" t="str">
        <f ca="1">_xll.DBRA("tango_core_model:activity",_xll.DBRA("tango_core_model:management_organization",B27,"sub_activity"),Language)</f>
        <v/>
      </c>
      <c r="F27" s="220"/>
      <c r="G27" s="214" t="str">
        <f ca="1">IFERROR(_xll.DBRW($B$3,$A27,$B$5,$B$4,$B$6,$B$7,$B27,G$4,G$5,G$6)*G$7,"")</f>
        <v/>
      </c>
      <c r="H27" s="215" t="str">
        <f ca="1">IFERROR(_xll.DBRW($B$3,$A27,$B$5,$B$4,$B$6,$B$7,$B27,H$4,H$5,H$6)*H$7,"")</f>
        <v/>
      </c>
      <c r="I27" s="215" t="str">
        <f ca="1">IFERROR(_xll.DBRW($B$3,$A27,$B$5,$B$4,$B$6,$B$7,$B27,I$4,I$5,I$6)*I$7,"")</f>
        <v/>
      </c>
      <c r="J27" s="216" t="str">
        <f t="shared" ca="1" si="0"/>
        <v>-</v>
      </c>
      <c r="K27" s="216" t="str">
        <f t="shared" ca="1" si="1"/>
        <v>-</v>
      </c>
      <c r="L27" s="220"/>
      <c r="M27" s="217" t="str">
        <f ca="1">IFERROR(_xll.DBRW($B$3,$A27,$B$5,$B$4,$B$6,$B$7,$B27,M$4,M$5,M$6)*M$7,"")</f>
        <v/>
      </c>
      <c r="N27" s="215" t="str">
        <f ca="1">IFERROR(_xll.DBRW($B$3,$A27,$B$5,$B$4,$B$6,$B$7,$B27,N$4,N$5,N$6)*N$7,"")</f>
        <v/>
      </c>
      <c r="O27" s="215" t="str">
        <f ca="1">IFERROR(_xll.DBRW($B$3,$A27,$B$5,$B$4,$B$6,$B$7,$B27,O$4,O$5,O$6)*O$7,"")</f>
        <v/>
      </c>
      <c r="P27" s="216" t="str">
        <f t="shared" ca="1" si="2"/>
        <v>-</v>
      </c>
      <c r="Q27" s="216" t="str">
        <f t="shared" ca="1" si="3"/>
        <v>-</v>
      </c>
      <c r="R27" s="220"/>
      <c r="S27" s="217" t="str">
        <f ca="1">IFERROR(_xll.DBRW($B$3,$A27,$B$5,$B$4,$B$6,$B$7,$B27,S$4,S$5,S$6)*S$7,"")</f>
        <v/>
      </c>
      <c r="T27" s="215" t="str">
        <f ca="1">IFERROR(_xll.DBRW($B$3,$A27,$B$5,$B$4,$B$6,$B$7,$B27,T$4,T$5,T$6)*T$7,"")</f>
        <v/>
      </c>
      <c r="U27" s="215" t="str">
        <f ca="1">IFERROR(_xll.DBRW($B$3,$A27,$B$5,$B$4,$B$6,$B$7,$B27,U$4,U$5,U$6)*U$7,"")</f>
        <v/>
      </c>
      <c r="V27" s="216" t="str">
        <f t="shared" ca="1" si="4"/>
        <v>-</v>
      </c>
      <c r="W27" s="216" t="str">
        <f t="shared" ca="1" si="5"/>
        <v>-</v>
      </c>
      <c r="X27" s="220"/>
      <c r="Y27" s="217" t="str">
        <f ca="1">IFERROR(_xll.DBRW($B$3,$A27,$B$5,$B$4,$B$6,$B$7,$B27,Y$4,Y$5,Y$6)*Y$7,"")</f>
        <v/>
      </c>
      <c r="Z27" s="215" t="str">
        <f ca="1">IFERROR(_xll.DBRW($B$3,$A27,$B$5,$B$4,$B$6,$B$7,$B27,Z$4,Z$5,Z$6)*Z$7,"")</f>
        <v/>
      </c>
      <c r="AA27" s="215" t="str">
        <f ca="1">IFERROR(_xll.DBRW($B$3,$A27,$B$5,$B$4,$B$6,$B$7,$B27,AA$4,AA$5,AA$6)*AA$7,"")</f>
        <v/>
      </c>
      <c r="AB27" s="216" t="str">
        <f t="shared" ca="1" si="6"/>
        <v>-</v>
      </c>
      <c r="AC27" s="216" t="str">
        <f t="shared" ca="1" si="7"/>
        <v>-</v>
      </c>
      <c r="AD27" s="220"/>
      <c r="AE27" s="217" t="str">
        <f ca="1">IFERROR(_xll.DBRW($B$3,$A27,$B$5,$B$4,$B$6,$B$7,$B27,AE$4,AE$5,AE$6)*AE$7,"")</f>
        <v/>
      </c>
      <c r="AF27" s="215" t="str">
        <f ca="1">IFERROR(_xll.DBRW($B$3,$A27,$B$5,$B$4,$B$6,$B$7,$B27,AF$4,AF$5,AF$6)*AF$7,"")</f>
        <v/>
      </c>
      <c r="AG27" s="215" t="str">
        <f ca="1">IFERROR(_xll.DBRW($B$3,$A27,$B$5,$B$4,$B$6,$B$7,$B27,AG$4,AG$5,AG$6)*AG$7,"")</f>
        <v/>
      </c>
      <c r="AH27" s="216" t="str">
        <f t="shared" ca="1" si="8"/>
        <v>-</v>
      </c>
      <c r="AI27" s="216" t="str">
        <f t="shared" ca="1" si="9"/>
        <v>-</v>
      </c>
      <c r="AJ27" s="216" t="str">
        <f t="shared" ca="1" si="10"/>
        <v>-</v>
      </c>
      <c r="AK27" s="220"/>
      <c r="AL27" s="217" t="str">
        <f ca="1">IFERROR(_xll.DBRW($B$3,$A27,$B$5,$B$4,$B$6,$B$7,$B27,AL$4,AL$5,AL$6)*AL$7,"")</f>
        <v/>
      </c>
      <c r="AM27" s="215" t="str">
        <f ca="1">IFERROR(_xll.DBRW($B$3,$A27,$B$5,$B$4,$B$6,$B$7,$B27,AM$4,AM$5,AM$6)*AM$7,"")</f>
        <v/>
      </c>
      <c r="AN27" s="215" t="str">
        <f ca="1">IFERROR(_xll.DBRW($B$3,$A27,$B$5,$B$4,$B$6,$B$7,$B27,AN$4,AN$5,AN$6)*AN$7,"")</f>
        <v/>
      </c>
      <c r="AO27" s="216" t="str">
        <f t="shared" ca="1" si="11"/>
        <v>-</v>
      </c>
      <c r="AP27" s="216" t="str">
        <f t="shared" ca="1" si="12"/>
        <v>-</v>
      </c>
      <c r="AQ27" s="220"/>
      <c r="AR27" s="218" t="str">
        <f ca="1">IFERROR(_xll.DBRW($B$3,$A27,$B$5,$B$4,$B$6,$B$7,$B27,AR$4,AR$5,AR$6)*AR$7,"")</f>
        <v/>
      </c>
      <c r="AS27" s="215" t="str">
        <f ca="1">IFERROR(_xll.DBRW($B$3,$A27,$B$5,$B$4,$B$6,$B$7,$B27,AS$4,AS$5,AS$6)*AS$7,"")</f>
        <v/>
      </c>
      <c r="AT27" s="215" t="str">
        <f ca="1">IFERROR(_xll.DBRW($B$3,$A27,$B$5,$B$4,$B$6,$B$7,$B27,AT$4,AT$5,AT$6)*AT$7,"")</f>
        <v/>
      </c>
      <c r="AU27" s="216" t="str">
        <f t="shared" ca="1" si="13"/>
        <v>-</v>
      </c>
      <c r="AV27" s="216" t="str">
        <f t="shared" ca="1" si="14"/>
        <v>-</v>
      </c>
      <c r="AW27" s="220"/>
      <c r="AX27" s="218" t="str">
        <f ca="1">IFERROR(_xll.DBRW($B$3,$A27,$B$5,$B$4,$B$6,$B$7,$B27,AX$4,AX$5,AX$6)*AX$7,"")</f>
        <v/>
      </c>
      <c r="AY27" s="215" t="str">
        <f ca="1">IFERROR(_xll.DBRW($B$3,$A27,$B$5,$B$4,$B$6,$B$7,$B27,AY$4,AY$5,AY$6)*AY$7,"")</f>
        <v/>
      </c>
      <c r="AZ27" s="215" t="str">
        <f ca="1">IFERROR(_xll.DBRW($B$3,$A27,$B$5,$B$4,$B$6,$B$7,$B27,AZ$4,AZ$5,AZ$6)*AZ$7,"")</f>
        <v/>
      </c>
      <c r="BA27" s="216" t="str">
        <f t="shared" ca="1" si="15"/>
        <v>-</v>
      </c>
      <c r="BB27" s="216" t="str">
        <f t="shared" ca="1" si="16"/>
        <v>-</v>
      </c>
      <c r="BC27" s="220"/>
      <c r="BD27" s="231" t="str">
        <f ca="1">IF(ISERROR(AX27/G27),"-",IF(ABS(AX27/G27)&gt;2,"-",AX27/G27))</f>
        <v>-</v>
      </c>
      <c r="BE27" s="232" t="str">
        <f t="shared" ca="1" si="18"/>
        <v>-</v>
      </c>
      <c r="BF27" s="232" t="str">
        <f t="shared" ca="1" si="19"/>
        <v>-</v>
      </c>
    </row>
    <row r="28" spans="1:58" s="208" customFormat="1" ht="15" customHeight="1">
      <c r="A28" s="209" t="s">
        <v>121</v>
      </c>
      <c r="B28" s="210"/>
      <c r="C28" s="212">
        <v>11</v>
      </c>
      <c r="D28" s="193" t="str">
        <f ca="1">_xll.DBRA("tango_core_model:management_organization",B28,Language)</f>
        <v/>
      </c>
      <c r="E28" s="237" t="str">
        <f ca="1">_xll.DBRA("tango_core_model:activity",_xll.DBRA("tango_core_model:management_organization",B28,"sub_activity"),Language)</f>
        <v/>
      </c>
      <c r="F28" s="220"/>
      <c r="G28" s="214" t="str">
        <f ca="1">IFERROR(_xll.DBRW($B$3,$A28,$B$5,$B$4,$B$6,$B$7,$B28,G$4,G$5,G$6)*G$7,"")</f>
        <v/>
      </c>
      <c r="H28" s="215" t="str">
        <f ca="1">IFERROR(_xll.DBRW($B$3,$A28,$B$5,$B$4,$B$6,$B$7,$B28,H$4,H$5,H$6)*H$7,"")</f>
        <v/>
      </c>
      <c r="I28" s="215" t="str">
        <f ca="1">IFERROR(_xll.DBRW($B$3,$A28,$B$5,$B$4,$B$6,$B$7,$B28,I$4,I$5,I$6)*I$7,"")</f>
        <v/>
      </c>
      <c r="J28" s="216" t="str">
        <f t="shared" ca="1" si="0"/>
        <v>-</v>
      </c>
      <c r="K28" s="216" t="str">
        <f t="shared" ca="1" si="1"/>
        <v>-</v>
      </c>
      <c r="L28" s="220"/>
      <c r="M28" s="217" t="str">
        <f ca="1">IFERROR(_xll.DBRW($B$3,$A28,$B$5,$B$4,$B$6,$B$7,$B28,M$4,M$5,M$6)*M$7,"")</f>
        <v/>
      </c>
      <c r="N28" s="215" t="str">
        <f ca="1">IFERROR(_xll.DBRW($B$3,$A28,$B$5,$B$4,$B$6,$B$7,$B28,N$4,N$5,N$6)*N$7,"")</f>
        <v/>
      </c>
      <c r="O28" s="215" t="str">
        <f ca="1">IFERROR(_xll.DBRW($B$3,$A28,$B$5,$B$4,$B$6,$B$7,$B28,O$4,O$5,O$6)*O$7,"")</f>
        <v/>
      </c>
      <c r="P28" s="216" t="str">
        <f t="shared" ca="1" si="2"/>
        <v>-</v>
      </c>
      <c r="Q28" s="216" t="str">
        <f t="shared" ca="1" si="3"/>
        <v>-</v>
      </c>
      <c r="R28" s="220"/>
      <c r="S28" s="217" t="str">
        <f ca="1">IFERROR(_xll.DBRW($B$3,$A28,$B$5,$B$4,$B$6,$B$7,$B28,S$4,S$5,S$6)*S$7,"")</f>
        <v/>
      </c>
      <c r="T28" s="215" t="str">
        <f ca="1">IFERROR(_xll.DBRW($B$3,$A28,$B$5,$B$4,$B$6,$B$7,$B28,T$4,T$5,T$6)*T$7,"")</f>
        <v/>
      </c>
      <c r="U28" s="215" t="str">
        <f ca="1">IFERROR(_xll.DBRW($B$3,$A28,$B$5,$B$4,$B$6,$B$7,$B28,U$4,U$5,U$6)*U$7,"")</f>
        <v/>
      </c>
      <c r="V28" s="216" t="str">
        <f t="shared" ca="1" si="4"/>
        <v>-</v>
      </c>
      <c r="W28" s="216" t="str">
        <f t="shared" ca="1" si="5"/>
        <v>-</v>
      </c>
      <c r="X28" s="220"/>
      <c r="Y28" s="217" t="str">
        <f ca="1">IFERROR(_xll.DBRW($B$3,$A28,$B$5,$B$4,$B$6,$B$7,$B28,Y$4,Y$5,Y$6)*Y$7,"")</f>
        <v/>
      </c>
      <c r="Z28" s="215" t="str">
        <f ca="1">IFERROR(_xll.DBRW($B$3,$A28,$B$5,$B$4,$B$6,$B$7,$B28,Z$4,Z$5,Z$6)*Z$7,"")</f>
        <v/>
      </c>
      <c r="AA28" s="215" t="str">
        <f ca="1">IFERROR(_xll.DBRW($B$3,$A28,$B$5,$B$4,$B$6,$B$7,$B28,AA$4,AA$5,AA$6)*AA$7,"")</f>
        <v/>
      </c>
      <c r="AB28" s="216" t="str">
        <f t="shared" ca="1" si="6"/>
        <v>-</v>
      </c>
      <c r="AC28" s="216" t="str">
        <f t="shared" ca="1" si="7"/>
        <v>-</v>
      </c>
      <c r="AD28" s="220"/>
      <c r="AE28" s="217" t="str">
        <f ca="1">IFERROR(_xll.DBRW($B$3,$A28,$B$5,$B$4,$B$6,$B$7,$B28,AE$4,AE$5,AE$6)*AE$7,"")</f>
        <v/>
      </c>
      <c r="AF28" s="215" t="str">
        <f ca="1">IFERROR(_xll.DBRW($B$3,$A28,$B$5,$B$4,$B$6,$B$7,$B28,AF$4,AF$5,AF$6)*AF$7,"")</f>
        <v/>
      </c>
      <c r="AG28" s="215" t="str">
        <f ca="1">IFERROR(_xll.DBRW($B$3,$A28,$B$5,$B$4,$B$6,$B$7,$B28,AG$4,AG$5,AG$6)*AG$7,"")</f>
        <v/>
      </c>
      <c r="AH28" s="216" t="str">
        <f t="shared" ca="1" si="8"/>
        <v>-</v>
      </c>
      <c r="AI28" s="216" t="str">
        <f t="shared" ca="1" si="9"/>
        <v>-</v>
      </c>
      <c r="AJ28" s="216" t="str">
        <f t="shared" ca="1" si="10"/>
        <v>-</v>
      </c>
      <c r="AK28" s="220"/>
      <c r="AL28" s="217" t="str">
        <f ca="1">IFERROR(_xll.DBRW($B$3,$A28,$B$5,$B$4,$B$6,$B$7,$B28,AL$4,AL$5,AL$6)*AL$7,"")</f>
        <v/>
      </c>
      <c r="AM28" s="215" t="str">
        <f ca="1">IFERROR(_xll.DBRW($B$3,$A28,$B$5,$B$4,$B$6,$B$7,$B28,AM$4,AM$5,AM$6)*AM$7,"")</f>
        <v/>
      </c>
      <c r="AN28" s="215" t="str">
        <f ca="1">IFERROR(_xll.DBRW($B$3,$A28,$B$5,$B$4,$B$6,$B$7,$B28,AN$4,AN$5,AN$6)*AN$7,"")</f>
        <v/>
      </c>
      <c r="AO28" s="216" t="str">
        <f t="shared" ca="1" si="11"/>
        <v>-</v>
      </c>
      <c r="AP28" s="216" t="str">
        <f t="shared" ca="1" si="12"/>
        <v>-</v>
      </c>
      <c r="AQ28" s="220"/>
      <c r="AR28" s="218" t="str">
        <f ca="1">IFERROR(_xll.DBRW($B$3,$A28,$B$5,$B$4,$B$6,$B$7,$B28,AR$4,AR$5,AR$6)*AR$7,"")</f>
        <v/>
      </c>
      <c r="AS28" s="215" t="str">
        <f ca="1">IFERROR(_xll.DBRW($B$3,$A28,$B$5,$B$4,$B$6,$B$7,$B28,AS$4,AS$5,AS$6)*AS$7,"")</f>
        <v/>
      </c>
      <c r="AT28" s="215" t="str">
        <f ca="1">IFERROR(_xll.DBRW($B$3,$A28,$B$5,$B$4,$B$6,$B$7,$B28,AT$4,AT$5,AT$6)*AT$7,"")</f>
        <v/>
      </c>
      <c r="AU28" s="216" t="str">
        <f t="shared" ca="1" si="13"/>
        <v>-</v>
      </c>
      <c r="AV28" s="216" t="str">
        <f t="shared" ca="1" si="14"/>
        <v>-</v>
      </c>
      <c r="AW28" s="220"/>
      <c r="AX28" s="218" t="str">
        <f ca="1">IFERROR(_xll.DBRW($B$3,$A28,$B$5,$B$4,$B$6,$B$7,$B28,AX$4,AX$5,AX$6)*AX$7,"")</f>
        <v/>
      </c>
      <c r="AY28" s="215" t="str">
        <f ca="1">IFERROR(_xll.DBRW($B$3,$A28,$B$5,$B$4,$B$6,$B$7,$B28,AY$4,AY$5,AY$6)*AY$7,"")</f>
        <v/>
      </c>
      <c r="AZ28" s="215" t="str">
        <f ca="1">IFERROR(_xll.DBRW($B$3,$A28,$B$5,$B$4,$B$6,$B$7,$B28,AZ$4,AZ$5,AZ$6)*AZ$7,"")</f>
        <v/>
      </c>
      <c r="BA28" s="216" t="str">
        <f t="shared" ca="1" si="15"/>
        <v>-</v>
      </c>
      <c r="BB28" s="216" t="str">
        <f t="shared" ca="1" si="16"/>
        <v>-</v>
      </c>
      <c r="BC28" s="220"/>
      <c r="BD28" s="231" t="str">
        <f t="shared" ref="BD28:BD38" ca="1" si="20">IF(ISERROR(AX28/G28),"-",IF(ABS(AX28/G28)&gt;2,"-",AX28/G28))</f>
        <v>-</v>
      </c>
      <c r="BE28" s="232" t="str">
        <f t="shared" ca="1" si="18"/>
        <v>-</v>
      </c>
      <c r="BF28" s="232" t="str">
        <f t="shared" ca="1" si="19"/>
        <v>-</v>
      </c>
    </row>
    <row r="29" spans="1:58" s="208" customFormat="1" ht="15" customHeight="1">
      <c r="A29" s="209" t="s">
        <v>121</v>
      </c>
      <c r="B29" s="210"/>
      <c r="C29" s="212">
        <v>12</v>
      </c>
      <c r="D29" s="193" t="str">
        <f ca="1">_xll.DBRA("tango_core_model:management_organization",B29,Language)</f>
        <v/>
      </c>
      <c r="E29" s="237" t="str">
        <f ca="1">_xll.DBRA("tango_core_model:activity",_xll.DBRA("tango_core_model:management_organization",B29,"sub_activity"),Language)</f>
        <v/>
      </c>
      <c r="F29" s="220"/>
      <c r="G29" s="214" t="str">
        <f ca="1">IFERROR(_xll.DBRW($B$3,$A29,$B$5,$B$4,$B$6,$B$7,$B29,G$4,G$5,G$6)*G$7,"")</f>
        <v/>
      </c>
      <c r="H29" s="215" t="str">
        <f ca="1">IFERROR(_xll.DBRW($B$3,$A29,$B$5,$B$4,$B$6,$B$7,$B29,H$4,H$5,H$6)*H$7,"")</f>
        <v/>
      </c>
      <c r="I29" s="215" t="str">
        <f ca="1">IFERROR(_xll.DBRW($B$3,$A29,$B$5,$B$4,$B$6,$B$7,$B29,I$4,I$5,I$6)*I$7,"")</f>
        <v/>
      </c>
      <c r="J29" s="216" t="str">
        <f t="shared" ca="1" si="0"/>
        <v>-</v>
      </c>
      <c r="K29" s="216" t="str">
        <f t="shared" ca="1" si="1"/>
        <v>-</v>
      </c>
      <c r="L29" s="220"/>
      <c r="M29" s="217" t="str">
        <f ca="1">IFERROR(_xll.DBRW($B$3,$A29,$B$5,$B$4,$B$6,$B$7,$B29,M$4,M$5,M$6)*M$7,"")</f>
        <v/>
      </c>
      <c r="N29" s="215" t="str">
        <f ca="1">IFERROR(_xll.DBRW($B$3,$A29,$B$5,$B$4,$B$6,$B$7,$B29,N$4,N$5,N$6)*N$7,"")</f>
        <v/>
      </c>
      <c r="O29" s="215" t="str">
        <f ca="1">IFERROR(_xll.DBRW($B$3,$A29,$B$5,$B$4,$B$6,$B$7,$B29,O$4,O$5,O$6)*O$7,"")</f>
        <v/>
      </c>
      <c r="P29" s="216" t="str">
        <f t="shared" ca="1" si="2"/>
        <v>-</v>
      </c>
      <c r="Q29" s="216" t="str">
        <f t="shared" ca="1" si="3"/>
        <v>-</v>
      </c>
      <c r="R29" s="220"/>
      <c r="S29" s="217" t="str">
        <f ca="1">IFERROR(_xll.DBRW($B$3,$A29,$B$5,$B$4,$B$6,$B$7,$B29,S$4,S$5,S$6)*S$7,"")</f>
        <v/>
      </c>
      <c r="T29" s="215" t="str">
        <f ca="1">IFERROR(_xll.DBRW($B$3,$A29,$B$5,$B$4,$B$6,$B$7,$B29,T$4,T$5,T$6)*T$7,"")</f>
        <v/>
      </c>
      <c r="U29" s="215" t="str">
        <f ca="1">IFERROR(_xll.DBRW($B$3,$A29,$B$5,$B$4,$B$6,$B$7,$B29,U$4,U$5,U$6)*U$7,"")</f>
        <v/>
      </c>
      <c r="V29" s="216" t="str">
        <f t="shared" ca="1" si="4"/>
        <v>-</v>
      </c>
      <c r="W29" s="216" t="str">
        <f t="shared" ca="1" si="5"/>
        <v>-</v>
      </c>
      <c r="X29" s="220"/>
      <c r="Y29" s="217" t="str">
        <f ca="1">IFERROR(_xll.DBRW($B$3,$A29,$B$5,$B$4,$B$6,$B$7,$B29,Y$4,Y$5,Y$6)*Y$7,"")</f>
        <v/>
      </c>
      <c r="Z29" s="215" t="str">
        <f ca="1">IFERROR(_xll.DBRW($B$3,$A29,$B$5,$B$4,$B$6,$B$7,$B29,Z$4,Z$5,Z$6)*Z$7,"")</f>
        <v/>
      </c>
      <c r="AA29" s="215" t="str">
        <f ca="1">IFERROR(_xll.DBRW($B$3,$A29,$B$5,$B$4,$B$6,$B$7,$B29,AA$4,AA$5,AA$6)*AA$7,"")</f>
        <v/>
      </c>
      <c r="AB29" s="216" t="str">
        <f t="shared" ca="1" si="6"/>
        <v>-</v>
      </c>
      <c r="AC29" s="216" t="str">
        <f t="shared" ca="1" si="7"/>
        <v>-</v>
      </c>
      <c r="AD29" s="220"/>
      <c r="AE29" s="217" t="str">
        <f ca="1">IFERROR(_xll.DBRW($B$3,$A29,$B$5,$B$4,$B$6,$B$7,$B29,AE$4,AE$5,AE$6)*AE$7,"")</f>
        <v/>
      </c>
      <c r="AF29" s="215" t="str">
        <f ca="1">IFERROR(_xll.DBRW($B$3,$A29,$B$5,$B$4,$B$6,$B$7,$B29,AF$4,AF$5,AF$6)*AF$7,"")</f>
        <v/>
      </c>
      <c r="AG29" s="215" t="str">
        <f ca="1">IFERROR(_xll.DBRW($B$3,$A29,$B$5,$B$4,$B$6,$B$7,$B29,AG$4,AG$5,AG$6)*AG$7,"")</f>
        <v/>
      </c>
      <c r="AH29" s="216" t="str">
        <f t="shared" ca="1" si="8"/>
        <v>-</v>
      </c>
      <c r="AI29" s="216" t="str">
        <f t="shared" ca="1" si="9"/>
        <v>-</v>
      </c>
      <c r="AJ29" s="216" t="str">
        <f t="shared" ca="1" si="10"/>
        <v>-</v>
      </c>
      <c r="AK29" s="220"/>
      <c r="AL29" s="217" t="str">
        <f ca="1">IFERROR(_xll.DBRW($B$3,$A29,$B$5,$B$4,$B$6,$B$7,$B29,AL$4,AL$5,AL$6)*AL$7,"")</f>
        <v/>
      </c>
      <c r="AM29" s="215" t="str">
        <f ca="1">IFERROR(_xll.DBRW($B$3,$A29,$B$5,$B$4,$B$6,$B$7,$B29,AM$4,AM$5,AM$6)*AM$7,"")</f>
        <v/>
      </c>
      <c r="AN29" s="215" t="str">
        <f ca="1">IFERROR(_xll.DBRW($B$3,$A29,$B$5,$B$4,$B$6,$B$7,$B29,AN$4,AN$5,AN$6)*AN$7,"")</f>
        <v/>
      </c>
      <c r="AO29" s="216" t="str">
        <f t="shared" ca="1" si="11"/>
        <v>-</v>
      </c>
      <c r="AP29" s="216" t="str">
        <f t="shared" ca="1" si="12"/>
        <v>-</v>
      </c>
      <c r="AQ29" s="220"/>
      <c r="AR29" s="218" t="str">
        <f ca="1">IFERROR(_xll.DBRW($B$3,$A29,$B$5,$B$4,$B$6,$B$7,$B29,AR$4,AR$5,AR$6)*AR$7,"")</f>
        <v/>
      </c>
      <c r="AS29" s="215" t="str">
        <f ca="1">IFERROR(_xll.DBRW($B$3,$A29,$B$5,$B$4,$B$6,$B$7,$B29,AS$4,AS$5,AS$6)*AS$7,"")</f>
        <v/>
      </c>
      <c r="AT29" s="215" t="str">
        <f ca="1">IFERROR(_xll.DBRW($B$3,$A29,$B$5,$B$4,$B$6,$B$7,$B29,AT$4,AT$5,AT$6)*AT$7,"")</f>
        <v/>
      </c>
      <c r="AU29" s="216" t="str">
        <f t="shared" ca="1" si="13"/>
        <v>-</v>
      </c>
      <c r="AV29" s="216" t="str">
        <f t="shared" ca="1" si="14"/>
        <v>-</v>
      </c>
      <c r="AW29" s="220"/>
      <c r="AX29" s="218" t="str">
        <f ca="1">IFERROR(_xll.DBRW($B$3,$A29,$B$5,$B$4,$B$6,$B$7,$B29,AX$4,AX$5,AX$6)*AX$7,"")</f>
        <v/>
      </c>
      <c r="AY29" s="215" t="str">
        <f ca="1">IFERROR(_xll.DBRW($B$3,$A29,$B$5,$B$4,$B$6,$B$7,$B29,AY$4,AY$5,AY$6)*AY$7,"")</f>
        <v/>
      </c>
      <c r="AZ29" s="215" t="str">
        <f ca="1">IFERROR(_xll.DBRW($B$3,$A29,$B$5,$B$4,$B$6,$B$7,$B29,AZ$4,AZ$5,AZ$6)*AZ$7,"")</f>
        <v/>
      </c>
      <c r="BA29" s="216" t="str">
        <f t="shared" ca="1" si="15"/>
        <v>-</v>
      </c>
      <c r="BB29" s="216" t="str">
        <f t="shared" ca="1" si="16"/>
        <v>-</v>
      </c>
      <c r="BC29" s="220"/>
      <c r="BD29" s="231" t="str">
        <f t="shared" ca="1" si="20"/>
        <v>-</v>
      </c>
      <c r="BE29" s="232" t="str">
        <f t="shared" ca="1" si="18"/>
        <v>-</v>
      </c>
      <c r="BF29" s="232" t="str">
        <f t="shared" ca="1" si="19"/>
        <v>-</v>
      </c>
    </row>
    <row r="30" spans="1:58" s="208" customFormat="1" ht="15" customHeight="1">
      <c r="A30" s="209" t="s">
        <v>121</v>
      </c>
      <c r="B30" s="210"/>
      <c r="C30" s="212">
        <v>13</v>
      </c>
      <c r="D30" s="193" t="str">
        <f ca="1">_xll.DBRA("tango_core_model:management_organization",B30,Language)</f>
        <v/>
      </c>
      <c r="E30" s="237" t="str">
        <f ca="1">_xll.DBRA("tango_core_model:activity",_xll.DBRA("tango_core_model:management_organization",B30,"sub_activity"),Language)</f>
        <v/>
      </c>
      <c r="F30" s="220"/>
      <c r="G30" s="214" t="str">
        <f ca="1">IFERROR(_xll.DBRW($B$3,$A30,$B$5,$B$4,$B$6,$B$7,$B30,G$4,G$5,G$6)*G$7,"")</f>
        <v/>
      </c>
      <c r="H30" s="215" t="str">
        <f ca="1">IFERROR(_xll.DBRW($B$3,$A30,$B$5,$B$4,$B$6,$B$7,$B30,H$4,H$5,H$6)*H$7,"")</f>
        <v/>
      </c>
      <c r="I30" s="215" t="str">
        <f ca="1">IFERROR(_xll.DBRW($B$3,$A30,$B$5,$B$4,$B$6,$B$7,$B30,I$4,I$5,I$6)*I$7,"")</f>
        <v/>
      </c>
      <c r="J30" s="216" t="str">
        <f t="shared" ca="1" si="0"/>
        <v>-</v>
      </c>
      <c r="K30" s="216" t="str">
        <f t="shared" ca="1" si="1"/>
        <v>-</v>
      </c>
      <c r="L30" s="220"/>
      <c r="M30" s="217" t="str">
        <f ca="1">IFERROR(_xll.DBRW($B$3,$A30,$B$5,$B$4,$B$6,$B$7,$B30,M$4,M$5,M$6)*M$7,"")</f>
        <v/>
      </c>
      <c r="N30" s="215" t="str">
        <f ca="1">IFERROR(_xll.DBRW($B$3,$A30,$B$5,$B$4,$B$6,$B$7,$B30,N$4,N$5,N$6)*N$7,"")</f>
        <v/>
      </c>
      <c r="O30" s="215" t="str">
        <f ca="1">IFERROR(_xll.DBRW($B$3,$A30,$B$5,$B$4,$B$6,$B$7,$B30,O$4,O$5,O$6)*O$7,"")</f>
        <v/>
      </c>
      <c r="P30" s="216" t="str">
        <f t="shared" ca="1" si="2"/>
        <v>-</v>
      </c>
      <c r="Q30" s="216" t="str">
        <f t="shared" ca="1" si="3"/>
        <v>-</v>
      </c>
      <c r="R30" s="220"/>
      <c r="S30" s="217" t="str">
        <f ca="1">IFERROR(_xll.DBRW($B$3,$A30,$B$5,$B$4,$B$6,$B$7,$B30,S$4,S$5,S$6)*S$7,"")</f>
        <v/>
      </c>
      <c r="T30" s="215" t="str">
        <f ca="1">IFERROR(_xll.DBRW($B$3,$A30,$B$5,$B$4,$B$6,$B$7,$B30,T$4,T$5,T$6)*T$7,"")</f>
        <v/>
      </c>
      <c r="U30" s="215" t="str">
        <f ca="1">IFERROR(_xll.DBRW($B$3,$A30,$B$5,$B$4,$B$6,$B$7,$B30,U$4,U$5,U$6)*U$7,"")</f>
        <v/>
      </c>
      <c r="V30" s="216" t="str">
        <f t="shared" ca="1" si="4"/>
        <v>-</v>
      </c>
      <c r="W30" s="216" t="str">
        <f t="shared" ca="1" si="5"/>
        <v>-</v>
      </c>
      <c r="X30" s="220"/>
      <c r="Y30" s="217" t="str">
        <f ca="1">IFERROR(_xll.DBRW($B$3,$A30,$B$5,$B$4,$B$6,$B$7,$B30,Y$4,Y$5,Y$6)*Y$7,"")</f>
        <v/>
      </c>
      <c r="Z30" s="215" t="str">
        <f ca="1">IFERROR(_xll.DBRW($B$3,$A30,$B$5,$B$4,$B$6,$B$7,$B30,Z$4,Z$5,Z$6)*Z$7,"")</f>
        <v/>
      </c>
      <c r="AA30" s="215" t="str">
        <f ca="1">IFERROR(_xll.DBRW($B$3,$A30,$B$5,$B$4,$B$6,$B$7,$B30,AA$4,AA$5,AA$6)*AA$7,"")</f>
        <v/>
      </c>
      <c r="AB30" s="216" t="str">
        <f t="shared" ca="1" si="6"/>
        <v>-</v>
      </c>
      <c r="AC30" s="216" t="str">
        <f t="shared" ca="1" si="7"/>
        <v>-</v>
      </c>
      <c r="AD30" s="220"/>
      <c r="AE30" s="217" t="str">
        <f ca="1">IFERROR(_xll.DBRW($B$3,$A30,$B$5,$B$4,$B$6,$B$7,$B30,AE$4,AE$5,AE$6)*AE$7,"")</f>
        <v/>
      </c>
      <c r="AF30" s="215" t="str">
        <f ca="1">IFERROR(_xll.DBRW($B$3,$A30,$B$5,$B$4,$B$6,$B$7,$B30,AF$4,AF$5,AF$6)*AF$7,"")</f>
        <v/>
      </c>
      <c r="AG30" s="215" t="str">
        <f ca="1">IFERROR(_xll.DBRW($B$3,$A30,$B$5,$B$4,$B$6,$B$7,$B30,AG$4,AG$5,AG$6)*AG$7,"")</f>
        <v/>
      </c>
      <c r="AH30" s="216" t="str">
        <f t="shared" ca="1" si="8"/>
        <v>-</v>
      </c>
      <c r="AI30" s="216" t="str">
        <f t="shared" ca="1" si="9"/>
        <v>-</v>
      </c>
      <c r="AJ30" s="216" t="str">
        <f t="shared" ca="1" si="10"/>
        <v>-</v>
      </c>
      <c r="AK30" s="220"/>
      <c r="AL30" s="217" t="str">
        <f ca="1">IFERROR(_xll.DBRW($B$3,$A30,$B$5,$B$4,$B$6,$B$7,$B30,AL$4,AL$5,AL$6)*AL$7,"")</f>
        <v/>
      </c>
      <c r="AM30" s="215" t="str">
        <f ca="1">IFERROR(_xll.DBRW($B$3,$A30,$B$5,$B$4,$B$6,$B$7,$B30,AM$4,AM$5,AM$6)*AM$7,"")</f>
        <v/>
      </c>
      <c r="AN30" s="215" t="str">
        <f ca="1">IFERROR(_xll.DBRW($B$3,$A30,$B$5,$B$4,$B$6,$B$7,$B30,AN$4,AN$5,AN$6)*AN$7,"")</f>
        <v/>
      </c>
      <c r="AO30" s="216" t="str">
        <f t="shared" ca="1" si="11"/>
        <v>-</v>
      </c>
      <c r="AP30" s="216" t="str">
        <f t="shared" ca="1" si="12"/>
        <v>-</v>
      </c>
      <c r="AQ30" s="220"/>
      <c r="AR30" s="218" t="str">
        <f ca="1">IFERROR(_xll.DBRW($B$3,$A30,$B$5,$B$4,$B$6,$B$7,$B30,AR$4,AR$5,AR$6)*AR$7,"")</f>
        <v/>
      </c>
      <c r="AS30" s="215" t="str">
        <f ca="1">IFERROR(_xll.DBRW($B$3,$A30,$B$5,$B$4,$B$6,$B$7,$B30,AS$4,AS$5,AS$6)*AS$7,"")</f>
        <v/>
      </c>
      <c r="AT30" s="215" t="str">
        <f ca="1">IFERROR(_xll.DBRW($B$3,$A30,$B$5,$B$4,$B$6,$B$7,$B30,AT$4,AT$5,AT$6)*AT$7,"")</f>
        <v/>
      </c>
      <c r="AU30" s="216" t="str">
        <f t="shared" ca="1" si="13"/>
        <v>-</v>
      </c>
      <c r="AV30" s="216" t="str">
        <f t="shared" ca="1" si="14"/>
        <v>-</v>
      </c>
      <c r="AW30" s="220"/>
      <c r="AX30" s="218" t="str">
        <f ca="1">IFERROR(_xll.DBRW($B$3,$A30,$B$5,$B$4,$B$6,$B$7,$B30,AX$4,AX$5,AX$6)*AX$7,"")</f>
        <v/>
      </c>
      <c r="AY30" s="215" t="str">
        <f ca="1">IFERROR(_xll.DBRW($B$3,$A30,$B$5,$B$4,$B$6,$B$7,$B30,AY$4,AY$5,AY$6)*AY$7,"")</f>
        <v/>
      </c>
      <c r="AZ30" s="215" t="str">
        <f ca="1">IFERROR(_xll.DBRW($B$3,$A30,$B$5,$B$4,$B$6,$B$7,$B30,AZ$4,AZ$5,AZ$6)*AZ$7,"")</f>
        <v/>
      </c>
      <c r="BA30" s="216" t="str">
        <f t="shared" ca="1" si="15"/>
        <v>-</v>
      </c>
      <c r="BB30" s="216" t="str">
        <f t="shared" ca="1" si="16"/>
        <v>-</v>
      </c>
      <c r="BC30" s="220"/>
      <c r="BD30" s="231" t="str">
        <f t="shared" ca="1" si="20"/>
        <v>-</v>
      </c>
      <c r="BE30" s="232" t="str">
        <f t="shared" ca="1" si="18"/>
        <v>-</v>
      </c>
      <c r="BF30" s="232" t="str">
        <f t="shared" ca="1" si="19"/>
        <v>-</v>
      </c>
    </row>
    <row r="31" spans="1:58" s="208" customFormat="1" ht="15" customHeight="1">
      <c r="A31" s="209" t="s">
        <v>121</v>
      </c>
      <c r="B31" s="210"/>
      <c r="C31" s="212">
        <v>14</v>
      </c>
      <c r="D31" s="193" t="str">
        <f ca="1">_xll.DBRA("tango_core_model:management_organization",B31,Language)</f>
        <v/>
      </c>
      <c r="E31" s="237" t="str">
        <f ca="1">_xll.DBRA("tango_core_model:activity",_xll.DBRA("tango_core_model:management_organization",B31,"sub_activity"),Language)</f>
        <v/>
      </c>
      <c r="F31" s="220"/>
      <c r="G31" s="214" t="str">
        <f ca="1">IFERROR(_xll.DBRW($B$3,$A31,$B$5,$B$4,$B$6,$B$7,$B31,G$4,G$5,G$6)*G$7,"")</f>
        <v/>
      </c>
      <c r="H31" s="215" t="str">
        <f ca="1">IFERROR(_xll.DBRW($B$3,$A31,$B$5,$B$4,$B$6,$B$7,$B31,H$4,H$5,H$6)*H$7,"")</f>
        <v/>
      </c>
      <c r="I31" s="215" t="str">
        <f ca="1">IFERROR(_xll.DBRW($B$3,$A31,$B$5,$B$4,$B$6,$B$7,$B31,I$4,I$5,I$6)*I$7,"")</f>
        <v/>
      </c>
      <c r="J31" s="216" t="str">
        <f t="shared" ca="1" si="0"/>
        <v>-</v>
      </c>
      <c r="K31" s="216" t="str">
        <f t="shared" ca="1" si="1"/>
        <v>-</v>
      </c>
      <c r="L31" s="220"/>
      <c r="M31" s="217" t="str">
        <f ca="1">IFERROR(_xll.DBRW($B$3,$A31,$B$5,$B$4,$B$6,$B$7,$B31,M$4,M$5,M$6)*M$7,"")</f>
        <v/>
      </c>
      <c r="N31" s="215" t="str">
        <f ca="1">IFERROR(_xll.DBRW($B$3,$A31,$B$5,$B$4,$B$6,$B$7,$B31,N$4,N$5,N$6)*N$7,"")</f>
        <v/>
      </c>
      <c r="O31" s="215" t="str">
        <f ca="1">IFERROR(_xll.DBRW($B$3,$A31,$B$5,$B$4,$B$6,$B$7,$B31,O$4,O$5,O$6)*O$7,"")</f>
        <v/>
      </c>
      <c r="P31" s="216" t="str">
        <f t="shared" ca="1" si="2"/>
        <v>-</v>
      </c>
      <c r="Q31" s="216" t="str">
        <f t="shared" ca="1" si="3"/>
        <v>-</v>
      </c>
      <c r="R31" s="220"/>
      <c r="S31" s="217" t="str">
        <f ca="1">IFERROR(_xll.DBRW($B$3,$A31,$B$5,$B$4,$B$6,$B$7,$B31,S$4,S$5,S$6)*S$7,"")</f>
        <v/>
      </c>
      <c r="T31" s="215" t="str">
        <f ca="1">IFERROR(_xll.DBRW($B$3,$A31,$B$5,$B$4,$B$6,$B$7,$B31,T$4,T$5,T$6)*T$7,"")</f>
        <v/>
      </c>
      <c r="U31" s="215" t="str">
        <f ca="1">IFERROR(_xll.DBRW($B$3,$A31,$B$5,$B$4,$B$6,$B$7,$B31,U$4,U$5,U$6)*U$7,"")</f>
        <v/>
      </c>
      <c r="V31" s="216" t="str">
        <f t="shared" ca="1" si="4"/>
        <v>-</v>
      </c>
      <c r="W31" s="216" t="str">
        <f t="shared" ca="1" si="5"/>
        <v>-</v>
      </c>
      <c r="X31" s="220"/>
      <c r="Y31" s="217" t="str">
        <f ca="1">IFERROR(_xll.DBRW($B$3,$A31,$B$5,$B$4,$B$6,$B$7,$B31,Y$4,Y$5,Y$6)*Y$7,"")</f>
        <v/>
      </c>
      <c r="Z31" s="215" t="str">
        <f ca="1">IFERROR(_xll.DBRW($B$3,$A31,$B$5,$B$4,$B$6,$B$7,$B31,Z$4,Z$5,Z$6)*Z$7,"")</f>
        <v/>
      </c>
      <c r="AA31" s="215" t="str">
        <f ca="1">IFERROR(_xll.DBRW($B$3,$A31,$B$5,$B$4,$B$6,$B$7,$B31,AA$4,AA$5,AA$6)*AA$7,"")</f>
        <v/>
      </c>
      <c r="AB31" s="216" t="str">
        <f t="shared" ca="1" si="6"/>
        <v>-</v>
      </c>
      <c r="AC31" s="216" t="str">
        <f t="shared" ca="1" si="7"/>
        <v>-</v>
      </c>
      <c r="AD31" s="220"/>
      <c r="AE31" s="217" t="str">
        <f ca="1">IFERROR(_xll.DBRW($B$3,$A31,$B$5,$B$4,$B$6,$B$7,$B31,AE$4,AE$5,AE$6)*AE$7,"")</f>
        <v/>
      </c>
      <c r="AF31" s="215" t="str">
        <f ca="1">IFERROR(_xll.DBRW($B$3,$A31,$B$5,$B$4,$B$6,$B$7,$B31,AF$4,AF$5,AF$6)*AF$7,"")</f>
        <v/>
      </c>
      <c r="AG31" s="215" t="str">
        <f ca="1">IFERROR(_xll.DBRW($B$3,$A31,$B$5,$B$4,$B$6,$B$7,$B31,AG$4,AG$5,AG$6)*AG$7,"")</f>
        <v/>
      </c>
      <c r="AH31" s="216" t="str">
        <f t="shared" ca="1" si="8"/>
        <v>-</v>
      </c>
      <c r="AI31" s="216" t="str">
        <f t="shared" ca="1" si="9"/>
        <v>-</v>
      </c>
      <c r="AJ31" s="216" t="str">
        <f t="shared" ca="1" si="10"/>
        <v>-</v>
      </c>
      <c r="AK31" s="220"/>
      <c r="AL31" s="217" t="str">
        <f ca="1">IFERROR(_xll.DBRW($B$3,$A31,$B$5,$B$4,$B$6,$B$7,$B31,AL$4,AL$5,AL$6)*AL$7,"")</f>
        <v/>
      </c>
      <c r="AM31" s="215" t="str">
        <f ca="1">IFERROR(_xll.DBRW($B$3,$A31,$B$5,$B$4,$B$6,$B$7,$B31,AM$4,AM$5,AM$6)*AM$7,"")</f>
        <v/>
      </c>
      <c r="AN31" s="215" t="str">
        <f ca="1">IFERROR(_xll.DBRW($B$3,$A31,$B$5,$B$4,$B$6,$B$7,$B31,AN$4,AN$5,AN$6)*AN$7,"")</f>
        <v/>
      </c>
      <c r="AO31" s="216" t="str">
        <f t="shared" ca="1" si="11"/>
        <v>-</v>
      </c>
      <c r="AP31" s="216" t="str">
        <f t="shared" ca="1" si="12"/>
        <v>-</v>
      </c>
      <c r="AQ31" s="220"/>
      <c r="AR31" s="218" t="str">
        <f ca="1">IFERROR(_xll.DBRW($B$3,$A31,$B$5,$B$4,$B$6,$B$7,$B31,AR$4,AR$5,AR$6)*AR$7,"")</f>
        <v/>
      </c>
      <c r="AS31" s="215" t="str">
        <f ca="1">IFERROR(_xll.DBRW($B$3,$A31,$B$5,$B$4,$B$6,$B$7,$B31,AS$4,AS$5,AS$6)*AS$7,"")</f>
        <v/>
      </c>
      <c r="AT31" s="215" t="str">
        <f ca="1">IFERROR(_xll.DBRW($B$3,$A31,$B$5,$B$4,$B$6,$B$7,$B31,AT$4,AT$5,AT$6)*AT$7,"")</f>
        <v/>
      </c>
      <c r="AU31" s="216" t="str">
        <f t="shared" ca="1" si="13"/>
        <v>-</v>
      </c>
      <c r="AV31" s="216" t="str">
        <f t="shared" ca="1" si="14"/>
        <v>-</v>
      </c>
      <c r="AW31" s="220"/>
      <c r="AX31" s="218" t="str">
        <f ca="1">IFERROR(_xll.DBRW($B$3,$A31,$B$5,$B$4,$B$6,$B$7,$B31,AX$4,AX$5,AX$6)*AX$7,"")</f>
        <v/>
      </c>
      <c r="AY31" s="215" t="str">
        <f ca="1">IFERROR(_xll.DBRW($B$3,$A31,$B$5,$B$4,$B$6,$B$7,$B31,AY$4,AY$5,AY$6)*AY$7,"")</f>
        <v/>
      </c>
      <c r="AZ31" s="215" t="str">
        <f ca="1">IFERROR(_xll.DBRW($B$3,$A31,$B$5,$B$4,$B$6,$B$7,$B31,AZ$4,AZ$5,AZ$6)*AZ$7,"")</f>
        <v/>
      </c>
      <c r="BA31" s="216" t="str">
        <f t="shared" ca="1" si="15"/>
        <v>-</v>
      </c>
      <c r="BB31" s="216" t="str">
        <f t="shared" ca="1" si="16"/>
        <v>-</v>
      </c>
      <c r="BC31" s="220"/>
      <c r="BD31" s="231" t="str">
        <f t="shared" ca="1" si="20"/>
        <v>-</v>
      </c>
      <c r="BE31" s="232" t="str">
        <f t="shared" ca="1" si="18"/>
        <v>-</v>
      </c>
      <c r="BF31" s="232" t="str">
        <f t="shared" ca="1" si="19"/>
        <v>-</v>
      </c>
    </row>
    <row r="32" spans="1:58" s="208" customFormat="1" ht="15" customHeight="1">
      <c r="A32" s="209" t="s">
        <v>121</v>
      </c>
      <c r="B32" s="210"/>
      <c r="C32" s="212">
        <v>15</v>
      </c>
      <c r="D32" s="193" t="str">
        <f ca="1">_xll.DBRA("tango_core_model:management_organization",B32,Language)</f>
        <v/>
      </c>
      <c r="E32" s="237" t="str">
        <f ca="1">_xll.DBRA("tango_core_model:activity",_xll.DBRA("tango_core_model:management_organization",B32,"sub_activity"),Language)</f>
        <v/>
      </c>
      <c r="F32" s="220"/>
      <c r="G32" s="214" t="str">
        <f ca="1">IFERROR(_xll.DBRW($B$3,$A32,$B$5,$B$4,$B$6,$B$7,$B32,G$4,G$5,G$6)*G$7,"")</f>
        <v/>
      </c>
      <c r="H32" s="215" t="str">
        <f ca="1">IFERROR(_xll.DBRW($B$3,$A32,$B$5,$B$4,$B$6,$B$7,$B32,H$4,H$5,H$6)*H$7,"")</f>
        <v/>
      </c>
      <c r="I32" s="215" t="str">
        <f ca="1">IFERROR(_xll.DBRW($B$3,$A32,$B$5,$B$4,$B$6,$B$7,$B32,I$4,I$5,I$6)*I$7,"")</f>
        <v/>
      </c>
      <c r="J32" s="216" t="str">
        <f t="shared" ca="1" si="0"/>
        <v>-</v>
      </c>
      <c r="K32" s="216" t="str">
        <f t="shared" ca="1" si="1"/>
        <v>-</v>
      </c>
      <c r="L32" s="220"/>
      <c r="M32" s="217" t="str">
        <f ca="1">IFERROR(_xll.DBRW($B$3,$A32,$B$5,$B$4,$B$6,$B$7,$B32,M$4,M$5,M$6)*M$7,"")</f>
        <v/>
      </c>
      <c r="N32" s="215" t="str">
        <f ca="1">IFERROR(_xll.DBRW($B$3,$A32,$B$5,$B$4,$B$6,$B$7,$B32,N$4,N$5,N$6)*N$7,"")</f>
        <v/>
      </c>
      <c r="O32" s="215" t="str">
        <f ca="1">IFERROR(_xll.DBRW($B$3,$A32,$B$5,$B$4,$B$6,$B$7,$B32,O$4,O$5,O$6)*O$7,"")</f>
        <v/>
      </c>
      <c r="P32" s="216" t="str">
        <f t="shared" ca="1" si="2"/>
        <v>-</v>
      </c>
      <c r="Q32" s="216" t="str">
        <f t="shared" ca="1" si="3"/>
        <v>-</v>
      </c>
      <c r="R32" s="220"/>
      <c r="S32" s="217" t="str">
        <f ca="1">IFERROR(_xll.DBRW($B$3,$A32,$B$5,$B$4,$B$6,$B$7,$B32,S$4,S$5,S$6)*S$7,"")</f>
        <v/>
      </c>
      <c r="T32" s="215" t="str">
        <f ca="1">IFERROR(_xll.DBRW($B$3,$A32,$B$5,$B$4,$B$6,$B$7,$B32,T$4,T$5,T$6)*T$7,"")</f>
        <v/>
      </c>
      <c r="U32" s="215" t="str">
        <f ca="1">IFERROR(_xll.DBRW($B$3,$A32,$B$5,$B$4,$B$6,$B$7,$B32,U$4,U$5,U$6)*U$7,"")</f>
        <v/>
      </c>
      <c r="V32" s="216" t="str">
        <f t="shared" ca="1" si="4"/>
        <v>-</v>
      </c>
      <c r="W32" s="216" t="str">
        <f t="shared" ca="1" si="5"/>
        <v>-</v>
      </c>
      <c r="X32" s="220"/>
      <c r="Y32" s="217" t="str">
        <f ca="1">IFERROR(_xll.DBRW($B$3,$A32,$B$5,$B$4,$B$6,$B$7,$B32,Y$4,Y$5,Y$6)*Y$7,"")</f>
        <v/>
      </c>
      <c r="Z32" s="215" t="str">
        <f ca="1">IFERROR(_xll.DBRW($B$3,$A32,$B$5,$B$4,$B$6,$B$7,$B32,Z$4,Z$5,Z$6)*Z$7,"")</f>
        <v/>
      </c>
      <c r="AA32" s="215" t="str">
        <f ca="1">IFERROR(_xll.DBRW($B$3,$A32,$B$5,$B$4,$B$6,$B$7,$B32,AA$4,AA$5,AA$6)*AA$7,"")</f>
        <v/>
      </c>
      <c r="AB32" s="216" t="str">
        <f t="shared" ca="1" si="6"/>
        <v>-</v>
      </c>
      <c r="AC32" s="216" t="str">
        <f t="shared" ca="1" si="7"/>
        <v>-</v>
      </c>
      <c r="AD32" s="220"/>
      <c r="AE32" s="217" t="str">
        <f ca="1">IFERROR(_xll.DBRW($B$3,$A32,$B$5,$B$4,$B$6,$B$7,$B32,AE$4,AE$5,AE$6)*AE$7,"")</f>
        <v/>
      </c>
      <c r="AF32" s="215" t="str">
        <f ca="1">IFERROR(_xll.DBRW($B$3,$A32,$B$5,$B$4,$B$6,$B$7,$B32,AF$4,AF$5,AF$6)*AF$7,"")</f>
        <v/>
      </c>
      <c r="AG32" s="215" t="str">
        <f ca="1">IFERROR(_xll.DBRW($B$3,$A32,$B$5,$B$4,$B$6,$B$7,$B32,AG$4,AG$5,AG$6)*AG$7,"")</f>
        <v/>
      </c>
      <c r="AH32" s="216" t="str">
        <f t="shared" ca="1" si="8"/>
        <v>-</v>
      </c>
      <c r="AI32" s="216" t="str">
        <f t="shared" ca="1" si="9"/>
        <v>-</v>
      </c>
      <c r="AJ32" s="216" t="str">
        <f t="shared" ca="1" si="10"/>
        <v>-</v>
      </c>
      <c r="AK32" s="220"/>
      <c r="AL32" s="217" t="str">
        <f ca="1">IFERROR(_xll.DBRW($B$3,$A32,$B$5,$B$4,$B$6,$B$7,$B32,AL$4,AL$5,AL$6)*AL$7,"")</f>
        <v/>
      </c>
      <c r="AM32" s="215" t="str">
        <f ca="1">IFERROR(_xll.DBRW($B$3,$A32,$B$5,$B$4,$B$6,$B$7,$B32,AM$4,AM$5,AM$6)*AM$7,"")</f>
        <v/>
      </c>
      <c r="AN32" s="215" t="str">
        <f ca="1">IFERROR(_xll.DBRW($B$3,$A32,$B$5,$B$4,$B$6,$B$7,$B32,AN$4,AN$5,AN$6)*AN$7,"")</f>
        <v/>
      </c>
      <c r="AO32" s="216" t="str">
        <f t="shared" ca="1" si="11"/>
        <v>-</v>
      </c>
      <c r="AP32" s="216" t="str">
        <f t="shared" ca="1" si="12"/>
        <v>-</v>
      </c>
      <c r="AQ32" s="220"/>
      <c r="AR32" s="218" t="str">
        <f ca="1">IFERROR(_xll.DBRW($B$3,$A32,$B$5,$B$4,$B$6,$B$7,$B32,AR$4,AR$5,AR$6)*AR$7,"")</f>
        <v/>
      </c>
      <c r="AS32" s="215" t="str">
        <f ca="1">IFERROR(_xll.DBRW($B$3,$A32,$B$5,$B$4,$B$6,$B$7,$B32,AS$4,AS$5,AS$6)*AS$7,"")</f>
        <v/>
      </c>
      <c r="AT32" s="215" t="str">
        <f ca="1">IFERROR(_xll.DBRW($B$3,$A32,$B$5,$B$4,$B$6,$B$7,$B32,AT$4,AT$5,AT$6)*AT$7,"")</f>
        <v/>
      </c>
      <c r="AU32" s="216" t="str">
        <f t="shared" ca="1" si="13"/>
        <v>-</v>
      </c>
      <c r="AV32" s="216" t="str">
        <f t="shared" ca="1" si="14"/>
        <v>-</v>
      </c>
      <c r="AW32" s="220"/>
      <c r="AX32" s="218" t="str">
        <f ca="1">IFERROR(_xll.DBRW($B$3,$A32,$B$5,$B$4,$B$6,$B$7,$B32,AX$4,AX$5,AX$6)*AX$7,"")</f>
        <v/>
      </c>
      <c r="AY32" s="215" t="str">
        <f ca="1">IFERROR(_xll.DBRW($B$3,$A32,$B$5,$B$4,$B$6,$B$7,$B32,AY$4,AY$5,AY$6)*AY$7,"")</f>
        <v/>
      </c>
      <c r="AZ32" s="215" t="str">
        <f ca="1">IFERROR(_xll.DBRW($B$3,$A32,$B$5,$B$4,$B$6,$B$7,$B32,AZ$4,AZ$5,AZ$6)*AZ$7,"")</f>
        <v/>
      </c>
      <c r="BA32" s="216" t="str">
        <f t="shared" ca="1" si="15"/>
        <v>-</v>
      </c>
      <c r="BB32" s="216" t="str">
        <f t="shared" ca="1" si="16"/>
        <v>-</v>
      </c>
      <c r="BC32" s="220"/>
      <c r="BD32" s="231" t="str">
        <f t="shared" ca="1" si="20"/>
        <v>-</v>
      </c>
      <c r="BE32" s="232" t="str">
        <f t="shared" ca="1" si="18"/>
        <v>-</v>
      </c>
      <c r="BF32" s="232" t="str">
        <f t="shared" ca="1" si="19"/>
        <v>-</v>
      </c>
    </row>
    <row r="33" spans="1:58" s="208" customFormat="1" ht="15" customHeight="1">
      <c r="A33" s="209" t="s">
        <v>121</v>
      </c>
      <c r="B33" s="210"/>
      <c r="C33" s="212">
        <v>16</v>
      </c>
      <c r="D33" s="193" t="str">
        <f ca="1">_xll.DBRA("tango_core_model:management_organization",B33,Language)</f>
        <v/>
      </c>
      <c r="E33" s="237" t="str">
        <f ca="1">_xll.DBRA("tango_core_model:activity",_xll.DBRA("tango_core_model:management_organization",B33,"sub_activity"),Language)</f>
        <v/>
      </c>
      <c r="F33" s="220"/>
      <c r="G33" s="214" t="str">
        <f ca="1">IFERROR(_xll.DBRW($B$3,$A33,$B$5,$B$4,$B$6,$B$7,$B33,G$4,G$5,G$6)*G$7,"")</f>
        <v/>
      </c>
      <c r="H33" s="215" t="str">
        <f ca="1">IFERROR(_xll.DBRW($B$3,$A33,$B$5,$B$4,$B$6,$B$7,$B33,H$4,H$5,H$6)*H$7,"")</f>
        <v/>
      </c>
      <c r="I33" s="215" t="str">
        <f ca="1">IFERROR(_xll.DBRW($B$3,$A33,$B$5,$B$4,$B$6,$B$7,$B33,I$4,I$5,I$6)*I$7,"")</f>
        <v/>
      </c>
      <c r="J33" s="216" t="str">
        <f t="shared" ca="1" si="0"/>
        <v>-</v>
      </c>
      <c r="K33" s="216" t="str">
        <f t="shared" ca="1" si="1"/>
        <v>-</v>
      </c>
      <c r="L33" s="220"/>
      <c r="M33" s="217" t="str">
        <f ca="1">IFERROR(_xll.DBRW($B$3,$A33,$B$5,$B$4,$B$6,$B$7,$B33,M$4,M$5,M$6)*M$7,"")</f>
        <v/>
      </c>
      <c r="N33" s="215" t="str">
        <f ca="1">IFERROR(_xll.DBRW($B$3,$A33,$B$5,$B$4,$B$6,$B$7,$B33,N$4,N$5,N$6)*N$7,"")</f>
        <v/>
      </c>
      <c r="O33" s="215" t="str">
        <f ca="1">IFERROR(_xll.DBRW($B$3,$A33,$B$5,$B$4,$B$6,$B$7,$B33,O$4,O$5,O$6)*O$7,"")</f>
        <v/>
      </c>
      <c r="P33" s="216" t="str">
        <f t="shared" ca="1" si="2"/>
        <v>-</v>
      </c>
      <c r="Q33" s="216" t="str">
        <f t="shared" ca="1" si="3"/>
        <v>-</v>
      </c>
      <c r="R33" s="220"/>
      <c r="S33" s="217" t="str">
        <f ca="1">IFERROR(_xll.DBRW($B$3,$A33,$B$5,$B$4,$B$6,$B$7,$B33,S$4,S$5,S$6)*S$7,"")</f>
        <v/>
      </c>
      <c r="T33" s="215" t="str">
        <f ca="1">IFERROR(_xll.DBRW($B$3,$A33,$B$5,$B$4,$B$6,$B$7,$B33,T$4,T$5,T$6)*T$7,"")</f>
        <v/>
      </c>
      <c r="U33" s="215" t="str">
        <f ca="1">IFERROR(_xll.DBRW($B$3,$A33,$B$5,$B$4,$B$6,$B$7,$B33,U$4,U$5,U$6)*U$7,"")</f>
        <v/>
      </c>
      <c r="V33" s="216" t="str">
        <f t="shared" ca="1" si="4"/>
        <v>-</v>
      </c>
      <c r="W33" s="216" t="str">
        <f t="shared" ca="1" si="5"/>
        <v>-</v>
      </c>
      <c r="X33" s="220"/>
      <c r="Y33" s="217" t="str">
        <f ca="1">IFERROR(_xll.DBRW($B$3,$A33,$B$5,$B$4,$B$6,$B$7,$B33,Y$4,Y$5,Y$6)*Y$7,"")</f>
        <v/>
      </c>
      <c r="Z33" s="215" t="str">
        <f ca="1">IFERROR(_xll.DBRW($B$3,$A33,$B$5,$B$4,$B$6,$B$7,$B33,Z$4,Z$5,Z$6)*Z$7,"")</f>
        <v/>
      </c>
      <c r="AA33" s="215" t="str">
        <f ca="1">IFERROR(_xll.DBRW($B$3,$A33,$B$5,$B$4,$B$6,$B$7,$B33,AA$4,AA$5,AA$6)*AA$7,"")</f>
        <v/>
      </c>
      <c r="AB33" s="216" t="str">
        <f t="shared" ca="1" si="6"/>
        <v>-</v>
      </c>
      <c r="AC33" s="216" t="str">
        <f t="shared" ca="1" si="7"/>
        <v>-</v>
      </c>
      <c r="AD33" s="220"/>
      <c r="AE33" s="217" t="str">
        <f ca="1">IFERROR(_xll.DBRW($B$3,$A33,$B$5,$B$4,$B$6,$B$7,$B33,AE$4,AE$5,AE$6)*AE$7,"")</f>
        <v/>
      </c>
      <c r="AF33" s="215" t="str">
        <f ca="1">IFERROR(_xll.DBRW($B$3,$A33,$B$5,$B$4,$B$6,$B$7,$B33,AF$4,AF$5,AF$6)*AF$7,"")</f>
        <v/>
      </c>
      <c r="AG33" s="215" t="str">
        <f ca="1">IFERROR(_xll.DBRW($B$3,$A33,$B$5,$B$4,$B$6,$B$7,$B33,AG$4,AG$5,AG$6)*AG$7,"")</f>
        <v/>
      </c>
      <c r="AH33" s="216" t="str">
        <f t="shared" ca="1" si="8"/>
        <v>-</v>
      </c>
      <c r="AI33" s="216" t="str">
        <f t="shared" ca="1" si="9"/>
        <v>-</v>
      </c>
      <c r="AJ33" s="216" t="str">
        <f t="shared" ca="1" si="10"/>
        <v>-</v>
      </c>
      <c r="AK33" s="220"/>
      <c r="AL33" s="217" t="str">
        <f ca="1">IFERROR(_xll.DBRW($B$3,$A33,$B$5,$B$4,$B$6,$B$7,$B33,AL$4,AL$5,AL$6)*AL$7,"")</f>
        <v/>
      </c>
      <c r="AM33" s="215" t="str">
        <f ca="1">IFERROR(_xll.DBRW($B$3,$A33,$B$5,$B$4,$B$6,$B$7,$B33,AM$4,AM$5,AM$6)*AM$7,"")</f>
        <v/>
      </c>
      <c r="AN33" s="215" t="str">
        <f ca="1">IFERROR(_xll.DBRW($B$3,$A33,$B$5,$B$4,$B$6,$B$7,$B33,AN$4,AN$5,AN$6)*AN$7,"")</f>
        <v/>
      </c>
      <c r="AO33" s="216" t="str">
        <f t="shared" ca="1" si="11"/>
        <v>-</v>
      </c>
      <c r="AP33" s="216" t="str">
        <f t="shared" ca="1" si="12"/>
        <v>-</v>
      </c>
      <c r="AQ33" s="220"/>
      <c r="AR33" s="218" t="str">
        <f ca="1">IFERROR(_xll.DBRW($B$3,$A33,$B$5,$B$4,$B$6,$B$7,$B33,AR$4,AR$5,AR$6)*AR$7,"")</f>
        <v/>
      </c>
      <c r="AS33" s="215" t="str">
        <f ca="1">IFERROR(_xll.DBRW($B$3,$A33,$B$5,$B$4,$B$6,$B$7,$B33,AS$4,AS$5,AS$6)*AS$7,"")</f>
        <v/>
      </c>
      <c r="AT33" s="215" t="str">
        <f ca="1">IFERROR(_xll.DBRW($B$3,$A33,$B$5,$B$4,$B$6,$B$7,$B33,AT$4,AT$5,AT$6)*AT$7,"")</f>
        <v/>
      </c>
      <c r="AU33" s="216" t="str">
        <f t="shared" ca="1" si="13"/>
        <v>-</v>
      </c>
      <c r="AV33" s="216" t="str">
        <f t="shared" ca="1" si="14"/>
        <v>-</v>
      </c>
      <c r="AW33" s="220"/>
      <c r="AX33" s="218" t="str">
        <f ca="1">IFERROR(_xll.DBRW($B$3,$A33,$B$5,$B$4,$B$6,$B$7,$B33,AX$4,AX$5,AX$6)*AX$7,"")</f>
        <v/>
      </c>
      <c r="AY33" s="215" t="str">
        <f ca="1">IFERROR(_xll.DBRW($B$3,$A33,$B$5,$B$4,$B$6,$B$7,$B33,AY$4,AY$5,AY$6)*AY$7,"")</f>
        <v/>
      </c>
      <c r="AZ33" s="215" t="str">
        <f ca="1">IFERROR(_xll.DBRW($B$3,$A33,$B$5,$B$4,$B$6,$B$7,$B33,AZ$4,AZ$5,AZ$6)*AZ$7,"")</f>
        <v/>
      </c>
      <c r="BA33" s="216" t="str">
        <f t="shared" ca="1" si="15"/>
        <v>-</v>
      </c>
      <c r="BB33" s="216" t="str">
        <f t="shared" ca="1" si="16"/>
        <v>-</v>
      </c>
      <c r="BC33" s="220"/>
      <c r="BD33" s="231" t="str">
        <f t="shared" ca="1" si="20"/>
        <v>-</v>
      </c>
      <c r="BE33" s="232" t="str">
        <f t="shared" ca="1" si="18"/>
        <v>-</v>
      </c>
      <c r="BF33" s="232" t="str">
        <f t="shared" ca="1" si="19"/>
        <v>-</v>
      </c>
    </row>
    <row r="34" spans="1:58" s="208" customFormat="1" ht="15" customHeight="1">
      <c r="A34" s="209" t="s">
        <v>121</v>
      </c>
      <c r="B34" s="210"/>
      <c r="C34" s="212">
        <v>17</v>
      </c>
      <c r="D34" s="193" t="str">
        <f ca="1">_xll.DBRA("tango_core_model:management_organization",B34,Language)</f>
        <v/>
      </c>
      <c r="E34" s="237" t="str">
        <f ca="1">_xll.DBRA("tango_core_model:activity",_xll.DBRA("tango_core_model:management_organization",B34,"sub_activity"),Language)</f>
        <v/>
      </c>
      <c r="F34" s="220"/>
      <c r="G34" s="214" t="str">
        <f ca="1">IFERROR(_xll.DBRW($B$3,$A34,$B$5,$B$4,$B$6,$B$7,$B34,G$4,G$5,G$6)*G$7,"")</f>
        <v/>
      </c>
      <c r="H34" s="215" t="str">
        <f ca="1">IFERROR(_xll.DBRW($B$3,$A34,$B$5,$B$4,$B$6,$B$7,$B34,H$4,H$5,H$6)*H$7,"")</f>
        <v/>
      </c>
      <c r="I34" s="215" t="str">
        <f ca="1">IFERROR(_xll.DBRW($B$3,$A34,$B$5,$B$4,$B$6,$B$7,$B34,I$4,I$5,I$6)*I$7,"")</f>
        <v/>
      </c>
      <c r="J34" s="216" t="str">
        <f t="shared" ca="1" si="0"/>
        <v>-</v>
      </c>
      <c r="K34" s="216" t="str">
        <f t="shared" ca="1" si="1"/>
        <v>-</v>
      </c>
      <c r="L34" s="220"/>
      <c r="M34" s="217" t="str">
        <f ca="1">IFERROR(_xll.DBRW($B$3,$A34,$B$5,$B$4,$B$6,$B$7,$B34,M$4,M$5,M$6)*M$7,"")</f>
        <v/>
      </c>
      <c r="N34" s="215" t="str">
        <f ca="1">IFERROR(_xll.DBRW($B$3,$A34,$B$5,$B$4,$B$6,$B$7,$B34,N$4,N$5,N$6)*N$7,"")</f>
        <v/>
      </c>
      <c r="O34" s="215" t="str">
        <f ca="1">IFERROR(_xll.DBRW($B$3,$A34,$B$5,$B$4,$B$6,$B$7,$B34,O$4,O$5,O$6)*O$7,"")</f>
        <v/>
      </c>
      <c r="P34" s="216" t="str">
        <f t="shared" ca="1" si="2"/>
        <v>-</v>
      </c>
      <c r="Q34" s="216" t="str">
        <f t="shared" ca="1" si="3"/>
        <v>-</v>
      </c>
      <c r="R34" s="220"/>
      <c r="S34" s="217" t="str">
        <f ca="1">IFERROR(_xll.DBRW($B$3,$A34,$B$5,$B$4,$B$6,$B$7,$B34,S$4,S$5,S$6)*S$7,"")</f>
        <v/>
      </c>
      <c r="T34" s="215" t="str">
        <f ca="1">IFERROR(_xll.DBRW($B$3,$A34,$B$5,$B$4,$B$6,$B$7,$B34,T$4,T$5,T$6)*T$7,"")</f>
        <v/>
      </c>
      <c r="U34" s="215" t="str">
        <f ca="1">IFERROR(_xll.DBRW($B$3,$A34,$B$5,$B$4,$B$6,$B$7,$B34,U$4,U$5,U$6)*U$7,"")</f>
        <v/>
      </c>
      <c r="V34" s="216" t="str">
        <f t="shared" ca="1" si="4"/>
        <v>-</v>
      </c>
      <c r="W34" s="216" t="str">
        <f t="shared" ca="1" si="5"/>
        <v>-</v>
      </c>
      <c r="X34" s="220"/>
      <c r="Y34" s="217" t="str">
        <f ca="1">IFERROR(_xll.DBRW($B$3,$A34,$B$5,$B$4,$B$6,$B$7,$B34,Y$4,Y$5,Y$6)*Y$7,"")</f>
        <v/>
      </c>
      <c r="Z34" s="215" t="str">
        <f ca="1">IFERROR(_xll.DBRW($B$3,$A34,$B$5,$B$4,$B$6,$B$7,$B34,Z$4,Z$5,Z$6)*Z$7,"")</f>
        <v/>
      </c>
      <c r="AA34" s="215" t="str">
        <f ca="1">IFERROR(_xll.DBRW($B$3,$A34,$B$5,$B$4,$B$6,$B$7,$B34,AA$4,AA$5,AA$6)*AA$7,"")</f>
        <v/>
      </c>
      <c r="AB34" s="216" t="str">
        <f t="shared" ca="1" si="6"/>
        <v>-</v>
      </c>
      <c r="AC34" s="216" t="str">
        <f t="shared" ca="1" si="7"/>
        <v>-</v>
      </c>
      <c r="AD34" s="220"/>
      <c r="AE34" s="217" t="str">
        <f ca="1">IFERROR(_xll.DBRW($B$3,$A34,$B$5,$B$4,$B$6,$B$7,$B34,AE$4,AE$5,AE$6)*AE$7,"")</f>
        <v/>
      </c>
      <c r="AF34" s="215" t="str">
        <f ca="1">IFERROR(_xll.DBRW($B$3,$A34,$B$5,$B$4,$B$6,$B$7,$B34,AF$4,AF$5,AF$6)*AF$7,"")</f>
        <v/>
      </c>
      <c r="AG34" s="215" t="str">
        <f ca="1">IFERROR(_xll.DBRW($B$3,$A34,$B$5,$B$4,$B$6,$B$7,$B34,AG$4,AG$5,AG$6)*AG$7,"")</f>
        <v/>
      </c>
      <c r="AH34" s="216" t="str">
        <f t="shared" ca="1" si="8"/>
        <v>-</v>
      </c>
      <c r="AI34" s="216" t="str">
        <f t="shared" ca="1" si="9"/>
        <v>-</v>
      </c>
      <c r="AJ34" s="216" t="str">
        <f t="shared" ca="1" si="10"/>
        <v>-</v>
      </c>
      <c r="AK34" s="220"/>
      <c r="AL34" s="217" t="str">
        <f ca="1">IFERROR(_xll.DBRW($B$3,$A34,$B$5,$B$4,$B$6,$B$7,$B34,AL$4,AL$5,AL$6)*AL$7,"")</f>
        <v/>
      </c>
      <c r="AM34" s="215" t="str">
        <f ca="1">IFERROR(_xll.DBRW($B$3,$A34,$B$5,$B$4,$B$6,$B$7,$B34,AM$4,AM$5,AM$6)*AM$7,"")</f>
        <v/>
      </c>
      <c r="AN34" s="215" t="str">
        <f ca="1">IFERROR(_xll.DBRW($B$3,$A34,$B$5,$B$4,$B$6,$B$7,$B34,AN$4,AN$5,AN$6)*AN$7,"")</f>
        <v/>
      </c>
      <c r="AO34" s="216" t="str">
        <f t="shared" ca="1" si="11"/>
        <v>-</v>
      </c>
      <c r="AP34" s="216" t="str">
        <f t="shared" ca="1" si="12"/>
        <v>-</v>
      </c>
      <c r="AQ34" s="220"/>
      <c r="AR34" s="218" t="str">
        <f ca="1">IFERROR(_xll.DBRW($B$3,$A34,$B$5,$B$4,$B$6,$B$7,$B34,AR$4,AR$5,AR$6)*AR$7,"")</f>
        <v/>
      </c>
      <c r="AS34" s="215" t="str">
        <f ca="1">IFERROR(_xll.DBRW($B$3,$A34,$B$5,$B$4,$B$6,$B$7,$B34,AS$4,AS$5,AS$6)*AS$7,"")</f>
        <v/>
      </c>
      <c r="AT34" s="215" t="str">
        <f ca="1">IFERROR(_xll.DBRW($B$3,$A34,$B$5,$B$4,$B$6,$B$7,$B34,AT$4,AT$5,AT$6)*AT$7,"")</f>
        <v/>
      </c>
      <c r="AU34" s="216" t="str">
        <f t="shared" ca="1" si="13"/>
        <v>-</v>
      </c>
      <c r="AV34" s="216" t="str">
        <f t="shared" ca="1" si="14"/>
        <v>-</v>
      </c>
      <c r="AW34" s="220"/>
      <c r="AX34" s="218" t="str">
        <f ca="1">IFERROR(_xll.DBRW($B$3,$A34,$B$5,$B$4,$B$6,$B$7,$B34,AX$4,AX$5,AX$6)*AX$7,"")</f>
        <v/>
      </c>
      <c r="AY34" s="215" t="str">
        <f ca="1">IFERROR(_xll.DBRW($B$3,$A34,$B$5,$B$4,$B$6,$B$7,$B34,AY$4,AY$5,AY$6)*AY$7,"")</f>
        <v/>
      </c>
      <c r="AZ34" s="215" t="str">
        <f ca="1">IFERROR(_xll.DBRW($B$3,$A34,$B$5,$B$4,$B$6,$B$7,$B34,AZ$4,AZ$5,AZ$6)*AZ$7,"")</f>
        <v/>
      </c>
      <c r="BA34" s="216" t="str">
        <f t="shared" ca="1" si="15"/>
        <v>-</v>
      </c>
      <c r="BB34" s="216" t="str">
        <f t="shared" ca="1" si="16"/>
        <v>-</v>
      </c>
      <c r="BC34" s="220"/>
      <c r="BD34" s="231" t="str">
        <f t="shared" ca="1" si="20"/>
        <v>-</v>
      </c>
      <c r="BE34" s="232" t="str">
        <f t="shared" ca="1" si="18"/>
        <v>-</v>
      </c>
      <c r="BF34" s="232" t="str">
        <f t="shared" ca="1" si="19"/>
        <v>-</v>
      </c>
    </row>
    <row r="35" spans="1:58" s="208" customFormat="1" ht="15" customHeight="1">
      <c r="A35" s="209" t="s">
        <v>121</v>
      </c>
      <c r="B35" s="210"/>
      <c r="C35" s="212">
        <v>18</v>
      </c>
      <c r="D35" s="193" t="str">
        <f ca="1">_xll.DBRA("tango_core_model:management_organization",B35,Language)</f>
        <v/>
      </c>
      <c r="E35" s="237" t="str">
        <f ca="1">_xll.DBRA("tango_core_model:activity",_xll.DBRA("tango_core_model:management_organization",B35,"sub_activity"),Language)</f>
        <v/>
      </c>
      <c r="F35" s="220"/>
      <c r="G35" s="214" t="str">
        <f ca="1">IFERROR(_xll.DBRW($B$3,$A35,$B$5,$B$4,$B$6,$B$7,$B35,G$4,G$5,G$6)*G$7,"")</f>
        <v/>
      </c>
      <c r="H35" s="215" t="str">
        <f ca="1">IFERROR(_xll.DBRW($B$3,$A35,$B$5,$B$4,$B$6,$B$7,$B35,H$4,H$5,H$6)*H$7,"")</f>
        <v/>
      </c>
      <c r="I35" s="215" t="str">
        <f ca="1">IFERROR(_xll.DBRW($B$3,$A35,$B$5,$B$4,$B$6,$B$7,$B35,I$4,I$5,I$6)*I$7,"")</f>
        <v/>
      </c>
      <c r="J35" s="216" t="str">
        <f t="shared" ca="1" si="0"/>
        <v>-</v>
      </c>
      <c r="K35" s="216" t="str">
        <f t="shared" ca="1" si="1"/>
        <v>-</v>
      </c>
      <c r="L35" s="220"/>
      <c r="M35" s="217" t="str">
        <f ca="1">IFERROR(_xll.DBRW($B$3,$A35,$B$5,$B$4,$B$6,$B$7,$B35,M$4,M$5,M$6)*M$7,"")</f>
        <v/>
      </c>
      <c r="N35" s="215" t="str">
        <f ca="1">IFERROR(_xll.DBRW($B$3,$A35,$B$5,$B$4,$B$6,$B$7,$B35,N$4,N$5,N$6)*N$7,"")</f>
        <v/>
      </c>
      <c r="O35" s="215" t="str">
        <f ca="1">IFERROR(_xll.DBRW($B$3,$A35,$B$5,$B$4,$B$6,$B$7,$B35,O$4,O$5,O$6)*O$7,"")</f>
        <v/>
      </c>
      <c r="P35" s="216" t="str">
        <f t="shared" ca="1" si="2"/>
        <v>-</v>
      </c>
      <c r="Q35" s="216" t="str">
        <f t="shared" ca="1" si="3"/>
        <v>-</v>
      </c>
      <c r="R35" s="220"/>
      <c r="S35" s="217" t="str">
        <f ca="1">IFERROR(_xll.DBRW($B$3,$A35,$B$5,$B$4,$B$6,$B$7,$B35,S$4,S$5,S$6)*S$7,"")</f>
        <v/>
      </c>
      <c r="T35" s="215" t="str">
        <f ca="1">IFERROR(_xll.DBRW($B$3,$A35,$B$5,$B$4,$B$6,$B$7,$B35,T$4,T$5,T$6)*T$7,"")</f>
        <v/>
      </c>
      <c r="U35" s="215" t="str">
        <f ca="1">IFERROR(_xll.DBRW($B$3,$A35,$B$5,$B$4,$B$6,$B$7,$B35,U$4,U$5,U$6)*U$7,"")</f>
        <v/>
      </c>
      <c r="V35" s="216" t="str">
        <f t="shared" ca="1" si="4"/>
        <v>-</v>
      </c>
      <c r="W35" s="216" t="str">
        <f t="shared" ca="1" si="5"/>
        <v>-</v>
      </c>
      <c r="X35" s="220"/>
      <c r="Y35" s="217" t="str">
        <f ca="1">IFERROR(_xll.DBRW($B$3,$A35,$B$5,$B$4,$B$6,$B$7,$B35,Y$4,Y$5,Y$6)*Y$7,"")</f>
        <v/>
      </c>
      <c r="Z35" s="215" t="str">
        <f ca="1">IFERROR(_xll.DBRW($B$3,$A35,$B$5,$B$4,$B$6,$B$7,$B35,Z$4,Z$5,Z$6)*Z$7,"")</f>
        <v/>
      </c>
      <c r="AA35" s="215" t="str">
        <f ca="1">IFERROR(_xll.DBRW($B$3,$A35,$B$5,$B$4,$B$6,$B$7,$B35,AA$4,AA$5,AA$6)*AA$7,"")</f>
        <v/>
      </c>
      <c r="AB35" s="216" t="str">
        <f t="shared" ca="1" si="6"/>
        <v>-</v>
      </c>
      <c r="AC35" s="216" t="str">
        <f t="shared" ca="1" si="7"/>
        <v>-</v>
      </c>
      <c r="AD35" s="220"/>
      <c r="AE35" s="217" t="str">
        <f ca="1">IFERROR(_xll.DBRW($B$3,$A35,$B$5,$B$4,$B$6,$B$7,$B35,AE$4,AE$5,AE$6)*AE$7,"")</f>
        <v/>
      </c>
      <c r="AF35" s="215" t="str">
        <f ca="1">IFERROR(_xll.DBRW($B$3,$A35,$B$5,$B$4,$B$6,$B$7,$B35,AF$4,AF$5,AF$6)*AF$7,"")</f>
        <v/>
      </c>
      <c r="AG35" s="215" t="str">
        <f ca="1">IFERROR(_xll.DBRW($B$3,$A35,$B$5,$B$4,$B$6,$B$7,$B35,AG$4,AG$5,AG$6)*AG$7,"")</f>
        <v/>
      </c>
      <c r="AH35" s="216" t="str">
        <f t="shared" ca="1" si="8"/>
        <v>-</v>
      </c>
      <c r="AI35" s="216" t="str">
        <f t="shared" ca="1" si="9"/>
        <v>-</v>
      </c>
      <c r="AJ35" s="216" t="str">
        <f t="shared" ca="1" si="10"/>
        <v>-</v>
      </c>
      <c r="AK35" s="220"/>
      <c r="AL35" s="217" t="str">
        <f ca="1">IFERROR(_xll.DBRW($B$3,$A35,$B$5,$B$4,$B$6,$B$7,$B35,AL$4,AL$5,AL$6)*AL$7,"")</f>
        <v/>
      </c>
      <c r="AM35" s="215" t="str">
        <f ca="1">IFERROR(_xll.DBRW($B$3,$A35,$B$5,$B$4,$B$6,$B$7,$B35,AM$4,AM$5,AM$6)*AM$7,"")</f>
        <v/>
      </c>
      <c r="AN35" s="215" t="str">
        <f ca="1">IFERROR(_xll.DBRW($B$3,$A35,$B$5,$B$4,$B$6,$B$7,$B35,AN$4,AN$5,AN$6)*AN$7,"")</f>
        <v/>
      </c>
      <c r="AO35" s="216" t="str">
        <f t="shared" ca="1" si="11"/>
        <v>-</v>
      </c>
      <c r="AP35" s="216" t="str">
        <f t="shared" ca="1" si="12"/>
        <v>-</v>
      </c>
      <c r="AQ35" s="220"/>
      <c r="AR35" s="218" t="str">
        <f ca="1">IFERROR(_xll.DBRW($B$3,$A35,$B$5,$B$4,$B$6,$B$7,$B35,AR$4,AR$5,AR$6)*AR$7,"")</f>
        <v/>
      </c>
      <c r="AS35" s="215" t="str">
        <f ca="1">IFERROR(_xll.DBRW($B$3,$A35,$B$5,$B$4,$B$6,$B$7,$B35,AS$4,AS$5,AS$6)*AS$7,"")</f>
        <v/>
      </c>
      <c r="AT35" s="215" t="str">
        <f ca="1">IFERROR(_xll.DBRW($B$3,$A35,$B$5,$B$4,$B$6,$B$7,$B35,AT$4,AT$5,AT$6)*AT$7,"")</f>
        <v/>
      </c>
      <c r="AU35" s="216" t="str">
        <f t="shared" ca="1" si="13"/>
        <v>-</v>
      </c>
      <c r="AV35" s="216" t="str">
        <f t="shared" ca="1" si="14"/>
        <v>-</v>
      </c>
      <c r="AW35" s="220"/>
      <c r="AX35" s="218" t="str">
        <f ca="1">IFERROR(_xll.DBRW($B$3,$A35,$B$5,$B$4,$B$6,$B$7,$B35,AX$4,AX$5,AX$6)*AX$7,"")</f>
        <v/>
      </c>
      <c r="AY35" s="215" t="str">
        <f ca="1">IFERROR(_xll.DBRW($B$3,$A35,$B$5,$B$4,$B$6,$B$7,$B35,AY$4,AY$5,AY$6)*AY$7,"")</f>
        <v/>
      </c>
      <c r="AZ35" s="215" t="str">
        <f ca="1">IFERROR(_xll.DBRW($B$3,$A35,$B$5,$B$4,$B$6,$B$7,$B35,AZ$4,AZ$5,AZ$6)*AZ$7,"")</f>
        <v/>
      </c>
      <c r="BA35" s="216" t="str">
        <f t="shared" ca="1" si="15"/>
        <v>-</v>
      </c>
      <c r="BB35" s="216" t="str">
        <f t="shared" ca="1" si="16"/>
        <v>-</v>
      </c>
      <c r="BC35" s="220"/>
      <c r="BD35" s="231" t="str">
        <f t="shared" ca="1" si="20"/>
        <v>-</v>
      </c>
      <c r="BE35" s="232" t="str">
        <f t="shared" ca="1" si="18"/>
        <v>-</v>
      </c>
      <c r="BF35" s="232" t="str">
        <f t="shared" ca="1" si="19"/>
        <v>-</v>
      </c>
    </row>
    <row r="36" spans="1:58" s="208" customFormat="1" ht="15" customHeight="1">
      <c r="A36" s="209" t="s">
        <v>121</v>
      </c>
      <c r="B36" s="210"/>
      <c r="C36" s="212">
        <v>19</v>
      </c>
      <c r="D36" s="193" t="str">
        <f ca="1">_xll.DBRA("tango_core_model:management_organization",B36,Language)</f>
        <v/>
      </c>
      <c r="E36" s="237" t="str">
        <f ca="1">_xll.DBRA("tango_core_model:activity",_xll.DBRA("tango_core_model:management_organization",B36,"sub_activity"),Language)</f>
        <v/>
      </c>
      <c r="F36" s="220"/>
      <c r="G36" s="214" t="str">
        <f ca="1">IFERROR(_xll.DBRW($B$3,$A36,$B$5,$B$4,$B$6,$B$7,$B36,G$4,G$5,G$6)*G$7,"")</f>
        <v/>
      </c>
      <c r="H36" s="215" t="str">
        <f ca="1">IFERROR(_xll.DBRW($B$3,$A36,$B$5,$B$4,$B$6,$B$7,$B36,H$4,H$5,H$6)*H$7,"")</f>
        <v/>
      </c>
      <c r="I36" s="215" t="str">
        <f ca="1">IFERROR(_xll.DBRW($B$3,$A36,$B$5,$B$4,$B$6,$B$7,$B36,I$4,I$5,I$6)*I$7,"")</f>
        <v/>
      </c>
      <c r="J36" s="216" t="str">
        <f t="shared" ca="1" si="0"/>
        <v>-</v>
      </c>
      <c r="K36" s="216" t="str">
        <f t="shared" ca="1" si="1"/>
        <v>-</v>
      </c>
      <c r="L36" s="220"/>
      <c r="M36" s="217" t="str">
        <f ca="1">IFERROR(_xll.DBRW($B$3,$A36,$B$5,$B$4,$B$6,$B$7,$B36,M$4,M$5,M$6)*M$7,"")</f>
        <v/>
      </c>
      <c r="N36" s="215" t="str">
        <f ca="1">IFERROR(_xll.DBRW($B$3,$A36,$B$5,$B$4,$B$6,$B$7,$B36,N$4,N$5,N$6)*N$7,"")</f>
        <v/>
      </c>
      <c r="O36" s="215" t="str">
        <f ca="1">IFERROR(_xll.DBRW($B$3,$A36,$B$5,$B$4,$B$6,$B$7,$B36,O$4,O$5,O$6)*O$7,"")</f>
        <v/>
      </c>
      <c r="P36" s="216" t="str">
        <f t="shared" ca="1" si="2"/>
        <v>-</v>
      </c>
      <c r="Q36" s="216" t="str">
        <f t="shared" ca="1" si="3"/>
        <v>-</v>
      </c>
      <c r="R36" s="220"/>
      <c r="S36" s="217" t="str">
        <f ca="1">IFERROR(_xll.DBRW($B$3,$A36,$B$5,$B$4,$B$6,$B$7,$B36,S$4,S$5,S$6)*S$7,"")</f>
        <v/>
      </c>
      <c r="T36" s="215" t="str">
        <f ca="1">IFERROR(_xll.DBRW($B$3,$A36,$B$5,$B$4,$B$6,$B$7,$B36,T$4,T$5,T$6)*T$7,"")</f>
        <v/>
      </c>
      <c r="U36" s="215" t="str">
        <f ca="1">IFERROR(_xll.DBRW($B$3,$A36,$B$5,$B$4,$B$6,$B$7,$B36,U$4,U$5,U$6)*U$7,"")</f>
        <v/>
      </c>
      <c r="V36" s="216" t="str">
        <f t="shared" ca="1" si="4"/>
        <v>-</v>
      </c>
      <c r="W36" s="216" t="str">
        <f t="shared" ca="1" si="5"/>
        <v>-</v>
      </c>
      <c r="X36" s="220"/>
      <c r="Y36" s="217" t="str">
        <f ca="1">IFERROR(_xll.DBRW($B$3,$A36,$B$5,$B$4,$B$6,$B$7,$B36,Y$4,Y$5,Y$6)*Y$7,"")</f>
        <v/>
      </c>
      <c r="Z36" s="215" t="str">
        <f ca="1">IFERROR(_xll.DBRW($B$3,$A36,$B$5,$B$4,$B$6,$B$7,$B36,Z$4,Z$5,Z$6)*Z$7,"")</f>
        <v/>
      </c>
      <c r="AA36" s="215" t="str">
        <f ca="1">IFERROR(_xll.DBRW($B$3,$A36,$B$5,$B$4,$B$6,$B$7,$B36,AA$4,AA$5,AA$6)*AA$7,"")</f>
        <v/>
      </c>
      <c r="AB36" s="216" t="str">
        <f t="shared" ca="1" si="6"/>
        <v>-</v>
      </c>
      <c r="AC36" s="216" t="str">
        <f t="shared" ca="1" si="7"/>
        <v>-</v>
      </c>
      <c r="AD36" s="220"/>
      <c r="AE36" s="217" t="str">
        <f ca="1">IFERROR(_xll.DBRW($B$3,$A36,$B$5,$B$4,$B$6,$B$7,$B36,AE$4,AE$5,AE$6)*AE$7,"")</f>
        <v/>
      </c>
      <c r="AF36" s="215" t="str">
        <f ca="1">IFERROR(_xll.DBRW($B$3,$A36,$B$5,$B$4,$B$6,$B$7,$B36,AF$4,AF$5,AF$6)*AF$7,"")</f>
        <v/>
      </c>
      <c r="AG36" s="215" t="str">
        <f ca="1">IFERROR(_xll.DBRW($B$3,$A36,$B$5,$B$4,$B$6,$B$7,$B36,AG$4,AG$5,AG$6)*AG$7,"")</f>
        <v/>
      </c>
      <c r="AH36" s="216" t="str">
        <f t="shared" ca="1" si="8"/>
        <v>-</v>
      </c>
      <c r="AI36" s="216" t="str">
        <f t="shared" ca="1" si="9"/>
        <v>-</v>
      </c>
      <c r="AJ36" s="216" t="str">
        <f t="shared" ca="1" si="10"/>
        <v>-</v>
      </c>
      <c r="AK36" s="220"/>
      <c r="AL36" s="217" t="str">
        <f ca="1">IFERROR(_xll.DBRW($B$3,$A36,$B$5,$B$4,$B$6,$B$7,$B36,AL$4,AL$5,AL$6)*AL$7,"")</f>
        <v/>
      </c>
      <c r="AM36" s="215" t="str">
        <f ca="1">IFERROR(_xll.DBRW($B$3,$A36,$B$5,$B$4,$B$6,$B$7,$B36,AM$4,AM$5,AM$6)*AM$7,"")</f>
        <v/>
      </c>
      <c r="AN36" s="215" t="str">
        <f ca="1">IFERROR(_xll.DBRW($B$3,$A36,$B$5,$B$4,$B$6,$B$7,$B36,AN$4,AN$5,AN$6)*AN$7,"")</f>
        <v/>
      </c>
      <c r="AO36" s="216" t="str">
        <f t="shared" ca="1" si="11"/>
        <v>-</v>
      </c>
      <c r="AP36" s="216" t="str">
        <f t="shared" ca="1" si="12"/>
        <v>-</v>
      </c>
      <c r="AQ36" s="220"/>
      <c r="AR36" s="218" t="str">
        <f ca="1">IFERROR(_xll.DBRW($B$3,$A36,$B$5,$B$4,$B$6,$B$7,$B36,AR$4,AR$5,AR$6)*AR$7,"")</f>
        <v/>
      </c>
      <c r="AS36" s="215" t="str">
        <f ca="1">IFERROR(_xll.DBRW($B$3,$A36,$B$5,$B$4,$B$6,$B$7,$B36,AS$4,AS$5,AS$6)*AS$7,"")</f>
        <v/>
      </c>
      <c r="AT36" s="215" t="str">
        <f ca="1">IFERROR(_xll.DBRW($B$3,$A36,$B$5,$B$4,$B$6,$B$7,$B36,AT$4,AT$5,AT$6)*AT$7,"")</f>
        <v/>
      </c>
      <c r="AU36" s="216" t="str">
        <f t="shared" ca="1" si="13"/>
        <v>-</v>
      </c>
      <c r="AV36" s="216" t="str">
        <f t="shared" ca="1" si="14"/>
        <v>-</v>
      </c>
      <c r="AW36" s="220"/>
      <c r="AX36" s="218" t="str">
        <f ca="1">IFERROR(_xll.DBRW($B$3,$A36,$B$5,$B$4,$B$6,$B$7,$B36,AX$4,AX$5,AX$6)*AX$7,"")</f>
        <v/>
      </c>
      <c r="AY36" s="215" t="str">
        <f ca="1">IFERROR(_xll.DBRW($B$3,$A36,$B$5,$B$4,$B$6,$B$7,$B36,AY$4,AY$5,AY$6)*AY$7,"")</f>
        <v/>
      </c>
      <c r="AZ36" s="215" t="str">
        <f ca="1">IFERROR(_xll.DBRW($B$3,$A36,$B$5,$B$4,$B$6,$B$7,$B36,AZ$4,AZ$5,AZ$6)*AZ$7,"")</f>
        <v/>
      </c>
      <c r="BA36" s="216" t="str">
        <f t="shared" ca="1" si="15"/>
        <v>-</v>
      </c>
      <c r="BB36" s="216" t="str">
        <f t="shared" ca="1" si="16"/>
        <v>-</v>
      </c>
      <c r="BC36" s="220"/>
      <c r="BD36" s="231" t="str">
        <f t="shared" ca="1" si="20"/>
        <v>-</v>
      </c>
      <c r="BE36" s="232" t="str">
        <f t="shared" ca="1" si="18"/>
        <v>-</v>
      </c>
      <c r="BF36" s="232" t="str">
        <f t="shared" ca="1" si="19"/>
        <v>-</v>
      </c>
    </row>
    <row r="37" spans="1:58" s="208" customFormat="1" ht="15" customHeight="1">
      <c r="A37" s="209" t="s">
        <v>121</v>
      </c>
      <c r="B37" s="210"/>
      <c r="C37" s="212">
        <v>20</v>
      </c>
      <c r="D37" s="193" t="str">
        <f ca="1">_xll.DBRA("tango_core_model:management_organization",B37,Language)</f>
        <v/>
      </c>
      <c r="E37" s="237" t="str">
        <f ca="1">_xll.DBRA("tango_core_model:activity",_xll.DBRA("tango_core_model:management_organization",B37,"sub_activity"),Language)</f>
        <v/>
      </c>
      <c r="F37" s="220"/>
      <c r="G37" s="214" t="str">
        <f ca="1">IFERROR(_xll.DBRW($B$3,$A37,$B$5,$B$4,$B$6,$B$7,$B37,G$4,G$5,G$6)*G$7,"")</f>
        <v/>
      </c>
      <c r="H37" s="215" t="str">
        <f ca="1">IFERROR(_xll.DBRW($B$3,$A37,$B$5,$B$4,$B$6,$B$7,$B37,H$4,H$5,H$6)*H$7,"")</f>
        <v/>
      </c>
      <c r="I37" s="215" t="str">
        <f ca="1">IFERROR(_xll.DBRW($B$3,$A37,$B$5,$B$4,$B$6,$B$7,$B37,I$4,I$5,I$6)*I$7,"")</f>
        <v/>
      </c>
      <c r="J37" s="216" t="str">
        <f t="shared" ca="1" si="0"/>
        <v>-</v>
      </c>
      <c r="K37" s="216" t="str">
        <f t="shared" ca="1" si="1"/>
        <v>-</v>
      </c>
      <c r="L37" s="220"/>
      <c r="M37" s="217" t="str">
        <f ca="1">IFERROR(_xll.DBRW($B$3,$A37,$B$5,$B$4,$B$6,$B$7,$B37,M$4,M$5,M$6)*M$7,"")</f>
        <v/>
      </c>
      <c r="N37" s="215" t="str">
        <f ca="1">IFERROR(_xll.DBRW($B$3,$A37,$B$5,$B$4,$B$6,$B$7,$B37,N$4,N$5,N$6)*N$7,"")</f>
        <v/>
      </c>
      <c r="O37" s="215" t="str">
        <f ca="1">IFERROR(_xll.DBRW($B$3,$A37,$B$5,$B$4,$B$6,$B$7,$B37,O$4,O$5,O$6)*O$7,"")</f>
        <v/>
      </c>
      <c r="P37" s="216" t="str">
        <f t="shared" ca="1" si="2"/>
        <v>-</v>
      </c>
      <c r="Q37" s="216" t="str">
        <f t="shared" ca="1" si="3"/>
        <v>-</v>
      </c>
      <c r="R37" s="220"/>
      <c r="S37" s="217" t="str">
        <f ca="1">IFERROR(_xll.DBRW($B$3,$A37,$B$5,$B$4,$B$6,$B$7,$B37,S$4,S$5,S$6)*S$7,"")</f>
        <v/>
      </c>
      <c r="T37" s="215" t="str">
        <f ca="1">IFERROR(_xll.DBRW($B$3,$A37,$B$5,$B$4,$B$6,$B$7,$B37,T$4,T$5,T$6)*T$7,"")</f>
        <v/>
      </c>
      <c r="U37" s="215" t="str">
        <f ca="1">IFERROR(_xll.DBRW($B$3,$A37,$B$5,$B$4,$B$6,$B$7,$B37,U$4,U$5,U$6)*U$7,"")</f>
        <v/>
      </c>
      <c r="V37" s="216" t="str">
        <f t="shared" ca="1" si="4"/>
        <v>-</v>
      </c>
      <c r="W37" s="216" t="str">
        <f t="shared" ca="1" si="5"/>
        <v>-</v>
      </c>
      <c r="X37" s="220"/>
      <c r="Y37" s="217" t="str">
        <f ca="1">IFERROR(_xll.DBRW($B$3,$A37,$B$5,$B$4,$B$6,$B$7,$B37,Y$4,Y$5,Y$6)*Y$7,"")</f>
        <v/>
      </c>
      <c r="Z37" s="215" t="str">
        <f ca="1">IFERROR(_xll.DBRW($B$3,$A37,$B$5,$B$4,$B$6,$B$7,$B37,Z$4,Z$5,Z$6)*Z$7,"")</f>
        <v/>
      </c>
      <c r="AA37" s="215" t="str">
        <f ca="1">IFERROR(_xll.DBRW($B$3,$A37,$B$5,$B$4,$B$6,$B$7,$B37,AA$4,AA$5,AA$6)*AA$7,"")</f>
        <v/>
      </c>
      <c r="AB37" s="216" t="str">
        <f t="shared" ca="1" si="6"/>
        <v>-</v>
      </c>
      <c r="AC37" s="216" t="str">
        <f t="shared" ca="1" si="7"/>
        <v>-</v>
      </c>
      <c r="AD37" s="220"/>
      <c r="AE37" s="217" t="str">
        <f ca="1">IFERROR(_xll.DBRW($B$3,$A37,$B$5,$B$4,$B$6,$B$7,$B37,AE$4,AE$5,AE$6)*AE$7,"")</f>
        <v/>
      </c>
      <c r="AF37" s="215" t="str">
        <f ca="1">IFERROR(_xll.DBRW($B$3,$A37,$B$5,$B$4,$B$6,$B$7,$B37,AF$4,AF$5,AF$6)*AF$7,"")</f>
        <v/>
      </c>
      <c r="AG37" s="215" t="str">
        <f ca="1">IFERROR(_xll.DBRW($B$3,$A37,$B$5,$B$4,$B$6,$B$7,$B37,AG$4,AG$5,AG$6)*AG$7,"")</f>
        <v/>
      </c>
      <c r="AH37" s="216" t="str">
        <f t="shared" ca="1" si="8"/>
        <v>-</v>
      </c>
      <c r="AI37" s="216" t="str">
        <f t="shared" ca="1" si="9"/>
        <v>-</v>
      </c>
      <c r="AJ37" s="216" t="str">
        <f t="shared" ca="1" si="10"/>
        <v>-</v>
      </c>
      <c r="AK37" s="220"/>
      <c r="AL37" s="217" t="str">
        <f ca="1">IFERROR(_xll.DBRW($B$3,$A37,$B$5,$B$4,$B$6,$B$7,$B37,AL$4,AL$5,AL$6)*AL$7,"")</f>
        <v/>
      </c>
      <c r="AM37" s="215" t="str">
        <f ca="1">IFERROR(_xll.DBRW($B$3,$A37,$B$5,$B$4,$B$6,$B$7,$B37,AM$4,AM$5,AM$6)*AM$7,"")</f>
        <v/>
      </c>
      <c r="AN37" s="215" t="str">
        <f ca="1">IFERROR(_xll.DBRW($B$3,$A37,$B$5,$B$4,$B$6,$B$7,$B37,AN$4,AN$5,AN$6)*AN$7,"")</f>
        <v/>
      </c>
      <c r="AO37" s="216" t="str">
        <f t="shared" ca="1" si="11"/>
        <v>-</v>
      </c>
      <c r="AP37" s="216" t="str">
        <f t="shared" ca="1" si="12"/>
        <v>-</v>
      </c>
      <c r="AQ37" s="220"/>
      <c r="AR37" s="218" t="str">
        <f ca="1">IFERROR(_xll.DBRW($B$3,$A37,$B$5,$B$4,$B$6,$B$7,$B37,AR$4,AR$5,AR$6)*AR$7,"")</f>
        <v/>
      </c>
      <c r="AS37" s="215" t="str">
        <f ca="1">IFERROR(_xll.DBRW($B$3,$A37,$B$5,$B$4,$B$6,$B$7,$B37,AS$4,AS$5,AS$6)*AS$7,"")</f>
        <v/>
      </c>
      <c r="AT37" s="215" t="str">
        <f ca="1">IFERROR(_xll.DBRW($B$3,$A37,$B$5,$B$4,$B$6,$B$7,$B37,AT$4,AT$5,AT$6)*AT$7,"")</f>
        <v/>
      </c>
      <c r="AU37" s="216" t="str">
        <f t="shared" ca="1" si="13"/>
        <v>-</v>
      </c>
      <c r="AV37" s="216" t="str">
        <f t="shared" ca="1" si="14"/>
        <v>-</v>
      </c>
      <c r="AW37" s="220"/>
      <c r="AX37" s="218" t="str">
        <f ca="1">IFERROR(_xll.DBRW($B$3,$A37,$B$5,$B$4,$B$6,$B$7,$B37,AX$4,AX$5,AX$6)*AX$7,"")</f>
        <v/>
      </c>
      <c r="AY37" s="215" t="str">
        <f ca="1">IFERROR(_xll.DBRW($B$3,$A37,$B$5,$B$4,$B$6,$B$7,$B37,AY$4,AY$5,AY$6)*AY$7,"")</f>
        <v/>
      </c>
      <c r="AZ37" s="215" t="str">
        <f ca="1">IFERROR(_xll.DBRW($B$3,$A37,$B$5,$B$4,$B$6,$B$7,$B37,AZ$4,AZ$5,AZ$6)*AZ$7,"")</f>
        <v/>
      </c>
      <c r="BA37" s="216" t="str">
        <f t="shared" ca="1" si="15"/>
        <v>-</v>
      </c>
      <c r="BB37" s="216" t="str">
        <f t="shared" ca="1" si="16"/>
        <v>-</v>
      </c>
      <c r="BC37" s="220"/>
      <c r="BD37" s="231" t="str">
        <f t="shared" ca="1" si="20"/>
        <v>-</v>
      </c>
      <c r="BE37" s="232" t="str">
        <f t="shared" ca="1" si="18"/>
        <v>-</v>
      </c>
      <c r="BF37" s="232" t="str">
        <f t="shared" ca="1" si="19"/>
        <v>-</v>
      </c>
    </row>
    <row r="38" spans="1:58" s="228" customFormat="1" ht="15" customHeight="1">
      <c r="A38" s="221" t="s">
        <v>106</v>
      </c>
      <c r="B38" s="221"/>
      <c r="C38" s="219"/>
      <c r="D38" s="222" t="str">
        <f>IF(Language="French","Autres","Other")</f>
        <v>Other</v>
      </c>
      <c r="E38" s="238" t="str">
        <f>IF(Language="French","Autres","Other")</f>
        <v>Other</v>
      </c>
      <c r="F38" s="223"/>
      <c r="G38" s="224">
        <f ca="1">G17-SUM(G18:G37)</f>
        <v>0</v>
      </c>
      <c r="H38" s="225">
        <f ca="1">H17-SUM(H18:H37)</f>
        <v>0</v>
      </c>
      <c r="I38" s="225">
        <f ca="1">I17-SUM(I18:I37)</f>
        <v>0</v>
      </c>
      <c r="J38" s="216">
        <f t="shared" ca="1" si="0"/>
        <v>0</v>
      </c>
      <c r="K38" s="216">
        <f t="shared" ca="1" si="1"/>
        <v>0</v>
      </c>
      <c r="L38" s="223"/>
      <c r="M38" s="226">
        <f ca="1">M17-SUM(M18:M37)</f>
        <v>0</v>
      </c>
      <c r="N38" s="225">
        <f ca="1">N17-SUM(N18:N37)</f>
        <v>0</v>
      </c>
      <c r="O38" s="225">
        <f ca="1">O17-SUM(O18:O37)</f>
        <v>0</v>
      </c>
      <c r="P38" s="216">
        <f t="shared" ca="1" si="2"/>
        <v>0</v>
      </c>
      <c r="Q38" s="216">
        <f t="shared" ca="1" si="3"/>
        <v>0</v>
      </c>
      <c r="R38" s="223"/>
      <c r="S38" s="226">
        <f ca="1">S17-SUM(S18:S37)</f>
        <v>0</v>
      </c>
      <c r="T38" s="225">
        <f ca="1">T17-SUM(T18:T37)</f>
        <v>0</v>
      </c>
      <c r="U38" s="225">
        <f ca="1">U17-SUM(U18:U37)</f>
        <v>0</v>
      </c>
      <c r="V38" s="216">
        <f t="shared" ca="1" si="4"/>
        <v>0</v>
      </c>
      <c r="W38" s="216">
        <f t="shared" ca="1" si="5"/>
        <v>0</v>
      </c>
      <c r="X38" s="223"/>
      <c r="Y38" s="226">
        <f ca="1">Y17-SUM(Y18:Y37)</f>
        <v>0</v>
      </c>
      <c r="Z38" s="225">
        <f ca="1">Z17-SUM(Z18:Z37)</f>
        <v>0</v>
      </c>
      <c r="AA38" s="225">
        <f ca="1">AA17-SUM(AA18:AA37)</f>
        <v>0</v>
      </c>
      <c r="AB38" s="216">
        <f t="shared" ca="1" si="6"/>
        <v>0</v>
      </c>
      <c r="AC38" s="216">
        <f t="shared" ca="1" si="7"/>
        <v>0</v>
      </c>
      <c r="AD38" s="223"/>
      <c r="AE38" s="226">
        <f ca="1">AE17-SUM(AE18:AE37)</f>
        <v>0</v>
      </c>
      <c r="AF38" s="225">
        <f ca="1">AF17-SUM(AF18:AF37)</f>
        <v>0</v>
      </c>
      <c r="AG38" s="225">
        <f ca="1">AG17-SUM(AG18:AG37)</f>
        <v>0</v>
      </c>
      <c r="AH38" s="216">
        <f t="shared" ca="1" si="8"/>
        <v>0</v>
      </c>
      <c r="AI38" s="216">
        <f t="shared" ca="1" si="9"/>
        <v>0</v>
      </c>
      <c r="AJ38" s="216">
        <f t="shared" ca="1" si="10"/>
        <v>0</v>
      </c>
      <c r="AK38" s="223"/>
      <c r="AL38" s="226">
        <f ca="1">AL17-SUM(AL18:AL37)</f>
        <v>0</v>
      </c>
      <c r="AM38" s="225">
        <f ca="1">AM17-SUM(AM18:AM37)</f>
        <v>0</v>
      </c>
      <c r="AN38" s="225">
        <f ca="1">AN17-SUM(AN18:AN37)</f>
        <v>0</v>
      </c>
      <c r="AO38" s="216">
        <f t="shared" ca="1" si="11"/>
        <v>0</v>
      </c>
      <c r="AP38" s="216">
        <f t="shared" ca="1" si="12"/>
        <v>0</v>
      </c>
      <c r="AQ38" s="223"/>
      <c r="AR38" s="227">
        <f ca="1">AR17-SUM(AR18:AR37)</f>
        <v>0</v>
      </c>
      <c r="AS38" s="225">
        <f ca="1">AS17-SUM(AS18:AS37)</f>
        <v>0</v>
      </c>
      <c r="AT38" s="225">
        <f ca="1">AT17-SUM(AT18:AT37)</f>
        <v>0</v>
      </c>
      <c r="AU38" s="216">
        <f t="shared" ca="1" si="13"/>
        <v>0</v>
      </c>
      <c r="AV38" s="216">
        <f t="shared" ca="1" si="14"/>
        <v>0</v>
      </c>
      <c r="AW38" s="223"/>
      <c r="AX38" s="227">
        <f ca="1">AX17-SUM(AX18:AX37)</f>
        <v>0</v>
      </c>
      <c r="AY38" s="225">
        <f ca="1">AY17-SUM(AY18:AY37)</f>
        <v>0</v>
      </c>
      <c r="AZ38" s="225">
        <f ca="1">AZ17-SUM(AZ18:AZ37)</f>
        <v>0</v>
      </c>
      <c r="BA38" s="216">
        <f t="shared" ca="1" si="15"/>
        <v>0</v>
      </c>
      <c r="BB38" s="216">
        <f t="shared" ca="1" si="16"/>
        <v>0</v>
      </c>
      <c r="BC38" s="223"/>
      <c r="BD38" s="231" t="str">
        <f t="shared" ca="1" si="20"/>
        <v>-</v>
      </c>
      <c r="BE38" s="232" t="str">
        <f t="shared" ca="1" si="18"/>
        <v>-</v>
      </c>
      <c r="BF38" s="232" t="str">
        <f t="shared" ca="1" si="19"/>
        <v>-</v>
      </c>
    </row>
    <row r="39" spans="1:58" s="208" customFormat="1" ht="12.75">
      <c r="A39" s="229"/>
      <c r="B39" s="229"/>
      <c r="C39" s="220"/>
      <c r="D39" s="220"/>
      <c r="E39" s="220"/>
      <c r="F39" s="220"/>
      <c r="G39" s="229"/>
      <c r="H39" s="229"/>
      <c r="I39" s="229"/>
      <c r="J39" s="230"/>
      <c r="K39" s="230"/>
      <c r="L39" s="220"/>
      <c r="M39" s="229"/>
      <c r="N39" s="229"/>
      <c r="O39" s="229"/>
      <c r="P39" s="230"/>
      <c r="Q39" s="230"/>
      <c r="R39" s="220"/>
      <c r="S39" s="229"/>
      <c r="T39" s="229"/>
      <c r="U39" s="229"/>
      <c r="V39" s="230"/>
      <c r="W39" s="230"/>
      <c r="X39" s="220"/>
      <c r="Y39" s="229"/>
      <c r="Z39" s="229"/>
      <c r="AA39" s="229"/>
      <c r="AB39" s="230"/>
      <c r="AC39" s="230"/>
      <c r="AD39" s="220"/>
      <c r="AE39" s="229"/>
      <c r="AF39" s="229"/>
      <c r="AG39" s="229"/>
      <c r="AH39" s="230"/>
      <c r="AI39" s="230"/>
      <c r="AJ39" s="230"/>
      <c r="AK39" s="220"/>
      <c r="AL39" s="229"/>
      <c r="AM39" s="229"/>
      <c r="AN39" s="229"/>
      <c r="AO39" s="230"/>
      <c r="AP39" s="230"/>
      <c r="AQ39" s="220"/>
      <c r="AR39" s="229"/>
      <c r="AS39" s="229"/>
      <c r="AT39" s="229"/>
      <c r="AU39" s="230"/>
      <c r="AV39" s="230"/>
      <c r="AW39" s="220"/>
      <c r="AX39" s="229"/>
      <c r="AY39" s="229"/>
      <c r="AZ39" s="229"/>
      <c r="BA39" s="230"/>
      <c r="BB39" s="230"/>
      <c r="BC39" s="220"/>
      <c r="BD39" s="229"/>
      <c r="BE39" s="229"/>
      <c r="BF39" s="229"/>
    </row>
  </sheetData>
  <mergeCells count="29">
    <mergeCell ref="C1:BF1"/>
    <mergeCell ref="G12:K13"/>
    <mergeCell ref="AR12:AV13"/>
    <mergeCell ref="AX12:BB13"/>
    <mergeCell ref="M12:AP12"/>
    <mergeCell ref="AE13:AJ13"/>
    <mergeCell ref="AL13:AP13"/>
    <mergeCell ref="Y13:AC13"/>
    <mergeCell ref="M13:Q13"/>
    <mergeCell ref="S13:W13"/>
    <mergeCell ref="BD12:BF13"/>
    <mergeCell ref="BA14:BA15"/>
    <mergeCell ref="BB14:BB15"/>
    <mergeCell ref="AI14:AI15"/>
    <mergeCell ref="AJ14:AJ15"/>
    <mergeCell ref="AO14:AO15"/>
    <mergeCell ref="AP14:AP15"/>
    <mergeCell ref="P14:P15"/>
    <mergeCell ref="Q14:Q15"/>
    <mergeCell ref="D14:E14"/>
    <mergeCell ref="AU14:AU15"/>
    <mergeCell ref="AV14:AV15"/>
    <mergeCell ref="V14:V15"/>
    <mergeCell ref="W14:W15"/>
    <mergeCell ref="AH14:AH15"/>
    <mergeCell ref="AB14:AB15"/>
    <mergeCell ref="AC14:AC15"/>
    <mergeCell ref="J14:J15"/>
    <mergeCell ref="K14:K15"/>
  </mergeCells>
  <pageMargins left="0.19685039370078741" right="0.19685039370078741" top="0.59055118110236227" bottom="0.59055118110236227" header="0.31496062992125984" footer="0.31496062992125984"/>
  <pageSetup paperSize="9" scale="70" orientation="landscape" r:id="rId1"/>
  <headerFooter alignWithMargins="0">
    <oddFooter>&amp;L&amp;Z
&amp;F&amp;C&amp;A&amp;R&amp;D&amp;T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22"/>
  <sheetViews>
    <sheetView topLeftCell="B10" workbookViewId="0">
      <selection activeCell="B22" sqref="B22:B1048576"/>
    </sheetView>
  </sheetViews>
  <sheetFormatPr baseColWidth="10" defaultRowHeight="15"/>
  <cols>
    <col min="1" max="1" width="20.140625" style="170" hidden="1" customWidth="1"/>
    <col min="2" max="2" width="25.42578125" style="170" bestFit="1" customWidth="1"/>
    <col min="3" max="3" width="50.42578125" style="170" bestFit="1" customWidth="1"/>
    <col min="4" max="16384" width="11.42578125" style="170"/>
  </cols>
  <sheetData>
    <row r="1" spans="1:6" hidden="1">
      <c r="A1" s="170" t="s">
        <v>18</v>
      </c>
    </row>
    <row r="2" spans="1:6" hidden="1">
      <c r="A2" s="170">
        <f>0</f>
        <v>0</v>
      </c>
      <c r="B2" s="171"/>
      <c r="C2" s="172"/>
    </row>
    <row r="3" spans="1:6" hidden="1">
      <c r="A3" s="170">
        <f>1</f>
        <v>1</v>
      </c>
      <c r="B3" s="173"/>
      <c r="C3" s="174"/>
    </row>
    <row r="4" spans="1:6" hidden="1">
      <c r="A4" s="170">
        <f>2</f>
        <v>2</v>
      </c>
      <c r="B4" s="173"/>
      <c r="C4" s="174"/>
    </row>
    <row r="5" spans="1:6" hidden="1">
      <c r="A5" s="170">
        <f>3</f>
        <v>3</v>
      </c>
      <c r="B5" s="173"/>
      <c r="C5" s="174"/>
    </row>
    <row r="6" spans="1:6" hidden="1">
      <c r="A6" s="170" t="s">
        <v>19</v>
      </c>
      <c r="B6" s="173"/>
      <c r="C6" s="174"/>
    </row>
    <row r="7" spans="1:6" hidden="1">
      <c r="A7" s="170" t="s">
        <v>20</v>
      </c>
      <c r="C7" s="175"/>
    </row>
    <row r="8" spans="1:6" hidden="1">
      <c r="A8" s="170" t="s">
        <v>21</v>
      </c>
    </row>
    <row r="9" spans="1:6" hidden="1">
      <c r="B9" s="170" t="str">
        <f ca="1">_xll.TM1RPTVIEW("tango_core_model:RP_PL:1", 1, _xll.TM1RPTTITLE("tango_core_model:Activity",$C$16), _xll.TM1RPTTITLE("tango_core_model:Currency",$C$12), _xll.TM1RPTTITLE("tango_core_model:Gaap",$C$13), _xll.TM1RPTTITLE("tango_core_model:Integration_Rate",$C$14), _xll.TM1RPTTITLE("tango_core_model:Legal_Organization",$C$15),TM1RPTFMTRNG,TM1RPTFMTIDCOL)</f>
        <v>tango_core_model:RP_PL:1</v>
      </c>
    </row>
    <row r="10" spans="1:6">
      <c r="E10" s="182" t="s">
        <v>120</v>
      </c>
    </row>
    <row r="11" spans="1:6">
      <c r="C11" s="179" t="str">
        <f ca="1">_xll.TM1RPTFILTER($B$9,E11,"TOPCOUNT",F15,"desc")</f>
        <v>1</v>
      </c>
      <c r="E11" s="183" t="str">
        <f ca="1">"[Indicator].["&amp;F12&amp;"],[Period].["&amp;F13&amp;"],[Phase].["&amp;F14&amp;"]"</f>
        <v>[Indicator].[TPL10_dest_nosub],[Period].[2019.02_YTD],[Phase].[ACT_TOT]</v>
      </c>
    </row>
    <row r="12" spans="1:6" ht="15.75">
      <c r="B12" s="176" t="s">
        <v>25</v>
      </c>
      <c r="C12" s="170" t="str">
        <f ca="1">_xll.SUBNM("tango_core_model:Currency","","MEUR")</f>
        <v>MEUR</v>
      </c>
      <c r="E12" s="180" t="s">
        <v>115</v>
      </c>
      <c r="F12" s="141" t="str">
        <f>Contracts!G6</f>
        <v>TPL10_dest_nosub</v>
      </c>
    </row>
    <row r="13" spans="1:6" ht="15.75">
      <c r="B13" s="176" t="s">
        <v>22</v>
      </c>
      <c r="C13" s="170" t="str">
        <f ca="1">Gaap</f>
        <v>Local Gaap Management tool</v>
      </c>
      <c r="E13" s="180" t="s">
        <v>58</v>
      </c>
      <c r="F13" s="141" t="str">
        <f ca="1">Context!E16</f>
        <v>2019.02_YTD</v>
      </c>
    </row>
    <row r="14" spans="1:6" ht="15.75">
      <c r="B14" s="176" t="s">
        <v>23</v>
      </c>
      <c r="C14" s="170" t="str">
        <f ca="1">_xll.SUBNM("tango_core_model:Integration_Rate","","APP")</f>
        <v>APP</v>
      </c>
      <c r="E14" s="180" t="s">
        <v>33</v>
      </c>
      <c r="F14" s="141" t="str">
        <f>Context!E17</f>
        <v>ACT_TOT</v>
      </c>
    </row>
    <row r="15" spans="1:6" ht="15.75">
      <c r="B15" s="176" t="s">
        <v>26</v>
      </c>
      <c r="C15" s="170" t="str">
        <f ca="1">Country</f>
        <v>NA</v>
      </c>
      <c r="E15" s="180" t="s">
        <v>122</v>
      </c>
      <c r="F15" s="141">
        <v>20</v>
      </c>
    </row>
    <row r="16" spans="1:6">
      <c r="B16" s="176" t="s">
        <v>24</v>
      </c>
      <c r="C16" s="180" t="s">
        <v>121</v>
      </c>
    </row>
    <row r="17" spans="1:6">
      <c r="E17" s="180"/>
      <c r="F17" s="181"/>
    </row>
    <row r="18" spans="1:6">
      <c r="F18" s="181"/>
    </row>
    <row r="19" spans="1:6">
      <c r="C19" s="177" t="str">
        <f ca="1">_xll.DBRA("tango_core_model:Indicator",F12,Language)</f>
        <v>REVENUE FROM ORDINARY ACTIVITIES (ROA) net of subcontracted transport and reinvoicing</v>
      </c>
    </row>
    <row r="20" spans="1:6">
      <c r="C20" s="177" t="str">
        <f ca="1">F13</f>
        <v>2019.02_YTD</v>
      </c>
    </row>
    <row r="21" spans="1:6">
      <c r="B21" s="180" t="s">
        <v>123</v>
      </c>
      <c r="C21" s="177" t="str">
        <f>F14</f>
        <v>ACT_TOT</v>
      </c>
    </row>
    <row r="22" spans="1:6">
      <c r="A22" s="170" t="str">
        <f ca="1">IF(_xll.TM1RPTELISCONSOLIDATED($B$22,$B22),IF(_xll.TM1RPTELLEV($B$22,$B22)&lt;=3,_xll.TM1RPTELLEV($B$22,$B22),"D"),"N")</f>
        <v>N</v>
      </c>
      <c r="B22" s="178" t="str">
        <f ca="1">_xll.TM1RPTROW($B$9,"tango_core_model:Management_Organization","L0",,,0,E10,0)</f>
        <v/>
      </c>
      <c r="C22" s="175" t="str">
        <f ca="1">_xll.DBRW($B$9,$C$16,$C$12,$C$13,$C$14,$C$15,$B22,C$20,C$21,C$19)</f>
        <v/>
      </c>
    </row>
  </sheetData>
  <dataValidations count="1">
    <dataValidation type="list" allowBlank="1" showInputMessage="1" showErrorMessage="1" sqref="F14">
      <formula1>"ACT_TOT,BUDG_VC_TOT,FC_1_VC_TOT,FC_2_VC_TOT"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3"/>
  <sheetViews>
    <sheetView workbookViewId="0"/>
  </sheetViews>
  <sheetFormatPr baseColWidth="10" defaultRowHeight="12.75"/>
  <sheetData>
    <row r="1" spans="1:1">
      <c r="A1" t="s">
        <v>142</v>
      </c>
    </row>
    <row r="2" spans="1:1">
      <c r="A2" t="s">
        <v>143</v>
      </c>
    </row>
    <row r="3" spans="1:1">
      <c r="A3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16</vt:i4>
      </vt:variant>
    </vt:vector>
  </HeadingPairs>
  <TitlesOfParts>
    <vt:vector size="21" baseType="lpstr">
      <vt:lpstr>Context</vt:lpstr>
      <vt:lpstr>Country</vt:lpstr>
      <vt:lpstr>Contracts</vt:lpstr>
      <vt:lpstr>active form contrat</vt:lpstr>
      <vt:lpstr>{PL}PickLst</vt:lpstr>
      <vt:lpstr>Activity_1</vt:lpstr>
      <vt:lpstr>Activity_2</vt:lpstr>
      <vt:lpstr>Activity_3</vt:lpstr>
      <vt:lpstr>Actual_Month</vt:lpstr>
      <vt:lpstr>Country</vt:lpstr>
      <vt:lpstr>Cube</vt:lpstr>
      <vt:lpstr>Devise</vt:lpstr>
      <vt:lpstr>Gaap</vt:lpstr>
      <vt:lpstr>Integration_Rate</vt:lpstr>
      <vt:lpstr>Language</vt:lpstr>
      <vt:lpstr>Local_Gaap_Mgmt_tool</vt:lpstr>
      <vt:lpstr>Management_Organization</vt:lpstr>
      <vt:lpstr>PriorYear</vt:lpstr>
      <vt:lpstr>'active form contrat'!TM1RPTDATARNG1</vt:lpstr>
      <vt:lpstr>'active form contrat'!TM1RPTFMTIDCOL</vt:lpstr>
      <vt:lpstr>'active form contrat'!TM1RPTFMTRNG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Fabienne.CAUSSIDOU@transdev.com</dc:creator>
  <cp:lastModifiedBy>NICOLLET, Marie</cp:lastModifiedBy>
  <cp:lastPrinted>2016-04-07T08:56:12Z</cp:lastPrinted>
  <dcterms:created xsi:type="dcterms:W3CDTF">2011-12-22T14:31:53Z</dcterms:created>
  <dcterms:modified xsi:type="dcterms:W3CDTF">2019-03-26T09:15:37Z</dcterms:modified>
</cp:coreProperties>
</file>