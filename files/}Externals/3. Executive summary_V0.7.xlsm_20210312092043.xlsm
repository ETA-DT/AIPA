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18105" windowHeight="9540" tabRatio="745"/>
  </bookViews>
  <sheets>
    <sheet name="Context" sheetId="61" r:id="rId1"/>
    <sheet name="BDD" sheetId="60" state="hidden" r:id="rId2"/>
    <sheet name="Summary" sheetId="52" r:id="rId3"/>
  </sheets>
  <definedNames>
    <definedName name="_Order1" hidden="1">255</definedName>
    <definedName name="_Order2" hidden="1">255</definedName>
    <definedName name="Activity">BDD!#REF!</definedName>
    <definedName name="Année">Context!$E$8</definedName>
    <definedName name="Colonnes">BDD!$G$2:$L$2</definedName>
    <definedName name="Correspondance_Liste_Phase">BDD!$G$3:$H$10</definedName>
    <definedName name="Cube">BDD!#REF!</definedName>
    <definedName name="Currency">BDD!#REF!</definedName>
    <definedName name="Devise">Context!$E$16</definedName>
    <definedName name="Integration_Rate">BDD!#REF!</definedName>
    <definedName name="language">Context!$E$18</definedName>
    <definedName name="Lignes">BDD!$G$2:$G$10</definedName>
    <definedName name="Liste_Devises">BDD!$A$3:$A$26</definedName>
    <definedName name="Liste_Indicateurs">BDD!#REF!</definedName>
    <definedName name="Liste_Phases">BDD!$G$3:$G$10</definedName>
    <definedName name="Matrice_Choix">BDD!$G$2:$L$10</definedName>
    <definedName name="Mois">Context!$E$10</definedName>
    <definedName name="Pays">Context!$E$12</definedName>
    <definedName name="Période">BDD!$D$3</definedName>
    <definedName name="Période_titre">BDD!$D$8</definedName>
    <definedName name="PériodePM">BDD!$D$4</definedName>
    <definedName name="PériodePY">BDD!$D$5</definedName>
    <definedName name="PériodePYPM">BDD!$D$6</definedName>
    <definedName name="Print_Area" localSheetId="0">Context!$A$5:$F$23</definedName>
    <definedName name="Print_Area" localSheetId="2">Summary!$C$15:$AK$72</definedName>
    <definedName name="Server">Context!#REF!</definedName>
    <definedName name="TM1REBUILDOPTION">0</definedName>
    <definedName name="Version">Context!$E$20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E5" i="52" l="1"/>
  <c r="E3" i="52"/>
  <c r="E12" i="61"/>
  <c r="D8" i="60"/>
  <c r="E1" i="52"/>
  <c r="E2" i="52"/>
  <c r="E4" i="52"/>
  <c r="E6" i="52"/>
  <c r="E7" i="52"/>
  <c r="S18" i="52"/>
  <c r="D4" i="60"/>
  <c r="I4" i="60"/>
  <c r="J4" i="60"/>
  <c r="S21" i="52"/>
  <c r="S20" i="52"/>
  <c r="S23" i="52"/>
  <c r="S71" i="52"/>
  <c r="S72" i="52"/>
  <c r="K7" i="60"/>
  <c r="L7" i="60"/>
  <c r="AB21" i="52"/>
  <c r="H7" i="60"/>
  <c r="AB20" i="52"/>
  <c r="AB23" i="52"/>
  <c r="AB72" i="52"/>
  <c r="K10" i="60"/>
  <c r="L10" i="60"/>
  <c r="AF21" i="52"/>
  <c r="H10" i="60"/>
  <c r="AF20" i="52"/>
  <c r="AF23" i="52"/>
  <c r="AF72" i="52"/>
  <c r="AK72" i="52"/>
  <c r="K4" i="60"/>
  <c r="L4" i="60"/>
  <c r="AE21" i="52"/>
  <c r="AE20" i="52"/>
  <c r="AE23" i="52"/>
  <c r="AE72" i="52"/>
  <c r="AJ72" i="52"/>
  <c r="K9" i="60"/>
  <c r="L9" i="60"/>
  <c r="AD21" i="52"/>
  <c r="H9" i="60"/>
  <c r="AD20" i="52"/>
  <c r="AD23" i="52"/>
  <c r="AD72" i="52"/>
  <c r="AI72" i="52"/>
  <c r="K8" i="60"/>
  <c r="L8" i="60"/>
  <c r="AC21" i="52"/>
  <c r="H8" i="60"/>
  <c r="AC20" i="52"/>
  <c r="AC23" i="52"/>
  <c r="AC72" i="52"/>
  <c r="AH72" i="52"/>
  <c r="AB71" i="52"/>
  <c r="AF71" i="52"/>
  <c r="AK71" i="52"/>
  <c r="AE71" i="52"/>
  <c r="AJ71" i="52"/>
  <c r="AD71" i="52"/>
  <c r="AI71" i="52"/>
  <c r="AC71" i="52"/>
  <c r="AH71" i="52"/>
  <c r="AB67" i="52"/>
  <c r="AF67" i="52"/>
  <c r="AK67" i="52"/>
  <c r="AE67" i="52"/>
  <c r="AJ67" i="52"/>
  <c r="AD67" i="52"/>
  <c r="AI67" i="52"/>
  <c r="AC67" i="52"/>
  <c r="AH67" i="52"/>
  <c r="AB66" i="52"/>
  <c r="AF66" i="52"/>
  <c r="AK66" i="52"/>
  <c r="AE66" i="52"/>
  <c r="AJ66" i="52"/>
  <c r="AD66" i="52"/>
  <c r="AI66" i="52"/>
  <c r="AC66" i="52"/>
  <c r="AH66" i="52"/>
  <c r="AB65" i="52"/>
  <c r="AF65" i="52"/>
  <c r="AK65" i="52"/>
  <c r="AE65" i="52"/>
  <c r="AJ65" i="52"/>
  <c r="AD65" i="52"/>
  <c r="AI65" i="52"/>
  <c r="AC65" i="52"/>
  <c r="AH65" i="52"/>
  <c r="AB64" i="52"/>
  <c r="AF64" i="52"/>
  <c r="AK64" i="52"/>
  <c r="AE64" i="52"/>
  <c r="AJ64" i="52"/>
  <c r="AD64" i="52"/>
  <c r="AI64" i="52"/>
  <c r="AC64" i="52"/>
  <c r="AH64" i="52"/>
  <c r="AB63" i="52"/>
  <c r="AF63" i="52"/>
  <c r="AK63" i="52"/>
  <c r="AE63" i="52"/>
  <c r="AJ63" i="52"/>
  <c r="AD63" i="52"/>
  <c r="AI63" i="52"/>
  <c r="AC63" i="52"/>
  <c r="AH63" i="52"/>
  <c r="AB62" i="52"/>
  <c r="AF62" i="52"/>
  <c r="AK62" i="52"/>
  <c r="AE62" i="52"/>
  <c r="AJ62" i="52"/>
  <c r="AD62" i="52"/>
  <c r="AI62" i="52"/>
  <c r="AC62" i="52"/>
  <c r="AH62" i="52"/>
  <c r="AB61" i="52"/>
  <c r="AF61" i="52"/>
  <c r="AK61" i="52"/>
  <c r="AE61" i="52"/>
  <c r="AJ61" i="52"/>
  <c r="AD61" i="52"/>
  <c r="AI61" i="52"/>
  <c r="AC61" i="52"/>
  <c r="AH61" i="52"/>
  <c r="AB60" i="52"/>
  <c r="AF60" i="52"/>
  <c r="AK60" i="52"/>
  <c r="AE60" i="52"/>
  <c r="AJ60" i="52"/>
  <c r="AD60" i="52"/>
  <c r="AI60" i="52"/>
  <c r="AC60" i="52"/>
  <c r="AH60" i="52"/>
  <c r="AB59" i="52"/>
  <c r="AF59" i="52"/>
  <c r="AK59" i="52"/>
  <c r="AE59" i="52"/>
  <c r="AJ59" i="52"/>
  <c r="AD59" i="52"/>
  <c r="AI59" i="52"/>
  <c r="AC59" i="52"/>
  <c r="AH59" i="52"/>
  <c r="AB58" i="52"/>
  <c r="AF58" i="52"/>
  <c r="AK58" i="52"/>
  <c r="AE58" i="52"/>
  <c r="AJ58" i="52"/>
  <c r="AD58" i="52"/>
  <c r="AI58" i="52"/>
  <c r="AC58" i="52"/>
  <c r="AH58" i="52"/>
  <c r="AK57" i="52"/>
  <c r="AJ57" i="52"/>
  <c r="AI57" i="52"/>
  <c r="AH57" i="52"/>
  <c r="AB56" i="52"/>
  <c r="AF56" i="52"/>
  <c r="AK56" i="52"/>
  <c r="AE56" i="52"/>
  <c r="AJ56" i="52"/>
  <c r="AD56" i="52"/>
  <c r="AI56" i="52"/>
  <c r="AC56" i="52"/>
  <c r="AH56" i="52"/>
  <c r="AB55" i="52"/>
  <c r="AF55" i="52"/>
  <c r="AK55" i="52"/>
  <c r="AE55" i="52"/>
  <c r="AJ55" i="52"/>
  <c r="AD55" i="52"/>
  <c r="AI55" i="52"/>
  <c r="AC55" i="52"/>
  <c r="AH55" i="52"/>
  <c r="AB54" i="52"/>
  <c r="AF54" i="52"/>
  <c r="AK54" i="52"/>
  <c r="AE54" i="52"/>
  <c r="AJ54" i="52"/>
  <c r="AD54" i="52"/>
  <c r="AI54" i="52"/>
  <c r="AC54" i="52"/>
  <c r="AH54" i="52"/>
  <c r="AB52" i="52"/>
  <c r="AB51" i="52"/>
  <c r="AB53" i="52"/>
  <c r="AF52" i="52"/>
  <c r="AF51" i="52"/>
  <c r="AF53" i="52"/>
  <c r="AK53" i="52"/>
  <c r="AE52" i="52"/>
  <c r="AE51" i="52"/>
  <c r="AE53" i="52"/>
  <c r="AJ53" i="52"/>
  <c r="AD52" i="52"/>
  <c r="AD51" i="52"/>
  <c r="AD53" i="52"/>
  <c r="AI53" i="52"/>
  <c r="AC52" i="52"/>
  <c r="AC51" i="52"/>
  <c r="AC53" i="52"/>
  <c r="AH53" i="52"/>
  <c r="AK52" i="52"/>
  <c r="AJ52" i="52"/>
  <c r="AI52" i="52"/>
  <c r="AH52" i="52"/>
  <c r="AK51" i="52"/>
  <c r="AJ51" i="52"/>
  <c r="AI51" i="52"/>
  <c r="AH51" i="52"/>
  <c r="AB50" i="52"/>
  <c r="AF50" i="52"/>
  <c r="AK50" i="52"/>
  <c r="AE50" i="52"/>
  <c r="AJ50" i="52"/>
  <c r="AD50" i="52"/>
  <c r="AI50" i="52"/>
  <c r="AC50" i="52"/>
  <c r="AH50" i="52"/>
  <c r="AB49" i="52"/>
  <c r="AF49" i="52"/>
  <c r="AK49" i="52"/>
  <c r="AE49" i="52"/>
  <c r="AJ49" i="52"/>
  <c r="AD49" i="52"/>
  <c r="AI49" i="52"/>
  <c r="AC49" i="52"/>
  <c r="AH49" i="52"/>
  <c r="AB45" i="52"/>
  <c r="AF45" i="52"/>
  <c r="AK45" i="52"/>
  <c r="AE45" i="52"/>
  <c r="AJ45" i="52"/>
  <c r="AD45" i="52"/>
  <c r="AI45" i="52"/>
  <c r="AC45" i="52"/>
  <c r="AH45" i="52"/>
  <c r="AB44" i="52"/>
  <c r="AF44" i="52"/>
  <c r="AK44" i="52"/>
  <c r="AE44" i="52"/>
  <c r="AJ44" i="52"/>
  <c r="AD44" i="52"/>
  <c r="AI44" i="52"/>
  <c r="AC44" i="52"/>
  <c r="AH44" i="52"/>
  <c r="AB43" i="52"/>
  <c r="AF43" i="52"/>
  <c r="AK43" i="52"/>
  <c r="AE43" i="52"/>
  <c r="AJ43" i="52"/>
  <c r="AD43" i="52"/>
  <c r="AI43" i="52"/>
  <c r="AC43" i="52"/>
  <c r="AH43" i="52"/>
  <c r="AB42" i="52"/>
  <c r="AF42" i="52"/>
  <c r="AK42" i="52"/>
  <c r="AE42" i="52"/>
  <c r="AJ42" i="52"/>
  <c r="AD42" i="52"/>
  <c r="AI42" i="52"/>
  <c r="AC42" i="52"/>
  <c r="AH42" i="52"/>
  <c r="AB41" i="52"/>
  <c r="AF41" i="52"/>
  <c r="AK41" i="52"/>
  <c r="AE41" i="52"/>
  <c r="AJ41" i="52"/>
  <c r="AD41" i="52"/>
  <c r="AI41" i="52"/>
  <c r="AC41" i="52"/>
  <c r="AH41" i="52"/>
  <c r="AB40" i="52"/>
  <c r="AF40" i="52"/>
  <c r="AK40" i="52"/>
  <c r="AE40" i="52"/>
  <c r="AJ40" i="52"/>
  <c r="AD40" i="52"/>
  <c r="AI40" i="52"/>
  <c r="AC40" i="52"/>
  <c r="AH40" i="52"/>
  <c r="AB39" i="52"/>
  <c r="AF39" i="52"/>
  <c r="AK39" i="52"/>
  <c r="AE39" i="52"/>
  <c r="AJ39" i="52"/>
  <c r="AD39" i="52"/>
  <c r="AI39" i="52"/>
  <c r="AC39" i="52"/>
  <c r="AH39" i="52"/>
  <c r="AB34" i="52"/>
  <c r="AB38" i="52"/>
  <c r="AF34" i="52"/>
  <c r="AF38" i="52"/>
  <c r="AK38" i="52"/>
  <c r="AE34" i="52"/>
  <c r="AE38" i="52"/>
  <c r="AJ38" i="52"/>
  <c r="AD34" i="52"/>
  <c r="AD38" i="52"/>
  <c r="AI38" i="52"/>
  <c r="AC34" i="52"/>
  <c r="AC38" i="52"/>
  <c r="AH38" i="52"/>
  <c r="AK37" i="52"/>
  <c r="AJ37" i="52"/>
  <c r="AI37" i="52"/>
  <c r="AH37" i="52"/>
  <c r="AB36" i="52"/>
  <c r="AF36" i="52"/>
  <c r="AK36" i="52"/>
  <c r="AE36" i="52"/>
  <c r="AJ36" i="52"/>
  <c r="AD36" i="52"/>
  <c r="AI36" i="52"/>
  <c r="AC36" i="52"/>
  <c r="AH36" i="52"/>
  <c r="AB30" i="52"/>
  <c r="AB35" i="52"/>
  <c r="AF30" i="52"/>
  <c r="AF35" i="52"/>
  <c r="AK35" i="52"/>
  <c r="AE30" i="52"/>
  <c r="AE35" i="52"/>
  <c r="AJ35" i="52"/>
  <c r="AD30" i="52"/>
  <c r="AD35" i="52"/>
  <c r="AI35" i="52"/>
  <c r="AC30" i="52"/>
  <c r="AC35" i="52"/>
  <c r="AH35" i="52"/>
  <c r="AK34" i="52"/>
  <c r="AJ34" i="52"/>
  <c r="AI34" i="52"/>
  <c r="AH34" i="52"/>
  <c r="AB32" i="52"/>
  <c r="AB33" i="52"/>
  <c r="AF32" i="52"/>
  <c r="AF33" i="52"/>
  <c r="AK33" i="52"/>
  <c r="AE32" i="52"/>
  <c r="AE33" i="52"/>
  <c r="AJ33" i="52"/>
  <c r="AD32" i="52"/>
  <c r="AD33" i="52"/>
  <c r="AI33" i="52"/>
  <c r="AC32" i="52"/>
  <c r="AC33" i="52"/>
  <c r="AH33" i="52"/>
  <c r="AK32" i="52"/>
  <c r="AJ32" i="52"/>
  <c r="AI32" i="52"/>
  <c r="AH32" i="52"/>
  <c r="AB31" i="52"/>
  <c r="AF31" i="52"/>
  <c r="AK31" i="52"/>
  <c r="AE31" i="52"/>
  <c r="AJ31" i="52"/>
  <c r="AD31" i="52"/>
  <c r="AI31" i="52"/>
  <c r="AC31" i="52"/>
  <c r="AH31" i="52"/>
  <c r="O18" i="52"/>
  <c r="D3" i="60"/>
  <c r="I3" i="60"/>
  <c r="J3" i="60"/>
  <c r="O21" i="52"/>
  <c r="O20" i="52"/>
  <c r="O23" i="52"/>
  <c r="O67" i="52"/>
  <c r="S67" i="52"/>
  <c r="Z67" i="52"/>
  <c r="Y67" i="52"/>
  <c r="X67" i="52"/>
  <c r="W67" i="52"/>
  <c r="O66" i="52"/>
  <c r="S66" i="52"/>
  <c r="Z66" i="52"/>
  <c r="Y66" i="52"/>
  <c r="X66" i="52"/>
  <c r="W66" i="52"/>
  <c r="O65" i="52"/>
  <c r="S65" i="52"/>
  <c r="Z65" i="52"/>
  <c r="Y65" i="52"/>
  <c r="X65" i="52"/>
  <c r="W65" i="52"/>
  <c r="O64" i="52"/>
  <c r="S64" i="52"/>
  <c r="Z64" i="52"/>
  <c r="Y64" i="52"/>
  <c r="X64" i="52"/>
  <c r="W64" i="52"/>
  <c r="O63" i="52"/>
  <c r="S63" i="52"/>
  <c r="Z63" i="52"/>
  <c r="Y63" i="52"/>
  <c r="X63" i="52"/>
  <c r="W63" i="52"/>
  <c r="O62" i="52"/>
  <c r="S62" i="52"/>
  <c r="Z62" i="52"/>
  <c r="R18" i="52"/>
  <c r="I9" i="60"/>
  <c r="J9" i="60"/>
  <c r="R21" i="52"/>
  <c r="R20" i="52"/>
  <c r="R23" i="52"/>
  <c r="R62" i="52"/>
  <c r="Y62" i="52"/>
  <c r="Q18" i="52"/>
  <c r="I8" i="60"/>
  <c r="J8" i="60"/>
  <c r="Q21" i="52"/>
  <c r="Q20" i="52"/>
  <c r="Q23" i="52"/>
  <c r="Q62" i="52"/>
  <c r="X62" i="52"/>
  <c r="P18" i="52"/>
  <c r="I7" i="60"/>
  <c r="J7" i="60"/>
  <c r="P21" i="52"/>
  <c r="P20" i="52"/>
  <c r="P23" i="52"/>
  <c r="P62" i="52"/>
  <c r="W62" i="52"/>
  <c r="O61" i="52"/>
  <c r="S61" i="52"/>
  <c r="Z61" i="52"/>
  <c r="R61" i="52"/>
  <c r="Y61" i="52"/>
  <c r="Q61" i="52"/>
  <c r="X61" i="52"/>
  <c r="P61" i="52"/>
  <c r="W61" i="52"/>
  <c r="O60" i="52"/>
  <c r="S60" i="52"/>
  <c r="Z60" i="52"/>
  <c r="R60" i="52"/>
  <c r="Y60" i="52"/>
  <c r="Q60" i="52"/>
  <c r="X60" i="52"/>
  <c r="P60" i="52"/>
  <c r="W60" i="52"/>
  <c r="O59" i="52"/>
  <c r="S59" i="52"/>
  <c r="Z59" i="52"/>
  <c r="R59" i="52"/>
  <c r="Y59" i="52"/>
  <c r="Q59" i="52"/>
  <c r="X59" i="52"/>
  <c r="P59" i="52"/>
  <c r="W59" i="52"/>
  <c r="O58" i="52"/>
  <c r="S58" i="52"/>
  <c r="Z58" i="52"/>
  <c r="R58" i="52"/>
  <c r="Y58" i="52"/>
  <c r="Q58" i="52"/>
  <c r="X58" i="52"/>
  <c r="P58" i="52"/>
  <c r="W58" i="52"/>
  <c r="Z57" i="52"/>
  <c r="Y57" i="52"/>
  <c r="X57" i="52"/>
  <c r="W57" i="52"/>
  <c r="O56" i="52"/>
  <c r="S56" i="52"/>
  <c r="Z56" i="52"/>
  <c r="R56" i="52"/>
  <c r="Y56" i="52"/>
  <c r="Q56" i="52"/>
  <c r="X56" i="52"/>
  <c r="P56" i="52"/>
  <c r="W56" i="52"/>
  <c r="O55" i="52"/>
  <c r="S55" i="52"/>
  <c r="Z55" i="52"/>
  <c r="R55" i="52"/>
  <c r="Y55" i="52"/>
  <c r="Q55" i="52"/>
  <c r="X55" i="52"/>
  <c r="P55" i="52"/>
  <c r="W55" i="52"/>
  <c r="O54" i="52"/>
  <c r="S54" i="52"/>
  <c r="Z54" i="52"/>
  <c r="R54" i="52"/>
  <c r="Y54" i="52"/>
  <c r="Q54" i="52"/>
  <c r="X54" i="52"/>
  <c r="P54" i="52"/>
  <c r="W54" i="52"/>
  <c r="O52" i="52"/>
  <c r="O51" i="52"/>
  <c r="O53" i="52"/>
  <c r="S52" i="52"/>
  <c r="S51" i="52"/>
  <c r="S53" i="52"/>
  <c r="Z53" i="52"/>
  <c r="R52" i="52"/>
  <c r="R51" i="52"/>
  <c r="R53" i="52"/>
  <c r="Y53" i="52"/>
  <c r="Q52" i="52"/>
  <c r="Q51" i="52"/>
  <c r="Q53" i="52"/>
  <c r="X53" i="52"/>
  <c r="P52" i="52"/>
  <c r="P51" i="52"/>
  <c r="P53" i="52"/>
  <c r="W53" i="52"/>
  <c r="Z52" i="52"/>
  <c r="Y52" i="52"/>
  <c r="X52" i="52"/>
  <c r="W52" i="52"/>
  <c r="Z51" i="52"/>
  <c r="Y51" i="52"/>
  <c r="X51" i="52"/>
  <c r="W51" i="52"/>
  <c r="O50" i="52"/>
  <c r="S50" i="52"/>
  <c r="Z50" i="52"/>
  <c r="R50" i="52"/>
  <c r="Y50" i="52"/>
  <c r="Q50" i="52"/>
  <c r="X50" i="52"/>
  <c r="P50" i="52"/>
  <c r="W50" i="52"/>
  <c r="O49" i="52"/>
  <c r="S49" i="52"/>
  <c r="Z49" i="52"/>
  <c r="R49" i="52"/>
  <c r="Y49" i="52"/>
  <c r="Q49" i="52"/>
  <c r="X49" i="52"/>
  <c r="P49" i="52"/>
  <c r="W49" i="52"/>
  <c r="O45" i="52"/>
  <c r="S45" i="52"/>
  <c r="Z45" i="52"/>
  <c r="R45" i="52"/>
  <c r="Y45" i="52"/>
  <c r="Q45" i="52"/>
  <c r="X45" i="52"/>
  <c r="P45" i="52"/>
  <c r="W45" i="52"/>
  <c r="O44" i="52"/>
  <c r="S44" i="52"/>
  <c r="Z44" i="52"/>
  <c r="R44" i="52"/>
  <c r="Y44" i="52"/>
  <c r="Q44" i="52"/>
  <c r="X44" i="52"/>
  <c r="P44" i="52"/>
  <c r="W44" i="52"/>
  <c r="O43" i="52"/>
  <c r="S43" i="52"/>
  <c r="Z43" i="52"/>
  <c r="R43" i="52"/>
  <c r="Y43" i="52"/>
  <c r="Q43" i="52"/>
  <c r="X43" i="52"/>
  <c r="P43" i="52"/>
  <c r="W43" i="52"/>
  <c r="O42" i="52"/>
  <c r="S42" i="52"/>
  <c r="Z42" i="52"/>
  <c r="R42" i="52"/>
  <c r="Y42" i="52"/>
  <c r="Q42" i="52"/>
  <c r="X42" i="52"/>
  <c r="P42" i="52"/>
  <c r="W42" i="52"/>
  <c r="O41" i="52"/>
  <c r="S41" i="52"/>
  <c r="Z41" i="52"/>
  <c r="R41" i="52"/>
  <c r="Y41" i="52"/>
  <c r="Q41" i="52"/>
  <c r="X41" i="52"/>
  <c r="P41" i="52"/>
  <c r="W41" i="52"/>
  <c r="O40" i="52"/>
  <c r="S40" i="52"/>
  <c r="Z40" i="52"/>
  <c r="R40" i="52"/>
  <c r="Y40" i="52"/>
  <c r="Q40" i="52"/>
  <c r="X40" i="52"/>
  <c r="P40" i="52"/>
  <c r="W40" i="52"/>
  <c r="O39" i="52"/>
  <c r="S39" i="52"/>
  <c r="Z39" i="52"/>
  <c r="R39" i="52"/>
  <c r="Y39" i="52"/>
  <c r="Q39" i="52"/>
  <c r="X39" i="52"/>
  <c r="P39" i="52"/>
  <c r="W39" i="52"/>
  <c r="O34" i="52"/>
  <c r="O38" i="52"/>
  <c r="S34" i="52"/>
  <c r="S38" i="52"/>
  <c r="Z38" i="52"/>
  <c r="R34" i="52"/>
  <c r="R38" i="52"/>
  <c r="Y38" i="52"/>
  <c r="Q34" i="52"/>
  <c r="Q38" i="52"/>
  <c r="X38" i="52"/>
  <c r="P34" i="52"/>
  <c r="P38" i="52"/>
  <c r="W38" i="52"/>
  <c r="Z37" i="52"/>
  <c r="Y37" i="52"/>
  <c r="X37" i="52"/>
  <c r="W37" i="52"/>
  <c r="O36" i="52"/>
  <c r="S36" i="52"/>
  <c r="Z36" i="52"/>
  <c r="R36" i="52"/>
  <c r="Y36" i="52"/>
  <c r="Q36" i="52"/>
  <c r="X36" i="52"/>
  <c r="P36" i="52"/>
  <c r="W36" i="52"/>
  <c r="O30" i="52"/>
  <c r="O35" i="52"/>
  <c r="S30" i="52"/>
  <c r="S35" i="52"/>
  <c r="Z35" i="52"/>
  <c r="R30" i="52"/>
  <c r="R35" i="52"/>
  <c r="Y35" i="52"/>
  <c r="Q30" i="52"/>
  <c r="Q35" i="52"/>
  <c r="X35" i="52"/>
  <c r="P30" i="52"/>
  <c r="P35" i="52"/>
  <c r="W35" i="52"/>
  <c r="Z34" i="52"/>
  <c r="Y34" i="52"/>
  <c r="X34" i="52"/>
  <c r="W34" i="52"/>
  <c r="O32" i="52"/>
  <c r="O33" i="52"/>
  <c r="S32" i="52"/>
  <c r="S33" i="52"/>
  <c r="Z33" i="52"/>
  <c r="R32" i="52"/>
  <c r="R33" i="52"/>
  <c r="Y33" i="52"/>
  <c r="Q32" i="52"/>
  <c r="Q33" i="52"/>
  <c r="X33" i="52"/>
  <c r="P32" i="52"/>
  <c r="P33" i="52"/>
  <c r="W33" i="52"/>
  <c r="Z32" i="52"/>
  <c r="Y32" i="52"/>
  <c r="X32" i="52"/>
  <c r="W32" i="52"/>
  <c r="O31" i="52"/>
  <c r="S31" i="52"/>
  <c r="Z31" i="52"/>
  <c r="R31" i="52"/>
  <c r="Y31" i="52"/>
  <c r="Q31" i="52"/>
  <c r="X31" i="52"/>
  <c r="P31" i="52"/>
  <c r="W31" i="52"/>
  <c r="Z30" i="52"/>
  <c r="Y30" i="52"/>
  <c r="X30" i="52"/>
  <c r="AH30" i="52"/>
  <c r="AI30" i="52"/>
  <c r="AJ30" i="52"/>
  <c r="AK30" i="52"/>
  <c r="W30" i="52"/>
  <c r="C15" i="52"/>
  <c r="C64" i="52"/>
  <c r="C58" i="52"/>
  <c r="C53" i="52"/>
  <c r="D6" i="60"/>
  <c r="I6" i="60"/>
  <c r="J6" i="60"/>
  <c r="U21" i="52"/>
  <c r="U20" i="52"/>
  <c r="U23" i="52"/>
  <c r="U56" i="52"/>
  <c r="D5" i="60"/>
  <c r="I5" i="60"/>
  <c r="J5" i="60"/>
  <c r="T21" i="52"/>
  <c r="T20" i="52"/>
  <c r="T23" i="52"/>
  <c r="T56" i="52"/>
  <c r="E56" i="52"/>
  <c r="I56" i="52"/>
  <c r="M56" i="52"/>
  <c r="H21" i="52"/>
  <c r="H20" i="52"/>
  <c r="H23" i="52"/>
  <c r="H56" i="52"/>
  <c r="L56" i="52"/>
  <c r="G21" i="52"/>
  <c r="G20" i="52"/>
  <c r="G23" i="52"/>
  <c r="G56" i="52"/>
  <c r="K56" i="52"/>
  <c r="F21" i="52"/>
  <c r="F20" i="52"/>
  <c r="F23" i="52"/>
  <c r="F56" i="52"/>
  <c r="J56" i="52"/>
  <c r="C56" i="52"/>
  <c r="U55" i="52"/>
  <c r="T55" i="52"/>
  <c r="E55" i="52"/>
  <c r="I55" i="52"/>
  <c r="M55" i="52"/>
  <c r="H55" i="52"/>
  <c r="L55" i="52"/>
  <c r="G55" i="52"/>
  <c r="K55" i="52"/>
  <c r="F55" i="52"/>
  <c r="J55" i="52"/>
  <c r="C55" i="52"/>
  <c r="U54" i="52"/>
  <c r="T54" i="52"/>
  <c r="E54" i="52"/>
  <c r="I54" i="52"/>
  <c r="M54" i="52"/>
  <c r="H54" i="52"/>
  <c r="L54" i="52"/>
  <c r="G54" i="52"/>
  <c r="K54" i="52"/>
  <c r="F54" i="52"/>
  <c r="J54" i="52"/>
  <c r="C54" i="52"/>
  <c r="U52" i="52"/>
  <c r="T52" i="52"/>
  <c r="E52" i="52"/>
  <c r="I52" i="52"/>
  <c r="M52" i="52"/>
  <c r="H52" i="52"/>
  <c r="L52" i="52"/>
  <c r="G52" i="52"/>
  <c r="K52" i="52"/>
  <c r="F52" i="52"/>
  <c r="J52" i="52"/>
  <c r="C52" i="52"/>
  <c r="U51" i="52"/>
  <c r="T51" i="52"/>
  <c r="E51" i="52"/>
  <c r="I51" i="52"/>
  <c r="M51" i="52"/>
  <c r="H51" i="52"/>
  <c r="L51" i="52"/>
  <c r="G51" i="52"/>
  <c r="K51" i="52"/>
  <c r="F51" i="52"/>
  <c r="J51" i="52"/>
  <c r="C51" i="52"/>
  <c r="U50" i="52"/>
  <c r="T50" i="52"/>
  <c r="E50" i="52"/>
  <c r="I50" i="52"/>
  <c r="M50" i="52"/>
  <c r="H50" i="52"/>
  <c r="L50" i="52"/>
  <c r="G50" i="52"/>
  <c r="K50" i="52"/>
  <c r="F50" i="52"/>
  <c r="J50" i="52"/>
  <c r="C50" i="52"/>
  <c r="U49" i="52"/>
  <c r="T49" i="52"/>
  <c r="E49" i="52"/>
  <c r="I49" i="52"/>
  <c r="M49" i="52"/>
  <c r="H49" i="52"/>
  <c r="L49" i="52"/>
  <c r="G49" i="52"/>
  <c r="K49" i="52"/>
  <c r="F49" i="52"/>
  <c r="J49" i="52"/>
  <c r="C49" i="52"/>
  <c r="U45" i="52"/>
  <c r="T45" i="52"/>
  <c r="E45" i="52"/>
  <c r="I45" i="52"/>
  <c r="M45" i="52"/>
  <c r="H45" i="52"/>
  <c r="L45" i="52"/>
  <c r="G45" i="52"/>
  <c r="K45" i="52"/>
  <c r="F45" i="52"/>
  <c r="J45" i="52"/>
  <c r="C45" i="52"/>
  <c r="U44" i="52"/>
  <c r="T44" i="52"/>
  <c r="E44" i="52"/>
  <c r="I44" i="52"/>
  <c r="M44" i="52"/>
  <c r="H44" i="52"/>
  <c r="L44" i="52"/>
  <c r="G44" i="52"/>
  <c r="K44" i="52"/>
  <c r="F44" i="52"/>
  <c r="J44" i="52"/>
  <c r="C44" i="52"/>
  <c r="U43" i="52"/>
  <c r="T43" i="52"/>
  <c r="E43" i="52"/>
  <c r="I43" i="52"/>
  <c r="M43" i="52"/>
  <c r="H43" i="52"/>
  <c r="L43" i="52"/>
  <c r="G43" i="52"/>
  <c r="K43" i="52"/>
  <c r="F43" i="52"/>
  <c r="J43" i="52"/>
  <c r="C43" i="52"/>
  <c r="U42" i="52"/>
  <c r="T42" i="52"/>
  <c r="E42" i="52"/>
  <c r="I42" i="52"/>
  <c r="M42" i="52"/>
  <c r="H42" i="52"/>
  <c r="L42" i="52"/>
  <c r="G42" i="52"/>
  <c r="K42" i="52"/>
  <c r="F42" i="52"/>
  <c r="J42" i="52"/>
  <c r="C42" i="52"/>
  <c r="U41" i="52"/>
  <c r="T41" i="52"/>
  <c r="E41" i="52"/>
  <c r="I41" i="52"/>
  <c r="M41" i="52"/>
  <c r="H41" i="52"/>
  <c r="L41" i="52"/>
  <c r="G41" i="52"/>
  <c r="K41" i="52"/>
  <c r="F41" i="52"/>
  <c r="J41" i="52"/>
  <c r="C41" i="52"/>
  <c r="U40" i="52"/>
  <c r="T40" i="52"/>
  <c r="E40" i="52"/>
  <c r="I40" i="52"/>
  <c r="M40" i="52"/>
  <c r="H40" i="52"/>
  <c r="L40" i="52"/>
  <c r="G40" i="52"/>
  <c r="K40" i="52"/>
  <c r="F40" i="52"/>
  <c r="J40" i="52"/>
  <c r="C40" i="52"/>
  <c r="U39" i="52"/>
  <c r="T39" i="52"/>
  <c r="E39" i="52"/>
  <c r="I39" i="52"/>
  <c r="M39" i="52"/>
  <c r="H39" i="52"/>
  <c r="L39" i="52"/>
  <c r="G39" i="52"/>
  <c r="K39" i="52"/>
  <c r="F39" i="52"/>
  <c r="J39" i="52"/>
  <c r="C39" i="52"/>
  <c r="U34" i="52"/>
  <c r="T34" i="52"/>
  <c r="E34" i="52"/>
  <c r="I34" i="52"/>
  <c r="M34" i="52"/>
  <c r="H34" i="52"/>
  <c r="L34" i="52"/>
  <c r="G34" i="52"/>
  <c r="K34" i="52"/>
  <c r="F34" i="52"/>
  <c r="J34" i="52"/>
  <c r="C34" i="52"/>
  <c r="U32" i="52"/>
  <c r="T32" i="52"/>
  <c r="E32" i="52"/>
  <c r="I32" i="52"/>
  <c r="M32" i="52"/>
  <c r="H32" i="52"/>
  <c r="L32" i="52"/>
  <c r="G32" i="52"/>
  <c r="K32" i="52"/>
  <c r="F32" i="52"/>
  <c r="J32" i="52"/>
  <c r="C32" i="52"/>
  <c r="U31" i="52"/>
  <c r="T31" i="52"/>
  <c r="E31" i="52"/>
  <c r="I31" i="52"/>
  <c r="M31" i="52"/>
  <c r="H31" i="52"/>
  <c r="L31" i="52"/>
  <c r="G31" i="52"/>
  <c r="K31" i="52"/>
  <c r="F31" i="52"/>
  <c r="J31" i="52"/>
  <c r="C31" i="52"/>
  <c r="U65" i="52"/>
  <c r="U66" i="52"/>
  <c r="U64" i="52"/>
  <c r="T65" i="52"/>
  <c r="T66" i="52"/>
  <c r="T64" i="52"/>
  <c r="E65" i="52"/>
  <c r="I65" i="52"/>
  <c r="M65" i="52"/>
  <c r="E66" i="52"/>
  <c r="I66" i="52"/>
  <c r="M66" i="52"/>
  <c r="M64" i="52"/>
  <c r="L65" i="52"/>
  <c r="L66" i="52"/>
  <c r="L64" i="52"/>
  <c r="K65" i="52"/>
  <c r="K66" i="52"/>
  <c r="K64" i="52"/>
  <c r="J65" i="52"/>
  <c r="J66" i="52"/>
  <c r="J64" i="52"/>
  <c r="I64" i="52"/>
  <c r="E64" i="52"/>
  <c r="U59" i="52"/>
  <c r="U60" i="52"/>
  <c r="U58" i="52"/>
  <c r="T59" i="52"/>
  <c r="T60" i="52"/>
  <c r="T58" i="52"/>
  <c r="E59" i="52"/>
  <c r="I59" i="52"/>
  <c r="M59" i="52"/>
  <c r="E60" i="52"/>
  <c r="I60" i="52"/>
  <c r="M60" i="52"/>
  <c r="M58" i="52"/>
  <c r="H59" i="52"/>
  <c r="L59" i="52"/>
  <c r="H60" i="52"/>
  <c r="L60" i="52"/>
  <c r="L58" i="52"/>
  <c r="G59" i="52"/>
  <c r="K59" i="52"/>
  <c r="G60" i="52"/>
  <c r="K60" i="52"/>
  <c r="K58" i="52"/>
  <c r="F59" i="52"/>
  <c r="J59" i="52"/>
  <c r="F60" i="52"/>
  <c r="J60" i="52"/>
  <c r="J58" i="52"/>
  <c r="I58" i="52"/>
  <c r="H58" i="52"/>
  <c r="G58" i="52"/>
  <c r="E58" i="52"/>
  <c r="I21" i="52"/>
  <c r="I20" i="52"/>
  <c r="E21" i="52"/>
  <c r="E20" i="52"/>
  <c r="U53" i="52"/>
  <c r="T53" i="52"/>
  <c r="M53" i="52"/>
  <c r="L53" i="52"/>
  <c r="K53" i="52"/>
  <c r="J53" i="52"/>
  <c r="I53" i="52"/>
  <c r="H53" i="52"/>
  <c r="G53" i="52"/>
  <c r="E53" i="52"/>
  <c r="U38" i="52"/>
  <c r="T38" i="52"/>
  <c r="M38" i="52"/>
  <c r="L38" i="52"/>
  <c r="K38" i="52"/>
  <c r="J38" i="52"/>
  <c r="I38" i="52"/>
  <c r="H38" i="52"/>
  <c r="G38" i="52"/>
  <c r="E38" i="52"/>
  <c r="U36" i="52"/>
  <c r="T36" i="52"/>
  <c r="M36" i="52"/>
  <c r="L36" i="52"/>
  <c r="K36" i="52"/>
  <c r="J36" i="52"/>
  <c r="I36" i="52"/>
  <c r="H36" i="52"/>
  <c r="G36" i="52"/>
  <c r="E36" i="52"/>
  <c r="F30" i="52"/>
  <c r="F35" i="52"/>
  <c r="G30" i="52"/>
  <c r="G35" i="52"/>
  <c r="H30" i="52"/>
  <c r="H35" i="52"/>
  <c r="U30" i="52"/>
  <c r="I30" i="52"/>
  <c r="I35" i="52"/>
  <c r="T30" i="52"/>
  <c r="E30" i="52"/>
  <c r="J30" i="52"/>
  <c r="J35" i="52"/>
  <c r="K30" i="52"/>
  <c r="K35" i="52"/>
  <c r="L30" i="52"/>
  <c r="L35" i="52"/>
  <c r="M30" i="52"/>
  <c r="M35" i="52"/>
  <c r="T35" i="52"/>
  <c r="U35" i="52"/>
  <c r="E35" i="52"/>
  <c r="F33" i="52"/>
  <c r="G33" i="52"/>
  <c r="H33" i="52"/>
  <c r="I33" i="52"/>
  <c r="J33" i="52"/>
  <c r="K33" i="52"/>
  <c r="L33" i="52"/>
  <c r="M33" i="52"/>
  <c r="T33" i="52"/>
  <c r="U33" i="52"/>
  <c r="E33" i="52"/>
  <c r="O72" i="52"/>
  <c r="Z72" i="52"/>
  <c r="U72" i="52"/>
  <c r="T72" i="52"/>
  <c r="O71" i="52"/>
  <c r="Z71" i="52"/>
  <c r="U71" i="52"/>
  <c r="T71" i="52"/>
  <c r="U67" i="52"/>
  <c r="T67" i="52"/>
  <c r="E67" i="52"/>
  <c r="I67" i="52"/>
  <c r="M67" i="52"/>
  <c r="L67" i="52"/>
  <c r="K67" i="52"/>
  <c r="J67" i="52"/>
  <c r="U63" i="52"/>
  <c r="T63" i="52"/>
  <c r="E63" i="52"/>
  <c r="I63" i="52"/>
  <c r="M63" i="52"/>
  <c r="L63" i="52"/>
  <c r="K63" i="52"/>
  <c r="J63" i="52"/>
  <c r="U62" i="52"/>
  <c r="T62" i="52"/>
  <c r="E62" i="52"/>
  <c r="I62" i="52"/>
  <c r="M62" i="52"/>
  <c r="H62" i="52"/>
  <c r="L62" i="52"/>
  <c r="G62" i="52"/>
  <c r="K62" i="52"/>
  <c r="F62" i="52"/>
  <c r="J62" i="52"/>
  <c r="U61" i="52"/>
  <c r="T61" i="52"/>
  <c r="E61" i="52"/>
  <c r="I61" i="52"/>
  <c r="M61" i="52"/>
  <c r="H61" i="52"/>
  <c r="L61" i="52"/>
  <c r="G61" i="52"/>
  <c r="K61" i="52"/>
  <c r="F61" i="52"/>
  <c r="J61" i="52"/>
  <c r="AB22" i="52"/>
  <c r="AB24" i="52"/>
  <c r="X18" i="52"/>
  <c r="Y18" i="52"/>
  <c r="Z18" i="52"/>
  <c r="W18" i="52"/>
  <c r="AH18" i="52"/>
  <c r="K3" i="60"/>
  <c r="L3" i="60"/>
  <c r="O24" i="52"/>
  <c r="Z22" i="52"/>
  <c r="Y22" i="52"/>
  <c r="X22" i="52"/>
  <c r="W22" i="52"/>
  <c r="AK18" i="52"/>
  <c r="AJ18" i="52"/>
  <c r="AI18" i="52"/>
  <c r="C18" i="52"/>
  <c r="J18" i="52"/>
  <c r="K18" i="52"/>
  <c r="L18" i="52"/>
  <c r="M18" i="52"/>
  <c r="C67" i="52"/>
  <c r="C66" i="52"/>
  <c r="C65" i="52"/>
  <c r="C61" i="52"/>
  <c r="F53" i="52"/>
  <c r="C62" i="52"/>
  <c r="C63" i="52"/>
  <c r="F58" i="52"/>
  <c r="C60" i="52"/>
  <c r="C59" i="52"/>
  <c r="F38" i="52"/>
  <c r="F36" i="52"/>
  <c r="AF24" i="52"/>
  <c r="AE24" i="52"/>
  <c r="AD24" i="52"/>
  <c r="AC24" i="52"/>
  <c r="U24" i="52"/>
  <c r="T24" i="52"/>
  <c r="S24" i="52"/>
  <c r="R24" i="52"/>
  <c r="Q24" i="52"/>
  <c r="P24" i="52"/>
  <c r="C72" i="52"/>
  <c r="C35" i="52"/>
  <c r="C33" i="52"/>
  <c r="C71" i="52"/>
  <c r="C30" i="52"/>
  <c r="F22" i="52"/>
  <c r="G22" i="52"/>
  <c r="H22" i="52"/>
  <c r="I22" i="52"/>
  <c r="J22" i="52"/>
  <c r="K22" i="52"/>
  <c r="L22" i="52"/>
  <c r="M22" i="52"/>
  <c r="O22" i="52"/>
  <c r="P22" i="52"/>
  <c r="Q22" i="52"/>
  <c r="R22" i="52"/>
  <c r="S22" i="52"/>
  <c r="T22" i="52"/>
  <c r="U22" i="52"/>
  <c r="AC22" i="52"/>
  <c r="AD22" i="52"/>
  <c r="AE22" i="52"/>
  <c r="AF22" i="52"/>
  <c r="AH22" i="52"/>
  <c r="AI22" i="52"/>
  <c r="AJ22" i="52"/>
  <c r="AK22" i="52"/>
  <c r="E22" i="52"/>
  <c r="H24" i="52"/>
  <c r="G24" i="52"/>
  <c r="F24" i="52"/>
  <c r="K5" i="60"/>
  <c r="L5" i="60"/>
  <c r="K6" i="60"/>
  <c r="L6" i="60"/>
  <c r="E8" i="52"/>
</calcChain>
</file>

<file path=xl/sharedStrings.xml><?xml version="1.0" encoding="utf-8"?>
<sst xmlns="http://schemas.openxmlformats.org/spreadsheetml/2006/main" count="222" uniqueCount="170">
  <si>
    <t>AUD</t>
  </si>
  <si>
    <t>Budget</t>
  </si>
  <si>
    <t>FC1</t>
  </si>
  <si>
    <t>FC2</t>
  </si>
  <si>
    <t>Monthly data</t>
  </si>
  <si>
    <t>12-month data</t>
  </si>
  <si>
    <t>Prior Year</t>
  </si>
  <si>
    <t>P&amp;L</t>
  </si>
  <si>
    <t>Cash-Flows</t>
  </si>
  <si>
    <t>Balance Sheet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</si>
  <si>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</si>
  <si>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</si>
  <si>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</si>
  <si>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</si>
  <si>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</si>
  <si>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</si>
  <si>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</si>
  <si>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</si>
  <si>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</si>
  <si>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</si>
  <si>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</si>
  <si>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EUR</t>
  </si>
  <si>
    <t>March</t>
  </si>
  <si>
    <t>Période</t>
  </si>
  <si>
    <t>Devise</t>
  </si>
  <si>
    <t>NZD</t>
  </si>
  <si>
    <t>France</t>
  </si>
  <si>
    <t>USD</t>
  </si>
  <si>
    <t>Canada</t>
  </si>
  <si>
    <t>CAD</t>
  </si>
  <si>
    <t>GBP</t>
  </si>
  <si>
    <t>TOD France</t>
  </si>
  <si>
    <t>Portugal</t>
  </si>
  <si>
    <t>MAD</t>
  </si>
  <si>
    <t>ILS</t>
  </si>
  <si>
    <t>CLP</t>
  </si>
  <si>
    <t>Eurolines</t>
  </si>
  <si>
    <t>SEK</t>
  </si>
  <si>
    <t>COP</t>
  </si>
  <si>
    <t>Connexxion NL</t>
  </si>
  <si>
    <t>VTNL</t>
  </si>
  <si>
    <t>Internorte</t>
  </si>
  <si>
    <t>Gaap</t>
  </si>
  <si>
    <t>Integration_Rate</t>
  </si>
  <si>
    <t>Activity</t>
  </si>
  <si>
    <t>Actual</t>
  </si>
  <si>
    <t>Currency</t>
  </si>
  <si>
    <t>Legal_Organization</t>
  </si>
  <si>
    <t>TPL10_nat</t>
  </si>
  <si>
    <t>TPL9</t>
  </si>
  <si>
    <t>NFI150</t>
  </si>
  <si>
    <t>NFI400</t>
  </si>
  <si>
    <t>TCI2</t>
  </si>
  <si>
    <t>TCI1</t>
  </si>
  <si>
    <t>ACT_TOT</t>
  </si>
  <si>
    <t>CUBE:</t>
  </si>
  <si>
    <t>Management_Organization</t>
  </si>
  <si>
    <t>DISP</t>
  </si>
  <si>
    <t>CAP_NET_OF_DISP</t>
  </si>
  <si>
    <t>TXINV_F99</t>
  </si>
  <si>
    <t>CNY</t>
  </si>
  <si>
    <t>CZK</t>
  </si>
  <si>
    <t>DKK</t>
  </si>
  <si>
    <t>XPF</t>
  </si>
  <si>
    <t>HRK</t>
  </si>
  <si>
    <t>DZD</t>
  </si>
  <si>
    <t>HKD</t>
  </si>
  <si>
    <t>INR</t>
  </si>
  <si>
    <t>KRW</t>
  </si>
  <si>
    <t>LBP</t>
  </si>
  <si>
    <t>MOP</t>
  </si>
  <si>
    <t>PLN</t>
  </si>
  <si>
    <t>RSD</t>
  </si>
  <si>
    <t>Prior Month</t>
  </si>
  <si>
    <t>Correspondance Tango</t>
  </si>
  <si>
    <t>Devises</t>
  </si>
  <si>
    <t>Liste_Phases</t>
  </si>
  <si>
    <t>Budget Year+1</t>
  </si>
  <si>
    <t>CAFOP_bef_mgmt_fees</t>
  </si>
  <si>
    <t>RESOP_bef_mgmt_fees</t>
  </si>
  <si>
    <t>TX_CLOTURE</t>
  </si>
  <si>
    <t>TX_MOYEN</t>
  </si>
  <si>
    <t>Periode</t>
  </si>
  <si>
    <t>Phase</t>
  </si>
  <si>
    <t>Prior Month Prior Year</t>
  </si>
  <si>
    <t>PériodePM</t>
  </si>
  <si>
    <t>PériodePY</t>
  </si>
  <si>
    <t>PériodePYPM</t>
  </si>
  <si>
    <t>LIGNES</t>
  </si>
  <si>
    <t>COLONNES</t>
  </si>
  <si>
    <t>GROSS_MARGIN_dest</t>
  </si>
  <si>
    <t>Year to Date data</t>
  </si>
  <si>
    <t>Full Year data</t>
  </si>
  <si>
    <t>Périodes</t>
  </si>
  <si>
    <t>Clé</t>
  </si>
  <si>
    <t>Version</t>
  </si>
  <si>
    <t>Current Version</t>
  </si>
  <si>
    <t>Definitive Version</t>
  </si>
  <si>
    <t>TOT</t>
  </si>
  <si>
    <t>VC_TOT</t>
  </si>
  <si>
    <t>Cube</t>
  </si>
  <si>
    <t>12</t>
  </si>
  <si>
    <t>calc</t>
  </si>
  <si>
    <t>TPL1_NAT</t>
  </si>
  <si>
    <t>TPL21</t>
  </si>
  <si>
    <t>TPL22</t>
  </si>
  <si>
    <t>TPL5</t>
  </si>
  <si>
    <t>TPL6</t>
  </si>
  <si>
    <t>TPL4</t>
  </si>
  <si>
    <t>Input</t>
  </si>
  <si>
    <t>tango_core_model:Report_PL</t>
  </si>
  <si>
    <t>English</t>
  </si>
  <si>
    <t>EBIT Bef. MF &amp; PPA</t>
  </si>
  <si>
    <t>Management Fees &amp; Brand Fees</t>
  </si>
  <si>
    <t>NFI260</t>
  </si>
  <si>
    <t>NFI270</t>
  </si>
  <si>
    <t>NFI165</t>
  </si>
  <si>
    <t>CAFOP</t>
  </si>
  <si>
    <t>NFIFIN</t>
  </si>
  <si>
    <t>NFILEV</t>
  </si>
  <si>
    <t>NFI4401</t>
  </si>
  <si>
    <t>NFI4402</t>
  </si>
  <si>
    <t>NFI480</t>
  </si>
  <si>
    <t>01</t>
  </si>
  <si>
    <t>05</t>
  </si>
  <si>
    <t>02</t>
  </si>
  <si>
    <t>03</t>
  </si>
  <si>
    <t>04</t>
  </si>
  <si>
    <t>06</t>
  </si>
  <si>
    <t>07</t>
  </si>
  <si>
    <t>08</t>
  </si>
  <si>
    <t>09</t>
  </si>
  <si>
    <t>Year</t>
  </si>
  <si>
    <t>Month</t>
  </si>
  <si>
    <t>Country --&gt; Double Click</t>
  </si>
  <si>
    <t>Language</t>
  </si>
  <si>
    <t xml:space="preserve">        NB : data are extracted in EUR and converted in local currency</t>
  </si>
  <si>
    <t>EXECUTIVE SUMMARY</t>
  </si>
  <si>
    <t>PPA (Input)</t>
  </si>
  <si>
    <t>Operating Lease (Input)</t>
  </si>
  <si>
    <t>Période_Titre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</si>
  <si>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</si>
  <si>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</si>
  <si>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</si>
  <si>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</si>
  <si>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</si>
  <si>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</si>
  <si>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</si>
  <si>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</si>
  <si>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</si>
  <si>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</si>
  <si>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</si>
  <si>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</si>
  <si>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10</t>
  </si>
  <si>
    <t>11</t>
  </si>
  <si>
    <t>Variance</t>
  </si>
  <si>
    <t>United States</t>
  </si>
  <si>
    <t>Ireland</t>
  </si>
  <si>
    <t>United Kingdom</t>
  </si>
  <si>
    <t>Germany</t>
  </si>
  <si>
    <t>Finland</t>
  </si>
  <si>
    <t>Sweden</t>
  </si>
  <si>
    <t>Australia and New Zealand</t>
  </si>
  <si>
    <t>Spain</t>
  </si>
  <si>
    <t>Chile</t>
  </si>
  <si>
    <t>Morocco</t>
  </si>
  <si>
    <t>Pays</t>
  </si>
  <si>
    <t>Mise à jour des données / Refresh Data</t>
  </si>
  <si>
    <t>Sélection du contexte / Context selection</t>
  </si>
  <si>
    <t>sign convention : "Net debt +" / "Excess cash -"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</si>
</sst>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_);\(#,##0\)"/>
    <numFmt numFmtId="167" formatCode="#,##0.0"/>
    <numFmt numFmtId="168" formatCode="0.0%"/>
    <numFmt numFmtId="169" formatCode="_(* #,##0.0_%_);_(* \(#,##0.0_%\);_(* &quot; - &quot;_%_);_(@_)"/>
    <numFmt numFmtId="170" formatCode="_(* #,##0.0%_);_(* \(#,##0.0%\);_(* &quot; - &quot;\%_);_(@_)"/>
    <numFmt numFmtId="171" formatCode="_(* #,##0_);_(* \(#,##0\);_(* &quot; - &quot;_);_(@_)"/>
    <numFmt numFmtId="172" formatCode="_(* #,##0.0_);_(* \(#,##0.0\);_(* &quot; - &quot;_);_(@_)"/>
    <numFmt numFmtId="173" formatCode="_(* #,##0.00_);_(* \(#,##0.00\);_(* &quot; - &quot;_);_(@_)"/>
    <numFmt numFmtId="174" formatCode="_(* #,##0.000_);_(* \(#,##0.000\);_(* &quot; - &quot;_);_(@_)"/>
    <numFmt numFmtId="175" formatCode="#,##0;\(#,##0\);&quot;-&quot;"/>
    <numFmt numFmtId="176" formatCode="_-* #,##0_-;\-* #,##0_-;_-* &quot;-&quot;_-;_-@_-"/>
    <numFmt numFmtId="177" formatCode="#,##0.00;\(#,##0.00\)"/>
    <numFmt numFmtId="178" formatCode="###0.0%;\(###0.0%\)"/>
    <numFmt numFmtId="179" formatCode="[$-409]d/m/yy\ h:mm\ AM/PM;@"/>
    <numFmt numFmtId="180" formatCode="&quot;$&quot;\ \ \ #,##0;\(&quot;$&quot;\ \ \ #,##0\)"/>
    <numFmt numFmtId="181" formatCode="#,##0;\(#,##0\)"/>
    <numFmt numFmtId="182" formatCode="#,##0.0;\(#,##0.0\);\-"/>
    <numFmt numFmtId="183" formatCode="_-* #,##0.00\ _D_i_n_._-;\-* #,##0.00\ _D_i_n_._-;_-* &quot;-&quot;??\ _D_i_n_._-;_-@_-"/>
    <numFmt numFmtId="184" formatCode="_-* #,##0.00\ _F_-;\-* #,##0.00\ _F_-;_-* &quot;-&quot;??\ _F_-;_-@_-"/>
    <numFmt numFmtId="185" formatCode="_(&quot;$&quot;* #,##0.00_);_(&quot;$&quot;* \(#,##0.00\);_(&quot;$&quot;* &quot;-&quot;??_);_(@_)"/>
    <numFmt numFmtId="186" formatCode="_(* #,##0_);_(* \(#,##0\);_(* &quot;&quot;\ \-\ &quot;&quot;_);_(@_)"/>
    <numFmt numFmtId="187" formatCode="_(\ #,##0.0_%_);_(\ \(#,##0.0_%\);_(\ &quot; - &quot;_%_);_(@_)"/>
    <numFmt numFmtId="188" formatCode="_(\ #,##0.0%_);_(\ \(#,##0.0%\);_(\ &quot; - &quot;\%_);_(@_)"/>
    <numFmt numFmtId="189" formatCode="#,##0_);\(#,##0\);&quot; - &quot;_);@_)"/>
    <numFmt numFmtId="190" formatCode="\ #,##0.0_);\(#,##0.0\);&quot; - &quot;_);@_)"/>
    <numFmt numFmtId="191" formatCode="\ #,##0.00_);\(#,##0.00\);&quot; - &quot;_);@_)"/>
    <numFmt numFmtId="192" formatCode="\ #,##0.000_);\(#,##0.000\);&quot; - &quot;_);@_)"/>
    <numFmt numFmtId="193" formatCode="d\ mmmm\ yyyy"/>
    <numFmt numFmtId="194" formatCode="#,##0;[Red]\(#,##0\);0"/>
    <numFmt numFmtId="195" formatCode="#,##0.0_)\x;\(#,##0.0\)\x;#,##0.0_)\x;@_)_x"/>
    <numFmt numFmtId="196" formatCode="0.00;[Red]0.00"/>
    <numFmt numFmtId="197" formatCode="#,##0.0&quot; &quot;;\(#,##0.0\)&quot;&quot;;&quot;- &quot;"/>
    <numFmt numFmtId="198" formatCode="0.000"/>
  </numFmts>
  <fonts count="13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SWISS"/>
    </font>
    <font>
      <b/>
      <sz val="16"/>
      <name val="Arial"/>
      <family val="2"/>
    </font>
    <font>
      <b/>
      <sz val="8"/>
      <name val="Arial"/>
      <family val="2"/>
    </font>
    <font>
      <i/>
      <sz val="10"/>
      <name val="Calibri"/>
      <family val="2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2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63"/>
      <name val="Calibri"/>
      <family val="2"/>
      <charset val="238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56"/>
      <name val="Cambria"/>
      <family val="2"/>
      <charset val="238"/>
    </font>
    <font>
      <sz val="11"/>
      <color indexed="10"/>
      <name val="Calibri"/>
      <family val="2"/>
      <charset val="238"/>
    </font>
    <font>
      <b/>
      <sz val="14"/>
      <color indexed="32"/>
      <name val="Arial"/>
      <family val="2"/>
    </font>
    <font>
      <b/>
      <sz val="14"/>
      <name val="Arial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sz val="10"/>
      <color indexed="32"/>
      <name val="Arial Narrow"/>
      <family val="2"/>
    </font>
    <font>
      <sz val="1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color rgb="FFFF0000"/>
      <name val="Calibri"/>
      <family val="2"/>
    </font>
    <font>
      <sz val="10"/>
      <color rgb="FFC00000"/>
      <name val="Calibri"/>
      <family val="2"/>
    </font>
    <font>
      <sz val="11"/>
      <name val="Calibri"/>
      <family val="2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12"/>
      <name val="Calibri"/>
      <family val="2"/>
    </font>
    <font>
      <sz val="16"/>
      <color theme="0"/>
      <name val="Calibri"/>
      <family val="2"/>
      <scheme val="minor"/>
    </font>
    <font>
      <sz val="11"/>
      <color rgb="FFFF0000"/>
      <name val="Calibri"/>
      <family val="2"/>
    </font>
    <font>
      <sz val="12"/>
      <color rgb="FFC00000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</font>
    <font>
      <i/>
      <sz val="10"/>
      <name val="Calibri"/>
      <family val="2"/>
      <scheme val="minor"/>
    </font>
    <font>
      <i/>
      <sz val="9"/>
      <color theme="2" tint="-0.499984740745262"/>
      <name val="Calibri"/>
      <family val="2"/>
      <scheme val="minor"/>
    </font>
    <font>
      <sz val="20"/>
      <color rgb="FFFF0000"/>
      <name val="Calibri"/>
      <family val="2"/>
      <scheme val="minor"/>
    </font>
    <font>
      <sz val="15"/>
      <name val="Calibri"/>
      <family val="2"/>
      <scheme val="minor"/>
    </font>
    <font>
      <sz val="15"/>
      <name val="Arial"/>
      <family val="2"/>
    </font>
    <font>
      <i/>
      <sz val="15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25"/>
      <color rgb="FFFF0000"/>
      <name val="Calibri"/>
      <family val="2"/>
      <scheme val="minor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11"/>
      <name val="Calibri"/>
      <family val="2"/>
    </font>
    <font>
      <b/>
      <sz val="11"/>
      <color indexed="25"/>
      <name val="Calibri"/>
      <family val="2"/>
    </font>
    <font>
      <b/>
      <sz val="11"/>
      <color rgb="FFFF0000"/>
      <name val="Calibri"/>
      <family val="2"/>
    </font>
    <font>
      <b/>
      <sz val="20"/>
      <name val="Calibri"/>
      <family val="2"/>
    </font>
    <font>
      <b/>
      <i/>
      <sz val="11"/>
      <color theme="3"/>
      <name val="Calibri"/>
      <family val="2"/>
    </font>
    <font>
      <i/>
      <sz val="9"/>
      <color theme="3"/>
      <name val="Calibri"/>
      <family val="2"/>
      <scheme val="minor"/>
    </font>
    <font>
      <i/>
      <sz val="10"/>
      <color theme="3"/>
      <name val="Calibri"/>
      <family val="2"/>
    </font>
    <font>
      <b/>
      <i/>
      <sz val="20"/>
      <color theme="3"/>
      <name val="Calibri"/>
      <family val="2"/>
      <scheme val="minor"/>
    </font>
    <font>
      <i/>
      <sz val="16"/>
      <color theme="3"/>
      <name val="Calibri"/>
      <family val="2"/>
      <scheme val="minor"/>
    </font>
    <font>
      <i/>
      <sz val="12"/>
      <color theme="3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4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5" tint="0.5999633777886288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AEAEA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gradientFill degree="90">
        <stop position="0">
          <color theme="0" tint="-5.0965910824915313E-2"/>
        </stop>
        <stop position="0.5">
          <color rgb="FFFF0000"/>
        </stop>
        <stop position="1">
          <color theme="0" tint="-5.0965910824915313E-2"/>
        </stop>
      </gradient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447">
    <xf numFmtId="179" fontId="0" fillId="0" borderId="0"/>
    <xf numFmtId="179" fontId="6" fillId="0" borderId="0" applyFont="0" applyFill="0" applyBorder="0" applyAlignment="0" applyProtection="0"/>
    <xf numFmtId="179" fontId="10" fillId="0" borderId="0"/>
    <xf numFmtId="166" fontId="11" fillId="0" borderId="0"/>
    <xf numFmtId="179" fontId="9" fillId="0" borderId="0"/>
    <xf numFmtId="9" fontId="15" fillId="0" borderId="0" applyFont="0" applyFill="0" applyBorder="0" applyAlignment="0" applyProtection="0"/>
    <xf numFmtId="179" fontId="6" fillId="0" borderId="0"/>
    <xf numFmtId="179" fontId="19" fillId="8" borderId="0" applyNumberFormat="0" applyBorder="0" applyAlignment="0" applyProtection="0"/>
    <xf numFmtId="179" fontId="19" fillId="9" borderId="0" applyNumberFormat="0" applyBorder="0" applyAlignment="0" applyProtection="0"/>
    <xf numFmtId="179" fontId="19" fillId="10" borderId="0" applyNumberFormat="0" applyBorder="0" applyAlignment="0" applyProtection="0"/>
    <xf numFmtId="179" fontId="19" fillId="11" borderId="0" applyNumberFormat="0" applyBorder="0" applyAlignment="0" applyProtection="0"/>
    <xf numFmtId="179" fontId="19" fillId="12" borderId="0" applyNumberFormat="0" applyBorder="0" applyAlignment="0" applyProtection="0"/>
    <xf numFmtId="179" fontId="19" fillId="13" borderId="0" applyNumberFormat="0" applyBorder="0" applyAlignment="0" applyProtection="0"/>
    <xf numFmtId="179" fontId="19" fillId="14" borderId="0" applyNumberFormat="0" applyBorder="0" applyAlignment="0" applyProtection="0"/>
    <xf numFmtId="179" fontId="19" fillId="15" borderId="0" applyNumberFormat="0" applyBorder="0" applyAlignment="0" applyProtection="0"/>
    <xf numFmtId="179" fontId="19" fillId="16" borderId="0" applyNumberFormat="0" applyBorder="0" applyAlignment="0" applyProtection="0"/>
    <xf numFmtId="179" fontId="19" fillId="11" borderId="0" applyNumberFormat="0" applyBorder="0" applyAlignment="0" applyProtection="0"/>
    <xf numFmtId="179" fontId="19" fillId="14" borderId="0" applyNumberFormat="0" applyBorder="0" applyAlignment="0" applyProtection="0"/>
    <xf numFmtId="179" fontId="19" fillId="17" borderId="0" applyNumberFormat="0" applyBorder="0" applyAlignment="0" applyProtection="0"/>
    <xf numFmtId="179" fontId="20" fillId="18" borderId="0" applyNumberFormat="0" applyBorder="0" applyAlignment="0" applyProtection="0"/>
    <xf numFmtId="179" fontId="20" fillId="15" borderId="0" applyNumberFormat="0" applyBorder="0" applyAlignment="0" applyProtection="0"/>
    <xf numFmtId="179" fontId="20" fillId="16" borderId="0" applyNumberFormat="0" applyBorder="0" applyAlignment="0" applyProtection="0"/>
    <xf numFmtId="179" fontId="20" fillId="19" borderId="0" applyNumberFormat="0" applyBorder="0" applyAlignment="0" applyProtection="0"/>
    <xf numFmtId="179" fontId="20" fillId="20" borderId="0" applyNumberFormat="0" applyBorder="0" applyAlignment="0" applyProtection="0"/>
    <xf numFmtId="179" fontId="20" fillId="21" borderId="0" applyNumberFormat="0" applyBorder="0" applyAlignment="0" applyProtection="0"/>
    <xf numFmtId="179" fontId="21" fillId="9" borderId="0" applyNumberFormat="0" applyBorder="0" applyAlignment="0" applyProtection="0"/>
    <xf numFmtId="179" fontId="22" fillId="22" borderId="3" applyNumberFormat="0" applyAlignment="0" applyProtection="0"/>
    <xf numFmtId="179" fontId="23" fillId="23" borderId="4" applyNumberFormat="0" applyAlignment="0" applyProtection="0"/>
    <xf numFmtId="179" fontId="24" fillId="0" borderId="0" applyNumberFormat="0" applyFill="0" applyBorder="0" applyAlignment="0" applyProtection="0"/>
    <xf numFmtId="169" fontId="25" fillId="0" borderId="0">
      <alignment horizontal="right" vertical="top"/>
    </xf>
    <xf numFmtId="170" fontId="26" fillId="0" borderId="0">
      <alignment horizontal="right" vertical="top"/>
    </xf>
    <xf numFmtId="170" fontId="25" fillId="0" borderId="0">
      <alignment horizontal="right" vertical="top"/>
    </xf>
    <xf numFmtId="171" fontId="26" fillId="0" borderId="0" applyFill="0" applyBorder="0">
      <alignment horizontal="right" vertical="top"/>
    </xf>
    <xf numFmtId="172" fontId="26" fillId="0" borderId="0" applyFill="0" applyBorder="0">
      <alignment horizontal="right" vertical="top"/>
    </xf>
    <xf numFmtId="173" fontId="26" fillId="0" borderId="0" applyFill="0" applyBorder="0">
      <alignment horizontal="right" vertical="top"/>
    </xf>
    <xf numFmtId="174" fontId="26" fillId="0" borderId="0" applyFill="0" applyBorder="0">
      <alignment horizontal="right" vertical="top"/>
    </xf>
    <xf numFmtId="179" fontId="27" fillId="0" borderId="0">
      <alignment horizontal="center" wrapText="1"/>
    </xf>
    <xf numFmtId="175" fontId="28" fillId="0" borderId="0" applyFill="0" applyBorder="0">
      <alignment vertical="top"/>
    </xf>
    <xf numFmtId="175" fontId="29" fillId="0" borderId="0" applyFill="0" applyBorder="0" applyProtection="0">
      <alignment vertical="top"/>
    </xf>
    <xf numFmtId="175" fontId="30" fillId="0" borderId="0">
      <alignment vertical="top"/>
    </xf>
    <xf numFmtId="176" fontId="26" fillId="0" borderId="0" applyFill="0" applyBorder="0" applyAlignment="0" applyProtection="0">
      <alignment horizontal="right" vertical="top"/>
    </xf>
    <xf numFmtId="175" fontId="12" fillId="0" borderId="0"/>
    <xf numFmtId="179" fontId="26" fillId="0" borderId="0" applyFill="0" applyBorder="0">
      <alignment horizontal="left" vertical="top"/>
    </xf>
    <xf numFmtId="177" fontId="31" fillId="0" borderId="0"/>
    <xf numFmtId="178" fontId="31" fillId="0" borderId="0"/>
    <xf numFmtId="179" fontId="32" fillId="10" borderId="0" applyNumberFormat="0" applyBorder="0" applyAlignment="0" applyProtection="0"/>
    <xf numFmtId="179" fontId="33" fillId="0" borderId="5" applyNumberFormat="0" applyFill="0" applyAlignment="0" applyProtection="0"/>
    <xf numFmtId="179" fontId="34" fillId="0" borderId="6" applyNumberFormat="0" applyFill="0" applyAlignment="0" applyProtection="0"/>
    <xf numFmtId="179" fontId="35" fillId="0" borderId="7" applyNumberFormat="0" applyFill="0" applyAlignment="0" applyProtection="0"/>
    <xf numFmtId="179" fontId="35" fillId="0" borderId="0" applyNumberFormat="0" applyFill="0" applyBorder="0" applyAlignment="0" applyProtection="0"/>
    <xf numFmtId="179" fontId="36" fillId="13" borderId="3" applyNumberFormat="0" applyAlignment="0" applyProtection="0"/>
    <xf numFmtId="179" fontId="37" fillId="0" borderId="8" applyNumberFormat="0" applyFill="0" applyAlignment="0" applyProtection="0"/>
    <xf numFmtId="179" fontId="38" fillId="24" borderId="0" applyNumberFormat="0" applyBorder="0" applyAlignment="0" applyProtection="0"/>
    <xf numFmtId="179" fontId="10" fillId="0" borderId="0"/>
    <xf numFmtId="179" fontId="18" fillId="25" borderId="2" applyNumberFormat="0" applyFont="0" applyAlignment="0" applyProtection="0"/>
    <xf numFmtId="179" fontId="39" fillId="22" borderId="9" applyNumberFormat="0" applyAlignment="0" applyProtection="0"/>
    <xf numFmtId="179" fontId="40" fillId="0" borderId="0" applyNumberFormat="0" applyBorder="0" applyAlignment="0"/>
    <xf numFmtId="179" fontId="41" fillId="0" borderId="0" applyNumberFormat="0" applyBorder="0" applyAlignment="0"/>
    <xf numFmtId="179" fontId="42" fillId="0" borderId="0" applyNumberFormat="0" applyBorder="0" applyAlignment="0"/>
    <xf numFmtId="179" fontId="42" fillId="0" borderId="0" applyNumberFormat="0" applyBorder="0" applyAlignment="0"/>
    <xf numFmtId="179" fontId="43" fillId="0" borderId="0" applyNumberFormat="0" applyBorder="0" applyAlignment="0"/>
    <xf numFmtId="179" fontId="44" fillId="10" borderId="0" applyNumberFormat="0" applyBorder="0" applyAlignment="0"/>
    <xf numFmtId="179" fontId="45" fillId="10" borderId="0" applyNumberFormat="0" applyBorder="0" applyAlignment="0"/>
    <xf numFmtId="179" fontId="46" fillId="0" borderId="0" applyNumberFormat="0" applyBorder="0" applyAlignment="0"/>
    <xf numFmtId="179" fontId="46" fillId="0" borderId="0" applyNumberFormat="0" applyBorder="0" applyAlignment="0"/>
    <xf numFmtId="179" fontId="47" fillId="0" borderId="0" applyNumberFormat="0" applyFill="0" applyBorder="0" applyAlignment="0" applyProtection="0"/>
    <xf numFmtId="179" fontId="48" fillId="0" borderId="0" applyNumberFormat="0" applyFill="0" applyBorder="0" applyAlignment="0" applyProtection="0"/>
    <xf numFmtId="179" fontId="5" fillId="0" borderId="0"/>
    <xf numFmtId="0" fontId="6" fillId="0" borderId="0"/>
    <xf numFmtId="179" fontId="6" fillId="0" borderId="0"/>
    <xf numFmtId="0" fontId="6" fillId="0" borderId="0"/>
    <xf numFmtId="180" fontId="51" fillId="0" borderId="0" applyAlignment="0"/>
    <xf numFmtId="10" fontId="52" fillId="0" borderId="0"/>
    <xf numFmtId="9" fontId="53" fillId="0" borderId="0"/>
    <xf numFmtId="0" fontId="53" fillId="0" borderId="0"/>
    <xf numFmtId="1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181" fontId="53" fillId="0" borderId="0"/>
    <xf numFmtId="3" fontId="51" fillId="0" borderId="0"/>
    <xf numFmtId="2" fontId="51" fillId="0" borderId="0"/>
    <xf numFmtId="10" fontId="51" fillId="0" borderId="0" applyFont="0" applyBorder="0" applyAlignment="0">
      <alignment horizontal="centerContinuous"/>
    </xf>
    <xf numFmtId="0" fontId="54" fillId="0" borderId="13" applyFont="0" applyFill="0" applyBorder="0" applyAlignment="0" applyProtection="0"/>
    <xf numFmtId="181" fontId="53" fillId="0" borderId="0"/>
    <xf numFmtId="181" fontId="53" fillId="0" borderId="0"/>
    <xf numFmtId="181" fontId="53" fillId="0" borderId="0"/>
    <xf numFmtId="1" fontId="51" fillId="0" borderId="0" applyFont="0" applyAlignment="0">
      <alignment horizontal="centerContinuous"/>
    </xf>
    <xf numFmtId="0" fontId="55" fillId="0" borderId="11" applyFont="0">
      <alignment horizontal="centerContinuous"/>
    </xf>
    <xf numFmtId="0" fontId="56" fillId="0" borderId="0"/>
    <xf numFmtId="9" fontId="52" fillId="0" borderId="0"/>
    <xf numFmtId="0" fontId="52" fillId="0" borderId="0"/>
    <xf numFmtId="0" fontId="52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2" fillId="0" borderId="0"/>
    <xf numFmtId="0" fontId="52" fillId="0" borderId="0"/>
    <xf numFmtId="0" fontId="6" fillId="0" borderId="0"/>
    <xf numFmtId="0" fontId="53" fillId="0" borderId="0"/>
    <xf numFmtId="38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3" fillId="0" borderId="0"/>
    <xf numFmtId="0" fontId="55" fillId="0" borderId="11" applyNumberFormat="0" applyFill="0" applyAlignment="0" applyProtection="0"/>
    <xf numFmtId="0" fontId="57" fillId="0" borderId="11" applyNumberFormat="0" applyFont="0" applyFill="0" applyAlignment="0" applyProtection="0"/>
    <xf numFmtId="0" fontId="56" fillId="0" borderId="14"/>
    <xf numFmtId="0" fontId="53" fillId="0" borderId="11">
      <alignment horizontal="centerContinuous"/>
    </xf>
    <xf numFmtId="0" fontId="6" fillId="0" borderId="15" applyBorder="0">
      <alignment horizontal="centerContinuous"/>
    </xf>
    <xf numFmtId="0" fontId="53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52" fillId="0" borderId="0"/>
    <xf numFmtId="0" fontId="59" fillId="0" borderId="0"/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9" fillId="0" borderId="0"/>
    <xf numFmtId="37" fontId="53" fillId="0" borderId="0">
      <alignment horizontal="center"/>
    </xf>
    <xf numFmtId="0" fontId="55" fillId="0" borderId="0"/>
    <xf numFmtId="182" fontId="6" fillId="0" borderId="0">
      <alignment horizontal="right" wrapText="1"/>
    </xf>
    <xf numFmtId="0" fontId="53" fillId="0" borderId="0"/>
    <xf numFmtId="0" fontId="60" fillId="0" borderId="0" applyFont="0" applyFill="0" applyBorder="0" applyAlignment="0" applyProtection="0"/>
    <xf numFmtId="40" fontId="60" fillId="0" borderId="0" applyFont="0" applyFill="0" applyBorder="0" applyAlignment="0" applyProtection="0"/>
    <xf numFmtId="183" fontId="6" fillId="0" borderId="0" applyFont="0" applyFill="0" applyBorder="0" applyAlignment="0" applyProtection="0"/>
    <xf numFmtId="184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185" fontId="6" fillId="0" borderId="0" applyFont="0" applyFill="0" applyBorder="0" applyAlignment="0" applyProtection="0"/>
    <xf numFmtId="49" fontId="62" fillId="28" borderId="0">
      <alignment vertical="center"/>
    </xf>
    <xf numFmtId="0" fontId="53" fillId="0" borderId="0" applyFont="0" applyFill="0" applyBorder="0" applyAlignment="0" applyProtection="0"/>
    <xf numFmtId="186" fontId="7" fillId="27" borderId="0">
      <alignment horizontal="right"/>
    </xf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9" fontId="63" fillId="0" borderId="0" applyNumberFormat="0" applyFill="0" applyBorder="0" applyProtection="0">
      <alignment horizontal="center" vertical="top"/>
    </xf>
    <xf numFmtId="187" fontId="64" fillId="0" borderId="0" applyBorder="0">
      <alignment horizontal="right" vertical="top"/>
    </xf>
    <xf numFmtId="188" fontId="63" fillId="0" borderId="0" applyBorder="0">
      <alignment horizontal="right" vertical="top"/>
    </xf>
    <xf numFmtId="188" fontId="64" fillId="0" borderId="0" applyBorder="0">
      <alignment horizontal="right" vertical="top"/>
    </xf>
    <xf numFmtId="189" fontId="63" fillId="0" borderId="0" applyFill="0" applyBorder="0">
      <alignment horizontal="right" vertical="top"/>
    </xf>
    <xf numFmtId="190" fontId="63" fillId="0" borderId="0" applyFill="0" applyBorder="0">
      <alignment horizontal="right" vertical="top"/>
    </xf>
    <xf numFmtId="191" fontId="63" fillId="0" borderId="0" applyFill="0" applyBorder="0">
      <alignment horizontal="right" vertical="top"/>
    </xf>
    <xf numFmtId="192" fontId="63" fillId="0" borderId="0" applyFill="0" applyBorder="0">
      <alignment horizontal="right" vertical="top"/>
    </xf>
    <xf numFmtId="0" fontId="65" fillId="0" borderId="16">
      <alignment horizontal="right"/>
    </xf>
    <xf numFmtId="0" fontId="27" fillId="0" borderId="0">
      <alignment horizontal="center" wrapText="1"/>
    </xf>
    <xf numFmtId="175" fontId="66" fillId="0" borderId="16">
      <alignment horizontal="left"/>
    </xf>
    <xf numFmtId="0" fontId="67" fillId="0" borderId="0">
      <alignment vertical="center"/>
    </xf>
    <xf numFmtId="193" fontId="67" fillId="0" borderId="0">
      <alignment horizontal="left" vertical="center"/>
    </xf>
    <xf numFmtId="194" fontId="68" fillId="0" borderId="0">
      <alignment vertical="center"/>
    </xf>
    <xf numFmtId="0" fontId="50" fillId="0" borderId="0">
      <alignment vertical="center"/>
    </xf>
    <xf numFmtId="175" fontId="66" fillId="0" borderId="16">
      <alignment horizontal="left"/>
    </xf>
    <xf numFmtId="175" fontId="63" fillId="0" borderId="0">
      <alignment horizontal="center"/>
    </xf>
    <xf numFmtId="175" fontId="69" fillId="0" borderId="16">
      <alignment horizontal="center"/>
    </xf>
    <xf numFmtId="176" fontId="63" fillId="0" borderId="16" applyFill="0" applyBorder="0" applyProtection="0">
      <alignment horizontal="right" vertical="top"/>
    </xf>
    <xf numFmtId="175" fontId="70" fillId="0" borderId="0"/>
    <xf numFmtId="175" fontId="49" fillId="0" borderId="0"/>
    <xf numFmtId="175" fontId="6" fillId="0" borderId="0"/>
    <xf numFmtId="175" fontId="71" fillId="0" borderId="0">
      <alignment horizontal="left" vertical="top"/>
    </xf>
    <xf numFmtId="0" fontId="63" fillId="0" borderId="0" applyFill="0" applyBorder="0">
      <alignment horizontal="left" vertical="top" wrapText="1"/>
    </xf>
    <xf numFmtId="0" fontId="26" fillId="0" borderId="0" applyFill="0" applyBorder="0">
      <alignment horizontal="left" vertical="top"/>
    </xf>
    <xf numFmtId="0" fontId="72" fillId="0" borderId="0">
      <alignment horizontal="left" vertical="top" wrapText="1"/>
    </xf>
    <xf numFmtId="0" fontId="73" fillId="0" borderId="0">
      <alignment horizontal="left" vertical="top" wrapText="1"/>
    </xf>
    <xf numFmtId="0" fontId="64" fillId="0" borderId="0">
      <alignment horizontal="left" vertical="top" wrapText="1"/>
    </xf>
    <xf numFmtId="0" fontId="74" fillId="0" borderId="0" applyNumberFormat="0" applyFill="0" applyBorder="0" applyAlignment="0" applyProtection="0"/>
    <xf numFmtId="0" fontId="62" fillId="29" borderId="0">
      <alignment horizontal="right" vertical="center"/>
    </xf>
    <xf numFmtId="0" fontId="6" fillId="30" borderId="0"/>
    <xf numFmtId="0" fontId="75" fillId="0" borderId="0" applyNumberFormat="0" applyFill="0" applyProtection="0">
      <alignment horizontal="left"/>
    </xf>
    <xf numFmtId="0" fontId="76" fillId="0" borderId="0" applyNumberFormat="0" applyFill="0" applyBorder="0" applyAlignment="0" applyProtection="0"/>
    <xf numFmtId="0" fontId="53" fillId="14" borderId="0" applyNumberFormat="0" applyFont="0" applyBorder="0" applyAlignment="0">
      <protection locked="0"/>
    </xf>
    <xf numFmtId="0" fontId="52" fillId="0" borderId="0" applyNumberFormat="0" applyFill="0" applyBorder="0" applyAlignment="0">
      <protection locked="0"/>
    </xf>
    <xf numFmtId="0" fontId="77" fillId="0" borderId="0" applyNumberFormat="0" applyFill="0" applyBorder="0" applyAlignment="0"/>
    <xf numFmtId="38" fontId="78" fillId="0" borderId="0"/>
    <xf numFmtId="38" fontId="79" fillId="0" borderId="0"/>
    <xf numFmtId="38" fontId="80" fillId="0" borderId="0"/>
    <xf numFmtId="38" fontId="81" fillId="0" borderId="0"/>
    <xf numFmtId="0" fontId="82" fillId="0" borderId="0"/>
    <xf numFmtId="0" fontId="82" fillId="0" borderId="0"/>
    <xf numFmtId="0" fontId="62" fillId="5" borderId="0">
      <alignment horizontal="right" vertical="center"/>
    </xf>
    <xf numFmtId="165" fontId="4" fillId="0" borderId="0" applyFont="0" applyFill="0" applyBorder="0" applyAlignment="0" applyProtection="0"/>
    <xf numFmtId="195" fontId="6" fillId="0" borderId="0" applyFont="0" applyFill="0" applyBorder="0" applyAlignment="0" applyProtection="0"/>
    <xf numFmtId="49" fontId="83" fillId="28" borderId="0">
      <alignment horizontal="centerContinuous" vertical="center"/>
    </xf>
    <xf numFmtId="0" fontId="84" fillId="0" borderId="0"/>
    <xf numFmtId="0" fontId="56" fillId="0" borderId="0">
      <alignment horizontal="left"/>
    </xf>
    <xf numFmtId="0" fontId="10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6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7" fillId="27" borderId="0">
      <alignment horizontal="left" vertical="top" wrapText="1"/>
    </xf>
    <xf numFmtId="10" fontId="53" fillId="0" borderId="10"/>
    <xf numFmtId="10" fontId="53" fillId="0" borderId="10"/>
    <xf numFmtId="10" fontId="53" fillId="0" borderId="10"/>
    <xf numFmtId="10" fontId="53" fillId="0" borderId="10"/>
    <xf numFmtId="49" fontId="88" fillId="0" borderId="11" applyFill="0" applyProtection="0">
      <alignment vertical="center"/>
    </xf>
    <xf numFmtId="0" fontId="56" fillId="0" borderId="0"/>
    <xf numFmtId="0" fontId="89" fillId="0" borderId="0"/>
    <xf numFmtId="9" fontId="57" fillId="0" borderId="0" applyFont="0" applyFill="0" applyBorder="0" applyAlignment="0" applyProtection="0"/>
    <xf numFmtId="0" fontId="90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91" fillId="0" borderId="0" applyFont="0" applyFill="0" applyBorder="0" applyAlignment="0" applyProtection="0"/>
    <xf numFmtId="0" fontId="92" fillId="0" borderId="0" applyFont="0" applyFill="0" applyBorder="0" applyAlignment="0" applyProtection="0">
      <alignment horizontal="center"/>
    </xf>
    <xf numFmtId="0" fontId="92" fillId="0" borderId="0" applyFont="0" applyFill="0" applyBorder="0" applyAlignment="0" applyProtection="0">
      <alignment horizontal="center"/>
    </xf>
    <xf numFmtId="0" fontId="92" fillId="0" borderId="0" applyFont="0" applyFill="0" applyBorder="0" applyAlignment="0" applyProtection="0">
      <alignment horizontal="center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93" fillId="0" borderId="11"/>
    <xf numFmtId="10" fontId="56" fillId="0" borderId="1"/>
    <xf numFmtId="10" fontId="6" fillId="0" borderId="0"/>
    <xf numFmtId="2" fontId="53" fillId="0" borderId="0">
      <alignment horizontal="right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0"/>
    <xf numFmtId="0" fontId="94" fillId="0" borderId="13">
      <protection locked="0"/>
    </xf>
    <xf numFmtId="0" fontId="94" fillId="0" borderId="13">
      <protection locked="0"/>
    </xf>
    <xf numFmtId="0" fontId="94" fillId="0" borderId="13">
      <protection locked="0"/>
    </xf>
    <xf numFmtId="0" fontId="94" fillId="0" borderId="13">
      <protection locked="0"/>
    </xf>
    <xf numFmtId="0" fontId="94" fillId="0" borderId="13">
      <protection locked="0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5" fillId="0" borderId="0">
      <alignment horizontal="center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94" fillId="0" borderId="13">
      <alignment horizontal="centerContinuous"/>
    </xf>
    <xf numFmtId="0" fontId="8" fillId="29" borderId="17" applyNumberFormat="0" applyProtection="0">
      <alignment horizontal="left" vertical="center" indent="1"/>
    </xf>
    <xf numFmtId="196" fontId="40" fillId="31" borderId="17" applyProtection="0">
      <alignment horizontal="right" vertical="center"/>
    </xf>
    <xf numFmtId="0" fontId="96" fillId="30" borderId="0" applyNumberFormat="0" applyFont="0" applyBorder="0" applyAlignment="0" applyProtection="0"/>
    <xf numFmtId="0" fontId="62" fillId="28" borderId="0">
      <alignment horizontal="right" vertical="center"/>
    </xf>
    <xf numFmtId="0" fontId="6" fillId="0" borderId="0"/>
    <xf numFmtId="0" fontId="6" fillId="0" borderId="0"/>
    <xf numFmtId="0" fontId="40" fillId="0" borderId="0" applyNumberFormat="0" applyBorder="0" applyAlignment="0"/>
    <xf numFmtId="0" fontId="41" fillId="0" borderId="0" applyNumberFormat="0" applyBorder="0" applyAlignment="0"/>
    <xf numFmtId="0" fontId="42" fillId="0" borderId="0" applyNumberFormat="0" applyBorder="0" applyAlignment="0"/>
    <xf numFmtId="0" fontId="42" fillId="0" borderId="0" applyNumberFormat="0" applyBorder="0" applyAlignment="0"/>
    <xf numFmtId="0" fontId="43" fillId="0" borderId="0" applyNumberFormat="0" applyBorder="0" applyAlignment="0"/>
    <xf numFmtId="0" fontId="44" fillId="10" borderId="0" applyNumberFormat="0" applyBorder="0" applyAlignment="0"/>
    <xf numFmtId="0" fontId="45" fillId="10" borderId="0" applyNumberFormat="0" applyBorder="0" applyAlignment="0"/>
    <xf numFmtId="0" fontId="46" fillId="0" borderId="0" applyNumberFormat="0" applyBorder="0" applyAlignment="0"/>
    <xf numFmtId="0" fontId="46" fillId="0" borderId="0" applyNumberFormat="0" applyBorder="0" applyAlignment="0"/>
    <xf numFmtId="0" fontId="55" fillId="0" borderId="11">
      <alignment horizontal="center"/>
    </xf>
    <xf numFmtId="0" fontId="55" fillId="0" borderId="11">
      <alignment horizontal="center"/>
    </xf>
    <xf numFmtId="0" fontId="55" fillId="0" borderId="11">
      <alignment horizontal="center"/>
    </xf>
    <xf numFmtId="0" fontId="55" fillId="0" borderId="11">
      <alignment horizontal="center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Continuous"/>
    </xf>
    <xf numFmtId="0" fontId="55" fillId="0" borderId="11">
      <alignment horizontal="center"/>
    </xf>
    <xf numFmtId="0" fontId="13" fillId="27" borderId="0"/>
    <xf numFmtId="0" fontId="7" fillId="27" borderId="0">
      <alignment horizontal="left"/>
    </xf>
    <xf numFmtId="0" fontId="7" fillId="27" borderId="0">
      <alignment horizontal="left" indent="1"/>
    </xf>
    <xf numFmtId="0" fontId="7" fillId="27" borderId="0">
      <alignment horizontal="left" vertical="center" indent="2"/>
    </xf>
    <xf numFmtId="0" fontId="97" fillId="0" borderId="18" applyNumberFormat="0" applyFill="0" applyBorder="0" applyAlignment="0" applyProtection="0">
      <alignment horizontal="left"/>
    </xf>
    <xf numFmtId="0" fontId="57" fillId="0" borderId="19" applyNumberFormat="0" applyFont="0" applyFill="0" applyAlignment="0" applyProtection="0"/>
    <xf numFmtId="0" fontId="98" fillId="0" borderId="0"/>
    <xf numFmtId="1" fontId="99" fillId="0" borderId="11">
      <alignment horizontal="center"/>
    </xf>
    <xf numFmtId="197" fontId="53" fillId="0" borderId="0" applyFont="0" applyFill="0" applyBorder="0" applyAlignment="0" applyProtection="0">
      <alignment horizontal="right" vertical="center"/>
    </xf>
    <xf numFmtId="0" fontId="6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10" fillId="0" borderId="0"/>
  </cellStyleXfs>
  <cellXfs count="121">
    <xf numFmtId="179" fontId="0" fillId="0" borderId="0" xfId="0"/>
    <xf numFmtId="2" fontId="14" fillId="2" borderId="0" xfId="0" applyNumberFormat="1" applyFont="1" applyFill="1" applyBorder="1" applyAlignment="1">
      <alignment horizontal="center" vertical="center"/>
    </xf>
    <xf numFmtId="179" fontId="17" fillId="2" borderId="0" xfId="0" applyFont="1" applyFill="1" applyBorder="1" applyAlignment="1">
      <alignment horizontal="left" vertical="center" wrapText="1"/>
    </xf>
    <xf numFmtId="167" fontId="17" fillId="2" borderId="0" xfId="0" applyNumberFormat="1" applyFont="1" applyFill="1" applyBorder="1" applyAlignment="1">
      <alignment vertical="center"/>
    </xf>
    <xf numFmtId="0" fontId="17" fillId="0" borderId="0" xfId="0" applyNumberFormat="1" applyFont="1" applyFill="1" applyBorder="1" applyAlignment="1">
      <alignment horizontal="center" vertical="center" wrapText="1"/>
    </xf>
    <xf numFmtId="179" fontId="17" fillId="34" borderId="0" xfId="0" applyFont="1" applyFill="1" applyBorder="1" applyAlignment="1">
      <alignment vertical="center"/>
    </xf>
    <xf numFmtId="179" fontId="17" fillId="32" borderId="0" xfId="0" applyFont="1" applyFill="1" applyBorder="1" applyAlignment="1">
      <alignment vertical="center"/>
    </xf>
    <xf numFmtId="198" fontId="17" fillId="33" borderId="0" xfId="0" applyNumberFormat="1" applyFont="1" applyFill="1" applyBorder="1" applyAlignment="1">
      <alignment vertical="center"/>
    </xf>
    <xf numFmtId="179" fontId="17" fillId="0" borderId="0" xfId="0" applyFont="1" applyBorder="1" applyAlignment="1">
      <alignment vertical="center"/>
    </xf>
    <xf numFmtId="179" fontId="17" fillId="0" borderId="0" xfId="0" applyFont="1" applyFill="1" applyBorder="1" applyAlignment="1">
      <alignment vertical="center"/>
    </xf>
    <xf numFmtId="179" fontId="17" fillId="0" borderId="0" xfId="0" applyFont="1" applyAlignment="1">
      <alignment vertical="center" wrapText="1"/>
    </xf>
    <xf numFmtId="0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NumberFormat="1" applyFont="1" applyFill="1" applyBorder="1" applyAlignment="1">
      <alignment vertical="center" wrapText="1"/>
    </xf>
    <xf numFmtId="0" fontId="100" fillId="4" borderId="0" xfId="0" applyNumberFormat="1" applyFont="1" applyFill="1" applyBorder="1" applyAlignment="1">
      <alignment horizontal="left" vertical="center" wrapText="1"/>
    </xf>
    <xf numFmtId="198" fontId="17" fillId="4" borderId="0" xfId="0" applyNumberFormat="1" applyFont="1" applyFill="1" applyBorder="1" applyAlignment="1">
      <alignment horizontal="left" vertical="center" wrapText="1"/>
    </xf>
    <xf numFmtId="0" fontId="17" fillId="0" borderId="0" xfId="0" applyNumberFormat="1" applyFont="1" applyFill="1" applyBorder="1" applyAlignment="1">
      <alignment vertical="center"/>
    </xf>
    <xf numFmtId="198" fontId="100" fillId="4" borderId="0" xfId="0" applyNumberFormat="1" applyFont="1" applyFill="1" applyBorder="1" applyAlignment="1">
      <alignment vertical="center"/>
    </xf>
    <xf numFmtId="198" fontId="17" fillId="4" borderId="0" xfId="0" applyNumberFormat="1" applyFont="1" applyFill="1" applyBorder="1" applyAlignment="1">
      <alignment vertical="center"/>
    </xf>
    <xf numFmtId="198" fontId="17" fillId="0" borderId="0" xfId="0" applyNumberFormat="1" applyFont="1" applyFill="1" applyBorder="1" applyAlignment="1">
      <alignment vertical="center"/>
    </xf>
    <xf numFmtId="198" fontId="17" fillId="33" borderId="0" xfId="0" applyNumberFormat="1" applyFont="1" applyFill="1" applyBorder="1" applyAlignment="1">
      <alignment horizontal="left" vertical="center" wrapText="1"/>
    </xf>
    <xf numFmtId="179" fontId="17" fillId="2" borderId="0" xfId="0" applyFont="1" applyFill="1" applyBorder="1" applyAlignment="1">
      <alignment horizontal="center" vertical="center" wrapText="1"/>
    </xf>
    <xf numFmtId="167" fontId="17" fillId="0" borderId="0" xfId="0" applyNumberFormat="1" applyFont="1" applyFill="1" applyBorder="1" applyAlignment="1">
      <alignment vertical="center"/>
    </xf>
    <xf numFmtId="0" fontId="16" fillId="26" borderId="12" xfId="3" applyNumberFormat="1" applyFont="1" applyFill="1" applyBorder="1" applyAlignment="1" applyProtection="1">
      <alignment horizontal="center" vertical="center" wrapText="1"/>
    </xf>
    <xf numFmtId="0" fontId="16" fillId="26" borderId="0" xfId="3" applyNumberFormat="1" applyFont="1" applyFill="1" applyBorder="1" applyAlignment="1" applyProtection="1">
      <alignment horizontal="center" vertical="center" wrapText="1"/>
    </xf>
    <xf numFmtId="179" fontId="0" fillId="0" borderId="0" xfId="0" applyAlignment="1">
      <alignment vertical="center" wrapText="1"/>
    </xf>
    <xf numFmtId="179" fontId="6" fillId="0" borderId="0" xfId="0" applyFont="1" applyAlignment="1">
      <alignment vertical="center" wrapText="1"/>
    </xf>
    <xf numFmtId="0" fontId="6" fillId="6" borderId="0" xfId="0" applyNumberFormat="1" applyFont="1" applyFill="1" applyBorder="1" applyAlignment="1">
      <alignment vertical="center" wrapText="1"/>
    </xf>
    <xf numFmtId="0" fontId="0" fillId="0" borderId="0" xfId="0" applyNumberFormat="1" applyBorder="1" applyAlignment="1">
      <alignment vertical="center" wrapText="1"/>
    </xf>
    <xf numFmtId="0" fontId="0" fillId="0" borderId="0" xfId="0" applyNumberFormat="1" applyBorder="1" applyAlignment="1">
      <alignment horizontal="right" vertical="center" wrapText="1"/>
    </xf>
    <xf numFmtId="0" fontId="6" fillId="0" borderId="0" xfId="0" applyNumberFormat="1" applyFont="1" applyBorder="1" applyAlignment="1">
      <alignment vertical="center" wrapText="1"/>
    </xf>
    <xf numFmtId="179" fontId="0" fillId="0" borderId="0" xfId="0" applyFont="1" applyAlignment="1">
      <alignment vertical="center" wrapText="1"/>
    </xf>
    <xf numFmtId="49" fontId="17" fillId="0" borderId="0" xfId="0" applyNumberFormat="1" applyFont="1" applyAlignment="1">
      <alignment vertical="center" wrapText="1"/>
    </xf>
    <xf numFmtId="179" fontId="6" fillId="0" borderId="0" xfId="0" applyFont="1" applyAlignment="1">
      <alignment vertical="center"/>
    </xf>
    <xf numFmtId="179" fontId="102" fillId="0" borderId="0" xfId="0" applyFont="1" applyBorder="1" applyAlignment="1">
      <alignment vertical="center" wrapText="1"/>
    </xf>
    <xf numFmtId="179" fontId="17" fillId="34" borderId="0" xfId="0" applyFont="1" applyFill="1" applyBorder="1" applyAlignment="1">
      <alignment vertical="center" wrapText="1"/>
    </xf>
    <xf numFmtId="179" fontId="6" fillId="34" borderId="0" xfId="0" applyFont="1" applyFill="1" applyAlignment="1">
      <alignment vertical="center" wrapText="1"/>
    </xf>
    <xf numFmtId="179" fontId="0" fillId="34" borderId="0" xfId="0" applyFill="1" applyAlignment="1">
      <alignment vertical="center" wrapText="1"/>
    </xf>
    <xf numFmtId="0" fontId="103" fillId="0" borderId="0" xfId="0" applyNumberFormat="1" applyFont="1" applyFill="1" applyBorder="1" applyAlignment="1">
      <alignment vertical="center" wrapText="1"/>
    </xf>
    <xf numFmtId="0" fontId="105" fillId="0" borderId="0" xfId="0" applyNumberFormat="1" applyFont="1" applyFill="1" applyBorder="1" applyAlignment="1">
      <alignment vertical="center" wrapText="1"/>
    </xf>
    <xf numFmtId="179" fontId="105" fillId="37" borderId="0" xfId="0" applyFont="1" applyFill="1" applyBorder="1" applyAlignment="1">
      <alignment vertical="center"/>
    </xf>
    <xf numFmtId="179" fontId="106" fillId="38" borderId="0" xfId="0" applyFont="1" applyFill="1" applyBorder="1" applyAlignment="1">
      <alignment vertical="center"/>
    </xf>
    <xf numFmtId="179" fontId="17" fillId="0" borderId="0" xfId="0" applyFont="1" applyFill="1" applyBorder="1" applyAlignment="1">
      <alignment vertical="center" wrapText="1"/>
    </xf>
    <xf numFmtId="179" fontId="17" fillId="0" borderId="0" xfId="0" applyFont="1" applyBorder="1" applyAlignment="1">
      <alignment vertical="center" wrapText="1"/>
    </xf>
    <xf numFmtId="179" fontId="102" fillId="0" borderId="0" xfId="0" applyFont="1" applyFill="1" applyBorder="1" applyAlignment="1">
      <alignment vertical="center" wrapText="1"/>
    </xf>
    <xf numFmtId="179" fontId="17" fillId="0" borderId="0" xfId="0" applyFont="1" applyFill="1" applyBorder="1" applyAlignment="1">
      <alignment horizontal="left" vertical="center" wrapText="1"/>
    </xf>
    <xf numFmtId="167" fontId="14" fillId="0" borderId="0" xfId="0" applyNumberFormat="1" applyFont="1" applyFill="1" applyBorder="1" applyAlignment="1">
      <alignment horizontal="right" vertical="center"/>
    </xf>
    <xf numFmtId="179" fontId="103" fillId="0" borderId="0" xfId="0" applyFont="1" applyFill="1" applyBorder="1" applyAlignment="1">
      <alignment vertical="center"/>
    </xf>
    <xf numFmtId="179" fontId="107" fillId="0" borderId="0" xfId="0" applyFont="1" applyFill="1" applyBorder="1" applyAlignment="1">
      <alignment vertical="center"/>
    </xf>
    <xf numFmtId="179" fontId="109" fillId="0" borderId="0" xfId="0" applyFont="1" applyFill="1" applyBorder="1" applyAlignment="1">
      <alignment horizontal="center" vertical="center" wrapText="1"/>
    </xf>
    <xf numFmtId="2" fontId="17" fillId="2" borderId="0" xfId="0" applyNumberFormat="1" applyFont="1" applyFill="1" applyBorder="1" applyAlignment="1">
      <alignment horizontal="center" vertical="center"/>
    </xf>
    <xf numFmtId="179" fontId="110" fillId="0" borderId="0" xfId="0" applyFont="1" applyFill="1" applyBorder="1" applyAlignment="1">
      <alignment horizontal="left" vertical="center" wrapText="1"/>
    </xf>
    <xf numFmtId="167" fontId="110" fillId="0" borderId="0" xfId="0" applyNumberFormat="1" applyFont="1" applyFill="1" applyBorder="1" applyAlignment="1">
      <alignment vertical="center"/>
    </xf>
    <xf numFmtId="179" fontId="101" fillId="39" borderId="0" xfId="0" applyFont="1" applyFill="1" applyBorder="1" applyAlignment="1">
      <alignment horizontal="left" vertical="center" wrapText="1"/>
    </xf>
    <xf numFmtId="167" fontId="101" fillId="39" borderId="0" xfId="0" applyNumberFormat="1" applyFont="1" applyFill="1" applyBorder="1" applyAlignment="1">
      <alignment vertical="center"/>
    </xf>
    <xf numFmtId="179" fontId="6" fillId="0" borderId="0" xfId="0" applyFont="1" applyBorder="1"/>
    <xf numFmtId="179" fontId="111" fillId="37" borderId="0" xfId="0" applyFont="1" applyFill="1" applyBorder="1" applyAlignment="1">
      <alignment vertical="center"/>
    </xf>
    <xf numFmtId="0" fontId="111" fillId="0" borderId="0" xfId="0" applyNumberFormat="1" applyFont="1" applyFill="1" applyBorder="1" applyAlignment="1">
      <alignment vertical="center" wrapText="1"/>
    </xf>
    <xf numFmtId="179" fontId="112" fillId="38" borderId="0" xfId="0" applyFont="1" applyFill="1" applyBorder="1" applyAlignment="1">
      <alignment vertical="center"/>
    </xf>
    <xf numFmtId="0" fontId="113" fillId="0" borderId="0" xfId="0" applyNumberFormat="1" applyFont="1" applyFill="1" applyBorder="1" applyAlignment="1">
      <alignment vertical="center" wrapText="1"/>
    </xf>
    <xf numFmtId="179" fontId="114" fillId="0" borderId="0" xfId="0" applyFont="1" applyBorder="1" applyAlignment="1">
      <alignment vertical="center"/>
    </xf>
    <xf numFmtId="179" fontId="106" fillId="3" borderId="0" xfId="0" applyFont="1" applyFill="1" applyBorder="1" applyAlignment="1">
      <alignment vertical="center"/>
    </xf>
    <xf numFmtId="179" fontId="115" fillId="37" borderId="0" xfId="0" applyFont="1" applyFill="1" applyBorder="1" applyAlignment="1">
      <alignment vertical="center"/>
    </xf>
    <xf numFmtId="179" fontId="14" fillId="0" borderId="0" xfId="0" applyFont="1" applyFill="1" applyBorder="1" applyAlignment="1">
      <alignment vertical="center"/>
    </xf>
    <xf numFmtId="179" fontId="14" fillId="2" borderId="0" xfId="0" applyFont="1" applyFill="1" applyBorder="1" applyAlignment="1">
      <alignment horizontal="left" vertical="center" wrapText="1"/>
    </xf>
    <xf numFmtId="167" fontId="14" fillId="0" borderId="0" xfId="0" applyNumberFormat="1" applyFont="1" applyFill="1" applyBorder="1" applyAlignment="1">
      <alignment vertical="center"/>
    </xf>
    <xf numFmtId="179" fontId="14" fillId="0" borderId="0" xfId="0" applyFont="1" applyBorder="1" applyAlignment="1">
      <alignment vertical="center"/>
    </xf>
    <xf numFmtId="179" fontId="117" fillId="0" borderId="0" xfId="0" applyFont="1" applyAlignment="1">
      <alignment vertical="center"/>
    </xf>
    <xf numFmtId="179" fontId="118" fillId="35" borderId="0" xfId="0" applyFont="1" applyFill="1" applyBorder="1" applyAlignment="1">
      <alignment vertical="center"/>
    </xf>
    <xf numFmtId="179" fontId="118" fillId="0" borderId="0" xfId="0" applyFont="1" applyAlignment="1">
      <alignment vertical="center"/>
    </xf>
    <xf numFmtId="179" fontId="119" fillId="0" borderId="0" xfId="0" applyFont="1"/>
    <xf numFmtId="0" fontId="118" fillId="0" borderId="0" xfId="0" applyNumberFormat="1" applyFont="1" applyAlignment="1">
      <alignment vertical="center"/>
    </xf>
    <xf numFmtId="179" fontId="118" fillId="0" borderId="0" xfId="0" applyFont="1" applyAlignment="1">
      <alignment horizontal="right" vertical="center"/>
    </xf>
    <xf numFmtId="179" fontId="120" fillId="0" borderId="0" xfId="0" applyFont="1" applyFill="1" applyAlignment="1">
      <alignment horizontal="left"/>
    </xf>
    <xf numFmtId="179" fontId="118" fillId="35" borderId="0" xfId="0" applyFont="1" applyFill="1" applyBorder="1"/>
    <xf numFmtId="179" fontId="118" fillId="0" borderId="0" xfId="0" applyFont="1" applyFill="1"/>
    <xf numFmtId="0" fontId="121" fillId="40" borderId="12" xfId="3" applyNumberFormat="1" applyFont="1" applyFill="1" applyBorder="1" applyAlignment="1" applyProtection="1">
      <alignment horizontal="center" vertical="center"/>
    </xf>
    <xf numFmtId="179" fontId="122" fillId="0" borderId="0" xfId="0" applyFont="1" applyAlignment="1">
      <alignment vertical="center"/>
    </xf>
    <xf numFmtId="179" fontId="123" fillId="35" borderId="0" xfId="0" applyFont="1" applyFill="1" applyBorder="1" applyAlignment="1">
      <alignment vertical="center"/>
    </xf>
    <xf numFmtId="179" fontId="123" fillId="0" borderId="0" xfId="0" applyFont="1" applyAlignment="1">
      <alignment vertical="center"/>
    </xf>
    <xf numFmtId="198" fontId="105" fillId="4" borderId="0" xfId="0" applyNumberFormat="1" applyFont="1" applyFill="1" applyBorder="1" applyAlignment="1">
      <alignment horizontal="center" vertical="center" wrapText="1"/>
    </xf>
    <xf numFmtId="179" fontId="125" fillId="0" borderId="0" xfId="0" applyFont="1" applyBorder="1" applyAlignment="1">
      <alignment vertical="center"/>
    </xf>
    <xf numFmtId="179" fontId="125" fillId="0" borderId="0" xfId="0" applyFont="1" applyFill="1" applyBorder="1" applyAlignment="1">
      <alignment vertical="center"/>
    </xf>
    <xf numFmtId="179" fontId="126" fillId="0" borderId="0" xfId="0" applyFont="1" applyFill="1" applyBorder="1" applyAlignment="1">
      <alignment horizontal="center" vertical="center" wrapText="1"/>
    </xf>
    <xf numFmtId="179" fontId="127" fillId="7" borderId="0" xfId="0" applyFont="1" applyFill="1" applyBorder="1" applyAlignment="1">
      <alignment horizontal="centerContinuous" vertical="center" wrapText="1"/>
    </xf>
    <xf numFmtId="179" fontId="116" fillId="38" borderId="0" xfId="0" applyFont="1" applyFill="1" applyBorder="1" applyAlignment="1">
      <alignment vertical="center"/>
    </xf>
    <xf numFmtId="168" fontId="14" fillId="0" borderId="0" xfId="5" applyNumberFormat="1" applyFont="1" applyFill="1" applyBorder="1" applyAlignment="1">
      <alignment vertical="center"/>
    </xf>
    <xf numFmtId="168" fontId="14" fillId="0" borderId="0" xfId="5" applyNumberFormat="1" applyFont="1" applyFill="1" applyBorder="1" applyAlignment="1">
      <alignment horizontal="left" vertical="center" wrapText="1"/>
    </xf>
    <xf numFmtId="168" fontId="14" fillId="0" borderId="0" xfId="5" applyNumberFormat="1" applyFont="1" applyFill="1" applyBorder="1" applyAlignment="1">
      <alignment horizontal="right" vertical="center"/>
    </xf>
    <xf numFmtId="198" fontId="17" fillId="38" borderId="0" xfId="0" applyNumberFormat="1" applyFont="1" applyFill="1" applyBorder="1" applyAlignment="1">
      <alignment horizontal="left" vertical="center" wrapText="1"/>
    </xf>
    <xf numFmtId="198" fontId="17" fillId="38" borderId="0" xfId="0" applyNumberFormat="1" applyFont="1" applyFill="1" applyBorder="1" applyAlignment="1">
      <alignment vertical="center"/>
    </xf>
    <xf numFmtId="179" fontId="108" fillId="41" borderId="0" xfId="0" applyFont="1" applyFill="1" applyBorder="1" applyAlignment="1">
      <alignment vertical="center"/>
    </xf>
    <xf numFmtId="49" fontId="121" fillId="40" borderId="12" xfId="3" applyNumberFormat="1" applyFont="1" applyFill="1" applyBorder="1" applyAlignment="1" applyProtection="1">
      <alignment horizontal="center" vertical="center"/>
    </xf>
    <xf numFmtId="179" fontId="128" fillId="0" borderId="0" xfId="0" applyFont="1" applyFill="1" applyBorder="1" applyAlignment="1">
      <alignment vertical="center"/>
    </xf>
    <xf numFmtId="179" fontId="104" fillId="36" borderId="0" xfId="0" applyFont="1" applyFill="1" applyBorder="1" applyAlignment="1">
      <alignment horizontal="centerContinuous" vertical="center"/>
    </xf>
    <xf numFmtId="179" fontId="128" fillId="0" borderId="0" xfId="0" applyFont="1" applyBorder="1" applyAlignment="1">
      <alignment vertical="center"/>
    </xf>
    <xf numFmtId="179" fontId="127" fillId="7" borderId="0" xfId="0" applyFont="1" applyFill="1" applyBorder="1" applyAlignment="1">
      <alignment vertical="center" wrapText="1"/>
    </xf>
    <xf numFmtId="198" fontId="130" fillId="4" borderId="0" xfId="0" applyNumberFormat="1" applyFont="1" applyFill="1" applyBorder="1" applyAlignment="1">
      <alignment horizontal="center" vertical="center" wrapText="1"/>
    </xf>
    <xf numFmtId="179" fontId="131" fillId="0" borderId="0" xfId="0" applyFont="1" applyBorder="1" applyAlignment="1">
      <alignment vertical="center"/>
    </xf>
    <xf numFmtId="179" fontId="131" fillId="0" borderId="0" xfId="0" applyFont="1" applyBorder="1" applyAlignment="1">
      <alignment vertical="center" wrapText="1"/>
    </xf>
    <xf numFmtId="179" fontId="132" fillId="36" borderId="0" xfId="0" applyFont="1" applyFill="1" applyBorder="1" applyAlignment="1">
      <alignment horizontal="centerContinuous" vertical="center"/>
    </xf>
    <xf numFmtId="0" fontId="131" fillId="0" borderId="0" xfId="0" applyNumberFormat="1" applyFont="1" applyFill="1" applyBorder="1" applyAlignment="1">
      <alignment horizontal="center" vertical="center" wrapText="1"/>
    </xf>
    <xf numFmtId="198" fontId="131" fillId="38" borderId="0" xfId="0" applyNumberFormat="1" applyFont="1" applyFill="1" applyBorder="1" applyAlignment="1">
      <alignment horizontal="left" vertical="center" wrapText="1"/>
    </xf>
    <xf numFmtId="2" fontId="131" fillId="2" borderId="0" xfId="0" applyNumberFormat="1" applyFont="1" applyFill="1" applyBorder="1" applyAlignment="1">
      <alignment horizontal="center" vertical="center"/>
    </xf>
    <xf numFmtId="179" fontId="133" fillId="41" borderId="0" xfId="0" applyFont="1" applyFill="1" applyBorder="1" applyAlignment="1">
      <alignment vertical="center"/>
    </xf>
    <xf numFmtId="167" fontId="134" fillId="0" borderId="0" xfId="0" applyNumberFormat="1" applyFont="1" applyFill="1" applyBorder="1" applyAlignment="1">
      <alignment vertical="center"/>
    </xf>
    <xf numFmtId="167" fontId="131" fillId="39" borderId="0" xfId="0" applyNumberFormat="1" applyFont="1" applyFill="1" applyBorder="1" applyAlignment="1">
      <alignment vertical="center"/>
    </xf>
    <xf numFmtId="167" fontId="131" fillId="0" borderId="0" xfId="0" applyNumberFormat="1" applyFont="1" applyFill="1" applyBorder="1" applyAlignment="1">
      <alignment vertical="center"/>
    </xf>
    <xf numFmtId="168" fontId="131" fillId="0" borderId="0" xfId="5" applyNumberFormat="1" applyFont="1" applyFill="1" applyBorder="1" applyAlignment="1">
      <alignment horizontal="right" vertical="center"/>
    </xf>
    <xf numFmtId="167" fontId="131" fillId="2" borderId="0" xfId="0" applyNumberFormat="1" applyFont="1" applyFill="1" applyBorder="1" applyAlignment="1">
      <alignment vertical="center"/>
    </xf>
    <xf numFmtId="167" fontId="14" fillId="0" borderId="21" xfId="0" applyNumberFormat="1" applyFont="1" applyFill="1" applyBorder="1" applyAlignment="1">
      <alignment vertical="center"/>
    </xf>
    <xf numFmtId="167" fontId="14" fillId="0" borderId="22" xfId="0" applyNumberFormat="1" applyFont="1" applyFill="1" applyBorder="1" applyAlignment="1">
      <alignment vertical="center"/>
    </xf>
    <xf numFmtId="167" fontId="14" fillId="0" borderId="23" xfId="0" applyNumberFormat="1" applyFont="1" applyFill="1" applyBorder="1" applyAlignment="1">
      <alignment vertical="center"/>
    </xf>
    <xf numFmtId="179" fontId="14" fillId="0" borderId="20" xfId="0" applyFont="1" applyFill="1" applyBorder="1" applyAlignment="1">
      <alignment horizontal="left" vertical="center" wrapText="1"/>
    </xf>
    <xf numFmtId="179" fontId="103" fillId="0" borderId="0" xfId="0" applyFont="1" applyFill="1"/>
    <xf numFmtId="0" fontId="135" fillId="0" borderId="0" xfId="0" applyNumberFormat="1" applyFont="1" applyAlignment="1">
      <alignment horizontal="center" vertical="center"/>
    </xf>
    <xf numFmtId="0" fontId="136" fillId="42" borderId="0" xfId="3" applyNumberFormat="1" applyFont="1" applyFill="1" applyBorder="1" applyAlignment="1" applyProtection="1">
      <alignment horizontal="center" vertical="center"/>
    </xf>
    <xf numFmtId="179" fontId="124" fillId="36" borderId="0" xfId="0" applyFont="1" applyFill="1" applyBorder="1" applyAlignment="1">
      <alignment horizontal="center" vertical="center"/>
    </xf>
    <xf numFmtId="179" fontId="6" fillId="34" borderId="0" xfId="0" applyFont="1" applyFill="1" applyAlignment="1">
      <alignment horizontal="center" vertical="center" textRotation="255" wrapText="1"/>
    </xf>
    <xf numFmtId="179" fontId="6" fillId="34" borderId="0" xfId="0" applyFont="1" applyFill="1" applyAlignment="1">
      <alignment horizontal="center" vertical="center" wrapText="1"/>
    </xf>
    <xf numFmtId="179" fontId="127" fillId="7" borderId="0" xfId="0" applyFont="1" applyFill="1" applyBorder="1" applyAlignment="1">
      <alignment horizontal="center" vertical="center" wrapText="1"/>
    </xf>
    <xf numFmtId="179" fontId="129" fillId="7" borderId="0" xfId="0" applyFont="1" applyFill="1" applyBorder="1" applyAlignment="1">
      <alignment horizontal="center" vertical="center" wrapText="1"/>
    </xf>
  </cellXfs>
  <cellStyles count="447">
    <cellStyle name="$   0,000" xfId="71"/>
    <cellStyle name="%" xfId="72"/>
    <cellStyle name="%0" xfId="73"/>
    <cellStyle name="%1" xfId="74"/>
    <cellStyle name="%2" xfId="75"/>
    <cellStyle name="£ BP" xfId="76"/>
    <cellStyle name="¥ JY" xfId="77"/>
    <cellStyle name="0" xfId="78"/>
    <cellStyle name="0,000" xfId="79"/>
    <cellStyle name="0.00" xfId="80"/>
    <cellStyle name="0.00%" xfId="81"/>
    <cellStyle name="0.0x" xfId="82"/>
    <cellStyle name="0_Actualisation provision contrat déficitaire SNCM 2010 V Def" xfId="83"/>
    <cellStyle name="0_Actualisation provision contrat déficitaire SNCM 2011 V3 30 05 2011" xfId="84"/>
    <cellStyle name="0_PPA SNCM - présentation CAC 28 06 2011" xfId="85"/>
    <cellStyle name="0_Simul location facturée par Trenitalia" xfId="86"/>
    <cellStyle name="20% - Accent1" xfId="7"/>
    <cellStyle name="20% - Accent2" xfId="8"/>
    <cellStyle name="20% - Accent3" xfId="9"/>
    <cellStyle name="20% - Accent4" xfId="10"/>
    <cellStyle name="20% - Accent5" xfId="11"/>
    <cellStyle name="20% - Accent6" xfId="12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60% - Accent1" xfId="19"/>
    <cellStyle name="60% - Accent2" xfId="20"/>
    <cellStyle name="60% - Accent3" xfId="21"/>
    <cellStyle name="60% - Accent4" xfId="22"/>
    <cellStyle name="60% - Accent5" xfId="23"/>
    <cellStyle name="60% - Accent6" xfId="24"/>
    <cellStyle name="at" xfId="87"/>
    <cellStyle name="b" xfId="88"/>
    <cellStyle name="b%0" xfId="89"/>
    <cellStyle name="b%1" xfId="90"/>
    <cellStyle name="b%2" xfId="91"/>
    <cellStyle name="b_Actualisation provision contrat déficitaire SNCM 2010 V Def" xfId="92"/>
    <cellStyle name="b_Actualisation provision contrat déficitaire SNCM 2011 V3 30 05 2011" xfId="93"/>
    <cellStyle name="b_LI819L_B13" xfId="94"/>
    <cellStyle name="b_PAO-CAF-RESOP_14_01_13 à 20h" xfId="95"/>
    <cellStyle name="b0" xfId="96"/>
    <cellStyle name="b09" xfId="97"/>
    <cellStyle name="b1" xfId="98"/>
    <cellStyle name="b2" xfId="99"/>
    <cellStyle name="Bad" xfId="25"/>
    <cellStyle name="Black" xfId="100"/>
    <cellStyle name="blue" xfId="101"/>
    <cellStyle name="bo" xfId="102"/>
    <cellStyle name="Bold/Border" xfId="103"/>
    <cellStyle name="Bottom" xfId="104"/>
    <cellStyle name="bout" xfId="105"/>
    <cellStyle name="bt" xfId="106"/>
    <cellStyle name="btit" xfId="107"/>
    <cellStyle name="Bullet" xfId="108"/>
    <cellStyle name="c" xfId="109"/>
    <cellStyle name="c_Actualisation provision contrat déficitaire SNCM 2010 V Def" xfId="110"/>
    <cellStyle name="c_Actualisation provision contrat déficitaire SNCM 2011 V3 30 05 2011" xfId="111"/>
    <cellStyle name="c_Grouse+Pelican" xfId="112"/>
    <cellStyle name="c_LI819L_B13" xfId="113"/>
    <cellStyle name="c_Macros" xfId="114"/>
    <cellStyle name="c_Macros (2)" xfId="115"/>
    <cellStyle name="c_Macros (2)_Actualisation provision contrat déficitaire SNCM 2010 V Def" xfId="116"/>
    <cellStyle name="c_Macros (2)_Actualisation provision contrat déficitaire SNCM 2011 V3 30 05 2011" xfId="117"/>
    <cellStyle name="c_Macros (2)_LI819L_B13" xfId="118"/>
    <cellStyle name="c_Macros (2)_PAO-CAF-RESOP_14_01_13 à 20h" xfId="119"/>
    <cellStyle name="c_Macros_Actualisation provision contrat déficitaire SNCM 2010 V Def" xfId="120"/>
    <cellStyle name="c_Macros_Actualisation provision contrat déficitaire SNCM 2011 V3 30 05 2011" xfId="121"/>
    <cellStyle name="c_Macros_LI819L_B13" xfId="122"/>
    <cellStyle name="c_Macros_PAO-CAF-RESOP_14_01_13 à 20h" xfId="123"/>
    <cellStyle name="c_Manager (2)" xfId="124"/>
    <cellStyle name="c_Manager (2)_Actualisation provision contrat déficitaire SNCM 2010 V Def" xfId="125"/>
    <cellStyle name="c_Manager (2)_Actualisation provision contrat déficitaire SNCM 2011 V3 30 05 2011" xfId="126"/>
    <cellStyle name="c_Manager (2)_LI819L_B13" xfId="127"/>
    <cellStyle name="c_Manager (2)_PAO-CAF-RESOP_14_01_13 à 20h" xfId="128"/>
    <cellStyle name="c_PAO-CAF-RESOP_14_01_13 à 20h" xfId="129"/>
    <cellStyle name="c0" xfId="130"/>
    <cellStyle name="cach" xfId="131"/>
    <cellStyle name="Calculation" xfId="26"/>
    <cellStyle name="Check Cell" xfId="27"/>
    <cellStyle name="chiffre" xfId="132"/>
    <cellStyle name="co" xfId="133"/>
    <cellStyle name="Comma [1]" xfId="134"/>
    <cellStyle name="Comma [2]" xfId="135"/>
    <cellStyle name="Comma 4" xfId="136"/>
    <cellStyle name="Comma 5" xfId="137"/>
    <cellStyle name="Comma_Axmann Utopia toolbox all_in_one" xfId="138"/>
    <cellStyle name="Currency [1]" xfId="139"/>
    <cellStyle name="Currency [2]" xfId="140"/>
    <cellStyle name="Currency_Axmann Utopia toolbox all_in_one" xfId="141"/>
    <cellStyle name="Currency-Denomination" xfId="142"/>
    <cellStyle name="Dash" xfId="143"/>
    <cellStyle name="Decimal_0dp" xfId="144"/>
    <cellStyle name="Dezimal__Utopia Index Index und Guidance (Deutsch)" xfId="145"/>
    <cellStyle name="Euro" xfId="1"/>
    <cellStyle name="Euro 2" xfId="146"/>
    <cellStyle name="Explanatory Text" xfId="28"/>
    <cellStyle name="EY Narrative text" xfId="147"/>
    <cellStyle name="EY%colcalc" xfId="29"/>
    <cellStyle name="EY%colcalc 2" xfId="148"/>
    <cellStyle name="EY%input" xfId="30"/>
    <cellStyle name="EY%input 2" xfId="149"/>
    <cellStyle name="EY%rowcalc" xfId="31"/>
    <cellStyle name="EY%rowcalc 2" xfId="150"/>
    <cellStyle name="EY0dp" xfId="32"/>
    <cellStyle name="EY0dp 2" xfId="151"/>
    <cellStyle name="EY1dp" xfId="33"/>
    <cellStyle name="EY1dp 2" xfId="152"/>
    <cellStyle name="EY2dp" xfId="34"/>
    <cellStyle name="EY2dp 2" xfId="153"/>
    <cellStyle name="EY3dp" xfId="35"/>
    <cellStyle name="EY3dp 2" xfId="154"/>
    <cellStyle name="EYColumnHeading" xfId="36"/>
    <cellStyle name="EYColumnHeading 2" xfId="155"/>
    <cellStyle name="EYColumnHeading 3" xfId="156"/>
    <cellStyle name="EYColumnHeadingItalic" xfId="157"/>
    <cellStyle name="EYCoverDatabookName" xfId="158"/>
    <cellStyle name="EYCoverDate" xfId="159"/>
    <cellStyle name="EYCoverDraft" xfId="160"/>
    <cellStyle name="EYCoverProjectName" xfId="161"/>
    <cellStyle name="EYCurrency" xfId="162"/>
    <cellStyle name="EYHeading1" xfId="37"/>
    <cellStyle name="EYheading2" xfId="38"/>
    <cellStyle name="EYheading3" xfId="39"/>
    <cellStyle name="EYNotes" xfId="163"/>
    <cellStyle name="EYNotesHeading" xfId="164"/>
    <cellStyle name="EYnumber" xfId="40"/>
    <cellStyle name="EYnumber 2" xfId="165"/>
    <cellStyle name="EYSectionHeading" xfId="166"/>
    <cellStyle name="EYSheetHeader1" xfId="41"/>
    <cellStyle name="EYSheetHeading" xfId="167"/>
    <cellStyle name="EYsmallheading" xfId="168"/>
    <cellStyle name="EYSource" xfId="169"/>
    <cellStyle name="EYtext" xfId="42"/>
    <cellStyle name="EYtext 2" xfId="170"/>
    <cellStyle name="EYtext 3" xfId="171"/>
    <cellStyle name="EYtextbold" xfId="172"/>
    <cellStyle name="EYtextbolditalic" xfId="173"/>
    <cellStyle name="EYtextitalic" xfId="174"/>
    <cellStyle name="Followed Hyperlink" xfId="175"/>
    <cellStyle name="Forecast Cell Column Heading" xfId="176"/>
    <cellStyle name="FormattingSheetDelimitor" xfId="177"/>
    <cellStyle name="FRxAmtStyle" xfId="43"/>
    <cellStyle name="FRxPcntStyle" xfId="44"/>
    <cellStyle name="Good" xfId="45"/>
    <cellStyle name="h" xfId="178"/>
    <cellStyle name="Heading 1" xfId="46"/>
    <cellStyle name="Heading 2" xfId="47"/>
    <cellStyle name="Heading 3" xfId="48"/>
    <cellStyle name="Heading 4" xfId="49"/>
    <cellStyle name="Hyperlink" xfId="179"/>
    <cellStyle name="Input" xfId="50"/>
    <cellStyle name="Input 2" xfId="180"/>
    <cellStyle name="InputBlueFont" xfId="181"/>
    <cellStyle name="InputBlueFontLocked" xfId="182"/>
    <cellStyle name="KPMG Heading 1" xfId="183"/>
    <cellStyle name="KPMG Heading 2" xfId="184"/>
    <cellStyle name="KPMG Heading 3" xfId="185"/>
    <cellStyle name="KPMG Heading 4" xfId="186"/>
    <cellStyle name="KPMG Normal" xfId="187"/>
    <cellStyle name="KPMG Normal Text" xfId="188"/>
    <cellStyle name="Linked Cell" xfId="51"/>
    <cellStyle name="LTM Cell Column Heading" xfId="189"/>
    <cellStyle name="Milliers 2" xfId="190"/>
    <cellStyle name="Multiple" xfId="191"/>
    <cellStyle name="Multiple Cell Column Heading" xfId="192"/>
    <cellStyle name="Navadno 2" xfId="193"/>
    <cellStyle name="Neutral" xfId="52"/>
    <cellStyle name="no" xfId="194"/>
    <cellStyle name="No-definido" xfId="53"/>
    <cellStyle name="Non d‚fini" xfId="2"/>
    <cellStyle name="Non d‚fini 2" xfId="195"/>
    <cellStyle name="Non d‚fini_Fiche Country" xfId="446"/>
    <cellStyle name="Normal" xfId="0" builtinId="0"/>
    <cellStyle name="Normal - Style1" xfId="196"/>
    <cellStyle name="Normal - Style2" xfId="197"/>
    <cellStyle name="Normal - Style3" xfId="198"/>
    <cellStyle name="Normal - Style4" xfId="199"/>
    <cellStyle name="Normal - Style5" xfId="200"/>
    <cellStyle name="Normal - Style6" xfId="201"/>
    <cellStyle name="Normal - Style7" xfId="202"/>
    <cellStyle name="Normal - Style8" xfId="203"/>
    <cellStyle name="Normal 10" xfId="204"/>
    <cellStyle name="Normal 10 2" xfId="205"/>
    <cellStyle name="Normal 10 2 2" xfId="206"/>
    <cellStyle name="Normal 10 2 3" xfId="207"/>
    <cellStyle name="Normal 10 3" xfId="208"/>
    <cellStyle name="Normal 10 4" xfId="209"/>
    <cellStyle name="Normal 11" xfId="210"/>
    <cellStyle name="Normal 12" xfId="211"/>
    <cellStyle name="Normal 13" xfId="212"/>
    <cellStyle name="Normal 14" xfId="213"/>
    <cellStyle name="Normal 15" xfId="214"/>
    <cellStyle name="Normal 16" xfId="215"/>
    <cellStyle name="Normal 17" xfId="216"/>
    <cellStyle name="Normal 18" xfId="217"/>
    <cellStyle name="Normal 19" xfId="218"/>
    <cellStyle name="Normal 2" xfId="4"/>
    <cellStyle name="Normal 2 10" xfId="219"/>
    <cellStyle name="Normal 2 11" xfId="220"/>
    <cellStyle name="Normal 2 12" xfId="221"/>
    <cellStyle name="Normal 2 13" xfId="222"/>
    <cellStyle name="Normal 2 14" xfId="223"/>
    <cellStyle name="Normal 2 15" xfId="224"/>
    <cellStyle name="Normal 2 16" xfId="225"/>
    <cellStyle name="Normal 2 17" xfId="226"/>
    <cellStyle name="Normal 2 2" xfId="68"/>
    <cellStyle name="Normal 2 3" xfId="69"/>
    <cellStyle name="Normal 2 4" xfId="227"/>
    <cellStyle name="Normal 2 5" xfId="228"/>
    <cellStyle name="Normal 2 6" xfId="229"/>
    <cellStyle name="Normal 2 7" xfId="230"/>
    <cellStyle name="Normal 2 8" xfId="231"/>
    <cellStyle name="Normal 2 9" xfId="232"/>
    <cellStyle name="Normal 20" xfId="233"/>
    <cellStyle name="Normal 21" xfId="234"/>
    <cellStyle name="Normal 22" xfId="235"/>
    <cellStyle name="Normal 23" xfId="236"/>
    <cellStyle name="Normal 24" xfId="237"/>
    <cellStyle name="Normal 25" xfId="238"/>
    <cellStyle name="Normal 26" xfId="239"/>
    <cellStyle name="Normal 27" xfId="240"/>
    <cellStyle name="Normal 28" xfId="241"/>
    <cellStyle name="Normal 29" xfId="242"/>
    <cellStyle name="Normal 3" xfId="6"/>
    <cellStyle name="Normal 3 10" xfId="243"/>
    <cellStyle name="Normal 3 11" xfId="244"/>
    <cellStyle name="Normal 3 12" xfId="245"/>
    <cellStyle name="Normal 3 2" xfId="246"/>
    <cellStyle name="Normal 3 3" xfId="247"/>
    <cellStyle name="Normal 3 4" xfId="248"/>
    <cellStyle name="Normal 3 5" xfId="249"/>
    <cellStyle name="Normal 3 6" xfId="250"/>
    <cellStyle name="Normal 3 7" xfId="251"/>
    <cellStyle name="Normal 3 8" xfId="252"/>
    <cellStyle name="Normal 3 9" xfId="253"/>
    <cellStyle name="Normal 30" xfId="70"/>
    <cellStyle name="Normal 31" xfId="442"/>
    <cellStyle name="Normal 32" xfId="443"/>
    <cellStyle name="Normal 32 2" xfId="445"/>
    <cellStyle name="Normal 33" xfId="444"/>
    <cellStyle name="Normal 4" xfId="67"/>
    <cellStyle name="Normal 4 2" xfId="254"/>
    <cellStyle name="Normal 4 3" xfId="255"/>
    <cellStyle name="Normal 4_NBV" xfId="256"/>
    <cellStyle name="Normal 5" xfId="257"/>
    <cellStyle name="Normal 5 2" xfId="258"/>
    <cellStyle name="Normal 6" xfId="259"/>
    <cellStyle name="Normal 6 2" xfId="260"/>
    <cellStyle name="Normal 6 2 2" xfId="261"/>
    <cellStyle name="Normal 6 2 3" xfId="262"/>
    <cellStyle name="Normal 6 3" xfId="263"/>
    <cellStyle name="Normal 6 4" xfId="264"/>
    <cellStyle name="Normal 6 5" xfId="265"/>
    <cellStyle name="Normal 7" xfId="266"/>
    <cellStyle name="Normal 7 2" xfId="267"/>
    <cellStyle name="Normal 7 2 2" xfId="268"/>
    <cellStyle name="Normal 7 2 3" xfId="269"/>
    <cellStyle name="Normal 7 3" xfId="270"/>
    <cellStyle name="Normal 7 4" xfId="271"/>
    <cellStyle name="Normal 7 5" xfId="272"/>
    <cellStyle name="Normal 8" xfId="273"/>
    <cellStyle name="Normal 8 2" xfId="274"/>
    <cellStyle name="Normal 8 2 2" xfId="275"/>
    <cellStyle name="Normal 8 2 3" xfId="276"/>
    <cellStyle name="Normal 8 3" xfId="277"/>
    <cellStyle name="Normal 8 4" xfId="278"/>
    <cellStyle name="Normal 9" xfId="279"/>
    <cellStyle name="Normal 9 2" xfId="280"/>
    <cellStyle name="Normal 9 2 2" xfId="281"/>
    <cellStyle name="Normal 9 2 3" xfId="282"/>
    <cellStyle name="Normal 9 3" xfId="283"/>
    <cellStyle name="Normal 9 4" xfId="284"/>
    <cellStyle name="Normal_EBIT_EBITDA  groupe Actual 2003.12" xfId="3"/>
    <cellStyle name="Note" xfId="54"/>
    <cellStyle name="Notes_multi" xfId="285"/>
    <cellStyle name="Output" xfId="55"/>
    <cellStyle name="p" xfId="286"/>
    <cellStyle name="p_Actualisation provision contrat déficitaire SNCM 2010 V Def" xfId="287"/>
    <cellStyle name="p_Actualisation provision contrat déficitaire SNCM 2011 V3 30 05 2011" xfId="288"/>
    <cellStyle name="p_PPA SNCM - présentation CAC 28 06 2011" xfId="289"/>
    <cellStyle name="pb_page_heading_LS" xfId="290"/>
    <cellStyle name="pe" xfId="291"/>
    <cellStyle name="per" xfId="292"/>
    <cellStyle name="Percent [0]" xfId="293"/>
    <cellStyle name="Percent [1]" xfId="294"/>
    <cellStyle name="Percent [2]" xfId="295"/>
    <cellStyle name="Percent 2" xfId="296"/>
    <cellStyle name="Percent 2 2" xfId="297"/>
    <cellStyle name="Pound" xfId="298"/>
    <cellStyle name="Pound [1]" xfId="299"/>
    <cellStyle name="Pound [2]" xfId="300"/>
    <cellStyle name="Pourcentage" xfId="5" builtinId="5"/>
    <cellStyle name="Pourcentage 2" xfId="301"/>
    <cellStyle name="Pourcentage 2 2" xfId="302"/>
    <cellStyle name="Pourcentage 2 3" xfId="303"/>
    <cellStyle name="Pourcentage 2 4" xfId="304"/>
    <cellStyle name="Pourcentage 2 5" xfId="305"/>
    <cellStyle name="Pourcentage 2 6" xfId="306"/>
    <cellStyle name="Pourcentage 2 7" xfId="307"/>
    <cellStyle name="Pourcentage 2 8" xfId="308"/>
    <cellStyle name="Pourcentage 3" xfId="309"/>
    <cellStyle name="Pourcentage 4" xfId="310"/>
    <cellStyle name="Pourcentage 5" xfId="311"/>
    <cellStyle name="ptit" xfId="312"/>
    <cellStyle name="rat" xfId="313"/>
    <cellStyle name="rate" xfId="314"/>
    <cellStyle name="ratio" xfId="315"/>
    <cellStyle name="s" xfId="316"/>
    <cellStyle name="s_Actualisation provision contrat déficitaire SNCM 2010 V Def" xfId="317"/>
    <cellStyle name="s_Actualisation provision contrat déficitaire SNCM 2011 V3 30 05 2011" xfId="318"/>
    <cellStyle name="s_Assumptions" xfId="319"/>
    <cellStyle name="s_Assumptions_Actualisation provision contrat déficitaire SNCM 2010 V Def" xfId="320"/>
    <cellStyle name="s_Assumptions_Actualisation provision contrat déficitaire SNCM 2011 V3 30 05 2011" xfId="321"/>
    <cellStyle name="s_Assumptions_LI819L_B13" xfId="322"/>
    <cellStyle name="s_Assumptions_PAO-CAF-RESOP_14_01_13 à 20h" xfId="323"/>
    <cellStyle name="s_B_S_Ratios _B" xfId="324"/>
    <cellStyle name="s_B_S_Ratios _B_Actualisation provision contrat déficitaire SNCM 2010 V Def" xfId="325"/>
    <cellStyle name="s_B_S_Ratios _B_Actualisation provision contrat déficitaire SNCM 2011 V3 30 05 2011" xfId="326"/>
    <cellStyle name="s_B_S_Ratios _B_LI819L_B13" xfId="327"/>
    <cellStyle name="s_B_S_Ratios _B_PAO-CAF-RESOP_14_01_13 à 20h" xfId="328"/>
    <cellStyle name="s_B_S_Ratios_T" xfId="329"/>
    <cellStyle name="s_B_S_Ratios_T_Actualisation provision contrat déficitaire SNCM 2010 V Def" xfId="330"/>
    <cellStyle name="s_B_S_Ratios_T_Actualisation provision contrat déficitaire SNCM 2011 V3 30 05 2011" xfId="331"/>
    <cellStyle name="s_B_S_Ratios_T_LI819L_B13" xfId="332"/>
    <cellStyle name="s_B_S_Ratios_T_PAO-CAF-RESOP_14_01_13 à 20h" xfId="333"/>
    <cellStyle name="s_DCFLBO Code" xfId="334"/>
    <cellStyle name="s_DCFLBO Code_1" xfId="335"/>
    <cellStyle name="s_DCFLBO Code_1_Actualisation provision contrat déficitaire SNCM 2010 V Def" xfId="336"/>
    <cellStyle name="s_DCFLBO Code_1_Actualisation provision contrat déficitaire SNCM 2011 V3 30 05 2011" xfId="337"/>
    <cellStyle name="s_DCFLBO Code_1_LI819L_B13" xfId="338"/>
    <cellStyle name="s_DCFLBO Code_1_PAO-CAF-RESOP_14_01_13 à 20h" xfId="339"/>
    <cellStyle name="s_DCFLBO Code_Actualisation provision contrat déficitaire SNCM 2010 V Def" xfId="340"/>
    <cellStyle name="s_DCFLBO Code_Actualisation provision contrat déficitaire SNCM 2011 V3 30 05 2011" xfId="341"/>
    <cellStyle name="s_DCFLBO Code_LI819L_B13" xfId="342"/>
    <cellStyle name="s_DCFLBO Code_PAO-CAF-RESOP_14_01_13 à 20h" xfId="343"/>
    <cellStyle name="s_Dilution" xfId="344"/>
    <cellStyle name="s_Dilution_Actualisation provision contrat déficitaire SNCM 2010 V Def" xfId="345"/>
    <cellStyle name="s_Dilution_Actualisation provision contrat déficitaire SNCM 2011 V3 30 05 2011" xfId="346"/>
    <cellStyle name="s_Dilution_LI819L_B13" xfId="347"/>
    <cellStyle name="s_Dilution_PAO-CAF-RESOP_14_01_13 à 20h" xfId="348"/>
    <cellStyle name="s_Financials_B" xfId="349"/>
    <cellStyle name="s_Financials_B_Actualisation provision contrat déficitaire SNCM 2010 V Def" xfId="350"/>
    <cellStyle name="s_Financials_B_Actualisation provision contrat déficitaire SNCM 2011 V3 30 05 2011" xfId="351"/>
    <cellStyle name="s_Financials_B_LI819L_B13" xfId="352"/>
    <cellStyle name="s_Financials_B_PAO-CAF-RESOP_14_01_13 à 20h" xfId="353"/>
    <cellStyle name="s_Financials_T" xfId="354"/>
    <cellStyle name="s_Financials_T_Actualisation provision contrat déficitaire SNCM 2010 V Def" xfId="355"/>
    <cellStyle name="s_Financials_T_Actualisation provision contrat déficitaire SNCM 2011 V3 30 05 2011" xfId="356"/>
    <cellStyle name="s_Financials_T_LI819L_B13" xfId="357"/>
    <cellStyle name="s_Financials_T_PAO-CAF-RESOP_14_01_13 à 20h" xfId="358"/>
    <cellStyle name="s_Grouse+Pelican" xfId="359"/>
    <cellStyle name="s_LI819L_B13" xfId="360"/>
    <cellStyle name="s_Matrix_B" xfId="361"/>
    <cellStyle name="s_Matrix_B_Actualisation provision contrat déficitaire SNCM 2010 V Def" xfId="362"/>
    <cellStyle name="s_Matrix_B_Actualisation provision contrat déficitaire SNCM 2011 V3 30 05 2011" xfId="363"/>
    <cellStyle name="s_Matrix_B_LI819L_B13" xfId="364"/>
    <cellStyle name="s_Matrix_B_PAO-CAF-RESOP_14_01_13 à 20h" xfId="365"/>
    <cellStyle name="s_Matrix_T" xfId="366"/>
    <cellStyle name="s_Matrix_T_Actualisation provision contrat déficitaire SNCM 2010 V Def" xfId="367"/>
    <cellStyle name="s_Matrix_T_Actualisation provision contrat déficitaire SNCM 2011 V3 30 05 2011" xfId="368"/>
    <cellStyle name="s_Matrix_T_LI819L_B13" xfId="369"/>
    <cellStyle name="s_Matrix_T_PAO-CAF-RESOP_14_01_13 à 20h" xfId="370"/>
    <cellStyle name="s_Merger" xfId="371"/>
    <cellStyle name="s_Merger_Actualisation provision contrat déficitaire SNCM 2010 V Def" xfId="372"/>
    <cellStyle name="s_Merger_Actualisation provision contrat déficitaire SNCM 2011 V3 30 05 2011" xfId="373"/>
    <cellStyle name="s_Merger_LI819L_B13" xfId="374"/>
    <cellStyle name="s_Merger_PAO-CAF-RESOP_14_01_13 à 20h" xfId="375"/>
    <cellStyle name="s_model2" xfId="376"/>
    <cellStyle name="s_model2_Actualisation provision contrat déficitaire SNCM 2010 V Def" xfId="377"/>
    <cellStyle name="s_model2_Actualisation provision contrat déficitaire SNCM 2011 V3 30 05 2011" xfId="378"/>
    <cellStyle name="s_model2_LI819L_B13" xfId="379"/>
    <cellStyle name="s_model2_PAO-CAF-RESOP_14_01_13 à 20h" xfId="380"/>
    <cellStyle name="s_P_L_Ratios" xfId="381"/>
    <cellStyle name="s_P_L_Ratios_Actualisation provision contrat déficitaire SNCM 2010 V Def" xfId="382"/>
    <cellStyle name="s_P_L_Ratios_Actualisation provision contrat déficitaire SNCM 2011 V3 30 05 2011" xfId="383"/>
    <cellStyle name="s_P_L_Ratios_B" xfId="384"/>
    <cellStyle name="s_P_L_Ratios_B_Actualisation provision contrat déficitaire SNCM 2010 V Def" xfId="385"/>
    <cellStyle name="s_P_L_Ratios_B_Actualisation provision contrat déficitaire SNCM 2011 V3 30 05 2011" xfId="386"/>
    <cellStyle name="s_P_L_Ratios_B_LI819L_B13" xfId="387"/>
    <cellStyle name="s_P_L_Ratios_B_PAO-CAF-RESOP_14_01_13 à 20h" xfId="388"/>
    <cellStyle name="s_P_L_Ratios_LI819L_B13" xfId="389"/>
    <cellStyle name="s_P_L_Ratios_PAO-CAF-RESOP_14_01_13 à 20h" xfId="390"/>
    <cellStyle name="s_PAO-CAF-RESOP_14_01_13 à 20h" xfId="391"/>
    <cellStyle name="s_S_By_S" xfId="392"/>
    <cellStyle name="s_S_By_S_Actualisation provision contrat déficitaire SNCM 2010 V Def" xfId="393"/>
    <cellStyle name="s_S_By_S_Actualisation provision contrat déficitaire SNCM 2011 V3 30 05 2011" xfId="394"/>
    <cellStyle name="s_S_By_S_LI819L_B13" xfId="395"/>
    <cellStyle name="s_S_By_S_PAO-CAF-RESOP_14_01_13 à 20h" xfId="396"/>
    <cellStyle name="s_Sheet5" xfId="397"/>
    <cellStyle name="s_Sheet5_Actualisation provision contrat déficitaire SNCM 2010 V Def" xfId="398"/>
    <cellStyle name="s_Sheet5_Actualisation provision contrat déficitaire SNCM 2011 V3 30 05 2011" xfId="399"/>
    <cellStyle name="s_Sheet5_LI819L_B13" xfId="400"/>
    <cellStyle name="s_Sheet5_PAO-CAF-RESOP_14_01_13 à 20h" xfId="401"/>
    <cellStyle name="s_Valuation " xfId="402"/>
    <cellStyle name="s_Valuation _Actualisation provision contrat déficitaire SNCM 2010 V Def" xfId="403"/>
    <cellStyle name="s_Valuation _Actualisation provision contrat déficitaire SNCM 2011 V3 30 05 2011" xfId="404"/>
    <cellStyle name="s_Valuation _LI819L_B13" xfId="405"/>
    <cellStyle name="s_Valuation _PAO-CAF-RESOP_14_01_13 à 20h" xfId="406"/>
    <cellStyle name="SAPBEXHLevel1" xfId="407"/>
    <cellStyle name="SAPBEXstdData" xfId="408"/>
    <cellStyle name="Shading" xfId="409"/>
    <cellStyle name="Single Cell Column Heading" xfId="410"/>
    <cellStyle name="Standard__Utopia Index Index und Guidance (Deutsch)" xfId="411"/>
    <cellStyle name="Style 1" xfId="412"/>
    <cellStyle name="STYLE1" xfId="56"/>
    <cellStyle name="STYLE1 2" xfId="413"/>
    <cellStyle name="STYLE2" xfId="57"/>
    <cellStyle name="STYLE2 2" xfId="414"/>
    <cellStyle name="STYLE3" xfId="58"/>
    <cellStyle name="STYLE3 2" xfId="415"/>
    <cellStyle name="STYLE4" xfId="59"/>
    <cellStyle name="STYLE4 2" xfId="416"/>
    <cellStyle name="STYLE5" xfId="60"/>
    <cellStyle name="STYLE5 2" xfId="417"/>
    <cellStyle name="STYLE6" xfId="61"/>
    <cellStyle name="STYLE6 2" xfId="418"/>
    <cellStyle name="STYLE7" xfId="62"/>
    <cellStyle name="STYLE7 2" xfId="419"/>
    <cellStyle name="STYLE8" xfId="63"/>
    <cellStyle name="STYLE8 2" xfId="420"/>
    <cellStyle name="STYLE9" xfId="64"/>
    <cellStyle name="STYLE9 2" xfId="421"/>
    <cellStyle name="t" xfId="422"/>
    <cellStyle name="t_Actualisation provision contrat déficitaire SNCM 2010 V Def" xfId="423"/>
    <cellStyle name="t_Actualisation provision contrat déficitaire SNCM 2011 V3 30 05 2011" xfId="424"/>
    <cellStyle name="t_LI819L_B13" xfId="425"/>
    <cellStyle name="t_Manager" xfId="426"/>
    <cellStyle name="t_Manager_Actualisation provision contrat déficitaire SNCM 2010 V Def" xfId="427"/>
    <cellStyle name="t_Manager_Actualisation provision contrat déficitaire SNCM 2011 V3 30 05 2011" xfId="428"/>
    <cellStyle name="t_Manager_LI819L_B13" xfId="429"/>
    <cellStyle name="t_Manager_PAO-CAF-RESOP_14_01_13 à 20h" xfId="430"/>
    <cellStyle name="t_PAO-CAF-RESOP_14_01_13 à 20h" xfId="431"/>
    <cellStyle name="Text Level 1" xfId="432"/>
    <cellStyle name="Text Level 2" xfId="433"/>
    <cellStyle name="Text Level 3" xfId="434"/>
    <cellStyle name="Text Level 4" xfId="435"/>
    <cellStyle name="Title" xfId="65"/>
    <cellStyle name="Titles" xfId="436"/>
    <cellStyle name="Top_Double_Bottom" xfId="437"/>
    <cellStyle name="UNDERRUBRIK" xfId="438"/>
    <cellStyle name="Warning Text" xfId="66"/>
    <cellStyle name="Year" xfId="439"/>
    <cellStyle name="zoe" xfId="440"/>
    <cellStyle name="常规_Sheet1_Sub-consolidation Scope 2008 12 SX432 Lanzhou" xfId="44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1A5AD"/>
      <rgbColor rgb="0000FF00"/>
      <rgbColor rgb="000000FF"/>
      <rgbColor rgb="00FFFF00"/>
      <rgbColor rgb="00C7D3EB"/>
      <rgbColor rgb="0000FFFF"/>
      <rgbColor rgb="00C00000"/>
      <rgbColor rgb="007373A0"/>
      <rgbColor rgb="00000080"/>
      <rgbColor rgb="00F08214"/>
      <rgbColor rgb="00800080"/>
      <rgbColor rgb="0064B4E1"/>
      <rgbColor rgb="00C0C0C0"/>
      <rgbColor rgb="0064697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E4E5E8"/>
      <rgbColor rgb="00E3E9F5"/>
      <rgbColor rgb="00CED0D4"/>
      <rgbColor rgb="00A86E73"/>
      <rgbColor rgb="00666699"/>
      <rgbColor rgb="00829BB4"/>
      <rgbColor rgb="00A0B4DC"/>
      <rgbColor rgb="00339966"/>
      <rgbColor rgb="00829BB4"/>
      <rgbColor rgb="00646973"/>
      <rgbColor rgb="00FF0000"/>
      <rgbColor rgb="00993366"/>
      <rgbColor rgb="00333399"/>
      <rgbColor rgb="00333333"/>
    </indexedColors>
    <mruColors>
      <color rgb="FFFFFFCC"/>
      <color rgb="FFEAEAEA"/>
      <color rgb="FFE20000"/>
      <color rgb="FFD00000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81643</xdr:rowOff>
    </xdr:from>
    <xdr:to>
      <xdr:col>2</xdr:col>
      <xdr:colOff>0</xdr:colOff>
      <xdr:row>32</xdr:row>
      <xdr:rowOff>27214</xdr:rowOff>
    </xdr:to>
    <xdr:sp macro="" textlink="">
      <xdr:nvSpPr>
        <xdr:cNvPr id="10" name="Flèche vers le bas 9"/>
        <xdr:cNvSpPr/>
      </xdr:nvSpPr>
      <xdr:spPr>
        <a:xfrm>
          <a:off x="0" y="1319893"/>
          <a:ext cx="1592036" cy="6885214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325461</xdr:colOff>
      <xdr:row>5</xdr:row>
      <xdr:rowOff>1</xdr:rowOff>
    </xdr:from>
    <xdr:to>
      <xdr:col>1</xdr:col>
      <xdr:colOff>967218</xdr:colOff>
      <xdr:row>5</xdr:row>
      <xdr:rowOff>612393</xdr:rowOff>
    </xdr:to>
    <xdr:sp macro="" textlink="">
      <xdr:nvSpPr>
        <xdr:cNvPr id="19" name="Oval 12"/>
        <xdr:cNvSpPr>
          <a:spLocks noChangeArrowheads="1"/>
        </xdr:cNvSpPr>
      </xdr:nvSpPr>
      <xdr:spPr bwMode="gray">
        <a:xfrm>
          <a:off x="475140" y="1728108"/>
          <a:ext cx="641757" cy="612392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325461</xdr:colOff>
      <xdr:row>24</xdr:row>
      <xdr:rowOff>97971</xdr:rowOff>
    </xdr:from>
    <xdr:to>
      <xdr:col>1</xdr:col>
      <xdr:colOff>967218</xdr:colOff>
      <xdr:row>26</xdr:row>
      <xdr:rowOff>57221</xdr:rowOff>
    </xdr:to>
    <xdr:sp macro="" textlink="">
      <xdr:nvSpPr>
        <xdr:cNvPr id="21" name="Oval 12"/>
        <xdr:cNvSpPr>
          <a:spLocks noChangeArrowheads="1"/>
        </xdr:cNvSpPr>
      </xdr:nvSpPr>
      <xdr:spPr bwMode="gray">
        <a:xfrm>
          <a:off x="475140" y="6153150"/>
          <a:ext cx="641757" cy="612392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26</xdr:row>
          <xdr:rowOff>38100</xdr:rowOff>
        </xdr:from>
        <xdr:to>
          <xdr:col>4</xdr:col>
          <xdr:colOff>3143250</xdr:colOff>
          <xdr:row>28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F31"/>
  <sheetViews>
    <sheetView showGridLines="0" tabSelected="1" zoomScale="70" zoomScaleNormal="70" workbookViewId="0">
      <selection activeCell="E8" sqref="E8"/>
    </sheetView>
  </sheetViews>
  <sheetFormatPr baseColWidth="10" defaultRowHeight="19.5"/>
  <cols>
    <col min="1" max="1" width="2.28515625" style="67" customWidth="1"/>
    <col min="2" max="2" width="21.5703125" style="68" customWidth="1"/>
    <col min="3" max="3" width="22.5703125" style="68" customWidth="1"/>
    <col min="4" max="4" width="6.7109375" style="68" customWidth="1"/>
    <col min="5" max="5" width="48.7109375" style="68" customWidth="1"/>
    <col min="6" max="6" width="28.28515625" style="68" customWidth="1"/>
    <col min="7" max="16384" width="11.42578125" style="68"/>
  </cols>
  <sheetData>
    <row r="1" spans="1:6" s="78" customFormat="1" ht="59.25" customHeight="1">
      <c r="A1" s="77"/>
      <c r="B1" s="116" t="s">
        <v>137</v>
      </c>
      <c r="C1" s="116"/>
      <c r="D1" s="116"/>
      <c r="E1" s="116"/>
      <c r="F1" s="116"/>
    </row>
    <row r="5" spans="1:6" s="69" customFormat="1">
      <c r="A5" s="68"/>
      <c r="B5" s="68"/>
      <c r="C5" s="68"/>
      <c r="D5" s="68"/>
    </row>
    <row r="6" spans="1:6" s="66" customFormat="1" ht="54" customHeight="1">
      <c r="C6" s="76" t="s">
        <v>168</v>
      </c>
    </row>
    <row r="7" spans="1:6" ht="9.75" customHeight="1" thickBot="1">
      <c r="C7" s="71"/>
      <c r="E7" s="70"/>
    </row>
    <row r="8" spans="1:6" ht="20.25" thickBot="1">
      <c r="C8" s="71" t="s">
        <v>132</v>
      </c>
      <c r="E8" s="75">
        <v>2019</v>
      </c>
    </row>
    <row r="9" spans="1:6" ht="9.75" customHeight="1" thickBot="1">
      <c r="C9" s="71"/>
      <c r="E9" s="70"/>
    </row>
    <row r="10" spans="1:6" ht="20.25" thickBot="1">
      <c r="C10" s="71" t="s">
        <v>133</v>
      </c>
      <c r="E10" s="91" t="s">
        <v>101</v>
      </c>
    </row>
    <row r="11" spans="1:6" ht="9.75" customHeight="1" thickBot="1"/>
    <row r="12" spans="1:6" ht="20.25" thickBot="1">
      <c r="C12" s="71" t="s">
        <v>134</v>
      </c>
      <c r="E12" s="75" t="str">
        <f ca="1">_xll.SUBNM("tango_core_model:Legal_Organization","","NA","English")</f>
        <v>Not affected</v>
      </c>
    </row>
    <row r="13" spans="1:6" ht="9.75" customHeight="1" thickBot="1"/>
    <row r="14" spans="1:6" ht="20.25" thickBot="1">
      <c r="C14" s="71" t="s">
        <v>100</v>
      </c>
      <c r="E14" s="75" t="s">
        <v>110</v>
      </c>
    </row>
    <row r="15" spans="1:6" ht="9.75" customHeight="1" thickBot="1">
      <c r="C15" s="71"/>
      <c r="E15" s="70"/>
    </row>
    <row r="16" spans="1:6" ht="20.25" thickBot="1">
      <c r="C16" s="71" t="s">
        <v>46</v>
      </c>
      <c r="E16" s="75" t="s">
        <v>21</v>
      </c>
    </row>
    <row r="17" spans="1:5" ht="9.75" customHeight="1" thickBot="1">
      <c r="C17" s="71"/>
      <c r="E17" s="70"/>
    </row>
    <row r="18" spans="1:5" ht="20.25" thickBot="1">
      <c r="C18" s="71" t="s">
        <v>135</v>
      </c>
      <c r="E18" s="75" t="s">
        <v>111</v>
      </c>
    </row>
    <row r="19" spans="1:5" ht="9.75" customHeight="1" thickBot="1"/>
    <row r="20" spans="1:5" ht="20.25" thickBot="1">
      <c r="C20" s="71" t="s">
        <v>95</v>
      </c>
      <c r="E20" s="75" t="s">
        <v>96</v>
      </c>
    </row>
    <row r="22" spans="1:5">
      <c r="C22" s="72" t="s">
        <v>136</v>
      </c>
    </row>
    <row r="23" spans="1:5" s="69" customFormat="1" ht="18.75"/>
    <row r="24" spans="1:5" s="74" customFormat="1">
      <c r="A24" s="73"/>
    </row>
    <row r="25" spans="1:5" s="74" customFormat="1">
      <c r="A25" s="73"/>
    </row>
    <row r="26" spans="1:5" s="74" customFormat="1" ht="32.25">
      <c r="A26" s="73"/>
      <c r="C26" s="76" t="s">
        <v>167</v>
      </c>
    </row>
    <row r="27" spans="1:5" s="74" customFormat="1">
      <c r="A27" s="73"/>
    </row>
    <row r="28" spans="1:5" s="74" customFormat="1">
      <c r="A28" s="73"/>
    </row>
    <row r="29" spans="1:5" s="74" customFormat="1">
      <c r="A29" s="73"/>
    </row>
    <row r="30" spans="1:5" s="74" customFormat="1">
      <c r="A30" s="73"/>
    </row>
    <row r="31" spans="1:5" s="74" customFormat="1">
      <c r="A31" s="73"/>
    </row>
  </sheetData>
  <mergeCells count="1">
    <mergeCell ref="B1:F1"/>
  </mergeCells>
  <dataValidations count="5">
    <dataValidation type="list" allowBlank="1" showInputMessage="1" showErrorMessage="1" sqref="E16:E17">
      <formula1>Liste_Devises</formula1>
    </dataValidation>
    <dataValidation type="list" allowBlank="1" showInputMessage="1" showErrorMessage="1" sqref="E10">
      <formula1>"01,02,03,04,05,06,07,08,09,10,11,12"</formula1>
    </dataValidation>
    <dataValidation type="list" allowBlank="1" showInputMessage="1" showErrorMessage="1" sqref="E8">
      <formula1>"2013,2014,2015,2016,2017,2018,2019,2020,2021,2022,2023,2024,2025,2026,2027,2028,2029,2030"</formula1>
    </dataValidation>
    <dataValidation type="list" allowBlank="1" showInputMessage="1" showErrorMessage="1" sqref="E14">
      <formula1>"tango_core_model:Report_PL,tango_core_model:RP_PL"</formula1>
    </dataValidation>
    <dataValidation type="list" allowBlank="1" showInputMessage="1" showErrorMessage="1" sqref="E18">
      <formula1>"French,English"</formula1>
    </dataValidation>
  </dataValidations>
  <pageMargins left="0.70866141732283472" right="0.70866141732283472" top="0.74803149606299213" bottom="0.74803149606299213" header="0.31496062992125984" footer="0.31496062992125984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J">
                <anchor moveWithCells="1" sizeWithCells="1">
                  <from>
                    <xdr:col>4</xdr:col>
                    <xdr:colOff>104775</xdr:colOff>
                    <xdr:row>26</xdr:row>
                    <xdr:rowOff>38100</xdr:rowOff>
                  </from>
                  <to>
                    <xdr:col>4</xdr:col>
                    <xdr:colOff>3143250</xdr:colOff>
                    <xdr:row>28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BDD!$H$15:$H$16</xm:f>
          </x14:formula1>
          <xm:sqref>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L48"/>
  <sheetViews>
    <sheetView zoomScale="60" zoomScaleNormal="60" workbookViewId="0">
      <selection activeCell="G47" sqref="G47"/>
    </sheetView>
  </sheetViews>
  <sheetFormatPr baseColWidth="10" defaultColWidth="200.42578125" defaultRowHeight="12.75"/>
  <cols>
    <col min="1" max="1" width="11.5703125" bestFit="1" customWidth="1"/>
    <col min="2" max="2" width="26.140625" customWidth="1"/>
    <col min="3" max="3" width="14.42578125" bestFit="1" customWidth="1"/>
    <col min="4" max="4" width="11.85546875" bestFit="1" customWidth="1"/>
    <col min="5" max="5" width="26.140625" customWidth="1"/>
    <col min="6" max="6" width="16.7109375" bestFit="1" customWidth="1"/>
    <col min="7" max="7" width="27" bestFit="1" customWidth="1"/>
    <col min="8" max="8" width="30.7109375" bestFit="1" customWidth="1"/>
    <col min="9" max="9" width="18.140625" bestFit="1" customWidth="1"/>
    <col min="10" max="10" width="23.5703125" bestFit="1" customWidth="1"/>
    <col min="11" max="11" width="19.85546875" bestFit="1" customWidth="1"/>
    <col min="12" max="12" width="19" bestFit="1" customWidth="1"/>
  </cols>
  <sheetData>
    <row r="1" spans="1:12" ht="13.5" thickBot="1">
      <c r="A1" s="24"/>
      <c r="B1" s="24"/>
      <c r="C1" s="24"/>
      <c r="D1" s="24"/>
      <c r="E1" s="24"/>
      <c r="F1" s="117" t="s">
        <v>88</v>
      </c>
      <c r="G1" s="118" t="s">
        <v>89</v>
      </c>
      <c r="H1" s="118"/>
      <c r="I1" s="118"/>
      <c r="J1" s="118"/>
      <c r="K1" s="118"/>
      <c r="L1" s="118"/>
    </row>
    <row r="2" spans="1:12" ht="13.5" thickBot="1">
      <c r="A2" s="22" t="s">
        <v>75</v>
      </c>
      <c r="B2" s="24"/>
      <c r="C2" s="22" t="s">
        <v>93</v>
      </c>
      <c r="D2" s="24"/>
      <c r="E2" s="24"/>
      <c r="F2" s="117"/>
      <c r="G2" s="23" t="s">
        <v>76</v>
      </c>
      <c r="H2" s="23" t="s">
        <v>74</v>
      </c>
      <c r="I2" s="23" t="s">
        <v>4</v>
      </c>
      <c r="J2" s="23" t="s">
        <v>91</v>
      </c>
      <c r="K2" s="23" t="s">
        <v>5</v>
      </c>
      <c r="L2" s="23" t="s">
        <v>92</v>
      </c>
    </row>
    <row r="3" spans="1:12">
      <c r="A3" s="24" t="s">
        <v>0</v>
      </c>
      <c r="B3" s="24"/>
      <c r="C3" s="24" t="s">
        <v>23</v>
      </c>
      <c r="D3" s="24" t="str">
        <f ca="1">Année&amp;"."&amp;Mois</f>
        <v>2019.12</v>
      </c>
      <c r="E3" s="24"/>
      <c r="F3" s="117"/>
      <c r="G3" s="26" t="s">
        <v>45</v>
      </c>
      <c r="H3" s="27" t="s">
        <v>54</v>
      </c>
      <c r="I3" s="27" t="str">
        <f ca="1">Période</f>
        <v>2019.12</v>
      </c>
      <c r="J3" s="27" t="str">
        <f t="shared" ref="J3:J9" ca="1" si="0">I3&amp;"_YTD"</f>
        <v>2019.12_YTD</v>
      </c>
      <c r="K3" s="28" t="str">
        <f ca="1">Année&amp;".12_YTD"</f>
        <v>2019.12_YTD</v>
      </c>
      <c r="L3" s="27" t="str">
        <f ca="1">K3</f>
        <v>2019.12_YTD</v>
      </c>
    </row>
    <row r="4" spans="1:12">
      <c r="A4" s="24" t="s">
        <v>29</v>
      </c>
      <c r="B4" s="24"/>
      <c r="C4" s="24" t="s">
        <v>85</v>
      </c>
      <c r="D4" s="24" t="str">
        <f ca="1">Année-1&amp;"."&amp;Mois</f>
        <v>2018.12</v>
      </c>
      <c r="E4" s="24"/>
      <c r="F4" s="117"/>
      <c r="G4" s="26" t="s">
        <v>6</v>
      </c>
      <c r="H4" s="27" t="s">
        <v>54</v>
      </c>
      <c r="I4" s="27" t="str">
        <f ca="1">PériodePM</f>
        <v>2018.12</v>
      </c>
      <c r="J4" s="27" t="str">
        <f t="shared" ca="1" si="0"/>
        <v>2018.12_YTD</v>
      </c>
      <c r="K4" s="28" t="str">
        <f ca="1">Année-1&amp;".12_YTD"</f>
        <v>2018.12_YTD</v>
      </c>
      <c r="L4" s="27" t="str">
        <f ca="1">K4</f>
        <v>2018.12_YTD</v>
      </c>
    </row>
    <row r="5" spans="1:12">
      <c r="A5" s="24" t="s">
        <v>35</v>
      </c>
      <c r="B5" s="24"/>
      <c r="C5" s="24" t="s">
        <v>86</v>
      </c>
      <c r="D5" s="24" t="str">
        <f ca="1">IF(Mois="01","",Année&amp;"."&amp;IF(Mois-1&lt;10,"0"&amp;Mois-1,Mois-1))</f>
        <v>2019.11</v>
      </c>
      <c r="E5" s="24"/>
      <c r="F5" s="117"/>
      <c r="G5" s="26" t="s">
        <v>73</v>
      </c>
      <c r="H5" s="27" t="s">
        <v>54</v>
      </c>
      <c r="I5" s="27" t="str">
        <f ca="1">PériodePY</f>
        <v>2019.11</v>
      </c>
      <c r="J5" s="27" t="str">
        <f t="shared" ca="1" si="0"/>
        <v>2019.11_YTD</v>
      </c>
      <c r="K5" s="28" t="str">
        <f ca="1">Année&amp;".12_YTD"</f>
        <v>2019.12_YTD</v>
      </c>
      <c r="L5" s="27" t="str">
        <f ca="1">K5</f>
        <v>2019.12_YTD</v>
      </c>
    </row>
    <row r="6" spans="1:12">
      <c r="A6" s="24" t="s">
        <v>60</v>
      </c>
      <c r="B6" s="24"/>
      <c r="C6" s="24" t="s">
        <v>87</v>
      </c>
      <c r="D6" s="24" t="str">
        <f ca="1">IF(Mois="01","",Année-1&amp;"."&amp;IF(Mois-1&lt;10,"0"&amp;Mois-1,Mois-1))</f>
        <v>2018.11</v>
      </c>
      <c r="E6" s="24"/>
      <c r="F6" s="117"/>
      <c r="G6" s="26" t="s">
        <v>84</v>
      </c>
      <c r="H6" s="27" t="s">
        <v>54</v>
      </c>
      <c r="I6" s="27" t="str">
        <f ca="1">PériodePYPM</f>
        <v>2018.11</v>
      </c>
      <c r="J6" s="27" t="str">
        <f t="shared" ca="1" si="0"/>
        <v>2018.11_YTD</v>
      </c>
      <c r="K6" s="28" t="str">
        <f ca="1">Année-1&amp;".12_YTD"</f>
        <v>2018.12_YTD</v>
      </c>
      <c r="L6" s="27" t="str">
        <f ca="1">K6</f>
        <v>2018.12_YTD</v>
      </c>
    </row>
    <row r="7" spans="1:12">
      <c r="A7" s="24" t="s">
        <v>38</v>
      </c>
      <c r="B7" s="24"/>
      <c r="C7" s="24"/>
      <c r="D7" s="24"/>
      <c r="E7" s="24"/>
      <c r="F7" s="117"/>
      <c r="G7" s="26" t="s">
        <v>1</v>
      </c>
      <c r="H7" s="27" t="str">
        <f>"BUDG_"&amp;VLOOKUP(Version,$H$15:$I$16,2,FALSE)</f>
        <v>BUDG_VC_TOT</v>
      </c>
      <c r="I7" s="27" t="str">
        <f ca="1">Période</f>
        <v>2019.12</v>
      </c>
      <c r="J7" s="27" t="str">
        <f t="shared" ca="1" si="0"/>
        <v>2019.12_YTD</v>
      </c>
      <c r="K7" s="28" t="str">
        <f ca="1">Année&amp;".12_YTD"</f>
        <v>2019.12_YTD</v>
      </c>
      <c r="L7" s="27" t="str">
        <f ca="1">"F_Year_"&amp;LEFT(K7,4)</f>
        <v>F_Year_2019</v>
      </c>
    </row>
    <row r="8" spans="1:12" ht="25.5">
      <c r="A8" s="24" t="s">
        <v>61</v>
      </c>
      <c r="B8" s="24"/>
      <c r="C8" s="24" t="s">
        <v>140</v>
      </c>
      <c r="D8" s="24" t="str">
        <f ca="1">IF(language="French",VLOOKUP(Mois,$C$11:$E$22,3,FALSE),VLOOKUP(Mois,$C$11:$E$22,2,FALSE))&amp;" "&amp;Année</f>
        <v>December 2019</v>
      </c>
      <c r="E8" s="24"/>
      <c r="F8" s="117"/>
      <c r="G8" s="26" t="s">
        <v>2</v>
      </c>
      <c r="H8" s="27" t="str">
        <f>"FC_1_"&amp;VLOOKUP(Version,$H$15:$I$16,2,FALSE)</f>
        <v>FC_1_VC_TOT</v>
      </c>
      <c r="I8" s="29" t="str">
        <f ca="1">Période</f>
        <v>2019.12</v>
      </c>
      <c r="J8" s="27" t="str">
        <f t="shared" ca="1" si="0"/>
        <v>2019.12_YTD</v>
      </c>
      <c r="K8" s="28" t="str">
        <f ca="1">Année&amp;".12_YTD"</f>
        <v>2019.12_YTD</v>
      </c>
      <c r="L8" s="27" t="str">
        <f ca="1">"F_Year_"&amp;LEFT(K8,4)</f>
        <v>F_Year_2019</v>
      </c>
    </row>
    <row r="9" spans="1:12">
      <c r="A9" s="24" t="s">
        <v>62</v>
      </c>
      <c r="B9" s="24"/>
      <c r="C9" s="24"/>
      <c r="D9" s="24"/>
      <c r="E9" s="24"/>
      <c r="F9" s="117"/>
      <c r="G9" s="26" t="s">
        <v>3</v>
      </c>
      <c r="H9" s="27" t="str">
        <f>"FC_2_"&amp;VLOOKUP(Version,$H$15:$I$16,2,FALSE)</f>
        <v>FC_2_VC_TOT</v>
      </c>
      <c r="I9" s="29" t="str">
        <f ca="1">Période</f>
        <v>2019.12</v>
      </c>
      <c r="J9" s="27" t="str">
        <f t="shared" ca="1" si="0"/>
        <v>2019.12_YTD</v>
      </c>
      <c r="K9" s="28" t="str">
        <f ca="1">Année&amp;".12_YTD"</f>
        <v>2019.12_YTD</v>
      </c>
      <c r="L9" s="27" t="str">
        <f ca="1">"F_Year_"&amp;LEFT(K9,4)</f>
        <v>F_Year_2019</v>
      </c>
    </row>
    <row r="10" spans="1:12">
      <c r="A10" s="24" t="s">
        <v>65</v>
      </c>
      <c r="B10" s="24"/>
      <c r="C10" s="24"/>
      <c r="D10" s="24"/>
      <c r="E10" s="10"/>
      <c r="F10" s="117"/>
      <c r="G10" s="26" t="s">
        <v>77</v>
      </c>
      <c r="H10" s="27" t="str">
        <f>"BUDG_"&amp;VLOOKUP(Version,$H$15:$I$16,2,FALSE)</f>
        <v>BUDG_VC_TOT</v>
      </c>
      <c r="I10" s="29"/>
      <c r="J10" s="27"/>
      <c r="K10" s="28" t="str">
        <f ca="1">Année+1&amp;".12_YTD"</f>
        <v>2020.12_YTD</v>
      </c>
      <c r="L10" s="27" t="str">
        <f ca="1">"F_Year_"&amp;LEFT(K10,4)</f>
        <v>F_Year_2020</v>
      </c>
    </row>
    <row r="11" spans="1:12">
      <c r="A11" s="30" t="s">
        <v>21</v>
      </c>
      <c r="B11" s="24"/>
      <c r="C11" s="31" t="s">
        <v>123</v>
      </c>
      <c r="D11" s="10" t="s">
        <v>10</v>
      </c>
      <c r="E11" s="10" t="s">
        <v>141</v>
      </c>
      <c r="F11" s="25"/>
      <c r="G11" s="25"/>
      <c r="H11" s="25"/>
      <c r="I11" s="24"/>
      <c r="J11" s="24"/>
      <c r="K11" s="24"/>
      <c r="L11" s="24"/>
    </row>
    <row r="12" spans="1:12">
      <c r="A12" s="24" t="s">
        <v>30</v>
      </c>
      <c r="B12" s="24"/>
      <c r="C12" s="31" t="s">
        <v>125</v>
      </c>
      <c r="D12" s="10" t="s">
        <v>11</v>
      </c>
      <c r="E12" s="10" t="s">
        <v>142</v>
      </c>
      <c r="F12" s="25"/>
      <c r="G12" s="25"/>
      <c r="H12" s="25"/>
      <c r="I12" s="24"/>
      <c r="J12" s="24"/>
      <c r="K12" s="24"/>
      <c r="L12" s="24"/>
    </row>
    <row r="13" spans="1:12">
      <c r="A13" s="24" t="s">
        <v>66</v>
      </c>
      <c r="B13" s="24"/>
      <c r="C13" s="31" t="s">
        <v>126</v>
      </c>
      <c r="D13" s="10" t="s">
        <v>22</v>
      </c>
      <c r="E13" s="10" t="s">
        <v>143</v>
      </c>
      <c r="F13" s="25"/>
      <c r="G13" s="25"/>
      <c r="H13" s="25"/>
      <c r="I13" s="24"/>
      <c r="J13" s="24"/>
      <c r="K13" s="24"/>
      <c r="L13" s="24"/>
    </row>
    <row r="14" spans="1:12">
      <c r="A14" s="24" t="s">
        <v>64</v>
      </c>
      <c r="B14" s="24"/>
      <c r="C14" s="31" t="s">
        <v>127</v>
      </c>
      <c r="D14" s="10" t="s">
        <v>12</v>
      </c>
      <c r="E14" s="10" t="s">
        <v>144</v>
      </c>
      <c r="F14" s="25"/>
      <c r="G14" s="25"/>
      <c r="H14" s="25"/>
      <c r="I14" s="24"/>
      <c r="J14" s="24"/>
      <c r="K14" s="24"/>
      <c r="L14" s="24"/>
    </row>
    <row r="15" spans="1:12">
      <c r="A15" s="24" t="s">
        <v>34</v>
      </c>
      <c r="B15" s="24"/>
      <c r="C15" s="31" t="s">
        <v>124</v>
      </c>
      <c r="D15" s="10" t="s">
        <v>13</v>
      </c>
      <c r="E15" s="10" t="s">
        <v>145</v>
      </c>
      <c r="F15" s="25"/>
      <c r="G15" s="25"/>
      <c r="H15" s="35" t="s">
        <v>97</v>
      </c>
      <c r="I15" s="35" t="s">
        <v>98</v>
      </c>
      <c r="J15" s="24"/>
      <c r="K15" s="24"/>
      <c r="L15" s="24"/>
    </row>
    <row r="16" spans="1:12">
      <c r="A16" s="24" t="s">
        <v>67</v>
      </c>
      <c r="B16" s="24"/>
      <c r="C16" s="31" t="s">
        <v>128</v>
      </c>
      <c r="D16" s="10" t="s">
        <v>14</v>
      </c>
      <c r="E16" s="10" t="s">
        <v>146</v>
      </c>
      <c r="F16" s="25"/>
      <c r="G16" s="25"/>
      <c r="H16" s="35" t="s">
        <v>96</v>
      </c>
      <c r="I16" s="35" t="s">
        <v>99</v>
      </c>
      <c r="J16" s="24"/>
      <c r="K16" s="24"/>
      <c r="L16" s="24"/>
    </row>
    <row r="17" spans="1:12">
      <c r="A17" s="24" t="s">
        <v>68</v>
      </c>
      <c r="B17" s="24"/>
      <c r="C17" s="31" t="s">
        <v>129</v>
      </c>
      <c r="D17" s="10" t="s">
        <v>15</v>
      </c>
      <c r="E17" s="10" t="s">
        <v>147</v>
      </c>
      <c r="F17" s="25"/>
      <c r="G17" s="25"/>
      <c r="H17" s="35"/>
      <c r="I17" s="36"/>
      <c r="J17" s="24"/>
      <c r="K17" s="24"/>
      <c r="L17" s="24"/>
    </row>
    <row r="18" spans="1:12">
      <c r="A18" s="24" t="s">
        <v>69</v>
      </c>
      <c r="B18" s="24"/>
      <c r="C18" s="31" t="s">
        <v>130</v>
      </c>
      <c r="D18" s="10" t="s">
        <v>16</v>
      </c>
      <c r="E18" s="10" t="s">
        <v>148</v>
      </c>
      <c r="F18" s="25"/>
      <c r="G18" s="25"/>
      <c r="H18" s="35"/>
      <c r="I18" s="36"/>
      <c r="J18" s="24"/>
      <c r="K18" s="24"/>
      <c r="L18" s="24"/>
    </row>
    <row r="19" spans="1:12">
      <c r="A19" s="24" t="s">
        <v>33</v>
      </c>
      <c r="B19" s="24"/>
      <c r="C19" s="31" t="s">
        <v>131</v>
      </c>
      <c r="D19" s="10" t="s">
        <v>17</v>
      </c>
      <c r="E19" s="10" t="s">
        <v>149</v>
      </c>
      <c r="F19" s="25"/>
      <c r="G19" s="25"/>
      <c r="H19" s="35"/>
      <c r="I19" s="36"/>
      <c r="J19" s="24"/>
      <c r="K19" s="24"/>
      <c r="L19" s="24"/>
    </row>
    <row r="20" spans="1:12">
      <c r="A20" s="24" t="s">
        <v>70</v>
      </c>
      <c r="B20" s="24"/>
      <c r="C20" s="31" t="s">
        <v>153</v>
      </c>
      <c r="D20" s="10" t="s">
        <v>18</v>
      </c>
      <c r="E20" s="10" t="s">
        <v>150</v>
      </c>
      <c r="F20" s="25"/>
      <c r="G20" s="25"/>
      <c r="H20" s="25"/>
      <c r="I20" s="24"/>
      <c r="J20" s="24"/>
      <c r="K20" s="24"/>
      <c r="L20" s="24"/>
    </row>
    <row r="21" spans="1:12">
      <c r="A21" s="24" t="s">
        <v>25</v>
      </c>
      <c r="B21" s="24"/>
      <c r="C21" s="31" t="s">
        <v>154</v>
      </c>
      <c r="D21" s="10" t="s">
        <v>19</v>
      </c>
      <c r="E21" s="10" t="s">
        <v>151</v>
      </c>
      <c r="F21" s="25"/>
      <c r="G21" s="25"/>
      <c r="H21" s="25"/>
      <c r="I21" s="24"/>
      <c r="J21" s="24"/>
      <c r="K21" s="24"/>
      <c r="L21" s="24"/>
    </row>
    <row r="22" spans="1:12">
      <c r="A22" s="24" t="s">
        <v>71</v>
      </c>
      <c r="B22" s="24"/>
      <c r="C22" s="31" t="s">
        <v>101</v>
      </c>
      <c r="D22" s="10" t="s">
        <v>20</v>
      </c>
      <c r="E22" s="10" t="s">
        <v>152</v>
      </c>
      <c r="F22" s="25"/>
      <c r="G22" s="25"/>
      <c r="H22" s="25"/>
      <c r="I22" s="24"/>
      <c r="J22" s="24"/>
      <c r="K22" s="24"/>
      <c r="L22" s="24"/>
    </row>
    <row r="23" spans="1:12">
      <c r="A23" s="24" t="s">
        <v>72</v>
      </c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12">
      <c r="A24" s="24" t="s">
        <v>37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12">
      <c r="A25" s="24" t="s">
        <v>27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12">
      <c r="A26" s="24" t="s">
        <v>63</v>
      </c>
      <c r="B26" s="24"/>
      <c r="C26" s="24"/>
      <c r="D26" s="24"/>
      <c r="E26" s="24"/>
      <c r="F26" s="25"/>
      <c r="G26" s="32"/>
      <c r="H26" s="24"/>
      <c r="I26" s="24"/>
      <c r="J26" s="24"/>
      <c r="K26" s="24"/>
      <c r="L26" s="24"/>
    </row>
    <row r="30" spans="1:12" ht="15.75">
      <c r="B30" s="113" t="s">
        <v>166</v>
      </c>
      <c r="C30" s="114" t="s">
        <v>24</v>
      </c>
    </row>
    <row r="31" spans="1:12" ht="15.75">
      <c r="B31" s="113" t="s">
        <v>26</v>
      </c>
      <c r="C31" s="115" t="s">
        <v>21</v>
      </c>
    </row>
    <row r="32" spans="1:12" ht="15.75">
      <c r="B32" s="113" t="s">
        <v>39</v>
      </c>
      <c r="C32" s="115" t="s">
        <v>21</v>
      </c>
    </row>
    <row r="33" spans="2:3" ht="15.75">
      <c r="B33" s="113" t="s">
        <v>40</v>
      </c>
      <c r="C33" s="115" t="s">
        <v>21</v>
      </c>
    </row>
    <row r="34" spans="2:3" ht="15.75">
      <c r="B34" s="113" t="s">
        <v>28</v>
      </c>
      <c r="C34" s="115" t="s">
        <v>29</v>
      </c>
    </row>
    <row r="35" spans="2:3" ht="15.75">
      <c r="B35" s="113" t="s">
        <v>156</v>
      </c>
      <c r="C35" s="115" t="s">
        <v>27</v>
      </c>
    </row>
    <row r="36" spans="2:3" ht="15.75">
      <c r="B36" s="113" t="s">
        <v>157</v>
      </c>
      <c r="C36" s="115" t="s">
        <v>21</v>
      </c>
    </row>
    <row r="37" spans="2:3" ht="15.75">
      <c r="B37" s="113" t="s">
        <v>158</v>
      </c>
      <c r="C37" s="115" t="s">
        <v>30</v>
      </c>
    </row>
    <row r="38" spans="2:3" ht="15.75">
      <c r="B38" s="113" t="s">
        <v>31</v>
      </c>
      <c r="C38" s="115" t="s">
        <v>21</v>
      </c>
    </row>
    <row r="39" spans="2:3" ht="15.75">
      <c r="B39" s="113" t="s">
        <v>159</v>
      </c>
      <c r="C39" s="115" t="s">
        <v>21</v>
      </c>
    </row>
    <row r="40" spans="2:3" ht="15.75">
      <c r="B40" s="113" t="s">
        <v>160</v>
      </c>
      <c r="C40" s="115" t="s">
        <v>21</v>
      </c>
    </row>
    <row r="41" spans="2:3" ht="15.75">
      <c r="B41" s="113" t="s">
        <v>161</v>
      </c>
      <c r="C41" s="115" t="s">
        <v>37</v>
      </c>
    </row>
    <row r="42" spans="2:3" ht="15.75">
      <c r="B42" s="113" t="s">
        <v>162</v>
      </c>
      <c r="C42" s="115" t="s">
        <v>0</v>
      </c>
    </row>
    <row r="43" spans="2:3" ht="15.75">
      <c r="B43" s="113" t="s">
        <v>32</v>
      </c>
      <c r="C43" s="115" t="s">
        <v>21</v>
      </c>
    </row>
    <row r="44" spans="2:3" ht="15.75">
      <c r="B44" s="113" t="s">
        <v>163</v>
      </c>
      <c r="C44" s="115" t="s">
        <v>21</v>
      </c>
    </row>
    <row r="45" spans="2:3" ht="15.75">
      <c r="B45" s="113" t="s">
        <v>164</v>
      </c>
      <c r="C45" s="115" t="s">
        <v>35</v>
      </c>
    </row>
    <row r="46" spans="2:3" ht="15.75">
      <c r="B46" s="113" t="s">
        <v>165</v>
      </c>
      <c r="C46" s="115" t="s">
        <v>33</v>
      </c>
    </row>
    <row r="47" spans="2:3" ht="15.75">
      <c r="B47" s="113" t="s">
        <v>36</v>
      </c>
      <c r="C47" s="115" t="s">
        <v>21</v>
      </c>
    </row>
    <row r="48" spans="2:3" ht="15.75">
      <c r="B48" s="113" t="s">
        <v>41</v>
      </c>
      <c r="C48" s="115" t="s">
        <v>21</v>
      </c>
    </row>
  </sheetData>
  <mergeCells count="2">
    <mergeCell ref="F1:F10"/>
    <mergeCell ref="G1:L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FF0000"/>
  </sheetPr>
  <dimension ref="A1:AN80"/>
  <sheetViews>
    <sheetView showGridLines="0" topLeftCell="C15" zoomScale="80" zoomScaleNormal="80" workbookViewId="0">
      <selection activeCell="S39" sqref="S39"/>
    </sheetView>
  </sheetViews>
  <sheetFormatPr baseColWidth="10" defaultRowHeight="12.75" outlineLevelRow="1" outlineLevelCol="2"/>
  <cols>
    <col min="1" max="1" width="20.28515625" style="8" hidden="1" customWidth="1" outlineLevel="1"/>
    <col min="2" max="2" width="5.85546875" style="9" hidden="1" customWidth="1" outlineLevel="1"/>
    <col min="3" max="3" width="43.7109375" style="8" customWidth="1" collapsed="1"/>
    <col min="4" max="4" width="1.140625" style="8" customWidth="1" collapsed="1"/>
    <col min="5" max="9" width="8.140625" style="8" customWidth="1"/>
    <col min="10" max="13" width="7.7109375" style="8" hidden="1" customWidth="1" outlineLevel="1"/>
    <col min="14" max="14" width="1.140625" style="8" customWidth="1" collapsed="1"/>
    <col min="15" max="19" width="8.140625" style="8" customWidth="1"/>
    <col min="20" max="21" width="7.7109375" style="8" hidden="1" customWidth="1" outlineLevel="2"/>
    <col min="22" max="22" width="1.140625" style="8" customWidth="1" collapsed="1"/>
    <col min="23" max="26" width="7.5703125" style="97" customWidth="1"/>
    <col min="27" max="27" width="1.140625" style="8" customWidth="1"/>
    <col min="28" max="32" width="8.140625" style="8" customWidth="1"/>
    <col min="33" max="33" width="1.140625" style="8" customWidth="1"/>
    <col min="34" max="37" width="8.28515625" style="97" customWidth="1"/>
    <col min="38" max="250" width="11.42578125" style="8"/>
    <col min="251" max="251" width="19.140625" style="8" customWidth="1"/>
    <col min="252" max="262" width="9.28515625" style="8" customWidth="1"/>
    <col min="263" max="506" width="11.42578125" style="8"/>
    <col min="507" max="507" width="19.140625" style="8" customWidth="1"/>
    <col min="508" max="518" width="9.28515625" style="8" customWidth="1"/>
    <col min="519" max="762" width="11.42578125" style="8"/>
    <col min="763" max="763" width="19.140625" style="8" customWidth="1"/>
    <col min="764" max="774" width="9.28515625" style="8" customWidth="1"/>
    <col min="775" max="1018" width="11.42578125" style="8"/>
    <col min="1019" max="1019" width="19.140625" style="8" customWidth="1"/>
    <col min="1020" max="1030" width="9.28515625" style="8" customWidth="1"/>
    <col min="1031" max="1274" width="11.42578125" style="8"/>
    <col min="1275" max="1275" width="19.140625" style="8" customWidth="1"/>
    <col min="1276" max="1286" width="9.28515625" style="8" customWidth="1"/>
    <col min="1287" max="1530" width="11.42578125" style="8"/>
    <col min="1531" max="1531" width="19.140625" style="8" customWidth="1"/>
    <col min="1532" max="1542" width="9.28515625" style="8" customWidth="1"/>
    <col min="1543" max="1786" width="11.42578125" style="8"/>
    <col min="1787" max="1787" width="19.140625" style="8" customWidth="1"/>
    <col min="1788" max="1798" width="9.28515625" style="8" customWidth="1"/>
    <col min="1799" max="2042" width="11.42578125" style="8"/>
    <col min="2043" max="2043" width="19.140625" style="8" customWidth="1"/>
    <col min="2044" max="2054" width="9.28515625" style="8" customWidth="1"/>
    <col min="2055" max="2298" width="11.42578125" style="8"/>
    <col min="2299" max="2299" width="19.140625" style="8" customWidth="1"/>
    <col min="2300" max="2310" width="9.28515625" style="8" customWidth="1"/>
    <col min="2311" max="2554" width="11.42578125" style="8"/>
    <col min="2555" max="2555" width="19.140625" style="8" customWidth="1"/>
    <col min="2556" max="2566" width="9.28515625" style="8" customWidth="1"/>
    <col min="2567" max="2810" width="11.42578125" style="8"/>
    <col min="2811" max="2811" width="19.140625" style="8" customWidth="1"/>
    <col min="2812" max="2822" width="9.28515625" style="8" customWidth="1"/>
    <col min="2823" max="3066" width="11.42578125" style="8"/>
    <col min="3067" max="3067" width="19.140625" style="8" customWidth="1"/>
    <col min="3068" max="3078" width="9.28515625" style="8" customWidth="1"/>
    <col min="3079" max="3322" width="11.42578125" style="8"/>
    <col min="3323" max="3323" width="19.140625" style="8" customWidth="1"/>
    <col min="3324" max="3334" width="9.28515625" style="8" customWidth="1"/>
    <col min="3335" max="3578" width="11.42578125" style="8"/>
    <col min="3579" max="3579" width="19.140625" style="8" customWidth="1"/>
    <col min="3580" max="3590" width="9.28515625" style="8" customWidth="1"/>
    <col min="3591" max="3834" width="11.42578125" style="8"/>
    <col min="3835" max="3835" width="19.140625" style="8" customWidth="1"/>
    <col min="3836" max="3846" width="9.28515625" style="8" customWidth="1"/>
    <col min="3847" max="4090" width="11.42578125" style="8"/>
    <col min="4091" max="4091" width="19.140625" style="8" customWidth="1"/>
    <col min="4092" max="4102" width="9.28515625" style="8" customWidth="1"/>
    <col min="4103" max="4346" width="11.42578125" style="8"/>
    <col min="4347" max="4347" width="19.140625" style="8" customWidth="1"/>
    <col min="4348" max="4358" width="9.28515625" style="8" customWidth="1"/>
    <col min="4359" max="4602" width="11.42578125" style="8"/>
    <col min="4603" max="4603" width="19.140625" style="8" customWidth="1"/>
    <col min="4604" max="4614" width="9.28515625" style="8" customWidth="1"/>
    <col min="4615" max="4858" width="11.42578125" style="8"/>
    <col min="4859" max="4859" width="19.140625" style="8" customWidth="1"/>
    <col min="4860" max="4870" width="9.28515625" style="8" customWidth="1"/>
    <col min="4871" max="5114" width="11.42578125" style="8"/>
    <col min="5115" max="5115" width="19.140625" style="8" customWidth="1"/>
    <col min="5116" max="5126" width="9.28515625" style="8" customWidth="1"/>
    <col min="5127" max="5370" width="11.42578125" style="8"/>
    <col min="5371" max="5371" width="19.140625" style="8" customWidth="1"/>
    <col min="5372" max="5382" width="9.28515625" style="8" customWidth="1"/>
    <col min="5383" max="5626" width="11.42578125" style="8"/>
    <col min="5627" max="5627" width="19.140625" style="8" customWidth="1"/>
    <col min="5628" max="5638" width="9.28515625" style="8" customWidth="1"/>
    <col min="5639" max="5882" width="11.42578125" style="8"/>
    <col min="5883" max="5883" width="19.140625" style="8" customWidth="1"/>
    <col min="5884" max="5894" width="9.28515625" style="8" customWidth="1"/>
    <col min="5895" max="6138" width="11.42578125" style="8"/>
    <col min="6139" max="6139" width="19.140625" style="8" customWidth="1"/>
    <col min="6140" max="6150" width="9.28515625" style="8" customWidth="1"/>
    <col min="6151" max="6394" width="11.42578125" style="8"/>
    <col min="6395" max="6395" width="19.140625" style="8" customWidth="1"/>
    <col min="6396" max="6406" width="9.28515625" style="8" customWidth="1"/>
    <col min="6407" max="6650" width="11.42578125" style="8"/>
    <col min="6651" max="6651" width="19.140625" style="8" customWidth="1"/>
    <col min="6652" max="6662" width="9.28515625" style="8" customWidth="1"/>
    <col min="6663" max="6906" width="11.42578125" style="8"/>
    <col min="6907" max="6907" width="19.140625" style="8" customWidth="1"/>
    <col min="6908" max="6918" width="9.28515625" style="8" customWidth="1"/>
    <col min="6919" max="7162" width="11.42578125" style="8"/>
    <col min="7163" max="7163" width="19.140625" style="8" customWidth="1"/>
    <col min="7164" max="7174" width="9.28515625" style="8" customWidth="1"/>
    <col min="7175" max="7418" width="11.42578125" style="8"/>
    <col min="7419" max="7419" width="19.140625" style="8" customWidth="1"/>
    <col min="7420" max="7430" width="9.28515625" style="8" customWidth="1"/>
    <col min="7431" max="7674" width="11.42578125" style="8"/>
    <col min="7675" max="7675" width="19.140625" style="8" customWidth="1"/>
    <col min="7676" max="7686" width="9.28515625" style="8" customWidth="1"/>
    <col min="7687" max="7930" width="11.42578125" style="8"/>
    <col min="7931" max="7931" width="19.140625" style="8" customWidth="1"/>
    <col min="7932" max="7942" width="9.28515625" style="8" customWidth="1"/>
    <col min="7943" max="8186" width="11.42578125" style="8"/>
    <col min="8187" max="8187" width="19.140625" style="8" customWidth="1"/>
    <col min="8188" max="8198" width="9.28515625" style="8" customWidth="1"/>
    <col min="8199" max="8442" width="11.42578125" style="8"/>
    <col min="8443" max="8443" width="19.140625" style="8" customWidth="1"/>
    <col min="8444" max="8454" width="9.28515625" style="8" customWidth="1"/>
    <col min="8455" max="8698" width="11.42578125" style="8"/>
    <col min="8699" max="8699" width="19.140625" style="8" customWidth="1"/>
    <col min="8700" max="8710" width="9.28515625" style="8" customWidth="1"/>
    <col min="8711" max="8954" width="11.42578125" style="8"/>
    <col min="8955" max="8955" width="19.140625" style="8" customWidth="1"/>
    <col min="8956" max="8966" width="9.28515625" style="8" customWidth="1"/>
    <col min="8967" max="9210" width="11.42578125" style="8"/>
    <col min="9211" max="9211" width="19.140625" style="8" customWidth="1"/>
    <col min="9212" max="9222" width="9.28515625" style="8" customWidth="1"/>
    <col min="9223" max="9466" width="11.42578125" style="8"/>
    <col min="9467" max="9467" width="19.140625" style="8" customWidth="1"/>
    <col min="9468" max="9478" width="9.28515625" style="8" customWidth="1"/>
    <col min="9479" max="9722" width="11.42578125" style="8"/>
    <col min="9723" max="9723" width="19.140625" style="8" customWidth="1"/>
    <col min="9724" max="9734" width="9.28515625" style="8" customWidth="1"/>
    <col min="9735" max="9978" width="11.42578125" style="8"/>
    <col min="9979" max="9979" width="19.140625" style="8" customWidth="1"/>
    <col min="9980" max="9990" width="9.28515625" style="8" customWidth="1"/>
    <col min="9991" max="10234" width="11.42578125" style="8"/>
    <col min="10235" max="10235" width="19.140625" style="8" customWidth="1"/>
    <col min="10236" max="10246" width="9.28515625" style="8" customWidth="1"/>
    <col min="10247" max="10490" width="11.42578125" style="8"/>
    <col min="10491" max="10491" width="19.140625" style="8" customWidth="1"/>
    <col min="10492" max="10502" width="9.28515625" style="8" customWidth="1"/>
    <col min="10503" max="10746" width="11.42578125" style="8"/>
    <col min="10747" max="10747" width="19.140625" style="8" customWidth="1"/>
    <col min="10748" max="10758" width="9.28515625" style="8" customWidth="1"/>
    <col min="10759" max="11002" width="11.42578125" style="8"/>
    <col min="11003" max="11003" width="19.140625" style="8" customWidth="1"/>
    <col min="11004" max="11014" width="9.28515625" style="8" customWidth="1"/>
    <col min="11015" max="11258" width="11.42578125" style="8"/>
    <col min="11259" max="11259" width="19.140625" style="8" customWidth="1"/>
    <col min="11260" max="11270" width="9.28515625" style="8" customWidth="1"/>
    <col min="11271" max="11514" width="11.42578125" style="8"/>
    <col min="11515" max="11515" width="19.140625" style="8" customWidth="1"/>
    <col min="11516" max="11526" width="9.28515625" style="8" customWidth="1"/>
    <col min="11527" max="11770" width="11.42578125" style="8"/>
    <col min="11771" max="11771" width="19.140625" style="8" customWidth="1"/>
    <col min="11772" max="11782" width="9.28515625" style="8" customWidth="1"/>
    <col min="11783" max="12026" width="11.42578125" style="8"/>
    <col min="12027" max="12027" width="19.140625" style="8" customWidth="1"/>
    <col min="12028" max="12038" width="9.28515625" style="8" customWidth="1"/>
    <col min="12039" max="12282" width="11.42578125" style="8"/>
    <col min="12283" max="12283" width="19.140625" style="8" customWidth="1"/>
    <col min="12284" max="12294" width="9.28515625" style="8" customWidth="1"/>
    <col min="12295" max="12538" width="11.42578125" style="8"/>
    <col min="12539" max="12539" width="19.140625" style="8" customWidth="1"/>
    <col min="12540" max="12550" width="9.28515625" style="8" customWidth="1"/>
    <col min="12551" max="12794" width="11.42578125" style="8"/>
    <col min="12795" max="12795" width="19.140625" style="8" customWidth="1"/>
    <col min="12796" max="12806" width="9.28515625" style="8" customWidth="1"/>
    <col min="12807" max="13050" width="11.42578125" style="8"/>
    <col min="13051" max="13051" width="19.140625" style="8" customWidth="1"/>
    <col min="13052" max="13062" width="9.28515625" style="8" customWidth="1"/>
    <col min="13063" max="13306" width="11.42578125" style="8"/>
    <col min="13307" max="13307" width="19.140625" style="8" customWidth="1"/>
    <col min="13308" max="13318" width="9.28515625" style="8" customWidth="1"/>
    <col min="13319" max="13562" width="11.42578125" style="8"/>
    <col min="13563" max="13563" width="19.140625" style="8" customWidth="1"/>
    <col min="13564" max="13574" width="9.28515625" style="8" customWidth="1"/>
    <col min="13575" max="13818" width="11.42578125" style="8"/>
    <col min="13819" max="13819" width="19.140625" style="8" customWidth="1"/>
    <col min="13820" max="13830" width="9.28515625" style="8" customWidth="1"/>
    <col min="13831" max="14074" width="11.42578125" style="8"/>
    <col min="14075" max="14075" width="19.140625" style="8" customWidth="1"/>
    <col min="14076" max="14086" width="9.28515625" style="8" customWidth="1"/>
    <col min="14087" max="14330" width="11.42578125" style="8"/>
    <col min="14331" max="14331" width="19.140625" style="8" customWidth="1"/>
    <col min="14332" max="14342" width="9.28515625" style="8" customWidth="1"/>
    <col min="14343" max="14586" width="11.42578125" style="8"/>
    <col min="14587" max="14587" width="19.140625" style="8" customWidth="1"/>
    <col min="14588" max="14598" width="9.28515625" style="8" customWidth="1"/>
    <col min="14599" max="14842" width="11.42578125" style="8"/>
    <col min="14843" max="14843" width="19.140625" style="8" customWidth="1"/>
    <col min="14844" max="14854" width="9.28515625" style="8" customWidth="1"/>
    <col min="14855" max="15098" width="11.42578125" style="8"/>
    <col min="15099" max="15099" width="19.140625" style="8" customWidth="1"/>
    <col min="15100" max="15110" width="9.28515625" style="8" customWidth="1"/>
    <col min="15111" max="15354" width="11.42578125" style="8"/>
    <col min="15355" max="15355" width="19.140625" style="8" customWidth="1"/>
    <col min="15356" max="15366" width="9.28515625" style="8" customWidth="1"/>
    <col min="15367" max="15610" width="11.42578125" style="8"/>
    <col min="15611" max="15611" width="19.140625" style="8" customWidth="1"/>
    <col min="15612" max="15622" width="9.28515625" style="8" customWidth="1"/>
    <col min="15623" max="15866" width="11.42578125" style="8"/>
    <col min="15867" max="15867" width="19.140625" style="8" customWidth="1"/>
    <col min="15868" max="15878" width="9.28515625" style="8" customWidth="1"/>
    <col min="15879" max="16122" width="11.42578125" style="8"/>
    <col min="16123" max="16123" width="19.140625" style="8" customWidth="1"/>
    <col min="16124" max="16134" width="9.28515625" style="8" customWidth="1"/>
    <col min="16135" max="16384" width="11.42578125" style="8"/>
  </cols>
  <sheetData>
    <row r="1" spans="2:37" ht="12.75" hidden="1" customHeight="1" outlineLevel="1">
      <c r="C1" s="6" t="s">
        <v>55</v>
      </c>
      <c r="E1" s="6" t="str">
        <f>Context!E14</f>
        <v>tango_core_model:Report_PL</v>
      </c>
    </row>
    <row r="2" spans="2:37" ht="12.75" hidden="1" customHeight="1" outlineLevel="1">
      <c r="C2" s="5" t="s">
        <v>46</v>
      </c>
      <c r="E2" s="5" t="str">
        <f ca="1">_xll.SUBNM("tango_core_model:Currency","","MEUR")</f>
        <v>MEUR</v>
      </c>
    </row>
    <row r="3" spans="2:37" s="42" customFormat="1" ht="38.25" hidden="1" customHeight="1" outlineLevel="1">
      <c r="B3" s="41"/>
      <c r="C3" s="34" t="s">
        <v>42</v>
      </c>
      <c r="E3" s="34" t="str">
        <f ca="1">_xll.SUBNM("tango_core_model:Gaap","","Total_conso_wo_opt_dis")</f>
        <v>Total_conso_wo_opt_dis</v>
      </c>
      <c r="F3" s="8"/>
      <c r="G3" s="8"/>
      <c r="H3" s="8"/>
      <c r="W3" s="98"/>
      <c r="X3" s="98"/>
      <c r="Y3" s="98"/>
      <c r="Z3" s="98"/>
      <c r="AH3" s="98"/>
      <c r="AI3" s="98"/>
      <c r="AJ3" s="98"/>
      <c r="AK3" s="98"/>
    </row>
    <row r="4" spans="2:37" ht="12.75" hidden="1" customHeight="1" outlineLevel="1">
      <c r="C4" s="5" t="s">
        <v>43</v>
      </c>
      <c r="E4" s="5" t="str">
        <f ca="1">_xll.SUBNM("tango_core_model:Integration_Rate","","APP")</f>
        <v>APP</v>
      </c>
    </row>
    <row r="5" spans="2:37" ht="12.75" hidden="1" customHeight="1" outlineLevel="1">
      <c r="C5" s="5" t="s">
        <v>44</v>
      </c>
      <c r="E5" s="5" t="str">
        <f ca="1">_xll.SUBNM("tango_core_model:Activity","","Tot_act","English")</f>
        <v>All activity</v>
      </c>
    </row>
    <row r="6" spans="2:37" ht="12.75" hidden="1" customHeight="1" outlineLevel="1">
      <c r="C6" s="6" t="s">
        <v>47</v>
      </c>
      <c r="E6" s="6" t="str">
        <f ca="1">Pays</f>
        <v>Not affected</v>
      </c>
    </row>
    <row r="7" spans="2:37" ht="12.75" hidden="1" customHeight="1" outlineLevel="1">
      <c r="C7" s="5" t="s">
        <v>56</v>
      </c>
      <c r="E7" s="5" t="str">
        <f ca="1">_xll.SUBNM("tango_core_model:Management_Organization","","VTD_corp")</f>
        <v>VTD_corp</v>
      </c>
    </row>
    <row r="8" spans="2:37" ht="12.75" hidden="1" customHeight="1" outlineLevel="1">
      <c r="C8" s="6" t="s">
        <v>46</v>
      </c>
      <c r="E8" s="6" t="str">
        <f>Devise</f>
        <v>EUR</v>
      </c>
    </row>
    <row r="9" spans="2:37" ht="12.75" hidden="1" customHeight="1" outlineLevel="1"/>
    <row r="10" spans="2:37" ht="12.75" hidden="1" customHeight="1" outlineLevel="1"/>
    <row r="11" spans="2:37" ht="12.75" hidden="1" customHeight="1" outlineLevel="1"/>
    <row r="12" spans="2:37" ht="12.75" hidden="1" customHeight="1" outlineLevel="1"/>
    <row r="13" spans="2:37" ht="12.75" hidden="1" customHeight="1" outlineLevel="1"/>
    <row r="14" spans="2:37" ht="12.75" hidden="1" customHeight="1" outlineLevel="1"/>
    <row r="15" spans="2:37" s="94" customFormat="1" ht="49.5" customHeight="1" collapsed="1">
      <c r="B15" s="92"/>
      <c r="C15" s="93" t="str">
        <f ca="1">UPPER(Pays)&amp;" - FINANCIAL SUMMARY - "&amp;Période_titre</f>
        <v>NOT AFFECTED - FINANCIAL SUMMARY - December 2019</v>
      </c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9"/>
      <c r="X15" s="99"/>
      <c r="Y15" s="99"/>
      <c r="Z15" s="99"/>
      <c r="AA15" s="93"/>
      <c r="AB15" s="93"/>
      <c r="AC15" s="93"/>
      <c r="AD15" s="93"/>
      <c r="AE15" s="93"/>
      <c r="AF15" s="93"/>
      <c r="AG15" s="93"/>
      <c r="AH15" s="99"/>
      <c r="AI15" s="99"/>
      <c r="AJ15" s="99"/>
      <c r="AK15" s="99"/>
    </row>
    <row r="16" spans="2:37" ht="21.75" customHeight="1"/>
    <row r="17" spans="1:37" s="80" customFormat="1" ht="25.5" customHeight="1">
      <c r="B17" s="81"/>
      <c r="C17" s="82"/>
      <c r="E17" s="83" t="s">
        <v>4</v>
      </c>
      <c r="F17" s="83"/>
      <c r="G17" s="83"/>
      <c r="H17" s="83"/>
      <c r="I17" s="83"/>
      <c r="J17" s="83"/>
      <c r="K17" s="83"/>
      <c r="L17" s="83"/>
      <c r="M17" s="83"/>
      <c r="O17" s="119" t="s">
        <v>91</v>
      </c>
      <c r="P17" s="119"/>
      <c r="Q17" s="119"/>
      <c r="R17" s="119"/>
      <c r="S17" s="119"/>
      <c r="T17" s="95"/>
      <c r="U17" s="95"/>
      <c r="W17" s="120" t="s">
        <v>155</v>
      </c>
      <c r="X17" s="120"/>
      <c r="Y17" s="120"/>
      <c r="Z17" s="120"/>
      <c r="AB17" s="119" t="s">
        <v>92</v>
      </c>
      <c r="AC17" s="119"/>
      <c r="AD17" s="119"/>
      <c r="AE17" s="119"/>
      <c r="AF17" s="119"/>
      <c r="AH17" s="120" t="s">
        <v>155</v>
      </c>
      <c r="AI17" s="120"/>
      <c r="AJ17" s="120"/>
      <c r="AK17" s="120"/>
    </row>
    <row r="18" spans="1:37" s="33" customFormat="1" ht="33" customHeight="1">
      <c r="B18" s="43"/>
      <c r="C18" s="48" t="str">
        <f ca="1">Période&amp;" 
In M "&amp;Devise</f>
        <v>2019.12 
In M EUR</v>
      </c>
      <c r="E18" s="79" t="s">
        <v>45</v>
      </c>
      <c r="F18" s="79" t="s">
        <v>1</v>
      </c>
      <c r="G18" s="79" t="s">
        <v>2</v>
      </c>
      <c r="H18" s="79" t="s">
        <v>3</v>
      </c>
      <c r="I18" s="79" t="s">
        <v>6</v>
      </c>
      <c r="J18" s="79" t="str">
        <f>$E18&amp;" vs "&amp;F18</f>
        <v>Actual vs Budget</v>
      </c>
      <c r="K18" s="79" t="str">
        <f t="shared" ref="K18:M18" si="0">$E18&amp;" vs "&amp;G18</f>
        <v>Actual vs FC1</v>
      </c>
      <c r="L18" s="79" t="str">
        <f t="shared" si="0"/>
        <v>Actual vs FC2</v>
      </c>
      <c r="M18" s="79" t="str">
        <f t="shared" si="0"/>
        <v>Actual vs Prior Year</v>
      </c>
      <c r="O18" s="79" t="str">
        <f>E18</f>
        <v>Actual</v>
      </c>
      <c r="P18" s="79" t="str">
        <f t="shared" ref="P18:S18" si="1">F18</f>
        <v>Budget</v>
      </c>
      <c r="Q18" s="79" t="str">
        <f t="shared" si="1"/>
        <v>FC1</v>
      </c>
      <c r="R18" s="79" t="str">
        <f t="shared" si="1"/>
        <v>FC2</v>
      </c>
      <c r="S18" s="79" t="str">
        <f t="shared" si="1"/>
        <v>Prior Year</v>
      </c>
      <c r="T18" s="79" t="s">
        <v>73</v>
      </c>
      <c r="U18" s="79" t="s">
        <v>84</v>
      </c>
      <c r="W18" s="96" t="str">
        <f>$O18&amp;" vs "&amp;P18</f>
        <v>Actual vs Budget</v>
      </c>
      <c r="X18" s="96" t="str">
        <f>$O18&amp;" vs "&amp;Q18</f>
        <v>Actual vs FC1</v>
      </c>
      <c r="Y18" s="96" t="str">
        <f>$O18&amp;" vs "&amp;R18</f>
        <v>Actual vs FC2</v>
      </c>
      <c r="Z18" s="96" t="str">
        <f>$O18&amp;" vs "&amp;S18</f>
        <v>Actual vs Prior Year</v>
      </c>
      <c r="AB18" s="79" t="s">
        <v>1</v>
      </c>
      <c r="AC18" s="79" t="s">
        <v>2</v>
      </c>
      <c r="AD18" s="79" t="s">
        <v>3</v>
      </c>
      <c r="AE18" s="79" t="s">
        <v>6</v>
      </c>
      <c r="AF18" s="79" t="s">
        <v>77</v>
      </c>
      <c r="AH18" s="96" t="str">
        <f>$AB18&amp;" vs "&amp;AC18</f>
        <v>Budget vs FC1</v>
      </c>
      <c r="AI18" s="96" t="str">
        <f>$AB18&amp;" vs "&amp;AD18</f>
        <v>Budget vs FC2</v>
      </c>
      <c r="AJ18" s="96" t="str">
        <f>$AB18&amp;" vs "&amp;AE18</f>
        <v>Budget vs Prior Year</v>
      </c>
      <c r="AK18" s="96" t="str">
        <f>$AB18&amp;" vs "&amp;AF18</f>
        <v>Budget vs Budget Year+1</v>
      </c>
    </row>
    <row r="19" spans="1:37" s="12" customFormat="1" ht="12.75" hidden="1" customHeight="1" outlineLevel="1">
      <c r="C19" s="11"/>
      <c r="E19" s="4"/>
      <c r="F19" s="4"/>
      <c r="G19" s="4"/>
      <c r="H19" s="4"/>
      <c r="I19" s="4"/>
      <c r="J19" s="4"/>
      <c r="K19" s="4"/>
      <c r="L19" s="4"/>
      <c r="M19" s="4"/>
      <c r="O19" s="4"/>
      <c r="P19" s="4"/>
      <c r="Q19" s="4"/>
      <c r="R19" s="4"/>
      <c r="S19" s="4"/>
      <c r="T19" s="4"/>
      <c r="U19" s="4"/>
      <c r="W19" s="100"/>
      <c r="X19" s="100"/>
      <c r="Y19" s="100"/>
      <c r="Z19" s="100"/>
      <c r="AB19" s="4"/>
      <c r="AC19" s="4"/>
      <c r="AD19" s="4"/>
      <c r="AE19" s="4"/>
      <c r="AF19" s="4"/>
      <c r="AH19" s="100"/>
      <c r="AI19" s="100"/>
      <c r="AJ19" s="100"/>
      <c r="AK19" s="100"/>
    </row>
    <row r="20" spans="1:37" s="15" customFormat="1" ht="25.5" hidden="1" customHeight="1" outlineLevel="1">
      <c r="B20" s="37"/>
      <c r="C20" s="13" t="s">
        <v>83</v>
      </c>
      <c r="E20" s="88" t="str">
        <f t="shared" ref="E20:AE20" si="2">VLOOKUP(E18,Correspondance_Liste_Phase,2,FALSE)</f>
        <v>ACT_TOT</v>
      </c>
      <c r="F20" s="14" t="str">
        <f t="shared" si="2"/>
        <v>BUDG_VC_TOT</v>
      </c>
      <c r="G20" s="14" t="str">
        <f t="shared" si="2"/>
        <v>FC_1_VC_TOT</v>
      </c>
      <c r="H20" s="14" t="str">
        <f t="shared" si="2"/>
        <v>FC_2_VC_TOT</v>
      </c>
      <c r="I20" s="88" t="str">
        <f t="shared" si="2"/>
        <v>ACT_TOT</v>
      </c>
      <c r="J20" s="14"/>
      <c r="K20" s="14"/>
      <c r="L20" s="14"/>
      <c r="M20" s="14"/>
      <c r="O20" s="14" t="str">
        <f t="shared" si="2"/>
        <v>ACT_TOT</v>
      </c>
      <c r="P20" s="14" t="str">
        <f t="shared" si="2"/>
        <v>BUDG_VC_TOT</v>
      </c>
      <c r="Q20" s="14" t="str">
        <f>VLOOKUP(Q18,Correspondance_Liste_Phase,2,FALSE)</f>
        <v>FC_1_VC_TOT</v>
      </c>
      <c r="R20" s="14" t="str">
        <f t="shared" si="2"/>
        <v>FC_2_VC_TOT</v>
      </c>
      <c r="S20" s="14" t="str">
        <f t="shared" si="2"/>
        <v>ACT_TOT</v>
      </c>
      <c r="T20" s="14" t="str">
        <f t="shared" si="2"/>
        <v>ACT_TOT</v>
      </c>
      <c r="U20" s="14" t="str">
        <f t="shared" si="2"/>
        <v>ACT_TOT</v>
      </c>
      <c r="W20" s="101"/>
      <c r="X20" s="101"/>
      <c r="Y20" s="101"/>
      <c r="Z20" s="101"/>
      <c r="AB20" s="14" t="str">
        <f t="shared" si="2"/>
        <v>BUDG_VC_TOT</v>
      </c>
      <c r="AC20" s="14" t="str">
        <f t="shared" si="2"/>
        <v>FC_1_VC_TOT</v>
      </c>
      <c r="AD20" s="14" t="str">
        <f t="shared" si="2"/>
        <v>FC_2_VC_TOT</v>
      </c>
      <c r="AE20" s="14" t="str">
        <f t="shared" si="2"/>
        <v>ACT_TOT</v>
      </c>
      <c r="AF20" s="14" t="str">
        <f t="shared" ref="AF20" si="3">VLOOKUP(AF18,Correspondance_Liste_Phase,2,FALSE)</f>
        <v>BUDG_VC_TOT</v>
      </c>
      <c r="AH20" s="101"/>
      <c r="AI20" s="101"/>
      <c r="AJ20" s="101"/>
      <c r="AK20" s="101"/>
    </row>
    <row r="21" spans="1:37" s="18" customFormat="1" ht="12.75" hidden="1" customHeight="1" outlineLevel="1">
      <c r="B21" s="38"/>
      <c r="C21" s="16" t="s">
        <v>82</v>
      </c>
      <c r="E21" s="89" t="str">
        <f ca="1">INDEX(Matrice_Choix,MATCH(E18,Lignes,),MATCH($E$17,Colonnes,))</f>
        <v>2019.12</v>
      </c>
      <c r="F21" s="17" t="str">
        <f ca="1">INDEX(Matrice_Choix,MATCH(F18,Lignes,),MATCH($E$17,Colonnes,))</f>
        <v>2019.12</v>
      </c>
      <c r="G21" s="17" t="str">
        <f ca="1">INDEX(Matrice_Choix,MATCH(G18,Lignes,),MATCH($E$17,Colonnes,))</f>
        <v>2019.12</v>
      </c>
      <c r="H21" s="17" t="str">
        <f ca="1">INDEX(Matrice_Choix,MATCH(H18,Lignes,),MATCH($E$17,Colonnes,))</f>
        <v>2019.12</v>
      </c>
      <c r="I21" s="89" t="str">
        <f ca="1">INDEX(Matrice_Choix,MATCH(I18,Lignes,),MATCH($E$17,Colonnes,))</f>
        <v>2018.12</v>
      </c>
      <c r="J21" s="17"/>
      <c r="K21" s="17"/>
      <c r="L21" s="17"/>
      <c r="M21" s="17"/>
      <c r="O21" s="17" t="str">
        <f t="shared" ref="O21:U21" ca="1" si="4">INDEX(Matrice_Choix,MATCH(O18,Lignes,),MATCH($O$17,Colonnes,))</f>
        <v>2019.12_YTD</v>
      </c>
      <c r="P21" s="17" t="str">
        <f t="shared" ca="1" si="4"/>
        <v>2019.12_YTD</v>
      </c>
      <c r="Q21" s="17" t="str">
        <f t="shared" ca="1" si="4"/>
        <v>2019.12_YTD</v>
      </c>
      <c r="R21" s="17" t="str">
        <f t="shared" ca="1" si="4"/>
        <v>2019.12_YTD</v>
      </c>
      <c r="S21" s="17" t="str">
        <f t="shared" ca="1" si="4"/>
        <v>2018.12_YTD</v>
      </c>
      <c r="T21" s="17" t="str">
        <f t="shared" ca="1" si="4"/>
        <v>2019.11_YTD</v>
      </c>
      <c r="U21" s="17" t="str">
        <f t="shared" ca="1" si="4"/>
        <v>2018.11_YTD</v>
      </c>
      <c r="W21" s="101"/>
      <c r="X21" s="101"/>
      <c r="Y21" s="101"/>
      <c r="Z21" s="101"/>
      <c r="AB21" s="17" t="str">
        <f ca="1">INDEX(Matrice_Choix,MATCH(AB18,Lignes,),MATCH($AB$17,Colonnes,))</f>
        <v>F_Year_2019</v>
      </c>
      <c r="AC21" s="17" t="str">
        <f ca="1">INDEX(Matrice_Choix,MATCH(AC18,Lignes,),MATCH($AB$17,Colonnes,))</f>
        <v>F_Year_2019</v>
      </c>
      <c r="AD21" s="17" t="str">
        <f ca="1">INDEX(Matrice_Choix,MATCH(AD18,Lignes,),MATCH($AB$17,Colonnes,))</f>
        <v>F_Year_2019</v>
      </c>
      <c r="AE21" s="17" t="str">
        <f ca="1">INDEX(Matrice_Choix,MATCH(AE18,Lignes,),MATCH($AB$17,Colonnes,))</f>
        <v>2018.12_YTD</v>
      </c>
      <c r="AF21" s="17" t="str">
        <f ca="1">INDEX(Matrice_Choix,MATCH(AF18,Lignes,),MATCH($AB$17,Colonnes,))</f>
        <v>F_Year_2020</v>
      </c>
      <c r="AH21" s="101"/>
      <c r="AI21" s="101"/>
      <c r="AJ21" s="101"/>
      <c r="AK21" s="101"/>
    </row>
    <row r="22" spans="1:37" s="18" customFormat="1" ht="12.75" hidden="1" customHeight="1" outlineLevel="1">
      <c r="B22" s="38"/>
      <c r="C22" s="16" t="s">
        <v>94</v>
      </c>
      <c r="E22" s="89" t="str">
        <f ca="1">E20&amp;E21</f>
        <v>ACT_TOT2019.12</v>
      </c>
      <c r="F22" s="17" t="str">
        <f t="shared" ref="F22:AK22" ca="1" si="5">F20&amp;F21</f>
        <v>BUDG_VC_TOT2019.12</v>
      </c>
      <c r="G22" s="17" t="str">
        <f t="shared" ca="1" si="5"/>
        <v>FC_1_VC_TOT2019.12</v>
      </c>
      <c r="H22" s="17" t="str">
        <f t="shared" ca="1" si="5"/>
        <v>FC_2_VC_TOT2019.12</v>
      </c>
      <c r="I22" s="89" t="str">
        <f t="shared" ca="1" si="5"/>
        <v>ACT_TOT2018.12</v>
      </c>
      <c r="J22" s="17" t="str">
        <f t="shared" si="5"/>
        <v/>
      </c>
      <c r="K22" s="17" t="str">
        <f t="shared" si="5"/>
        <v/>
      </c>
      <c r="L22" s="17" t="str">
        <f t="shared" si="5"/>
        <v/>
      </c>
      <c r="M22" s="17" t="str">
        <f t="shared" si="5"/>
        <v/>
      </c>
      <c r="O22" s="17" t="str">
        <f t="shared" ca="1" si="5"/>
        <v>ACT_TOT2019.12_YTD</v>
      </c>
      <c r="P22" s="17" t="str">
        <f t="shared" ca="1" si="5"/>
        <v>BUDG_VC_TOT2019.12_YTD</v>
      </c>
      <c r="Q22" s="17" t="str">
        <f t="shared" ca="1" si="5"/>
        <v>FC_1_VC_TOT2019.12_YTD</v>
      </c>
      <c r="R22" s="17" t="str">
        <f t="shared" ca="1" si="5"/>
        <v>FC_2_VC_TOT2019.12_YTD</v>
      </c>
      <c r="S22" s="17" t="str">
        <f t="shared" ca="1" si="5"/>
        <v>ACT_TOT2018.12_YTD</v>
      </c>
      <c r="T22" s="17" t="str">
        <f t="shared" ca="1" si="5"/>
        <v>ACT_TOT2019.11_YTD</v>
      </c>
      <c r="U22" s="17" t="str">
        <f t="shared" ca="1" si="5"/>
        <v>ACT_TOT2018.11_YTD</v>
      </c>
      <c r="W22" s="101" t="str">
        <f t="shared" ref="W22:Z22" si="6">W20&amp;W21</f>
        <v/>
      </c>
      <c r="X22" s="101" t="str">
        <f t="shared" si="6"/>
        <v/>
      </c>
      <c r="Y22" s="101" t="str">
        <f t="shared" si="6"/>
        <v/>
      </c>
      <c r="Z22" s="101" t="str">
        <f t="shared" si="6"/>
        <v/>
      </c>
      <c r="AB22" s="17" t="str">
        <f t="shared" ca="1" si="5"/>
        <v>BUDG_VC_TOTF_Year_2019</v>
      </c>
      <c r="AC22" s="17" t="str">
        <f t="shared" ca="1" si="5"/>
        <v>FC_1_VC_TOTF_Year_2019</v>
      </c>
      <c r="AD22" s="17" t="str">
        <f t="shared" ca="1" si="5"/>
        <v>FC_2_VC_TOTF_Year_2019</v>
      </c>
      <c r="AE22" s="17" t="str">
        <f t="shared" ca="1" si="5"/>
        <v>ACT_TOT2018.12_YTD</v>
      </c>
      <c r="AF22" s="17" t="str">
        <f t="shared" ca="1" si="5"/>
        <v>BUDG_VC_TOTF_Year_2020</v>
      </c>
      <c r="AH22" s="101" t="str">
        <f t="shared" si="5"/>
        <v/>
      </c>
      <c r="AI22" s="101" t="str">
        <f t="shared" si="5"/>
        <v/>
      </c>
      <c r="AJ22" s="101" t="str">
        <f t="shared" si="5"/>
        <v/>
      </c>
      <c r="AK22" s="101" t="str">
        <f t="shared" si="5"/>
        <v/>
      </c>
    </row>
    <row r="23" spans="1:37" ht="12.75" hidden="1" customHeight="1" outlineLevel="1">
      <c r="B23" s="38"/>
      <c r="C23" s="7" t="s">
        <v>81</v>
      </c>
      <c r="E23" s="89"/>
      <c r="F23" s="7">
        <f ca="1">IF(LEFT(F21,1)="F",_xll.DBR("tango_core_model:ST_Currency",F21,MID(F20,1,LEN(F20)-4),Devise,"EUR",$C$23),_xll.DBR("tango_core_model:ST_Currency",LEFT(F21,7),MID(F20,1,LEN(F20)-4),Devise,"EUR",$C$23))</f>
        <v>1</v>
      </c>
      <c r="G23" s="7">
        <f ca="1">IF(LEFT(G21,1)="F",_xll.DBR("tango_core_model:ST_Currency",G21,MID(G20,1,LEN(G20)-4),Devise,"EUR",$C$23),_xll.DBR("tango_core_model:ST_Currency",LEFT(G21,7),MID(G20,1,LEN(G20)-4),Devise,"EUR",$C$23))</f>
        <v>1</v>
      </c>
      <c r="H23" s="7">
        <f ca="1">IF(LEFT(H21,1)="F",_xll.DBR("tango_core_model:ST_Currency",H21,MID(H20,1,LEN(H20)-4),Devise,"EUR",$C$23),_xll.DBR("tango_core_model:ST_Currency",LEFT(H21,7),MID(H20,1,LEN(H20)-4),Devise,"EUR",$C$23))</f>
        <v>1</v>
      </c>
      <c r="I23" s="89"/>
      <c r="J23" s="7"/>
      <c r="K23" s="7"/>
      <c r="L23" s="7"/>
      <c r="M23" s="7"/>
      <c r="O23" s="7">
        <f ca="1">IF(LEFT(O21,1)="F",_xll.DBR("tango_core_model:ST_Currency",O21,MID(O20,1,LEN(O20)-4),Devise,"EUR",$C$23),_xll.DBR("tango_core_model:ST_Currency",LEFT(O21,7),MID(O20,1,LEN(O20)-4),Devise,"EUR",$C$23))</f>
        <v>1</v>
      </c>
      <c r="P23" s="7">
        <f ca="1">IF(LEFT(P21,1)="F",_xll.DBR("tango_core_model:ST_Currency",P21,MID(P20,1,LEN(P20)-4),Devise,"EUR",$C$23),_xll.DBR("tango_core_model:ST_Currency",LEFT(P21,7),MID(P20,1,LEN(P20)-4),Devise,"EUR",$C$23))</f>
        <v>1</v>
      </c>
      <c r="Q23" s="7">
        <f ca="1">IF(LEFT(Q21,1)="F",_xll.DBR("tango_core_model:ST_Currency",Q21,MID(Q20,1,LEN(Q20)-4),Devise,"EUR",$C$23),_xll.DBR("tango_core_model:ST_Currency",LEFT(Q21,7),MID(Q20,1,LEN(Q20)-4),Devise,"EUR",$C$23))</f>
        <v>1</v>
      </c>
      <c r="R23" s="7">
        <f ca="1">IF(LEFT(R21,1)="F",_xll.DBR("tango_core_model:ST_Currency",R21,MID(R20,1,LEN(R20)-4),Devise,"EUR",$C$23),_xll.DBR("tango_core_model:ST_Currency",LEFT(R21,7),MID(R20,1,LEN(R20)-4),Devise,"EUR",$C$23))</f>
        <v>1</v>
      </c>
      <c r="S23" s="7">
        <f ca="1">IF(LEFT(S21,1)="F",_xll.DBR("tango_core_model:ST_Currency",S21,MID(S20,1,LEN(S20)-4),Devise,"EUR",$C$23),_xll.DBR("tango_core_model:ST_Currency",LEFT(S21,7),MID(S20,1,LEN(S20)-4),Devise,"EUR",$C$23))</f>
        <v>1</v>
      </c>
      <c r="T23" s="7">
        <f ca="1">IF(LEFT(T21,1)="F",_xll.DBR("tango_core_model:ST_Currency",T21,MID(T20,1,LEN(T20)-4),Devise,"EUR",$C$23),_xll.DBR("tango_core_model:ST_Currency",LEFT(T21,7),MID(T20,1,LEN(T20)-4),Devise,"EUR",$C$23))</f>
        <v>1</v>
      </c>
      <c r="U23" s="7">
        <f ca="1">IF(LEFT(U21,1)="F",_xll.DBR("tango_core_model:ST_Currency",U21,MID(U20,1,LEN(U20)-4),Devise,"EUR",$C$23),_xll.DBR("tango_core_model:ST_Currency",LEFT(U21,7),MID(U20,1,LEN(U20)-4),Devise,"EUR",$C$23))</f>
        <v>1</v>
      </c>
      <c r="W23" s="101"/>
      <c r="X23" s="101"/>
      <c r="Y23" s="101"/>
      <c r="Z23" s="101"/>
      <c r="AB23" s="7">
        <f ca="1">IF(LEFT(AB21,1)="F",_xll.DBR("tango_core_model:ST_Currency",AB21,MID(AB20,1,LEN(AB20)-4),Devise,"EUR",$C$23),_xll.DBR("tango_core_model:ST_Currency",LEFT(AB21,7),MID(AB20,1,LEN(AB20)-4),Devise,"EUR",$C$23))</f>
        <v>1</v>
      </c>
      <c r="AC23" s="7">
        <f ca="1">IF(LEFT(AC21,1)="F",_xll.DBR("tango_core_model:ST_Currency",AC21,MID(AC20,1,LEN(AC20)-4),Devise,"EUR",$C$23),_xll.DBR("tango_core_model:ST_Currency",LEFT(AC21,7),MID(AC20,1,LEN(AC20)-4),Devise,"EUR",$C$23))</f>
        <v>1</v>
      </c>
      <c r="AD23" s="7">
        <f ca="1">IF(LEFT(AD21,1)="F",_xll.DBR("tango_core_model:ST_Currency",AD21,MID(AD20,1,LEN(AD20)-4),Devise,"EUR",$C$23),_xll.DBR("tango_core_model:ST_Currency",LEFT(AD21,7),MID(AD20,1,LEN(AD20)-4),Devise,"EUR",$C$23))</f>
        <v>1</v>
      </c>
      <c r="AE23" s="7">
        <f ca="1">IF(LEFT(AE21,1)="F",_xll.DBR("tango_core_model:ST_Currency",AE21,MID(AE20,1,LEN(AE20)-4),Devise,"EUR",$C$23),_xll.DBR("tango_core_model:ST_Currency",LEFT(AE21,7),MID(AE20,1,LEN(AE20)-4),Devise,"EUR",$C$23))</f>
        <v>1</v>
      </c>
      <c r="AF23" s="7">
        <f ca="1">IF(LEFT(AF21,1)="F",_xll.DBR("tango_core_model:ST_Currency",AF21,MID(AF20,1,LEN(AF20)-4),Devise,"EUR",$C$23),_xll.DBR("tango_core_model:ST_Currency",LEFT(AF21,7),MID(AF20,1,LEN(AF20)-4),Devise,"EUR",$C$23))</f>
        <v>1</v>
      </c>
      <c r="AH23" s="101"/>
      <c r="AI23" s="101"/>
      <c r="AJ23" s="101"/>
      <c r="AK23" s="101"/>
    </row>
    <row r="24" spans="1:37" ht="12.75" hidden="1" customHeight="1" outlineLevel="1">
      <c r="B24" s="38"/>
      <c r="C24" s="19" t="s">
        <v>80</v>
      </c>
      <c r="E24" s="89" t="s">
        <v>102</v>
      </c>
      <c r="F24" s="7">
        <f ca="1">IF(LEFT(F21,1)="F",_xll.DBR("tango_core_model:ST_Currency",F21,MID(F20,1,LEN(F20)-4),Devise,"EUR",$C$24),_xll.DBR("tango_core_model:ST_Currency",LEFT(F21,7),MID(F20,1,LEN(F20)-4),Devise,"EUR",$C$24))</f>
        <v>1</v>
      </c>
      <c r="G24" s="7">
        <f ca="1">IF(LEFT(G21,1)="F",_xll.DBR("tango_core_model:ST_Currency",G21,MID(G20,1,LEN(G20)-4),Devise,"EUR",$C$24),_xll.DBR("tango_core_model:ST_Currency",LEFT(G21,7),MID(G20,1,LEN(G20)-4),Devise,"EUR",$C$24))</f>
        <v>1</v>
      </c>
      <c r="H24" s="7">
        <f ca="1">IF(LEFT(H21,1)="F",_xll.DBR("tango_core_model:ST_Currency",H21,MID(H20,1,LEN(H20)-4),Devise,"EUR",$C$24),_xll.DBR("tango_core_model:ST_Currency",LEFT(H21,7),MID(H20,1,LEN(H20)-4),Devise,"EUR",$C$24))</f>
        <v>1</v>
      </c>
      <c r="I24" s="89" t="s">
        <v>102</v>
      </c>
      <c r="J24" s="7"/>
      <c r="K24" s="7"/>
      <c r="L24" s="7"/>
      <c r="M24" s="7"/>
      <c r="O24" s="7">
        <f ca="1">IF(LEFT(O21,1)="F",_xll.DBR("tango_core_model:ST_Currency",O21,MID(O20,1,LEN(O20)-4),Devise,"EUR",$C$24),_xll.DBR("tango_core_model:ST_Currency",LEFT(O21,7),MID(O20,1,LEN(O20)-4),Devise,"EUR",$C$24))</f>
        <v>1</v>
      </c>
      <c r="P24" s="7">
        <f ca="1">IF(LEFT(P21,1)="F",_xll.DBR("tango_core_model:ST_Currency",P21,MID(P20,1,LEN(P20)-4),Devise,"EUR",$C$24),_xll.DBR("tango_core_model:ST_Currency",LEFT(P21,7),MID(P20,1,LEN(P20)-4),Devise,"EUR",$C$24))</f>
        <v>1</v>
      </c>
      <c r="Q24" s="7">
        <f ca="1">IF(LEFT(Q21,1)="F",_xll.DBR("tango_core_model:ST_Currency",Q21,MID(Q20,1,LEN(Q20)-4),Devise,"EUR",$C$24),_xll.DBR("tango_core_model:ST_Currency",LEFT(Q21,7),MID(Q20,1,LEN(Q20)-4),Devise,"EUR",$C$24))</f>
        <v>1</v>
      </c>
      <c r="R24" s="7">
        <f ca="1">IF(LEFT(R21,1)="F",_xll.DBR("tango_core_model:ST_Currency",R21,MID(R20,1,LEN(R20)-4),Devise,"EUR",$C$24),_xll.DBR("tango_core_model:ST_Currency",LEFT(R21,7),MID(R20,1,LEN(R20)-4),Devise,"EUR",$C$24))</f>
        <v>1</v>
      </c>
      <c r="S24" s="7">
        <f ca="1">IF(LEFT(S21,1)="F",_xll.DBR("tango_core_model:ST_Currency",S21,MID(S20,1,LEN(S20)-4),Devise,"EUR",$C$24),_xll.DBR("tango_core_model:ST_Currency",LEFT(S21,7),MID(S20,1,LEN(S20)-4),Devise,"EUR",$C$24))</f>
        <v>1</v>
      </c>
      <c r="T24" s="7">
        <f ca="1">IF(LEFT(T21,1)="F",_xll.DBR("tango_core_model:ST_Currency",T21,MID(T20,1,LEN(T20)-4),Devise,"EUR",$C$24),_xll.DBR("tango_core_model:ST_Currency",LEFT(T21,7),MID(T20,1,LEN(T20)-4),Devise,"EUR",$C$24))</f>
        <v>1</v>
      </c>
      <c r="U24" s="7">
        <f ca="1">IF(LEFT(U21,1)="F",_xll.DBR("tango_core_model:ST_Currency",U21,MID(U20,1,LEN(U20)-4),Devise,"EUR",$C$24),_xll.DBR("tango_core_model:ST_Currency",LEFT(U21,7),MID(U20,1,LEN(U20)-4),Devise,"EUR",$C$24))</f>
        <v>1</v>
      </c>
      <c r="W24" s="101"/>
      <c r="X24" s="101"/>
      <c r="Y24" s="101"/>
      <c r="Z24" s="101"/>
      <c r="AB24" s="7">
        <f ca="1">IF(LEFT(AB21,1)="F",_xll.DBR("tango_core_model:ST_Currency",AB21,MID(AB20,1,LEN(AB20)-4),Devise,"EUR",$C$24),_xll.DBR("tango_core_model:ST_Currency",LEFT(AB21,7),MID(AB20,1,LEN(AB20)-4),Devise,"EUR",$C$24))</f>
        <v>1</v>
      </c>
      <c r="AC24" s="7">
        <f ca="1">IF(LEFT(AC21,1)="F",_xll.DBR("tango_core_model:ST_Currency",AC21,MID(AC20,1,LEN(AC20)-4),Devise,"EUR",$C$24),_xll.DBR("tango_core_model:ST_Currency",LEFT(AC21,7),MID(AC20,1,LEN(AC20)-4),Devise,"EUR",$C$24))</f>
        <v>1</v>
      </c>
      <c r="AD24" s="7">
        <f ca="1">IF(LEFT(AD21,1)="F",_xll.DBR("tango_core_model:ST_Currency",AD21,MID(AD20,1,LEN(AD20)-4),Devise,"EUR",$C$24),_xll.DBR("tango_core_model:ST_Currency",LEFT(AD21,7),MID(AD20,1,LEN(AD20)-4),Devise,"EUR",$C$24))</f>
        <v>1</v>
      </c>
      <c r="AE24" s="7">
        <f ca="1">IF(LEFT(AE21,1)="F",_xll.DBR("tango_core_model:ST_Currency",AE21,MID(AE20,1,LEN(AE20)-4),Devise,"EUR",$C$24),_xll.DBR("tango_core_model:ST_Currency",LEFT(AE21,7),MID(AE20,1,LEN(AE20)-4),Devise,"EUR",$C$24))</f>
        <v>1</v>
      </c>
      <c r="AF24" s="7">
        <f ca="1">IF(LEFT(AF21,1)="F",_xll.DBR("tango_core_model:ST_Currency",AF21,MID(AF20,1,LEN(AF20)-4),Devise,"EUR",$C$24),_xll.DBR("tango_core_model:ST_Currency",LEFT(AF21,7),MID(AF20,1,LEN(AF20)-4),Devise,"EUR",$C$24))</f>
        <v>1</v>
      </c>
      <c r="AH24" s="101"/>
      <c r="AI24" s="101"/>
      <c r="AJ24" s="101"/>
      <c r="AK24" s="101"/>
    </row>
    <row r="25" spans="1:37" ht="12.75" hidden="1" customHeight="1" outlineLevel="1">
      <c r="B25" s="38"/>
      <c r="C25" s="20"/>
      <c r="F25" s="1"/>
      <c r="G25" s="1"/>
      <c r="H25" s="1"/>
      <c r="I25" s="1"/>
      <c r="J25" s="1"/>
      <c r="K25" s="1"/>
      <c r="L25" s="1"/>
      <c r="M25" s="1"/>
      <c r="O25" s="49"/>
      <c r="P25" s="1"/>
      <c r="Q25" s="1"/>
      <c r="R25" s="1"/>
      <c r="S25" s="1"/>
      <c r="T25" s="1"/>
      <c r="U25" s="1"/>
      <c r="W25" s="102"/>
      <c r="X25" s="102"/>
      <c r="Y25" s="102"/>
      <c r="Z25" s="102"/>
      <c r="AB25" s="49"/>
      <c r="AC25" s="49"/>
      <c r="AD25" s="49"/>
      <c r="AH25" s="102"/>
      <c r="AI25" s="102"/>
      <c r="AJ25" s="102"/>
    </row>
    <row r="26" spans="1:37" s="12" customFormat="1" ht="12.75" hidden="1" customHeight="1" outlineLevel="1">
      <c r="A26" s="8"/>
      <c r="B26" s="38"/>
      <c r="C26" s="11"/>
      <c r="E26" s="4"/>
      <c r="F26" s="4"/>
      <c r="G26" s="4"/>
      <c r="H26" s="4"/>
      <c r="I26" s="4"/>
      <c r="J26" s="4"/>
      <c r="K26" s="4"/>
      <c r="L26" s="4"/>
      <c r="M26" s="4"/>
      <c r="O26" s="4"/>
      <c r="P26" s="4"/>
      <c r="Q26" s="4"/>
      <c r="R26" s="4"/>
      <c r="S26" s="4"/>
      <c r="T26" s="4"/>
      <c r="U26" s="4"/>
      <c r="W26" s="100"/>
      <c r="X26" s="100"/>
      <c r="Y26" s="100"/>
      <c r="Z26" s="100"/>
      <c r="AB26" s="4"/>
      <c r="AC26" s="4"/>
      <c r="AD26" s="4"/>
      <c r="AE26" s="4"/>
      <c r="AF26" s="4"/>
      <c r="AH26" s="100"/>
      <c r="AI26" s="100"/>
      <c r="AJ26" s="100"/>
      <c r="AK26" s="100"/>
    </row>
    <row r="27" spans="1:37" ht="9.75" customHeight="1" collapsed="1">
      <c r="B27" s="38"/>
      <c r="C27" s="20"/>
      <c r="E27" s="49"/>
      <c r="F27" s="1"/>
      <c r="G27" s="1"/>
      <c r="H27" s="1"/>
      <c r="I27" s="1"/>
      <c r="J27" s="1"/>
      <c r="K27" s="1"/>
      <c r="L27" s="1"/>
      <c r="M27" s="1"/>
      <c r="O27" s="49"/>
      <c r="P27" s="1"/>
      <c r="Q27" s="1"/>
      <c r="R27" s="1"/>
      <c r="S27" s="1"/>
      <c r="T27" s="1"/>
      <c r="U27" s="1"/>
      <c r="W27" s="102"/>
      <c r="X27" s="102"/>
      <c r="Y27" s="102"/>
      <c r="Z27" s="102"/>
      <c r="AB27" s="49"/>
      <c r="AC27" s="49"/>
      <c r="AD27" s="49"/>
      <c r="AH27" s="102"/>
      <c r="AI27" s="102"/>
      <c r="AJ27" s="102"/>
    </row>
    <row r="28" spans="1:37" s="59" customFormat="1" ht="24.95" customHeight="1">
      <c r="A28" s="37"/>
      <c r="B28" s="58"/>
      <c r="C28" s="90" t="s">
        <v>7</v>
      </c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103"/>
      <c r="X28" s="103"/>
      <c r="Y28" s="103"/>
      <c r="Z28" s="103"/>
      <c r="AA28" s="90"/>
      <c r="AB28" s="90"/>
      <c r="AC28" s="90"/>
      <c r="AD28" s="90"/>
      <c r="AE28" s="90"/>
      <c r="AF28" s="90"/>
      <c r="AG28" s="90"/>
      <c r="AH28" s="103"/>
      <c r="AI28" s="103"/>
      <c r="AJ28" s="103"/>
      <c r="AK28" s="103"/>
    </row>
    <row r="29" spans="1:37" s="47" customFormat="1" ht="9.9499999999999993" customHeight="1">
      <c r="A29" s="46"/>
      <c r="B29" s="37"/>
      <c r="C29" s="50"/>
      <c r="E29" s="51"/>
      <c r="F29" s="51"/>
      <c r="G29" s="51"/>
      <c r="H29" s="51"/>
      <c r="I29" s="51"/>
      <c r="J29" s="51"/>
      <c r="K29" s="51"/>
      <c r="L29" s="51"/>
      <c r="M29" s="51"/>
      <c r="O29" s="51"/>
      <c r="P29" s="51"/>
      <c r="Q29" s="51"/>
      <c r="R29" s="51"/>
      <c r="S29" s="51"/>
      <c r="T29" s="51"/>
      <c r="U29" s="51"/>
      <c r="W29" s="104"/>
      <c r="X29" s="104"/>
      <c r="Y29" s="104"/>
      <c r="Z29" s="104"/>
      <c r="AB29" s="51"/>
      <c r="AC29" s="51"/>
      <c r="AD29" s="51"/>
      <c r="AE29" s="51"/>
      <c r="AF29" s="51"/>
      <c r="AH29" s="104"/>
      <c r="AI29" s="104"/>
      <c r="AJ29" s="104"/>
      <c r="AK29" s="104"/>
    </row>
    <row r="30" spans="1:37" ht="18" customHeight="1">
      <c r="A30" s="39" t="s">
        <v>48</v>
      </c>
      <c r="B30" s="38"/>
      <c r="C30" s="52" t="str">
        <f ca="1">_xll.DBRA("tango_core_model:indicator",A30,language)</f>
        <v>REVENUE FROM ORDINARY ACTIVITIES (by nature)</v>
      </c>
      <c r="E30" s="53">
        <f ca="1">O30-T30</f>
        <v>0</v>
      </c>
      <c r="F30" s="53">
        <f ca="1">_xll.DBRW($E$1,$E$5,$E$2,$E$3,$E$4,$E$6,$E$7,F$21,F$20,$A30)*F$23</f>
        <v>0</v>
      </c>
      <c r="G30" s="53">
        <f ca="1">_xll.DBRW($E$1,$E$5,$E$2,$E$3,$E$4,$E$6,$E$7,G$21,G$20,$A30)*G$23</f>
        <v>0</v>
      </c>
      <c r="H30" s="53">
        <f ca="1">_xll.DBRW($E$1,$E$5,$E$2,$E$3,$E$4,$E$6,$E$7,H$21,H$20,$A30)*H$23</f>
        <v>0</v>
      </c>
      <c r="I30" s="53">
        <f ca="1">S30-U30</f>
        <v>0</v>
      </c>
      <c r="J30" s="53">
        <f t="shared" ref="J30:M30" ca="1" si="7">IFERROR(+$E30-F30,"")</f>
        <v>0</v>
      </c>
      <c r="K30" s="53">
        <f t="shared" ca="1" si="7"/>
        <v>0</v>
      </c>
      <c r="L30" s="53">
        <f t="shared" ca="1" si="7"/>
        <v>0</v>
      </c>
      <c r="M30" s="53">
        <f t="shared" ca="1" si="7"/>
        <v>0</v>
      </c>
      <c r="O30" s="53">
        <f ca="1">_xll.DBRW($E$1,$E$5,$E$2,$E$3,$E$4,$E$6,$E$7,O$21,O$20,$A30)*O$23</f>
        <v>0</v>
      </c>
      <c r="P30" s="53">
        <f ca="1">_xll.DBRW($E$1,$E$5,$E$2,$E$3,$E$4,$E$6,$E$7,P$21,P$20,$A30)*P$23</f>
        <v>0</v>
      </c>
      <c r="Q30" s="53">
        <f ca="1">_xll.DBRW($E$1,$E$5,$E$2,$E$3,$E$4,$E$6,$E$7,Q$21,Q$20,$A30)*Q$23</f>
        <v>0</v>
      </c>
      <c r="R30" s="53">
        <f ca="1">_xll.DBRW($E$1,$E$5,$E$2,$E$3,$E$4,$E$6,$E$7,R$21,R$20,$A30)*R$23</f>
        <v>0</v>
      </c>
      <c r="S30" s="53">
        <f ca="1">_xll.DBRW($E$1,$E$5,$E$2,$E$3,$E$4,$E$6,$E$7,S$21,S$20,$A30)*S$23</f>
        <v>0</v>
      </c>
      <c r="T30" s="53">
        <f ca="1">_xll.DBRW($E$1,$E$5,$E$2,$E$3,$E$4,$E$6,$E$7,T$21,T$20,$A30)*T$23</f>
        <v>0</v>
      </c>
      <c r="U30" s="53">
        <f ca="1">_xll.DBRW($E$1,$E$5,$E$2,$E$3,$E$4,$E$6,$E$7,U$21,U$20,$A30)*U$23</f>
        <v>0</v>
      </c>
      <c r="W30" s="105">
        <f ca="1">IFERROR(+$O30-P30,"")</f>
        <v>0</v>
      </c>
      <c r="X30" s="105">
        <f t="shared" ref="X30:X45" ca="1" si="8">IFERROR(+$O30-Q30,"")</f>
        <v>0</v>
      </c>
      <c r="Y30" s="105">
        <f t="shared" ref="Y30:Y45" ca="1" si="9">IFERROR(+$O30-R30,"")</f>
        <v>0</v>
      </c>
      <c r="Z30" s="105">
        <f t="shared" ref="Z30:Z45" ca="1" si="10">IFERROR(+$O30-S30,"")</f>
        <v>0</v>
      </c>
      <c r="AB30" s="53">
        <f ca="1">_xll.DBRW($E$1,$E$5,$E$2,$E$3,$E$4,$E$6,$E$7,AB$21,AB$20,$A30)*AB$23</f>
        <v>0</v>
      </c>
      <c r="AC30" s="53">
        <f ca="1">_xll.DBRW($E$1,$E$5,$E$2,$E$3,$E$4,$E$6,$E$7,AC$21,AC$20,$A30)*AC$23</f>
        <v>0</v>
      </c>
      <c r="AD30" s="53">
        <f ca="1">_xll.DBRW($E$1,$E$5,$E$2,$E$3,$E$4,$E$6,$E$7,AD$21,AD$20,$A30)*AD$23</f>
        <v>0</v>
      </c>
      <c r="AE30" s="53">
        <f ca="1">_xll.DBRW($E$1,$E$5,$E$2,$E$3,$E$4,$E$6,$E$7,AE$21,AE$20,$A30)*AE$23</f>
        <v>0</v>
      </c>
      <c r="AF30" s="53">
        <f ca="1">_xll.DBRW($E$1,$E$5,$E$2,$E$3,$E$4,$E$6,$E$7,AF$21,AF$20,$A30)*AF$23</f>
        <v>0</v>
      </c>
      <c r="AH30" s="105">
        <f ca="1">IFERROR(+$AB30-AC30,"")</f>
        <v>0</v>
      </c>
      <c r="AI30" s="105">
        <f ca="1">IFERROR(+$AB30-AD30,"")</f>
        <v>0</v>
      </c>
      <c r="AJ30" s="105">
        <f ca="1">IFERROR(+$AB30-AE30,"")</f>
        <v>0</v>
      </c>
      <c r="AK30" s="105">
        <f ca="1">IFERROR(+$AB30-AF30,"")</f>
        <v>0</v>
      </c>
    </row>
    <row r="31" spans="1:37" ht="18" customHeight="1">
      <c r="A31" s="39" t="s">
        <v>90</v>
      </c>
      <c r="B31" s="38"/>
      <c r="C31" s="44" t="str">
        <f ca="1">_xll.DBRA("tango_core_model:indicator",A31,language)</f>
        <v>GROSS MARGIN (by destination)</v>
      </c>
      <c r="E31" s="21">
        <f ca="1">O31-T31</f>
        <v>0</v>
      </c>
      <c r="F31" s="21">
        <f ca="1">_xll.DBRW($E$1,$E$5,$E$2,$E$3,$E$4,$E$6,$E$7,F$21,F$20,$A31)*F$23</f>
        <v>0</v>
      </c>
      <c r="G31" s="21">
        <f ca="1">_xll.DBRW($E$1,$E$5,$E$2,$E$3,$E$4,$E$6,$E$7,G$21,G$20,$A31)*G$23</f>
        <v>0</v>
      </c>
      <c r="H31" s="21">
        <f ca="1">_xll.DBRW($E$1,$E$5,$E$2,$E$3,$E$4,$E$6,$E$7,H$21,H$20,$A31)*H$23</f>
        <v>0</v>
      </c>
      <c r="I31" s="21">
        <f ca="1">S31-U31</f>
        <v>0</v>
      </c>
      <c r="J31" s="21">
        <f t="shared" ref="J31:J32" ca="1" si="11">IFERROR(+$E31-F31,"")</f>
        <v>0</v>
      </c>
      <c r="K31" s="21">
        <f t="shared" ref="K31:K32" ca="1" si="12">IFERROR(+$E31-G31,"")</f>
        <v>0</v>
      </c>
      <c r="L31" s="21">
        <f t="shared" ref="L31:L32" ca="1" si="13">IFERROR(+$E31-H31,"")</f>
        <v>0</v>
      </c>
      <c r="M31" s="21">
        <f t="shared" ref="M31:M32" ca="1" si="14">IFERROR(+$E31-I31,"")</f>
        <v>0</v>
      </c>
      <c r="O31" s="21">
        <f ca="1">_xll.DBRW($E$1,$E$5,$E$2,$E$3,$E$4,$E$6,$E$7,O$21,O$20,$A31)*O$23</f>
        <v>0</v>
      </c>
      <c r="P31" s="21">
        <f ca="1">_xll.DBRW($E$1,$E$5,$E$2,$E$3,$E$4,$E$6,$E$7,P$21,P$20,$A31)*P$23</f>
        <v>0</v>
      </c>
      <c r="Q31" s="21">
        <f ca="1">_xll.DBRW($E$1,$E$5,$E$2,$E$3,$E$4,$E$6,$E$7,Q$21,Q$20,$A31)*Q$23</f>
        <v>0</v>
      </c>
      <c r="R31" s="21">
        <f ca="1">_xll.DBRW($E$1,$E$5,$E$2,$E$3,$E$4,$E$6,$E$7,R$21,R$20,$A31)*R$23</f>
        <v>0</v>
      </c>
      <c r="S31" s="21">
        <f ca="1">_xll.DBRW($E$1,$E$5,$E$2,$E$3,$E$4,$E$6,$E$7,S$21,S$20,$A31)*S$23</f>
        <v>0</v>
      </c>
      <c r="T31" s="21">
        <f ca="1">_xll.DBRW($E$1,$E$5,$E$2,$E$3,$E$4,$E$6,$E$7,T$21,T$20,$A31)*T$23</f>
        <v>0</v>
      </c>
      <c r="U31" s="21">
        <f ca="1">_xll.DBRW($E$1,$E$5,$E$2,$E$3,$E$4,$E$6,$E$7,U$21,U$20,$A31)*U$23</f>
        <v>0</v>
      </c>
      <c r="W31" s="106">
        <f t="shared" ref="W31:W45" ca="1" si="15">IFERROR(+$O31-P31,"")</f>
        <v>0</v>
      </c>
      <c r="X31" s="106">
        <f t="shared" ca="1" si="8"/>
        <v>0</v>
      </c>
      <c r="Y31" s="106">
        <f t="shared" ca="1" si="9"/>
        <v>0</v>
      </c>
      <c r="Z31" s="106">
        <f t="shared" ca="1" si="10"/>
        <v>0</v>
      </c>
      <c r="AB31" s="21">
        <f ca="1">_xll.DBRW($E$1,$E$5,$E$2,$E$3,$E$4,$E$6,$E$7,AB$21,AB$20,$A31)*AB$23</f>
        <v>0</v>
      </c>
      <c r="AC31" s="21">
        <f ca="1">_xll.DBRW($E$1,$E$5,$E$2,$E$3,$E$4,$E$6,$E$7,AC$21,AC$20,$A31)*AC$23</f>
        <v>0</v>
      </c>
      <c r="AD31" s="21">
        <f ca="1">_xll.DBRW($E$1,$E$5,$E$2,$E$3,$E$4,$E$6,$E$7,AD$21,AD$20,$A31)*AD$23</f>
        <v>0</v>
      </c>
      <c r="AE31" s="21">
        <f ca="1">_xll.DBRW($E$1,$E$5,$E$2,$E$3,$E$4,$E$6,$E$7,AE$21,AE$20,$A31)*AE$23</f>
        <v>0</v>
      </c>
      <c r="AF31" s="21">
        <f ca="1">_xll.DBRW($E$1,$E$5,$E$2,$E$3,$E$4,$E$6,$E$7,AF$21,AF$20,$A31)*AF$23</f>
        <v>0</v>
      </c>
      <c r="AH31" s="106">
        <f t="shared" ref="AH31:AH45" ca="1" si="16">IFERROR(+$AB31-AC31,"")</f>
        <v>0</v>
      </c>
      <c r="AI31" s="106">
        <f t="shared" ref="AI31:AI45" ca="1" si="17">IFERROR(+$AB31-AD31,"")</f>
        <v>0</v>
      </c>
      <c r="AJ31" s="106">
        <f t="shared" ref="AJ31:AJ45" ca="1" si="18">IFERROR(+$AB31-AE31,"")</f>
        <v>0</v>
      </c>
      <c r="AK31" s="106">
        <f t="shared" ref="AK31:AK45" ca="1" si="19">IFERROR(+$AB31-AF31,"")</f>
        <v>0</v>
      </c>
    </row>
    <row r="32" spans="1:37">
      <c r="A32" s="39" t="s">
        <v>78</v>
      </c>
      <c r="B32" s="38"/>
      <c r="C32" s="52" t="str">
        <f ca="1">_xll.DBRA("tango_core_model:indicator",A32,language)</f>
        <v>OPERATING CASH FLOW bef. Mgmt &amp; Brand fees</v>
      </c>
      <c r="E32" s="53">
        <f ca="1">O32-T32</f>
        <v>0</v>
      </c>
      <c r="F32" s="53">
        <f ca="1">_xll.DBRW($E$1,$E$5,$E$2,$E$3,$E$4,$E$6,$E$7,F$21,F$20,$A32)*F$23</f>
        <v>0</v>
      </c>
      <c r="G32" s="53">
        <f ca="1">_xll.DBRW($E$1,$E$5,$E$2,$E$3,$E$4,$E$6,$E$7,G$21,G$20,$A32)*G$23</f>
        <v>0</v>
      </c>
      <c r="H32" s="53">
        <f ca="1">_xll.DBRW($E$1,$E$5,$E$2,$E$3,$E$4,$E$6,$E$7,H$21,H$20,$A32)*H$23</f>
        <v>0</v>
      </c>
      <c r="I32" s="53">
        <f ca="1">S32-U32</f>
        <v>0</v>
      </c>
      <c r="J32" s="53">
        <f t="shared" ca="1" si="11"/>
        <v>0</v>
      </c>
      <c r="K32" s="53">
        <f t="shared" ca="1" si="12"/>
        <v>0</v>
      </c>
      <c r="L32" s="53">
        <f t="shared" ca="1" si="13"/>
        <v>0</v>
      </c>
      <c r="M32" s="53">
        <f t="shared" ca="1" si="14"/>
        <v>0</v>
      </c>
      <c r="O32" s="53">
        <f ca="1">_xll.DBRW($E$1,$E$5,$E$2,$E$3,$E$4,$E$6,$E$7,O$21,O$20,$A32)*O$23</f>
        <v>0</v>
      </c>
      <c r="P32" s="53">
        <f ca="1">_xll.DBRW($E$1,$E$5,$E$2,$E$3,$E$4,$E$6,$E$7,P$21,P$20,$A32)*P$23</f>
        <v>0</v>
      </c>
      <c r="Q32" s="53">
        <f ca="1">_xll.DBRW($E$1,$E$5,$E$2,$E$3,$E$4,$E$6,$E$7,Q$21,Q$20,$A32)*Q$23</f>
        <v>0</v>
      </c>
      <c r="R32" s="53">
        <f ca="1">_xll.DBRW($E$1,$E$5,$E$2,$E$3,$E$4,$E$6,$E$7,R$21,R$20,$A32)*R$23</f>
        <v>0</v>
      </c>
      <c r="S32" s="53">
        <f ca="1">_xll.DBRW($E$1,$E$5,$E$2,$E$3,$E$4,$E$6,$E$7,S$21,S$20,$A32)*S$23</f>
        <v>0</v>
      </c>
      <c r="T32" s="53">
        <f ca="1">_xll.DBRW($E$1,$E$5,$E$2,$E$3,$E$4,$E$6,$E$7,T$21,T$20,$A32)*T$23</f>
        <v>0</v>
      </c>
      <c r="U32" s="53">
        <f ca="1">_xll.DBRW($E$1,$E$5,$E$2,$E$3,$E$4,$E$6,$E$7,U$21,U$20,$A32)*U$23</f>
        <v>0</v>
      </c>
      <c r="W32" s="105">
        <f t="shared" ca="1" si="15"/>
        <v>0</v>
      </c>
      <c r="X32" s="105">
        <f t="shared" ca="1" si="8"/>
        <v>0</v>
      </c>
      <c r="Y32" s="105">
        <f t="shared" ca="1" si="9"/>
        <v>0</v>
      </c>
      <c r="Z32" s="105">
        <f t="shared" ca="1" si="10"/>
        <v>0</v>
      </c>
      <c r="AB32" s="53">
        <f ca="1">_xll.DBRW($E$1,$E$5,$E$2,$E$3,$E$4,$E$6,$E$7,AB$21,AB$20,$A32)*AB$23</f>
        <v>0</v>
      </c>
      <c r="AC32" s="53">
        <f ca="1">_xll.DBRW($E$1,$E$5,$E$2,$E$3,$E$4,$E$6,$E$7,AC$21,AC$20,$A32)*AC$23</f>
        <v>0</v>
      </c>
      <c r="AD32" s="53">
        <f ca="1">_xll.DBRW($E$1,$E$5,$E$2,$E$3,$E$4,$E$6,$E$7,AD$21,AD$20,$A32)*AD$23</f>
        <v>0</v>
      </c>
      <c r="AE32" s="53">
        <f ca="1">_xll.DBRW($E$1,$E$5,$E$2,$E$3,$E$4,$E$6,$E$7,AE$21,AE$20,$A32)*AE$23</f>
        <v>0</v>
      </c>
      <c r="AF32" s="53">
        <f ca="1">_xll.DBRW($E$1,$E$5,$E$2,$E$3,$E$4,$E$6,$E$7,AF$21,AF$20,$A32)*AF$23</f>
        <v>0</v>
      </c>
      <c r="AH32" s="105">
        <f t="shared" ca="1" si="16"/>
        <v>0</v>
      </c>
      <c r="AI32" s="105">
        <f t="shared" ca="1" si="17"/>
        <v>0</v>
      </c>
      <c r="AJ32" s="105">
        <f t="shared" ca="1" si="18"/>
        <v>0</v>
      </c>
      <c r="AK32" s="105">
        <f t="shared" ca="1" si="19"/>
        <v>0</v>
      </c>
    </row>
    <row r="33" spans="1:40" s="85" customFormat="1" ht="18" customHeight="1">
      <c r="A33" s="84" t="s">
        <v>102</v>
      </c>
      <c r="C33" s="86" t="str">
        <f>IF(language="French","CAFOP avant frais de siège %","EBITDA bef MF %")</f>
        <v>EBITDA bef MF %</v>
      </c>
      <c r="D33" s="87"/>
      <c r="E33" s="87" t="str">
        <f t="shared" ref="E33:AF33" ca="1" si="20">IF(E$30=0,"",IF(ABS(E32/E$30)&gt;1,"-",E32/E$30))</f>
        <v/>
      </c>
      <c r="F33" s="87" t="str">
        <f t="shared" ca="1" si="20"/>
        <v/>
      </c>
      <c r="G33" s="87" t="str">
        <f t="shared" ca="1" si="20"/>
        <v/>
      </c>
      <c r="H33" s="87" t="str">
        <f t="shared" ca="1" si="20"/>
        <v/>
      </c>
      <c r="I33" s="87" t="str">
        <f t="shared" ca="1" si="20"/>
        <v/>
      </c>
      <c r="J33" s="87" t="str">
        <f t="shared" ca="1" si="20"/>
        <v/>
      </c>
      <c r="K33" s="87" t="str">
        <f t="shared" ca="1" si="20"/>
        <v/>
      </c>
      <c r="L33" s="87" t="str">
        <f t="shared" ca="1" si="20"/>
        <v/>
      </c>
      <c r="M33" s="87" t="str">
        <f t="shared" ca="1" si="20"/>
        <v/>
      </c>
      <c r="N33" s="87"/>
      <c r="O33" s="87" t="str">
        <f t="shared" ca="1" si="20"/>
        <v/>
      </c>
      <c r="P33" s="87" t="str">
        <f t="shared" ca="1" si="20"/>
        <v/>
      </c>
      <c r="Q33" s="87" t="str">
        <f t="shared" ca="1" si="20"/>
        <v/>
      </c>
      <c r="R33" s="87" t="str">
        <f t="shared" ca="1" si="20"/>
        <v/>
      </c>
      <c r="S33" s="87" t="str">
        <f t="shared" ca="1" si="20"/>
        <v/>
      </c>
      <c r="T33" s="87" t="str">
        <f t="shared" ca="1" si="20"/>
        <v/>
      </c>
      <c r="U33" s="87" t="str">
        <f t="shared" ca="1" si="20"/>
        <v/>
      </c>
      <c r="V33" s="87"/>
      <c r="W33" s="107" t="str">
        <f t="shared" ca="1" si="15"/>
        <v/>
      </c>
      <c r="X33" s="107" t="str">
        <f t="shared" ca="1" si="8"/>
        <v/>
      </c>
      <c r="Y33" s="107" t="str">
        <f t="shared" ca="1" si="9"/>
        <v/>
      </c>
      <c r="Z33" s="107" t="str">
        <f t="shared" ca="1" si="10"/>
        <v/>
      </c>
      <c r="AA33" s="87"/>
      <c r="AB33" s="87" t="str">
        <f t="shared" ca="1" si="20"/>
        <v/>
      </c>
      <c r="AC33" s="87" t="str">
        <f t="shared" ca="1" si="20"/>
        <v/>
      </c>
      <c r="AD33" s="87" t="str">
        <f t="shared" ca="1" si="20"/>
        <v/>
      </c>
      <c r="AE33" s="87" t="str">
        <f t="shared" ca="1" si="20"/>
        <v/>
      </c>
      <c r="AF33" s="87" t="str">
        <f t="shared" ca="1" si="20"/>
        <v/>
      </c>
      <c r="AG33" s="87"/>
      <c r="AH33" s="107" t="str">
        <f t="shared" ca="1" si="16"/>
        <v/>
      </c>
      <c r="AI33" s="107" t="str">
        <f t="shared" ca="1" si="17"/>
        <v/>
      </c>
      <c r="AJ33" s="107" t="str">
        <f t="shared" ca="1" si="18"/>
        <v/>
      </c>
      <c r="AK33" s="107" t="str">
        <f t="shared" ca="1" si="19"/>
        <v/>
      </c>
    </row>
    <row r="34" spans="1:40">
      <c r="A34" s="39" t="s">
        <v>79</v>
      </c>
      <c r="B34" s="38"/>
      <c r="C34" s="52" t="str">
        <f ca="1">_xll.DBRA("tango_core_model:indicator",A34,language)</f>
        <v>OPERATING PROFIT bef. Mgmt &amp; Brand fees</v>
      </c>
      <c r="E34" s="53">
        <f ca="1">O34-T34</f>
        <v>0</v>
      </c>
      <c r="F34" s="53">
        <f ca="1">_xll.DBRW($E$1,$E$5,$E$2,$E$3,$E$4,$E$6,$E$7,F$21,F$20,$A34)*F$23</f>
        <v>0</v>
      </c>
      <c r="G34" s="53">
        <f ca="1">_xll.DBRW($E$1,$E$5,$E$2,$E$3,$E$4,$E$6,$E$7,G$21,G$20,$A34)*G$23</f>
        <v>0</v>
      </c>
      <c r="H34" s="53">
        <f ca="1">_xll.DBRW($E$1,$E$5,$E$2,$E$3,$E$4,$E$6,$E$7,H$21,H$20,$A34)*H$23</f>
        <v>0</v>
      </c>
      <c r="I34" s="53">
        <f ca="1">S34-U34</f>
        <v>0</v>
      </c>
      <c r="J34" s="53">
        <f t="shared" ref="J34" ca="1" si="21">IFERROR(+$E34-F34,"")</f>
        <v>0</v>
      </c>
      <c r="K34" s="53">
        <f t="shared" ref="K34" ca="1" si="22">IFERROR(+$E34-G34,"")</f>
        <v>0</v>
      </c>
      <c r="L34" s="53">
        <f t="shared" ref="L34" ca="1" si="23">IFERROR(+$E34-H34,"")</f>
        <v>0</v>
      </c>
      <c r="M34" s="53">
        <f t="shared" ref="M34" ca="1" si="24">IFERROR(+$E34-I34,"")</f>
        <v>0</v>
      </c>
      <c r="O34" s="53">
        <f ca="1">_xll.DBRW($E$1,$E$5,$E$2,$E$3,$E$4,$E$6,$E$7,O$21,O$20,$A34)*O$23</f>
        <v>0</v>
      </c>
      <c r="P34" s="53">
        <f ca="1">_xll.DBRW($E$1,$E$5,$E$2,$E$3,$E$4,$E$6,$E$7,P$21,P$20,$A34)*P$23</f>
        <v>0</v>
      </c>
      <c r="Q34" s="53">
        <f ca="1">_xll.DBRW($E$1,$E$5,$E$2,$E$3,$E$4,$E$6,$E$7,Q$21,Q$20,$A34)*Q$23</f>
        <v>0</v>
      </c>
      <c r="R34" s="53">
        <f ca="1">_xll.DBRW($E$1,$E$5,$E$2,$E$3,$E$4,$E$6,$E$7,R$21,R$20,$A34)*R$23</f>
        <v>0</v>
      </c>
      <c r="S34" s="53">
        <f ca="1">_xll.DBRW($E$1,$E$5,$E$2,$E$3,$E$4,$E$6,$E$7,S$21,S$20,$A34)*S$23</f>
        <v>0</v>
      </c>
      <c r="T34" s="53">
        <f ca="1">_xll.DBRW($E$1,$E$5,$E$2,$E$3,$E$4,$E$6,$E$7,T$21,T$20,$A34)*T$23</f>
        <v>0</v>
      </c>
      <c r="U34" s="53">
        <f ca="1">_xll.DBRW($E$1,$E$5,$E$2,$E$3,$E$4,$E$6,$E$7,U$21,U$20,$A34)*U$23</f>
        <v>0</v>
      </c>
      <c r="W34" s="105">
        <f t="shared" ca="1" si="15"/>
        <v>0</v>
      </c>
      <c r="X34" s="105">
        <f t="shared" ca="1" si="8"/>
        <v>0</v>
      </c>
      <c r="Y34" s="105">
        <f t="shared" ca="1" si="9"/>
        <v>0</v>
      </c>
      <c r="Z34" s="105">
        <f t="shared" ca="1" si="10"/>
        <v>0</v>
      </c>
      <c r="AB34" s="53">
        <f ca="1">_xll.DBRW($E$1,$E$5,$E$2,$E$3,$E$4,$E$6,$E$7,AB$21,AB$20,$A34)*AB$23</f>
        <v>0</v>
      </c>
      <c r="AC34" s="53">
        <f ca="1">_xll.DBRW($E$1,$E$5,$E$2,$E$3,$E$4,$E$6,$E$7,AC$21,AC$20,$A34)*AC$23</f>
        <v>0</v>
      </c>
      <c r="AD34" s="53">
        <f ca="1">_xll.DBRW($E$1,$E$5,$E$2,$E$3,$E$4,$E$6,$E$7,AD$21,AD$20,$A34)*AD$23</f>
        <v>0</v>
      </c>
      <c r="AE34" s="53">
        <f ca="1">_xll.DBRW($E$1,$E$5,$E$2,$E$3,$E$4,$E$6,$E$7,AE$21,AE$20,$A34)*AE$23</f>
        <v>0</v>
      </c>
      <c r="AF34" s="53">
        <f ca="1">_xll.DBRW($E$1,$E$5,$E$2,$E$3,$E$4,$E$6,$E$7,AF$21,AF$20,$A34)*AF$23</f>
        <v>0</v>
      </c>
      <c r="AH34" s="105">
        <f t="shared" ca="1" si="16"/>
        <v>0</v>
      </c>
      <c r="AI34" s="105">
        <f t="shared" ca="1" si="17"/>
        <v>0</v>
      </c>
      <c r="AJ34" s="105">
        <f t="shared" ca="1" si="18"/>
        <v>0</v>
      </c>
      <c r="AK34" s="105">
        <f t="shared" ca="1" si="19"/>
        <v>0</v>
      </c>
    </row>
    <row r="35" spans="1:40" s="85" customFormat="1" ht="18" customHeight="1">
      <c r="A35" s="84" t="s">
        <v>102</v>
      </c>
      <c r="C35" s="86" t="str">
        <f>IF(language="French","RESOP avant frais de siège %","EBIT bef MF %")</f>
        <v>EBIT bef MF %</v>
      </c>
      <c r="D35" s="87"/>
      <c r="E35" s="87" t="str">
        <f t="shared" ref="E35:AF35" ca="1" si="25">IF(E$30=0,"",IF(ABS(E34/E$30)&gt;1,"-",E34/E$30))</f>
        <v/>
      </c>
      <c r="F35" s="87" t="str">
        <f t="shared" ca="1" si="25"/>
        <v/>
      </c>
      <c r="G35" s="87" t="str">
        <f t="shared" ca="1" si="25"/>
        <v/>
      </c>
      <c r="H35" s="87" t="str">
        <f t="shared" ca="1" si="25"/>
        <v/>
      </c>
      <c r="I35" s="87" t="str">
        <f t="shared" ca="1" si="25"/>
        <v/>
      </c>
      <c r="J35" s="87" t="str">
        <f t="shared" ca="1" si="25"/>
        <v/>
      </c>
      <c r="K35" s="87" t="str">
        <f t="shared" ca="1" si="25"/>
        <v/>
      </c>
      <c r="L35" s="87" t="str">
        <f t="shared" ca="1" si="25"/>
        <v/>
      </c>
      <c r="M35" s="87" t="str">
        <f t="shared" ca="1" si="25"/>
        <v/>
      </c>
      <c r="N35" s="87"/>
      <c r="O35" s="87" t="str">
        <f t="shared" ca="1" si="25"/>
        <v/>
      </c>
      <c r="P35" s="87" t="str">
        <f t="shared" ca="1" si="25"/>
        <v/>
      </c>
      <c r="Q35" s="87" t="str">
        <f t="shared" ca="1" si="25"/>
        <v/>
      </c>
      <c r="R35" s="87" t="str">
        <f t="shared" ca="1" si="25"/>
        <v/>
      </c>
      <c r="S35" s="87" t="str">
        <f t="shared" ca="1" si="25"/>
        <v/>
      </c>
      <c r="T35" s="87" t="str">
        <f t="shared" ca="1" si="25"/>
        <v/>
      </c>
      <c r="U35" s="87" t="str">
        <f t="shared" ca="1" si="25"/>
        <v/>
      </c>
      <c r="V35" s="87"/>
      <c r="W35" s="107" t="str">
        <f t="shared" ca="1" si="15"/>
        <v/>
      </c>
      <c r="X35" s="107" t="str">
        <f t="shared" ca="1" si="8"/>
        <v/>
      </c>
      <c r="Y35" s="107" t="str">
        <f t="shared" ca="1" si="9"/>
        <v/>
      </c>
      <c r="Z35" s="107" t="str">
        <f t="shared" ca="1" si="10"/>
        <v/>
      </c>
      <c r="AA35" s="87"/>
      <c r="AB35" s="87" t="str">
        <f t="shared" ca="1" si="25"/>
        <v/>
      </c>
      <c r="AC35" s="87" t="str">
        <f t="shared" ca="1" si="25"/>
        <v/>
      </c>
      <c r="AD35" s="87" t="str">
        <f t="shared" ca="1" si="25"/>
        <v/>
      </c>
      <c r="AE35" s="87" t="str">
        <f t="shared" ca="1" si="25"/>
        <v/>
      </c>
      <c r="AF35" s="87" t="str">
        <f t="shared" ca="1" si="25"/>
        <v/>
      </c>
      <c r="AG35" s="87"/>
      <c r="AH35" s="107" t="str">
        <f t="shared" ca="1" si="16"/>
        <v/>
      </c>
      <c r="AI35" s="107" t="str">
        <f t="shared" ca="1" si="17"/>
        <v/>
      </c>
      <c r="AJ35" s="107" t="str">
        <f t="shared" ca="1" si="18"/>
        <v/>
      </c>
      <c r="AK35" s="107" t="str">
        <f t="shared" ca="1" si="19"/>
        <v/>
      </c>
    </row>
    <row r="36" spans="1:40" ht="18" customHeight="1">
      <c r="A36" s="40" t="s">
        <v>102</v>
      </c>
      <c r="C36" s="44" t="s">
        <v>113</v>
      </c>
      <c r="D36" s="21"/>
      <c r="E36" s="21">
        <f t="shared" ref="E36" ca="1" si="26">E39-E34</f>
        <v>0</v>
      </c>
      <c r="F36" s="21">
        <f ca="1">F39-F34</f>
        <v>0</v>
      </c>
      <c r="G36" s="21">
        <f t="shared" ref="G36:AF36" ca="1" si="27">G39-G34</f>
        <v>0</v>
      </c>
      <c r="H36" s="21">
        <f t="shared" ca="1" si="27"/>
        <v>0</v>
      </c>
      <c r="I36" s="21">
        <f t="shared" ca="1" si="27"/>
        <v>0</v>
      </c>
      <c r="J36" s="21">
        <f t="shared" ca="1" si="27"/>
        <v>0</v>
      </c>
      <c r="K36" s="21">
        <f t="shared" ca="1" si="27"/>
        <v>0</v>
      </c>
      <c r="L36" s="21">
        <f t="shared" ca="1" si="27"/>
        <v>0</v>
      </c>
      <c r="M36" s="21">
        <f t="shared" ca="1" si="27"/>
        <v>0</v>
      </c>
      <c r="N36" s="21"/>
      <c r="O36" s="21">
        <f t="shared" ca="1" si="27"/>
        <v>0</v>
      </c>
      <c r="P36" s="21">
        <f t="shared" ca="1" si="27"/>
        <v>0</v>
      </c>
      <c r="Q36" s="21">
        <f t="shared" ca="1" si="27"/>
        <v>0</v>
      </c>
      <c r="R36" s="21">
        <f t="shared" ca="1" si="27"/>
        <v>0</v>
      </c>
      <c r="S36" s="21">
        <f t="shared" ca="1" si="27"/>
        <v>0</v>
      </c>
      <c r="T36" s="21">
        <f t="shared" ca="1" si="27"/>
        <v>0</v>
      </c>
      <c r="U36" s="21">
        <f t="shared" ca="1" si="27"/>
        <v>0</v>
      </c>
      <c r="V36" s="21"/>
      <c r="W36" s="106">
        <f t="shared" ca="1" si="15"/>
        <v>0</v>
      </c>
      <c r="X36" s="106">
        <f t="shared" ca="1" si="8"/>
        <v>0</v>
      </c>
      <c r="Y36" s="106">
        <f t="shared" ca="1" si="9"/>
        <v>0</v>
      </c>
      <c r="Z36" s="106">
        <f t="shared" ca="1" si="10"/>
        <v>0</v>
      </c>
      <c r="AA36" s="21"/>
      <c r="AB36" s="21">
        <f t="shared" ca="1" si="27"/>
        <v>0</v>
      </c>
      <c r="AC36" s="21">
        <f t="shared" ca="1" si="27"/>
        <v>0</v>
      </c>
      <c r="AD36" s="21">
        <f t="shared" ca="1" si="27"/>
        <v>0</v>
      </c>
      <c r="AE36" s="21">
        <f t="shared" ca="1" si="27"/>
        <v>0</v>
      </c>
      <c r="AF36" s="21">
        <f t="shared" ca="1" si="27"/>
        <v>0</v>
      </c>
      <c r="AG36" s="21"/>
      <c r="AH36" s="106">
        <f t="shared" ca="1" si="16"/>
        <v>0</v>
      </c>
      <c r="AI36" s="106">
        <f t="shared" ca="1" si="17"/>
        <v>0</v>
      </c>
      <c r="AJ36" s="106">
        <f t="shared" ca="1" si="18"/>
        <v>0</v>
      </c>
      <c r="AK36" s="106">
        <f t="shared" ca="1" si="19"/>
        <v>0</v>
      </c>
    </row>
    <row r="37" spans="1:40" ht="18" customHeight="1">
      <c r="A37" s="60" t="s">
        <v>109</v>
      </c>
      <c r="C37" s="112" t="s">
        <v>138</v>
      </c>
      <c r="D37" s="64"/>
      <c r="E37" s="109"/>
      <c r="F37" s="110"/>
      <c r="G37" s="110"/>
      <c r="H37" s="110"/>
      <c r="I37" s="111"/>
      <c r="J37" s="64"/>
      <c r="K37" s="64"/>
      <c r="L37" s="64"/>
      <c r="M37" s="64"/>
      <c r="N37" s="64"/>
      <c r="O37" s="109"/>
      <c r="P37" s="110"/>
      <c r="Q37" s="110"/>
      <c r="R37" s="110"/>
      <c r="S37" s="111"/>
      <c r="T37" s="64"/>
      <c r="U37" s="64"/>
      <c r="V37" s="64"/>
      <c r="W37" s="106">
        <f t="shared" si="15"/>
        <v>0</v>
      </c>
      <c r="X37" s="106">
        <f t="shared" si="8"/>
        <v>0</v>
      </c>
      <c r="Y37" s="106">
        <f t="shared" si="9"/>
        <v>0</v>
      </c>
      <c r="Z37" s="106">
        <f t="shared" si="10"/>
        <v>0</v>
      </c>
      <c r="AA37" s="64"/>
      <c r="AB37" s="109"/>
      <c r="AC37" s="110"/>
      <c r="AD37" s="110"/>
      <c r="AE37" s="110"/>
      <c r="AF37" s="111"/>
      <c r="AG37" s="64"/>
      <c r="AH37" s="106">
        <f t="shared" si="16"/>
        <v>0</v>
      </c>
      <c r="AI37" s="106">
        <f t="shared" si="17"/>
        <v>0</v>
      </c>
      <c r="AJ37" s="106">
        <f t="shared" si="18"/>
        <v>0</v>
      </c>
      <c r="AK37" s="106">
        <f t="shared" si="19"/>
        <v>0</v>
      </c>
    </row>
    <row r="38" spans="1:40" ht="18" customHeight="1">
      <c r="A38" s="40" t="s">
        <v>102</v>
      </c>
      <c r="C38" s="44" t="s">
        <v>112</v>
      </c>
      <c r="D38" s="21"/>
      <c r="E38" s="21">
        <f t="shared" ref="E38" ca="1" si="28">E34-E37</f>
        <v>0</v>
      </c>
      <c r="F38" s="21">
        <f ca="1">F34-F37</f>
        <v>0</v>
      </c>
      <c r="G38" s="21">
        <f t="shared" ref="G38:AF38" ca="1" si="29">G34-G37</f>
        <v>0</v>
      </c>
      <c r="H38" s="21">
        <f t="shared" ca="1" si="29"/>
        <v>0</v>
      </c>
      <c r="I38" s="21">
        <f t="shared" ca="1" si="29"/>
        <v>0</v>
      </c>
      <c r="J38" s="21">
        <f t="shared" ca="1" si="29"/>
        <v>0</v>
      </c>
      <c r="K38" s="21">
        <f t="shared" ca="1" si="29"/>
        <v>0</v>
      </c>
      <c r="L38" s="21">
        <f t="shared" ca="1" si="29"/>
        <v>0</v>
      </c>
      <c r="M38" s="21">
        <f t="shared" ca="1" si="29"/>
        <v>0</v>
      </c>
      <c r="N38" s="21"/>
      <c r="O38" s="21">
        <f t="shared" ca="1" si="29"/>
        <v>0</v>
      </c>
      <c r="P38" s="21">
        <f t="shared" ca="1" si="29"/>
        <v>0</v>
      </c>
      <c r="Q38" s="21">
        <f t="shared" ca="1" si="29"/>
        <v>0</v>
      </c>
      <c r="R38" s="21">
        <f t="shared" ca="1" si="29"/>
        <v>0</v>
      </c>
      <c r="S38" s="21">
        <f t="shared" ca="1" si="29"/>
        <v>0</v>
      </c>
      <c r="T38" s="21">
        <f t="shared" ca="1" si="29"/>
        <v>0</v>
      </c>
      <c r="U38" s="21">
        <f t="shared" ca="1" si="29"/>
        <v>0</v>
      </c>
      <c r="V38" s="21"/>
      <c r="W38" s="106">
        <f t="shared" ca="1" si="15"/>
        <v>0</v>
      </c>
      <c r="X38" s="106">
        <f t="shared" ca="1" si="8"/>
        <v>0</v>
      </c>
      <c r="Y38" s="106">
        <f t="shared" ca="1" si="9"/>
        <v>0</v>
      </c>
      <c r="Z38" s="106">
        <f t="shared" ca="1" si="10"/>
        <v>0</v>
      </c>
      <c r="AA38" s="21"/>
      <c r="AB38" s="21">
        <f t="shared" ca="1" si="29"/>
        <v>0</v>
      </c>
      <c r="AC38" s="21">
        <f t="shared" ca="1" si="29"/>
        <v>0</v>
      </c>
      <c r="AD38" s="21">
        <f t="shared" ca="1" si="29"/>
        <v>0</v>
      </c>
      <c r="AE38" s="21">
        <f t="shared" ca="1" si="29"/>
        <v>0</v>
      </c>
      <c r="AF38" s="21">
        <f t="shared" ca="1" si="29"/>
        <v>0</v>
      </c>
      <c r="AG38" s="21"/>
      <c r="AH38" s="106">
        <f t="shared" ca="1" si="16"/>
        <v>0</v>
      </c>
      <c r="AI38" s="106">
        <f t="shared" ca="1" si="17"/>
        <v>0</v>
      </c>
      <c r="AJ38" s="106">
        <f t="shared" ca="1" si="18"/>
        <v>0</v>
      </c>
      <c r="AK38" s="106">
        <f t="shared" ca="1" si="19"/>
        <v>0</v>
      </c>
    </row>
    <row r="39" spans="1:40" ht="18" customHeight="1">
      <c r="A39" s="39" t="s">
        <v>103</v>
      </c>
      <c r="B39" s="38"/>
      <c r="C39" s="52" t="str">
        <f ca="1">_xll.DBRA("tango_core_model:indicator",A39,language)</f>
        <v>OPERATING PROFIT (by nature)</v>
      </c>
      <c r="E39" s="53">
        <f t="shared" ref="E39:E45" ca="1" si="30">O39-T39</f>
        <v>0</v>
      </c>
      <c r="F39" s="53">
        <f ca="1">_xll.DBRW($E$1,$E$5,$E$2,$E$3,$E$4,$E$6,$E$7,F$21,F$20,$A39)*F$23</f>
        <v>0</v>
      </c>
      <c r="G39" s="53">
        <f ca="1">_xll.DBRW($E$1,$E$5,$E$2,$E$3,$E$4,$E$6,$E$7,G$21,G$20,$A39)*G$23</f>
        <v>0</v>
      </c>
      <c r="H39" s="53">
        <f ca="1">_xll.DBRW($E$1,$E$5,$E$2,$E$3,$E$4,$E$6,$E$7,H$21,H$20,$A39)*H$23</f>
        <v>0</v>
      </c>
      <c r="I39" s="53">
        <f t="shared" ref="I39:I45" ca="1" si="31">S39-U39</f>
        <v>0</v>
      </c>
      <c r="J39" s="53">
        <f t="shared" ref="J39:J45" ca="1" si="32">IFERROR(+$E39-F39,"")</f>
        <v>0</v>
      </c>
      <c r="K39" s="53">
        <f t="shared" ref="K39:K45" ca="1" si="33">IFERROR(+$E39-G39,"")</f>
        <v>0</v>
      </c>
      <c r="L39" s="53">
        <f t="shared" ref="L39:L45" ca="1" si="34">IFERROR(+$E39-H39,"")</f>
        <v>0</v>
      </c>
      <c r="M39" s="53">
        <f t="shared" ref="M39:M45" ca="1" si="35">IFERROR(+$E39-I39,"")</f>
        <v>0</v>
      </c>
      <c r="O39" s="53">
        <f ca="1">_xll.DBRW($E$1,$E$5,$E$2,$E$3,$E$4,$E$6,$E$7,O$21,O$20,$A39)*O$23</f>
        <v>0</v>
      </c>
      <c r="P39" s="53">
        <f ca="1">_xll.DBRW($E$1,$E$5,$E$2,$E$3,$E$4,$E$6,$E$7,P$21,P$20,$A39)*P$23</f>
        <v>0</v>
      </c>
      <c r="Q39" s="53">
        <f ca="1">_xll.DBRW($E$1,$E$5,$E$2,$E$3,$E$4,$E$6,$E$7,Q$21,Q$20,$A39)*Q$23</f>
        <v>0</v>
      </c>
      <c r="R39" s="53">
        <f ca="1">_xll.DBRW($E$1,$E$5,$E$2,$E$3,$E$4,$E$6,$E$7,R$21,R$20,$A39)*R$23</f>
        <v>0</v>
      </c>
      <c r="S39" s="53">
        <f ca="1">_xll.DBRW($E$1,$E$5,$E$2,$E$3,$E$4,$E$6,$E$7,S$21,S$20,$A39)*S$23</f>
        <v>0</v>
      </c>
      <c r="T39" s="53">
        <f ca="1">_xll.DBRW($E$1,$E$5,$E$2,$E$3,$E$4,$E$6,$E$7,T$21,T$20,$A39)*T$23</f>
        <v>0</v>
      </c>
      <c r="U39" s="53">
        <f ca="1">_xll.DBRW($E$1,$E$5,$E$2,$E$3,$E$4,$E$6,$E$7,U$21,U$20,$A39)*U$23</f>
        <v>0</v>
      </c>
      <c r="W39" s="105">
        <f t="shared" ca="1" si="15"/>
        <v>0</v>
      </c>
      <c r="X39" s="105">
        <f t="shared" ca="1" si="8"/>
        <v>0</v>
      </c>
      <c r="Y39" s="105">
        <f t="shared" ca="1" si="9"/>
        <v>0</v>
      </c>
      <c r="Z39" s="105">
        <f t="shared" ca="1" si="10"/>
        <v>0</v>
      </c>
      <c r="AB39" s="53">
        <f ca="1">_xll.DBRW($E$1,$E$5,$E$2,$E$3,$E$4,$E$6,$E$7,AB$21,AB$20,$A39)*AB$23</f>
        <v>0</v>
      </c>
      <c r="AC39" s="53">
        <f ca="1">_xll.DBRW($E$1,$E$5,$E$2,$E$3,$E$4,$E$6,$E$7,AC$21,AC$20,$A39)*AC$23</f>
        <v>0</v>
      </c>
      <c r="AD39" s="53">
        <f ca="1">_xll.DBRW($E$1,$E$5,$E$2,$E$3,$E$4,$E$6,$E$7,AD$21,AD$20,$A39)*AD$23</f>
        <v>0</v>
      </c>
      <c r="AE39" s="53">
        <f ca="1">_xll.DBRW($E$1,$E$5,$E$2,$E$3,$E$4,$E$6,$E$7,AE$21,AE$20,$A39)*AE$23</f>
        <v>0</v>
      </c>
      <c r="AF39" s="53">
        <f ca="1">_xll.DBRW($E$1,$E$5,$E$2,$E$3,$E$4,$E$6,$E$7,AF$21,AF$20,$A39)*AF$23</f>
        <v>0</v>
      </c>
      <c r="AH39" s="105">
        <f t="shared" ca="1" si="16"/>
        <v>0</v>
      </c>
      <c r="AI39" s="105">
        <f t="shared" ca="1" si="17"/>
        <v>0</v>
      </c>
      <c r="AJ39" s="105">
        <f t="shared" ca="1" si="18"/>
        <v>0</v>
      </c>
      <c r="AK39" s="105">
        <f t="shared" ca="1" si="19"/>
        <v>0</v>
      </c>
    </row>
    <row r="40" spans="1:40" ht="18" customHeight="1">
      <c r="A40" s="39" t="s">
        <v>104</v>
      </c>
      <c r="C40" s="44" t="str">
        <f ca="1">_xll.DBRA("tango_core_model:indicator",A40,language)</f>
        <v>Cost of net financial debt with IFRS16 impacts</v>
      </c>
      <c r="E40" s="21">
        <f t="shared" ca="1" si="30"/>
        <v>0</v>
      </c>
      <c r="F40" s="45">
        <f ca="1">_xll.DBRW($E$1,$E$5,$E$2,$E$3,$E$4,$E$6,$E$7,F$21,F$20,$A40)*F$23</f>
        <v>0</v>
      </c>
      <c r="G40" s="45">
        <f ca="1">_xll.DBRW($E$1,$E$5,$E$2,$E$3,$E$4,$E$6,$E$7,G$21,G$20,$A40)*G$23</f>
        <v>0</v>
      </c>
      <c r="H40" s="21">
        <f ca="1">_xll.DBRW($E$1,$E$5,$E$2,$E$3,$E$4,$E$6,$E$7,H$21,H$20,$A40)*H$23</f>
        <v>0</v>
      </c>
      <c r="I40" s="21">
        <f t="shared" ca="1" si="31"/>
        <v>0</v>
      </c>
      <c r="J40" s="21">
        <f t="shared" ca="1" si="32"/>
        <v>0</v>
      </c>
      <c r="K40" s="21">
        <f t="shared" ca="1" si="33"/>
        <v>0</v>
      </c>
      <c r="L40" s="21">
        <f t="shared" ca="1" si="34"/>
        <v>0</v>
      </c>
      <c r="M40" s="21">
        <f t="shared" ca="1" si="35"/>
        <v>0</v>
      </c>
      <c r="O40" s="21">
        <f ca="1">_xll.DBRW($E$1,$E$5,$E$2,$E$3,$E$4,$E$6,$E$7,O$21,O$20,$A40)*O$23</f>
        <v>0</v>
      </c>
      <c r="P40" s="21">
        <f ca="1">_xll.DBRW($E$1,$E$5,$E$2,$E$3,$E$4,$E$6,$E$7,P$21,P$20,$A40)*P$23</f>
        <v>0</v>
      </c>
      <c r="Q40" s="21">
        <f ca="1">_xll.DBRW($E$1,$E$5,$E$2,$E$3,$E$4,$E$6,$E$7,Q$21,Q$20,$A40)*Q$23</f>
        <v>0</v>
      </c>
      <c r="R40" s="21">
        <f ca="1">_xll.DBRW($E$1,$E$5,$E$2,$E$3,$E$4,$E$6,$E$7,R$21,R$20,$A40)*R$23</f>
        <v>0</v>
      </c>
      <c r="S40" s="21">
        <f ca="1">_xll.DBRW($E$1,$E$5,$E$2,$E$3,$E$4,$E$6,$E$7,S$21,S$20,$A40)*S$23</f>
        <v>0</v>
      </c>
      <c r="T40" s="21">
        <f ca="1">_xll.DBRW($E$1,$E$5,$E$2,$E$3,$E$4,$E$6,$E$7,T$21,T$20,$A40)*T$23</f>
        <v>0</v>
      </c>
      <c r="U40" s="21">
        <f ca="1">_xll.DBRW($E$1,$E$5,$E$2,$E$3,$E$4,$E$6,$E$7,U$21,U$20,$A40)*U$23</f>
        <v>0</v>
      </c>
      <c r="W40" s="106">
        <f t="shared" ca="1" si="15"/>
        <v>0</v>
      </c>
      <c r="X40" s="106">
        <f t="shared" ca="1" si="8"/>
        <v>0</v>
      </c>
      <c r="Y40" s="106">
        <f t="shared" ca="1" si="9"/>
        <v>0</v>
      </c>
      <c r="Z40" s="106">
        <f t="shared" ca="1" si="10"/>
        <v>0</v>
      </c>
      <c r="AB40" s="21">
        <f ca="1">_xll.DBRW($E$1,$E$5,$E$2,$E$3,$E$4,$E$6,$E$7,AB$21,AB$20,$A40)*AB$23</f>
        <v>0</v>
      </c>
      <c r="AC40" s="21">
        <f ca="1">_xll.DBRW($E$1,$E$5,$E$2,$E$3,$E$4,$E$6,$E$7,AC$21,AC$20,$A40)*AC$23</f>
        <v>0</v>
      </c>
      <c r="AD40" s="21">
        <f ca="1">_xll.DBRW($E$1,$E$5,$E$2,$E$3,$E$4,$E$6,$E$7,AD$21,AD$20,$A40)*AD$23</f>
        <v>0</v>
      </c>
      <c r="AE40" s="21">
        <f ca="1">_xll.DBRW($E$1,$E$5,$E$2,$E$3,$E$4,$E$6,$E$7,AE$21,AE$20,$A40)*AE$23</f>
        <v>0</v>
      </c>
      <c r="AF40" s="21">
        <f ca="1">_xll.DBRW($E$1,$E$5,$E$2,$E$3,$E$4,$E$6,$E$7,AF$21,AF$20,$A40)*AF$23</f>
        <v>0</v>
      </c>
      <c r="AH40" s="106">
        <f t="shared" ca="1" si="16"/>
        <v>0</v>
      </c>
      <c r="AI40" s="106">
        <f t="shared" ca="1" si="17"/>
        <v>0</v>
      </c>
      <c r="AJ40" s="106">
        <f t="shared" ca="1" si="18"/>
        <v>0</v>
      </c>
      <c r="AK40" s="106">
        <f t="shared" ca="1" si="19"/>
        <v>0</v>
      </c>
    </row>
    <row r="41" spans="1:40" ht="18" customHeight="1">
      <c r="A41" s="39" t="s">
        <v>105</v>
      </c>
      <c r="C41" s="44" t="str">
        <f ca="1">_xll.DBRA("tango_core_model:indicator",A41,language)</f>
        <v>OTHER FINANCIAL REVENUE / EXPENSE</v>
      </c>
      <c r="E41" s="21">
        <f t="shared" ca="1" si="30"/>
        <v>0</v>
      </c>
      <c r="F41" s="45">
        <f ca="1">_xll.DBRW($E$1,$E$5,$E$2,$E$3,$E$4,$E$6,$E$7,F$21,F$20,$A41)*F$23</f>
        <v>0</v>
      </c>
      <c r="G41" s="45">
        <f ca="1">_xll.DBRW($E$1,$E$5,$E$2,$E$3,$E$4,$E$6,$E$7,G$21,G$20,$A41)*G$23</f>
        <v>0</v>
      </c>
      <c r="H41" s="21">
        <f ca="1">_xll.DBRW($E$1,$E$5,$E$2,$E$3,$E$4,$E$6,$E$7,H$21,H$20,$A41)*H$23</f>
        <v>0</v>
      </c>
      <c r="I41" s="21">
        <f t="shared" ca="1" si="31"/>
        <v>0</v>
      </c>
      <c r="J41" s="21">
        <f t="shared" ca="1" si="32"/>
        <v>0</v>
      </c>
      <c r="K41" s="21">
        <f t="shared" ca="1" si="33"/>
        <v>0</v>
      </c>
      <c r="L41" s="21">
        <f t="shared" ca="1" si="34"/>
        <v>0</v>
      </c>
      <c r="M41" s="21">
        <f t="shared" ca="1" si="35"/>
        <v>0</v>
      </c>
      <c r="O41" s="21">
        <f ca="1">_xll.DBRW($E$1,$E$5,$E$2,$E$3,$E$4,$E$6,$E$7,O$21,O$20,$A41)*O$23</f>
        <v>0</v>
      </c>
      <c r="P41" s="21">
        <f ca="1">_xll.DBRW($E$1,$E$5,$E$2,$E$3,$E$4,$E$6,$E$7,P$21,P$20,$A41)*P$23</f>
        <v>0</v>
      </c>
      <c r="Q41" s="21">
        <f ca="1">_xll.DBRW($E$1,$E$5,$E$2,$E$3,$E$4,$E$6,$E$7,Q$21,Q$20,$A41)*Q$23</f>
        <v>0</v>
      </c>
      <c r="R41" s="21">
        <f ca="1">_xll.DBRW($E$1,$E$5,$E$2,$E$3,$E$4,$E$6,$E$7,R$21,R$20,$A41)*R$23</f>
        <v>0</v>
      </c>
      <c r="S41" s="21">
        <f ca="1">_xll.DBRW($E$1,$E$5,$E$2,$E$3,$E$4,$E$6,$E$7,S$21,S$20,$A41)*S$23</f>
        <v>0</v>
      </c>
      <c r="T41" s="21">
        <f ca="1">_xll.DBRW($E$1,$E$5,$E$2,$E$3,$E$4,$E$6,$E$7,T$21,T$20,$A41)*T$23</f>
        <v>0</v>
      </c>
      <c r="U41" s="21">
        <f ca="1">_xll.DBRW($E$1,$E$5,$E$2,$E$3,$E$4,$E$6,$E$7,U$21,U$20,$A41)*U$23</f>
        <v>0</v>
      </c>
      <c r="W41" s="106">
        <f t="shared" ca="1" si="15"/>
        <v>0</v>
      </c>
      <c r="X41" s="106">
        <f t="shared" ca="1" si="8"/>
        <v>0</v>
      </c>
      <c r="Y41" s="106">
        <f t="shared" ca="1" si="9"/>
        <v>0</v>
      </c>
      <c r="Z41" s="106">
        <f t="shared" ca="1" si="10"/>
        <v>0</v>
      </c>
      <c r="AB41" s="21">
        <f ca="1">_xll.DBRW($E$1,$E$5,$E$2,$E$3,$E$4,$E$6,$E$7,AB$21,AB$20,$A41)*AB$23</f>
        <v>0</v>
      </c>
      <c r="AC41" s="21">
        <f ca="1">_xll.DBRW($E$1,$E$5,$E$2,$E$3,$E$4,$E$6,$E$7,AC$21,AC$20,$A41)*AC$23</f>
        <v>0</v>
      </c>
      <c r="AD41" s="21">
        <f ca="1">_xll.DBRW($E$1,$E$5,$E$2,$E$3,$E$4,$E$6,$E$7,AD$21,AD$20,$A41)*AD$23</f>
        <v>0</v>
      </c>
      <c r="AE41" s="21">
        <f ca="1">_xll.DBRW($E$1,$E$5,$E$2,$E$3,$E$4,$E$6,$E$7,AE$21,AE$20,$A41)*AE$23</f>
        <v>0</v>
      </c>
      <c r="AF41" s="21">
        <f ca="1">_xll.DBRW($E$1,$E$5,$E$2,$E$3,$E$4,$E$6,$E$7,AF$21,AF$20,$A41)*AF$23</f>
        <v>0</v>
      </c>
      <c r="AH41" s="106">
        <f t="shared" ca="1" si="16"/>
        <v>0</v>
      </c>
      <c r="AI41" s="106">
        <f t="shared" ca="1" si="17"/>
        <v>0</v>
      </c>
      <c r="AJ41" s="106">
        <f t="shared" ca="1" si="18"/>
        <v>0</v>
      </c>
      <c r="AK41" s="106">
        <f t="shared" ca="1" si="19"/>
        <v>0</v>
      </c>
    </row>
    <row r="42" spans="1:40" ht="18" hidden="1" customHeight="1" outlineLevel="1">
      <c r="A42" s="39" t="s">
        <v>106</v>
      </c>
      <c r="C42" s="44" t="str">
        <f ca="1">_xll.DBRA("tango_core_model:indicator",A42,language)</f>
        <v>PROFIT OR LOSS OF ASSOCIATES</v>
      </c>
      <c r="E42" s="21">
        <f t="shared" ca="1" si="30"/>
        <v>0</v>
      </c>
      <c r="F42" s="45">
        <f ca="1">_xll.DBRW($E$1,$E$5,$E$2,$E$3,$E$4,$E$6,$E$7,F$21,F$20,$A42)*F$23</f>
        <v>0</v>
      </c>
      <c r="G42" s="45">
        <f ca="1">_xll.DBRW($E$1,$E$5,$E$2,$E$3,$E$4,$E$6,$E$7,G$21,G$20,$A42)*G$23</f>
        <v>0</v>
      </c>
      <c r="H42" s="21">
        <f ca="1">_xll.DBRW($E$1,$E$5,$E$2,$E$3,$E$4,$E$6,$E$7,H$21,H$20,$A42)*H$23</f>
        <v>0</v>
      </c>
      <c r="I42" s="21">
        <f t="shared" ca="1" si="31"/>
        <v>0</v>
      </c>
      <c r="J42" s="21">
        <f t="shared" ca="1" si="32"/>
        <v>0</v>
      </c>
      <c r="K42" s="21">
        <f t="shared" ca="1" si="33"/>
        <v>0</v>
      </c>
      <c r="L42" s="21">
        <f t="shared" ca="1" si="34"/>
        <v>0</v>
      </c>
      <c r="M42" s="21">
        <f t="shared" ca="1" si="35"/>
        <v>0</v>
      </c>
      <c r="O42" s="21">
        <f ca="1">_xll.DBRW($E$1,$E$5,$E$2,$E$3,$E$4,$E$6,$E$7,O$21,O$20,$A42)*O$23</f>
        <v>0</v>
      </c>
      <c r="P42" s="21">
        <f ca="1">_xll.DBRW($E$1,$E$5,$E$2,$E$3,$E$4,$E$6,$E$7,P$21,P$20,$A42)*P$23</f>
        <v>0</v>
      </c>
      <c r="Q42" s="21">
        <f ca="1">_xll.DBRW($E$1,$E$5,$E$2,$E$3,$E$4,$E$6,$E$7,Q$21,Q$20,$A42)*Q$23</f>
        <v>0</v>
      </c>
      <c r="R42" s="21">
        <f ca="1">_xll.DBRW($E$1,$E$5,$E$2,$E$3,$E$4,$E$6,$E$7,R$21,R$20,$A42)*R$23</f>
        <v>0</v>
      </c>
      <c r="S42" s="21">
        <f ca="1">_xll.DBRW($E$1,$E$5,$E$2,$E$3,$E$4,$E$6,$E$7,S$21,S$20,$A42)*S$23</f>
        <v>0</v>
      </c>
      <c r="T42" s="21">
        <f ca="1">_xll.DBRW($E$1,$E$5,$E$2,$E$3,$E$4,$E$6,$E$7,T$21,T$20,$A42)*T$23</f>
        <v>0</v>
      </c>
      <c r="U42" s="21">
        <f ca="1">_xll.DBRW($E$1,$E$5,$E$2,$E$3,$E$4,$E$6,$E$7,U$21,U$20,$A42)*U$23</f>
        <v>0</v>
      </c>
      <c r="W42" s="106">
        <f t="shared" ca="1" si="15"/>
        <v>0</v>
      </c>
      <c r="X42" s="106">
        <f t="shared" ca="1" si="8"/>
        <v>0</v>
      </c>
      <c r="Y42" s="106">
        <f t="shared" ca="1" si="9"/>
        <v>0</v>
      </c>
      <c r="Z42" s="106">
        <f t="shared" ca="1" si="10"/>
        <v>0</v>
      </c>
      <c r="AB42" s="21">
        <f ca="1">_xll.DBRW($E$1,$E$5,$E$2,$E$3,$E$4,$E$6,$E$7,AB$21,AB$20,$A42)*AB$23</f>
        <v>0</v>
      </c>
      <c r="AC42" s="21">
        <f ca="1">_xll.DBRW($E$1,$E$5,$E$2,$E$3,$E$4,$E$6,$E$7,AC$21,AC$20,$A42)*AC$23</f>
        <v>0</v>
      </c>
      <c r="AD42" s="21">
        <f ca="1">_xll.DBRW($E$1,$E$5,$E$2,$E$3,$E$4,$E$6,$E$7,AD$21,AD$20,$A42)*AD$23</f>
        <v>0</v>
      </c>
      <c r="AE42" s="21">
        <f ca="1">_xll.DBRW($E$1,$E$5,$E$2,$E$3,$E$4,$E$6,$E$7,AE$21,AE$20,$A42)*AE$23</f>
        <v>0</v>
      </c>
      <c r="AF42" s="21">
        <f ca="1">_xll.DBRW($E$1,$E$5,$E$2,$E$3,$E$4,$E$6,$E$7,AF$21,AF$20,$A42)*AF$23</f>
        <v>0</v>
      </c>
      <c r="AH42" s="106">
        <f t="shared" ca="1" si="16"/>
        <v>0</v>
      </c>
      <c r="AI42" s="106">
        <f t="shared" ca="1" si="17"/>
        <v>0</v>
      </c>
      <c r="AJ42" s="106">
        <f t="shared" ca="1" si="18"/>
        <v>0</v>
      </c>
      <c r="AK42" s="106">
        <f t="shared" ca="1" si="19"/>
        <v>0</v>
      </c>
    </row>
    <row r="43" spans="1:40" ht="18" hidden="1" customHeight="1" outlineLevel="1">
      <c r="A43" s="39" t="s">
        <v>107</v>
      </c>
      <c r="C43" s="44" t="str">
        <f ca="1">_xll.DBRA("tango_core_model:indicator",A43,language)</f>
        <v>PROFIT OR LOSS FROM DISCONTINUED ACTIVITIES</v>
      </c>
      <c r="E43" s="21">
        <f t="shared" ca="1" si="30"/>
        <v>0</v>
      </c>
      <c r="F43" s="45">
        <f ca="1">_xll.DBRW($E$1,$E$5,$E$2,$E$3,$E$4,$E$6,$E$7,F$21,F$20,$A43)*F$23</f>
        <v>0</v>
      </c>
      <c r="G43" s="45">
        <f ca="1">_xll.DBRW($E$1,$E$5,$E$2,$E$3,$E$4,$E$6,$E$7,G$21,G$20,$A43)*G$23</f>
        <v>0</v>
      </c>
      <c r="H43" s="21">
        <f ca="1">_xll.DBRW($E$1,$E$5,$E$2,$E$3,$E$4,$E$6,$E$7,H$21,H$20,$A43)*H$23</f>
        <v>0</v>
      </c>
      <c r="I43" s="21">
        <f t="shared" ca="1" si="31"/>
        <v>0</v>
      </c>
      <c r="J43" s="21">
        <f t="shared" ca="1" si="32"/>
        <v>0</v>
      </c>
      <c r="K43" s="21">
        <f t="shared" ca="1" si="33"/>
        <v>0</v>
      </c>
      <c r="L43" s="21">
        <f t="shared" ca="1" si="34"/>
        <v>0</v>
      </c>
      <c r="M43" s="21">
        <f t="shared" ca="1" si="35"/>
        <v>0</v>
      </c>
      <c r="O43" s="21">
        <f ca="1">_xll.DBRW($E$1,$E$5,$E$2,$E$3,$E$4,$E$6,$E$7,O$21,O$20,$A43)*O$23</f>
        <v>0</v>
      </c>
      <c r="P43" s="21">
        <f ca="1">_xll.DBRW($E$1,$E$5,$E$2,$E$3,$E$4,$E$6,$E$7,P$21,P$20,$A43)*P$23</f>
        <v>0</v>
      </c>
      <c r="Q43" s="21">
        <f ca="1">_xll.DBRW($E$1,$E$5,$E$2,$E$3,$E$4,$E$6,$E$7,Q$21,Q$20,$A43)*Q$23</f>
        <v>0</v>
      </c>
      <c r="R43" s="21">
        <f ca="1">_xll.DBRW($E$1,$E$5,$E$2,$E$3,$E$4,$E$6,$E$7,R$21,R$20,$A43)*R$23</f>
        <v>0</v>
      </c>
      <c r="S43" s="21">
        <f ca="1">_xll.DBRW($E$1,$E$5,$E$2,$E$3,$E$4,$E$6,$E$7,S$21,S$20,$A43)*S$23</f>
        <v>0</v>
      </c>
      <c r="T43" s="21">
        <f ca="1">_xll.DBRW($E$1,$E$5,$E$2,$E$3,$E$4,$E$6,$E$7,T$21,T$20,$A43)*T$23</f>
        <v>0</v>
      </c>
      <c r="U43" s="21">
        <f ca="1">_xll.DBRW($E$1,$E$5,$E$2,$E$3,$E$4,$E$6,$E$7,U$21,U$20,$A43)*U$23</f>
        <v>0</v>
      </c>
      <c r="W43" s="106">
        <f t="shared" ca="1" si="15"/>
        <v>0</v>
      </c>
      <c r="X43" s="106">
        <f t="shared" ca="1" si="8"/>
        <v>0</v>
      </c>
      <c r="Y43" s="106">
        <f t="shared" ca="1" si="9"/>
        <v>0</v>
      </c>
      <c r="Z43" s="106">
        <f t="shared" ca="1" si="10"/>
        <v>0</v>
      </c>
      <c r="AB43" s="21">
        <f ca="1">_xll.DBRW($E$1,$E$5,$E$2,$E$3,$E$4,$E$6,$E$7,AB$21,AB$20,$A43)*AB$23</f>
        <v>0</v>
      </c>
      <c r="AC43" s="21">
        <f ca="1">_xll.DBRW($E$1,$E$5,$E$2,$E$3,$E$4,$E$6,$E$7,AC$21,AC$20,$A43)*AC$23</f>
        <v>0</v>
      </c>
      <c r="AD43" s="21">
        <f ca="1">_xll.DBRW($E$1,$E$5,$E$2,$E$3,$E$4,$E$6,$E$7,AD$21,AD$20,$A43)*AD$23</f>
        <v>0</v>
      </c>
      <c r="AE43" s="21">
        <f ca="1">_xll.DBRW($E$1,$E$5,$E$2,$E$3,$E$4,$E$6,$E$7,AE$21,AE$20,$A43)*AE$23</f>
        <v>0</v>
      </c>
      <c r="AF43" s="21">
        <f ca="1">_xll.DBRW($E$1,$E$5,$E$2,$E$3,$E$4,$E$6,$E$7,AF$21,AF$20,$A43)*AF$23</f>
        <v>0</v>
      </c>
      <c r="AH43" s="106">
        <f t="shared" ca="1" si="16"/>
        <v>0</v>
      </c>
      <c r="AI43" s="106">
        <f t="shared" ca="1" si="17"/>
        <v>0</v>
      </c>
      <c r="AJ43" s="106">
        <f t="shared" ca="1" si="18"/>
        <v>0</v>
      </c>
      <c r="AK43" s="106">
        <f t="shared" ca="1" si="19"/>
        <v>0</v>
      </c>
    </row>
    <row r="44" spans="1:40" ht="18" customHeight="1" collapsed="1">
      <c r="A44" s="39" t="s">
        <v>108</v>
      </c>
      <c r="C44" s="44" t="str">
        <f ca="1">_xll.DBRA("tango_core_model:indicator",A44,language)</f>
        <v>TAX</v>
      </c>
      <c r="E44" s="21">
        <f t="shared" ca="1" si="30"/>
        <v>0</v>
      </c>
      <c r="F44" s="45">
        <f ca="1">_xll.DBRW($E$1,$E$5,$E$2,$E$3,$E$4,$E$6,$E$7,F$21,F$20,$A44)*F$23</f>
        <v>0</v>
      </c>
      <c r="G44" s="45">
        <f ca="1">_xll.DBRW($E$1,$E$5,$E$2,$E$3,$E$4,$E$6,$E$7,G$21,G$20,$A44)*G$23</f>
        <v>0</v>
      </c>
      <c r="H44" s="21">
        <f ca="1">_xll.DBRW($E$1,$E$5,$E$2,$E$3,$E$4,$E$6,$E$7,H$21,H$20,$A44)*H$23</f>
        <v>0</v>
      </c>
      <c r="I44" s="21">
        <f t="shared" ca="1" si="31"/>
        <v>0</v>
      </c>
      <c r="J44" s="21">
        <f t="shared" ca="1" si="32"/>
        <v>0</v>
      </c>
      <c r="K44" s="21">
        <f t="shared" ca="1" si="33"/>
        <v>0</v>
      </c>
      <c r="L44" s="21">
        <f t="shared" ca="1" si="34"/>
        <v>0</v>
      </c>
      <c r="M44" s="21">
        <f t="shared" ca="1" si="35"/>
        <v>0</v>
      </c>
      <c r="O44" s="21">
        <f ca="1">_xll.DBRW($E$1,$E$5,$E$2,$E$3,$E$4,$E$6,$E$7,O$21,O$20,$A44)*O$23</f>
        <v>0</v>
      </c>
      <c r="P44" s="21">
        <f ca="1">_xll.DBRW($E$1,$E$5,$E$2,$E$3,$E$4,$E$6,$E$7,P$21,P$20,$A44)*P$23</f>
        <v>0</v>
      </c>
      <c r="Q44" s="21">
        <f ca="1">_xll.DBRW($E$1,$E$5,$E$2,$E$3,$E$4,$E$6,$E$7,Q$21,Q$20,$A44)*Q$23</f>
        <v>0</v>
      </c>
      <c r="R44" s="21">
        <f ca="1">_xll.DBRW($E$1,$E$5,$E$2,$E$3,$E$4,$E$6,$E$7,R$21,R$20,$A44)*R$23</f>
        <v>0</v>
      </c>
      <c r="S44" s="21">
        <f ca="1">_xll.DBRW($E$1,$E$5,$E$2,$E$3,$E$4,$E$6,$E$7,S$21,S$20,$A44)*S$23</f>
        <v>0</v>
      </c>
      <c r="T44" s="21">
        <f ca="1">_xll.DBRW($E$1,$E$5,$E$2,$E$3,$E$4,$E$6,$E$7,T$21,T$20,$A44)*T$23</f>
        <v>0</v>
      </c>
      <c r="U44" s="21">
        <f ca="1">_xll.DBRW($E$1,$E$5,$E$2,$E$3,$E$4,$E$6,$E$7,U$21,U$20,$A44)*U$23</f>
        <v>0</v>
      </c>
      <c r="W44" s="106">
        <f t="shared" ca="1" si="15"/>
        <v>0</v>
      </c>
      <c r="X44" s="106">
        <f t="shared" ca="1" si="8"/>
        <v>0</v>
      </c>
      <c r="Y44" s="106">
        <f t="shared" ca="1" si="9"/>
        <v>0</v>
      </c>
      <c r="Z44" s="106">
        <f t="shared" ca="1" si="10"/>
        <v>0</v>
      </c>
      <c r="AB44" s="21">
        <f ca="1">_xll.DBRW($E$1,$E$5,$E$2,$E$3,$E$4,$E$6,$E$7,AB$21,AB$20,$A44)*AB$23</f>
        <v>0</v>
      </c>
      <c r="AC44" s="21">
        <f ca="1">_xll.DBRW($E$1,$E$5,$E$2,$E$3,$E$4,$E$6,$E$7,AC$21,AC$20,$A44)*AC$23</f>
        <v>0</v>
      </c>
      <c r="AD44" s="21">
        <f ca="1">_xll.DBRW($E$1,$E$5,$E$2,$E$3,$E$4,$E$6,$E$7,AD$21,AD$20,$A44)*AD$23</f>
        <v>0</v>
      </c>
      <c r="AE44" s="21">
        <f ca="1">_xll.DBRW($E$1,$E$5,$E$2,$E$3,$E$4,$E$6,$E$7,AE$21,AE$20,$A44)*AE$23</f>
        <v>0</v>
      </c>
      <c r="AF44" s="21">
        <f ca="1">_xll.DBRW($E$1,$E$5,$E$2,$E$3,$E$4,$E$6,$E$7,AF$21,AF$20,$A44)*AF$23</f>
        <v>0</v>
      </c>
      <c r="AH44" s="106">
        <f t="shared" ca="1" si="16"/>
        <v>0</v>
      </c>
      <c r="AI44" s="106">
        <f t="shared" ca="1" si="17"/>
        <v>0</v>
      </c>
      <c r="AJ44" s="106">
        <f t="shared" ca="1" si="18"/>
        <v>0</v>
      </c>
      <c r="AK44" s="106">
        <f t="shared" ca="1" si="19"/>
        <v>0</v>
      </c>
    </row>
    <row r="45" spans="1:40" ht="18" customHeight="1">
      <c r="A45" s="39" t="s">
        <v>49</v>
      </c>
      <c r="B45" s="38"/>
      <c r="C45" s="52" t="str">
        <f ca="1">_xll.DBRA("tango_core_model:indicator",A45,language)</f>
        <v>NET PROFIT OR LOSS ATTRIBUTABLE TO GROUP</v>
      </c>
      <c r="E45" s="53">
        <f t="shared" ca="1" si="30"/>
        <v>0</v>
      </c>
      <c r="F45" s="53">
        <f ca="1">_xll.DBRW($E$1,$E$5,$E$2,$E$3,$E$4,$E$6,$E$7,F$21,F$20,$A45)*F$23</f>
        <v>0</v>
      </c>
      <c r="G45" s="53">
        <f ca="1">_xll.DBRW($E$1,$E$5,$E$2,$E$3,$E$4,$E$6,$E$7,G$21,G$20,$A45)*G$23</f>
        <v>0</v>
      </c>
      <c r="H45" s="53">
        <f ca="1">_xll.DBRW($E$1,$E$5,$E$2,$E$3,$E$4,$E$6,$E$7,H$21,H$20,$A45)*H$23</f>
        <v>0</v>
      </c>
      <c r="I45" s="53">
        <f t="shared" ca="1" si="31"/>
        <v>0</v>
      </c>
      <c r="J45" s="53">
        <f t="shared" ca="1" si="32"/>
        <v>0</v>
      </c>
      <c r="K45" s="53">
        <f t="shared" ca="1" si="33"/>
        <v>0</v>
      </c>
      <c r="L45" s="53">
        <f t="shared" ca="1" si="34"/>
        <v>0</v>
      </c>
      <c r="M45" s="53">
        <f t="shared" ca="1" si="35"/>
        <v>0</v>
      </c>
      <c r="O45" s="53">
        <f ca="1">_xll.DBRW($E$1,$E$5,$E$2,$E$3,$E$4,$E$6,$E$7,O$21,O$20,$A45)*O$23</f>
        <v>0</v>
      </c>
      <c r="P45" s="53">
        <f ca="1">_xll.DBRW($E$1,$E$5,$E$2,$E$3,$E$4,$E$6,$E$7,P$21,P$20,$A45)*P$23</f>
        <v>0</v>
      </c>
      <c r="Q45" s="53">
        <f ca="1">_xll.DBRW($E$1,$E$5,$E$2,$E$3,$E$4,$E$6,$E$7,Q$21,Q$20,$A45)*Q$23</f>
        <v>0</v>
      </c>
      <c r="R45" s="53">
        <f ca="1">_xll.DBRW($E$1,$E$5,$E$2,$E$3,$E$4,$E$6,$E$7,R$21,R$20,$A45)*R$23</f>
        <v>0</v>
      </c>
      <c r="S45" s="53">
        <f ca="1">_xll.DBRW($E$1,$E$5,$E$2,$E$3,$E$4,$E$6,$E$7,S$21,S$20,$A45)*S$23</f>
        <v>0</v>
      </c>
      <c r="T45" s="53">
        <f ca="1">_xll.DBRW($E$1,$E$5,$E$2,$E$3,$E$4,$E$6,$E$7,T$21,T$20,$A45)*T$23</f>
        <v>0</v>
      </c>
      <c r="U45" s="53">
        <f ca="1">_xll.DBRW($E$1,$E$5,$E$2,$E$3,$E$4,$E$6,$E$7,U$21,U$20,$A45)*U$23</f>
        <v>0</v>
      </c>
      <c r="W45" s="105">
        <f t="shared" ca="1" si="15"/>
        <v>0</v>
      </c>
      <c r="X45" s="105">
        <f t="shared" ca="1" si="8"/>
        <v>0</v>
      </c>
      <c r="Y45" s="105">
        <f t="shared" ca="1" si="9"/>
        <v>0</v>
      </c>
      <c r="Z45" s="105">
        <f t="shared" ca="1" si="10"/>
        <v>0</v>
      </c>
      <c r="AB45" s="53">
        <f ca="1">_xll.DBRW($E$1,$E$5,$E$2,$E$3,$E$4,$E$6,$E$7,AB$21,AB$20,$A45)*AB$23</f>
        <v>0</v>
      </c>
      <c r="AC45" s="53">
        <f ca="1">_xll.DBRW($E$1,$E$5,$E$2,$E$3,$E$4,$E$6,$E$7,AC$21,AC$20,$A45)*AC$23</f>
        <v>0</v>
      </c>
      <c r="AD45" s="53">
        <f ca="1">_xll.DBRW($E$1,$E$5,$E$2,$E$3,$E$4,$E$6,$E$7,AD$21,AD$20,$A45)*AD$23</f>
        <v>0</v>
      </c>
      <c r="AE45" s="53">
        <f ca="1">_xll.DBRW($E$1,$E$5,$E$2,$E$3,$E$4,$E$6,$E$7,AE$21,AE$20,$A45)*AE$23</f>
        <v>0</v>
      </c>
      <c r="AF45" s="53">
        <f ca="1">_xll.DBRW($E$1,$E$5,$E$2,$E$3,$E$4,$E$6,$E$7,AF$21,AF$20,$A45)*AF$23</f>
        <v>0</v>
      </c>
      <c r="AH45" s="105">
        <f t="shared" ca="1" si="16"/>
        <v>0</v>
      </c>
      <c r="AI45" s="105">
        <f t="shared" ca="1" si="17"/>
        <v>0</v>
      </c>
      <c r="AJ45" s="105">
        <f t="shared" ca="1" si="18"/>
        <v>0</v>
      </c>
      <c r="AK45" s="105">
        <f t="shared" ca="1" si="19"/>
        <v>0</v>
      </c>
    </row>
    <row r="46" spans="1:40" ht="20.100000000000001" customHeight="1">
      <c r="A46" s="9"/>
      <c r="C46" s="2"/>
      <c r="E46" s="3"/>
      <c r="F46" s="3"/>
      <c r="G46" s="3"/>
      <c r="H46" s="3"/>
      <c r="I46" s="3"/>
      <c r="J46" s="3"/>
      <c r="K46" s="3"/>
      <c r="L46" s="3"/>
      <c r="M46" s="3"/>
      <c r="O46" s="3"/>
      <c r="P46" s="3"/>
      <c r="Q46" s="3"/>
      <c r="R46" s="3"/>
      <c r="S46" s="3"/>
      <c r="T46" s="3"/>
      <c r="U46" s="3"/>
      <c r="W46" s="108"/>
      <c r="X46" s="108"/>
      <c r="Y46" s="108"/>
      <c r="Z46" s="108"/>
      <c r="AB46" s="3"/>
      <c r="AC46" s="3"/>
      <c r="AD46" s="3"/>
      <c r="AE46" s="3"/>
      <c r="AF46" s="3"/>
      <c r="AH46" s="108"/>
      <c r="AI46" s="108"/>
      <c r="AJ46" s="108"/>
      <c r="AK46" s="108"/>
      <c r="AN46" s="54"/>
    </row>
    <row r="47" spans="1:40" s="59" customFormat="1" ht="24.95" customHeight="1">
      <c r="A47" s="9"/>
      <c r="B47" s="58"/>
      <c r="C47" s="90" t="s">
        <v>8</v>
      </c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103"/>
      <c r="X47" s="103"/>
      <c r="Y47" s="103"/>
      <c r="Z47" s="103"/>
      <c r="AA47" s="90"/>
      <c r="AB47" s="90"/>
      <c r="AC47" s="90"/>
      <c r="AD47" s="90"/>
      <c r="AE47" s="90"/>
      <c r="AF47" s="90"/>
      <c r="AG47" s="90"/>
      <c r="AH47" s="103"/>
      <c r="AI47" s="103"/>
      <c r="AJ47" s="103"/>
      <c r="AK47" s="103"/>
    </row>
    <row r="48" spans="1:40" s="47" customFormat="1" ht="9.9499999999999993" customHeight="1">
      <c r="A48" s="46"/>
      <c r="B48" s="37"/>
      <c r="C48" s="50"/>
      <c r="E48" s="51"/>
      <c r="F48" s="51"/>
      <c r="G48" s="51"/>
      <c r="H48" s="51"/>
      <c r="I48" s="51"/>
      <c r="J48" s="51"/>
      <c r="K48" s="51"/>
      <c r="L48" s="51"/>
      <c r="M48" s="51"/>
      <c r="O48" s="51"/>
      <c r="P48" s="51"/>
      <c r="Q48" s="51"/>
      <c r="R48" s="51"/>
      <c r="S48" s="51"/>
      <c r="T48" s="51"/>
      <c r="U48" s="51"/>
      <c r="W48" s="104"/>
      <c r="X48" s="104"/>
      <c r="Y48" s="104"/>
      <c r="Z48" s="104"/>
      <c r="AB48" s="51"/>
      <c r="AC48" s="51"/>
      <c r="AD48" s="51"/>
      <c r="AE48" s="51"/>
      <c r="AF48" s="51"/>
      <c r="AH48" s="104"/>
      <c r="AI48" s="104"/>
      <c r="AJ48" s="104"/>
      <c r="AK48" s="104"/>
    </row>
    <row r="49" spans="1:37" ht="18" customHeight="1">
      <c r="A49" s="55" t="s">
        <v>117</v>
      </c>
      <c r="B49" s="56"/>
      <c r="C49" s="44" t="str">
        <f ca="1">_xll.DBRA("tango_core_model:indicator",A49,language)</f>
        <v>CAFOP</v>
      </c>
      <c r="E49" s="21">
        <f ca="1">O49-T49</f>
        <v>0</v>
      </c>
      <c r="F49" s="21">
        <f ca="1">_xll.DBRW($E$1,$E$5,$E$2,$E$3,$E$4,$E$6,$E$7,F$21,F$20,$A49)*F$23</f>
        <v>0</v>
      </c>
      <c r="G49" s="21">
        <f ca="1">_xll.DBRW($E$1,$E$5,$E$2,$E$3,$E$4,$E$6,$E$7,G$21,G$20,$A49)*G$23</f>
        <v>0</v>
      </c>
      <c r="H49" s="21">
        <f ca="1">_xll.DBRW($E$1,$E$5,$E$2,$E$3,$E$4,$E$6,$E$7,H$21,H$20,$A49)*H$23</f>
        <v>0</v>
      </c>
      <c r="I49" s="21">
        <f ca="1">S49-U49</f>
        <v>0</v>
      </c>
      <c r="J49" s="21">
        <f t="shared" ref="J49:J52" ca="1" si="36">IFERROR(+$E49-F49,"")</f>
        <v>0</v>
      </c>
      <c r="K49" s="21">
        <f t="shared" ref="K49:K52" ca="1" si="37">IFERROR(+$E49-G49,"")</f>
        <v>0</v>
      </c>
      <c r="L49" s="21">
        <f t="shared" ref="L49:L52" ca="1" si="38">IFERROR(+$E49-H49,"")</f>
        <v>0</v>
      </c>
      <c r="M49" s="21">
        <f t="shared" ref="M49:M52" ca="1" si="39">IFERROR(+$E49-I49,"")</f>
        <v>0</v>
      </c>
      <c r="O49" s="21">
        <f ca="1">_xll.DBRW($E$1,$E$5,$E$2,$E$3,$E$4,$E$6,$E$7,O$21,O$20,$A49)*O$23</f>
        <v>0</v>
      </c>
      <c r="P49" s="21">
        <f ca="1">_xll.DBRW($E$1,$E$5,$E$2,$E$3,$E$4,$E$6,$E$7,P$21,P$20,$A49)*P$23</f>
        <v>0</v>
      </c>
      <c r="Q49" s="21">
        <f ca="1">_xll.DBRW($E$1,$E$5,$E$2,$E$3,$E$4,$E$6,$E$7,Q$21,Q$20,$A49)*Q$23</f>
        <v>0</v>
      </c>
      <c r="R49" s="21">
        <f ca="1">_xll.DBRW($E$1,$E$5,$E$2,$E$3,$E$4,$E$6,$E$7,R$21,R$20,$A49)*R$23</f>
        <v>0</v>
      </c>
      <c r="S49" s="21">
        <f ca="1">_xll.DBRW($E$1,$E$5,$E$2,$E$3,$E$4,$E$6,$E$7,S$21,S$20,$A49)*S$23</f>
        <v>0</v>
      </c>
      <c r="T49" s="21">
        <f ca="1">_xll.DBRW($E$1,$E$5,$E$2,$E$3,$E$4,$E$6,$E$7,T$21,T$20,$A49)*T$23</f>
        <v>0</v>
      </c>
      <c r="U49" s="21">
        <f ca="1">_xll.DBRW($E$1,$E$5,$E$2,$E$3,$E$4,$E$6,$E$7,U$21,U$20,$A49)*U$23</f>
        <v>0</v>
      </c>
      <c r="W49" s="106">
        <f t="shared" ref="W49:W67" ca="1" si="40">IFERROR(+$O49-P49,"")</f>
        <v>0</v>
      </c>
      <c r="X49" s="106">
        <f t="shared" ref="X49:X67" ca="1" si="41">IFERROR(+$O49-Q49,"")</f>
        <v>0</v>
      </c>
      <c r="Y49" s="106">
        <f t="shared" ref="Y49:Y67" ca="1" si="42">IFERROR(+$O49-R49,"")</f>
        <v>0</v>
      </c>
      <c r="Z49" s="106">
        <f t="shared" ref="Z49:Z67" ca="1" si="43">IFERROR(+$O49-S49,"")</f>
        <v>0</v>
      </c>
      <c r="AB49" s="21">
        <f ca="1">_xll.DBRW($E$1,$E$5,$E$2,$E$3,$E$4,$E$6,$E$7,AB$21,AB$20,$A49)*AB$23</f>
        <v>0</v>
      </c>
      <c r="AC49" s="21">
        <f ca="1">_xll.DBRW($E$1,$E$5,$E$2,$E$3,$E$4,$E$6,$E$7,AC$21,AC$20,$A49)*AC$23</f>
        <v>0</v>
      </c>
      <c r="AD49" s="21">
        <f ca="1">_xll.DBRW($E$1,$E$5,$E$2,$E$3,$E$4,$E$6,$E$7,AD$21,AD$20,$A49)*AD$23</f>
        <v>0</v>
      </c>
      <c r="AE49" s="21">
        <f ca="1">_xll.DBRW($E$1,$E$5,$E$2,$E$3,$E$4,$E$6,$E$7,AE$21,AE$20,$A49)*AE$23</f>
        <v>0</v>
      </c>
      <c r="AF49" s="21">
        <f ca="1">_xll.DBRW($E$1,$E$5,$E$2,$E$3,$E$4,$E$6,$E$7,AF$21,AF$20,$A49)*AF$23</f>
        <v>0</v>
      </c>
      <c r="AH49" s="106">
        <f t="shared" ref="AH49:AH67" ca="1" si="44">IFERROR(+$AB49-AC49,"")</f>
        <v>0</v>
      </c>
      <c r="AI49" s="106">
        <f t="shared" ref="AI49:AI67" ca="1" si="45">IFERROR(+$AB49-AD49,"")</f>
        <v>0</v>
      </c>
      <c r="AJ49" s="106">
        <f t="shared" ref="AJ49:AJ67" ca="1" si="46">IFERROR(+$AB49-AE49,"")</f>
        <v>0</v>
      </c>
      <c r="AK49" s="106">
        <f t="shared" ref="AK49:AK67" ca="1" si="47">IFERROR(+$AB49-AF49,"")</f>
        <v>0</v>
      </c>
    </row>
    <row r="50" spans="1:37" ht="18" customHeight="1">
      <c r="A50" s="55" t="s">
        <v>118</v>
      </c>
      <c r="B50" s="56"/>
      <c r="C50" s="44" t="str">
        <f ca="1">_xll.DBRA("tango_core_model:indicator",A50,language)</f>
        <v>FINANCIAL CASH FLOW</v>
      </c>
      <c r="E50" s="21">
        <f ca="1">O50-T50</f>
        <v>0</v>
      </c>
      <c r="F50" s="21">
        <f ca="1">_xll.DBRW($E$1,$E$5,$E$2,$E$3,$E$4,$E$6,$E$7,F$21,F$20,$A50)*F$23</f>
        <v>0</v>
      </c>
      <c r="G50" s="21">
        <f ca="1">_xll.DBRW($E$1,$E$5,$E$2,$E$3,$E$4,$E$6,$E$7,G$21,G$20,$A50)*G$23</f>
        <v>0</v>
      </c>
      <c r="H50" s="21">
        <f ca="1">_xll.DBRW($E$1,$E$5,$E$2,$E$3,$E$4,$E$6,$E$7,H$21,H$20,$A50)*H$23</f>
        <v>0</v>
      </c>
      <c r="I50" s="21">
        <f ca="1">S50-U50</f>
        <v>0</v>
      </c>
      <c r="J50" s="21">
        <f t="shared" ca="1" si="36"/>
        <v>0</v>
      </c>
      <c r="K50" s="21">
        <f t="shared" ca="1" si="37"/>
        <v>0</v>
      </c>
      <c r="L50" s="21">
        <f t="shared" ca="1" si="38"/>
        <v>0</v>
      </c>
      <c r="M50" s="21">
        <f t="shared" ca="1" si="39"/>
        <v>0</v>
      </c>
      <c r="O50" s="21">
        <f ca="1">_xll.DBRW($E$1,$E$5,$E$2,$E$3,$E$4,$E$6,$E$7,O$21,O$20,$A50)*O$23</f>
        <v>0</v>
      </c>
      <c r="P50" s="21">
        <f ca="1">_xll.DBRW($E$1,$E$5,$E$2,$E$3,$E$4,$E$6,$E$7,P$21,P$20,$A50)*P$23</f>
        <v>0</v>
      </c>
      <c r="Q50" s="21">
        <f ca="1">_xll.DBRW($E$1,$E$5,$E$2,$E$3,$E$4,$E$6,$E$7,Q$21,Q$20,$A50)*Q$23</f>
        <v>0</v>
      </c>
      <c r="R50" s="21">
        <f ca="1">_xll.DBRW($E$1,$E$5,$E$2,$E$3,$E$4,$E$6,$E$7,R$21,R$20,$A50)*R$23</f>
        <v>0</v>
      </c>
      <c r="S50" s="21">
        <f ca="1">_xll.DBRW($E$1,$E$5,$E$2,$E$3,$E$4,$E$6,$E$7,S$21,S$20,$A50)*S$23</f>
        <v>0</v>
      </c>
      <c r="T50" s="21">
        <f ca="1">_xll.DBRW($E$1,$E$5,$E$2,$E$3,$E$4,$E$6,$E$7,T$21,T$20,$A50)*T$23</f>
        <v>0</v>
      </c>
      <c r="U50" s="21">
        <f ca="1">_xll.DBRW($E$1,$E$5,$E$2,$E$3,$E$4,$E$6,$E$7,U$21,U$20,$A50)*U$23</f>
        <v>0</v>
      </c>
      <c r="W50" s="106">
        <f t="shared" ca="1" si="40"/>
        <v>0</v>
      </c>
      <c r="X50" s="106">
        <f t="shared" ca="1" si="41"/>
        <v>0</v>
      </c>
      <c r="Y50" s="106">
        <f t="shared" ca="1" si="42"/>
        <v>0</v>
      </c>
      <c r="Z50" s="106">
        <f t="shared" ca="1" si="43"/>
        <v>0</v>
      </c>
      <c r="AB50" s="21">
        <f ca="1">_xll.DBRW($E$1,$E$5,$E$2,$E$3,$E$4,$E$6,$E$7,AB$21,AB$20,$A50)*AB$23</f>
        <v>0</v>
      </c>
      <c r="AC50" s="21">
        <f ca="1">_xll.DBRW($E$1,$E$5,$E$2,$E$3,$E$4,$E$6,$E$7,AC$21,AC$20,$A50)*AC$23</f>
        <v>0</v>
      </c>
      <c r="AD50" s="21">
        <f ca="1">_xll.DBRW($E$1,$E$5,$E$2,$E$3,$E$4,$E$6,$E$7,AD$21,AD$20,$A50)*AD$23</f>
        <v>0</v>
      </c>
      <c r="AE50" s="21">
        <f ca="1">_xll.DBRW($E$1,$E$5,$E$2,$E$3,$E$4,$E$6,$E$7,AE$21,AE$20,$A50)*AE$23</f>
        <v>0</v>
      </c>
      <c r="AF50" s="21">
        <f ca="1">_xll.DBRW($E$1,$E$5,$E$2,$E$3,$E$4,$E$6,$E$7,AF$21,AF$20,$A50)*AF$23</f>
        <v>0</v>
      </c>
      <c r="AH50" s="106">
        <f t="shared" ca="1" si="44"/>
        <v>0</v>
      </c>
      <c r="AI50" s="106">
        <f t="shared" ca="1" si="45"/>
        <v>0</v>
      </c>
      <c r="AJ50" s="106">
        <f t="shared" ca="1" si="46"/>
        <v>0</v>
      </c>
      <c r="AK50" s="106">
        <f t="shared" ca="1" si="47"/>
        <v>0</v>
      </c>
    </row>
    <row r="51" spans="1:37" ht="18" customHeight="1">
      <c r="A51" s="55" t="s">
        <v>119</v>
      </c>
      <c r="B51" s="56"/>
      <c r="C51" s="52" t="str">
        <f ca="1">_xll.DBRA("tango_core_model:indicator",A51,language)</f>
        <v>CASH FLOW (detail by level)</v>
      </c>
      <c r="E51" s="53">
        <f ca="1">O51-T51</f>
        <v>0</v>
      </c>
      <c r="F51" s="53">
        <f ca="1">_xll.DBRW($E$1,$E$5,$E$2,$E$3,$E$4,$E$6,$E$7,F$21,F$20,$A51)*F$23</f>
        <v>0</v>
      </c>
      <c r="G51" s="53">
        <f ca="1">_xll.DBRW($E$1,$E$5,$E$2,$E$3,$E$4,$E$6,$E$7,G$21,G$20,$A51)*G$23</f>
        <v>0</v>
      </c>
      <c r="H51" s="53">
        <f ca="1">_xll.DBRW($E$1,$E$5,$E$2,$E$3,$E$4,$E$6,$E$7,H$21,H$20,$A51)*H$23</f>
        <v>0</v>
      </c>
      <c r="I51" s="53">
        <f ca="1">S51-U51</f>
        <v>0</v>
      </c>
      <c r="J51" s="53">
        <f t="shared" ca="1" si="36"/>
        <v>0</v>
      </c>
      <c r="K51" s="53">
        <f t="shared" ca="1" si="37"/>
        <v>0</v>
      </c>
      <c r="L51" s="53">
        <f t="shared" ca="1" si="38"/>
        <v>0</v>
      </c>
      <c r="M51" s="53">
        <f t="shared" ca="1" si="39"/>
        <v>0</v>
      </c>
      <c r="O51" s="53">
        <f ca="1">_xll.DBRW($E$1,$E$5,$E$2,$E$3,$E$4,$E$6,$E$7,O$21,O$20,$A51)*O$23</f>
        <v>0</v>
      </c>
      <c r="P51" s="53">
        <f ca="1">_xll.DBRW($E$1,$E$5,$E$2,$E$3,$E$4,$E$6,$E$7,P$21,P$20,$A51)*P$23</f>
        <v>0</v>
      </c>
      <c r="Q51" s="53">
        <f ca="1">_xll.DBRW($E$1,$E$5,$E$2,$E$3,$E$4,$E$6,$E$7,Q$21,Q$20,$A51)*Q$23</f>
        <v>0</v>
      </c>
      <c r="R51" s="53">
        <f ca="1">_xll.DBRW($E$1,$E$5,$E$2,$E$3,$E$4,$E$6,$E$7,R$21,R$20,$A51)*R$23</f>
        <v>0</v>
      </c>
      <c r="S51" s="53">
        <f ca="1">_xll.DBRW($E$1,$E$5,$E$2,$E$3,$E$4,$E$6,$E$7,S$21,S$20,$A51)*S$23</f>
        <v>0</v>
      </c>
      <c r="T51" s="53">
        <f ca="1">_xll.DBRW($E$1,$E$5,$E$2,$E$3,$E$4,$E$6,$E$7,T$21,T$20,$A51)*T$23</f>
        <v>0</v>
      </c>
      <c r="U51" s="53">
        <f ca="1">_xll.DBRW($E$1,$E$5,$E$2,$E$3,$E$4,$E$6,$E$7,U$21,U$20,$A51)*U$23</f>
        <v>0</v>
      </c>
      <c r="W51" s="105">
        <f t="shared" ca="1" si="40"/>
        <v>0</v>
      </c>
      <c r="X51" s="105">
        <f t="shared" ca="1" si="41"/>
        <v>0</v>
      </c>
      <c r="Y51" s="105">
        <f t="shared" ca="1" si="42"/>
        <v>0</v>
      </c>
      <c r="Z51" s="105">
        <f t="shared" ca="1" si="43"/>
        <v>0</v>
      </c>
      <c r="AB51" s="53">
        <f ca="1">_xll.DBRW($E$1,$E$5,$E$2,$E$3,$E$4,$E$6,$E$7,AB$21,AB$20,$A51)*AB$23</f>
        <v>0</v>
      </c>
      <c r="AC51" s="53">
        <f ca="1">_xll.DBRW($E$1,$E$5,$E$2,$E$3,$E$4,$E$6,$E$7,AC$21,AC$20,$A51)*AC$23</f>
        <v>0</v>
      </c>
      <c r="AD51" s="53">
        <f ca="1">_xll.DBRW($E$1,$E$5,$E$2,$E$3,$E$4,$E$6,$E$7,AD$21,AD$20,$A51)*AD$23</f>
        <v>0</v>
      </c>
      <c r="AE51" s="53">
        <f ca="1">_xll.DBRW($E$1,$E$5,$E$2,$E$3,$E$4,$E$6,$E$7,AE$21,AE$20,$A51)*AE$23</f>
        <v>0</v>
      </c>
      <c r="AF51" s="53">
        <f ca="1">_xll.DBRW($E$1,$E$5,$E$2,$E$3,$E$4,$E$6,$E$7,AF$21,AF$20,$A51)*AF$23</f>
        <v>0</v>
      </c>
      <c r="AH51" s="105">
        <f t="shared" ca="1" si="44"/>
        <v>0</v>
      </c>
      <c r="AI51" s="105">
        <f t="shared" ca="1" si="45"/>
        <v>0</v>
      </c>
      <c r="AJ51" s="105">
        <f t="shared" ca="1" si="46"/>
        <v>0</v>
      </c>
      <c r="AK51" s="105">
        <f t="shared" ca="1" si="47"/>
        <v>0</v>
      </c>
    </row>
    <row r="52" spans="1:37" s="9" customFormat="1" ht="18" customHeight="1">
      <c r="A52" s="55" t="s">
        <v>50</v>
      </c>
      <c r="C52" s="44" t="str">
        <f ca="1">_xll.DBRA("tango_core_model:indicator",A52,language)</f>
        <v>CHANGE IN OPERATING WORKING CAPITAL (NET)</v>
      </c>
      <c r="E52" s="21">
        <f ca="1">O52-T52</f>
        <v>0</v>
      </c>
      <c r="F52" s="21">
        <f ca="1">_xll.DBRW($E$1,$E$5,$E$2,$E$3,$E$4,$E$6,$E$7,F$21,F$20,$A52)*F$23</f>
        <v>0</v>
      </c>
      <c r="G52" s="21">
        <f ca="1">_xll.DBRW($E$1,$E$5,$E$2,$E$3,$E$4,$E$6,$E$7,G$21,G$20,$A52)*G$23</f>
        <v>0</v>
      </c>
      <c r="H52" s="21">
        <f ca="1">_xll.DBRW($E$1,$E$5,$E$2,$E$3,$E$4,$E$6,$E$7,H$21,H$20,$A52)*H$23</f>
        <v>0</v>
      </c>
      <c r="I52" s="21">
        <f ca="1">S52-U52</f>
        <v>0</v>
      </c>
      <c r="J52" s="21">
        <f t="shared" ca="1" si="36"/>
        <v>0</v>
      </c>
      <c r="K52" s="21">
        <f t="shared" ca="1" si="37"/>
        <v>0</v>
      </c>
      <c r="L52" s="21">
        <f t="shared" ca="1" si="38"/>
        <v>0</v>
      </c>
      <c r="M52" s="21">
        <f t="shared" ca="1" si="39"/>
        <v>0</v>
      </c>
      <c r="O52" s="21">
        <f ca="1">_xll.DBRW($E$1,$E$5,$E$2,$E$3,$E$4,$E$6,$E$7,O$21,O$20,$A52)*O$23</f>
        <v>0</v>
      </c>
      <c r="P52" s="21">
        <f ca="1">_xll.DBRW($E$1,$E$5,$E$2,$E$3,$E$4,$E$6,$E$7,P$21,P$20,$A52)*P$23</f>
        <v>0</v>
      </c>
      <c r="Q52" s="21">
        <f ca="1">_xll.DBRW($E$1,$E$5,$E$2,$E$3,$E$4,$E$6,$E$7,Q$21,Q$20,$A52)*Q$23</f>
        <v>0</v>
      </c>
      <c r="R52" s="21">
        <f ca="1">_xll.DBRW($E$1,$E$5,$E$2,$E$3,$E$4,$E$6,$E$7,R$21,R$20,$A52)*R$23</f>
        <v>0</v>
      </c>
      <c r="S52" s="21">
        <f ca="1">_xll.DBRW($E$1,$E$5,$E$2,$E$3,$E$4,$E$6,$E$7,S$21,S$20,$A52)*S$23</f>
        <v>0</v>
      </c>
      <c r="T52" s="21">
        <f ca="1">_xll.DBRW($E$1,$E$5,$E$2,$E$3,$E$4,$E$6,$E$7,T$21,T$20,$A52)*T$23</f>
        <v>0</v>
      </c>
      <c r="U52" s="21">
        <f ca="1">_xll.DBRW($E$1,$E$5,$E$2,$E$3,$E$4,$E$6,$E$7,U$21,U$20,$A52)*U$23</f>
        <v>0</v>
      </c>
      <c r="W52" s="106">
        <f t="shared" ca="1" si="40"/>
        <v>0</v>
      </c>
      <c r="X52" s="106">
        <f t="shared" ca="1" si="41"/>
        <v>0</v>
      </c>
      <c r="Y52" s="106">
        <f t="shared" ca="1" si="42"/>
        <v>0</v>
      </c>
      <c r="Z52" s="106">
        <f t="shared" ca="1" si="43"/>
        <v>0</v>
      </c>
      <c r="AB52" s="21">
        <f ca="1">_xll.DBRW($E$1,$E$5,$E$2,$E$3,$E$4,$E$6,$E$7,AB$21,AB$20,$A52)*AB$23</f>
        <v>0</v>
      </c>
      <c r="AC52" s="21">
        <f ca="1">_xll.DBRW($E$1,$E$5,$E$2,$E$3,$E$4,$E$6,$E$7,AC$21,AC$20,$A52)*AC$23</f>
        <v>0</v>
      </c>
      <c r="AD52" s="21">
        <f ca="1">_xll.DBRW($E$1,$E$5,$E$2,$E$3,$E$4,$E$6,$E$7,AD$21,AD$20,$A52)*AD$23</f>
        <v>0</v>
      </c>
      <c r="AE52" s="21">
        <f ca="1">_xll.DBRW($E$1,$E$5,$E$2,$E$3,$E$4,$E$6,$E$7,AE$21,AE$20,$A52)*AE$23</f>
        <v>0</v>
      </c>
      <c r="AF52" s="21">
        <f ca="1">_xll.DBRW($E$1,$E$5,$E$2,$E$3,$E$4,$E$6,$E$7,AF$21,AF$20,$A52)*AF$23</f>
        <v>0</v>
      </c>
      <c r="AH52" s="106">
        <f t="shared" ca="1" si="44"/>
        <v>0</v>
      </c>
      <c r="AI52" s="106">
        <f t="shared" ca="1" si="45"/>
        <v>0</v>
      </c>
      <c r="AJ52" s="106">
        <f t="shared" ca="1" si="46"/>
        <v>0</v>
      </c>
      <c r="AK52" s="106">
        <f t="shared" ca="1" si="47"/>
        <v>0</v>
      </c>
    </row>
    <row r="53" spans="1:37" ht="18" customHeight="1">
      <c r="A53" s="57" t="s">
        <v>102</v>
      </c>
      <c r="B53" s="56"/>
      <c r="C53" s="52" t="str">
        <f>IF(language="French","Cash Flow Opérationnel","Operating Cash Flow")</f>
        <v>Operating Cash Flow</v>
      </c>
      <c r="E53" s="53">
        <f t="shared" ref="E53" ca="1" si="48">E52+E51</f>
        <v>0</v>
      </c>
      <c r="F53" s="53">
        <f t="shared" ref="F53" ca="1" si="49">F52+F51</f>
        <v>0</v>
      </c>
      <c r="G53" s="53">
        <f t="shared" ref="G53" ca="1" si="50">G52+G51</f>
        <v>0</v>
      </c>
      <c r="H53" s="53">
        <f t="shared" ref="H53" ca="1" si="51">H52+H51</f>
        <v>0</v>
      </c>
      <c r="I53" s="53">
        <f t="shared" ref="I53" ca="1" si="52">I52+I51</f>
        <v>0</v>
      </c>
      <c r="J53" s="53">
        <f t="shared" ref="J53" ca="1" si="53">J52+J51</f>
        <v>0</v>
      </c>
      <c r="K53" s="53">
        <f t="shared" ref="K53" ca="1" si="54">K52+K51</f>
        <v>0</v>
      </c>
      <c r="L53" s="53">
        <f t="shared" ref="L53" ca="1" si="55">L52+L51</f>
        <v>0</v>
      </c>
      <c r="M53" s="53">
        <f t="shared" ref="M53" ca="1" si="56">M52+M51</f>
        <v>0</v>
      </c>
      <c r="O53" s="53">
        <f t="shared" ref="O53" ca="1" si="57">O52+O51</f>
        <v>0</v>
      </c>
      <c r="P53" s="53">
        <f t="shared" ref="P53" ca="1" si="58">P52+P51</f>
        <v>0</v>
      </c>
      <c r="Q53" s="53">
        <f t="shared" ref="Q53" ca="1" si="59">Q52+Q51</f>
        <v>0</v>
      </c>
      <c r="R53" s="53">
        <f t="shared" ref="R53" ca="1" si="60">R52+R51</f>
        <v>0</v>
      </c>
      <c r="S53" s="53">
        <f t="shared" ref="S53" ca="1" si="61">S52+S51</f>
        <v>0</v>
      </c>
      <c r="T53" s="53">
        <f t="shared" ref="T53" ca="1" si="62">T52+T51</f>
        <v>0</v>
      </c>
      <c r="U53" s="53">
        <f t="shared" ref="U53" ca="1" si="63">U52+U51</f>
        <v>0</v>
      </c>
      <c r="W53" s="105">
        <f t="shared" ca="1" si="40"/>
        <v>0</v>
      </c>
      <c r="X53" s="105">
        <f t="shared" ca="1" si="41"/>
        <v>0</v>
      </c>
      <c r="Y53" s="105">
        <f t="shared" ca="1" si="42"/>
        <v>0</v>
      </c>
      <c r="Z53" s="105">
        <f t="shared" ca="1" si="43"/>
        <v>0</v>
      </c>
      <c r="AB53" s="53">
        <f t="shared" ref="AB53" ca="1" si="64">AB52+AB51</f>
        <v>0</v>
      </c>
      <c r="AC53" s="53">
        <f t="shared" ref="AC53" ca="1" si="65">AC52+AC51</f>
        <v>0</v>
      </c>
      <c r="AD53" s="53">
        <f t="shared" ref="AD53" ca="1" si="66">AD52+AD51</f>
        <v>0</v>
      </c>
      <c r="AE53" s="53">
        <f t="shared" ref="AE53" ca="1" si="67">AE52+AE51</f>
        <v>0</v>
      </c>
      <c r="AF53" s="53">
        <f t="shared" ref="AF53" ca="1" si="68">AF52+AF51</f>
        <v>0</v>
      </c>
      <c r="AH53" s="105">
        <f t="shared" ca="1" si="44"/>
        <v>0</v>
      </c>
      <c r="AI53" s="105">
        <f t="shared" ca="1" si="45"/>
        <v>0</v>
      </c>
      <c r="AJ53" s="105">
        <f t="shared" ca="1" si="46"/>
        <v>0</v>
      </c>
      <c r="AK53" s="105">
        <f t="shared" ca="1" si="47"/>
        <v>0</v>
      </c>
    </row>
    <row r="54" spans="1:37" ht="18" customHeight="1">
      <c r="A54" s="55" t="s">
        <v>58</v>
      </c>
      <c r="B54" s="56"/>
      <c r="C54" s="52" t="str">
        <f ca="1">_xll.DBRA("tango_core_model:indicator",A54,language)</f>
        <v>CAPEX NET OF DISPOSALS (industrial)</v>
      </c>
      <c r="E54" s="53">
        <f ca="1">O54-T54</f>
        <v>0</v>
      </c>
      <c r="F54" s="53">
        <f ca="1">_xll.DBRW($E$1,$E$5,$E$2,$E$3,$E$4,$E$6,$E$7,F$21,F$20,$A54)*F$23</f>
        <v>0</v>
      </c>
      <c r="G54" s="53">
        <f ca="1">_xll.DBRW($E$1,$E$5,$E$2,$E$3,$E$4,$E$6,$E$7,G$21,G$20,$A54)*G$23</f>
        <v>0</v>
      </c>
      <c r="H54" s="53">
        <f ca="1">_xll.DBRW($E$1,$E$5,$E$2,$E$3,$E$4,$E$6,$E$7,H$21,H$20,$A54)*H$23</f>
        <v>0</v>
      </c>
      <c r="I54" s="53">
        <f ca="1">S54-U54</f>
        <v>0</v>
      </c>
      <c r="J54" s="53">
        <f t="shared" ref="J54" ca="1" si="69">IFERROR(+$E54-F54,"")</f>
        <v>0</v>
      </c>
      <c r="K54" s="53">
        <f t="shared" ref="K54" ca="1" si="70">IFERROR(+$E54-G54,"")</f>
        <v>0</v>
      </c>
      <c r="L54" s="53">
        <f t="shared" ref="L54" ca="1" si="71">IFERROR(+$E54-H54,"")</f>
        <v>0</v>
      </c>
      <c r="M54" s="53">
        <f t="shared" ref="M54" ca="1" si="72">IFERROR(+$E54-I54,"")</f>
        <v>0</v>
      </c>
      <c r="O54" s="53">
        <f ca="1">_xll.DBRW($E$1,$E$5,$E$2,$E$3,$E$4,$E$6,$E$7,O$21,O$20,$A54)*O$23</f>
        <v>0</v>
      </c>
      <c r="P54" s="53">
        <f ca="1">_xll.DBRW($E$1,$E$5,$E$2,$E$3,$E$4,$E$6,$E$7,P$21,P$20,$A54)*P$23</f>
        <v>0</v>
      </c>
      <c r="Q54" s="53">
        <f ca="1">_xll.DBRW($E$1,$E$5,$E$2,$E$3,$E$4,$E$6,$E$7,Q$21,Q$20,$A54)*Q$23</f>
        <v>0</v>
      </c>
      <c r="R54" s="53">
        <f ca="1">_xll.DBRW($E$1,$E$5,$E$2,$E$3,$E$4,$E$6,$E$7,R$21,R$20,$A54)*R$23</f>
        <v>0</v>
      </c>
      <c r="S54" s="53">
        <f ca="1">_xll.DBRW($E$1,$E$5,$E$2,$E$3,$E$4,$E$6,$E$7,S$21,S$20,$A54)*S$23</f>
        <v>0</v>
      </c>
      <c r="T54" s="53">
        <f ca="1">_xll.DBRW($E$1,$E$5,$E$2,$E$3,$E$4,$E$6,$E$7,T$21,T$20,$A54)*T$23</f>
        <v>0</v>
      </c>
      <c r="U54" s="53">
        <f ca="1">_xll.DBRW($E$1,$E$5,$E$2,$E$3,$E$4,$E$6,$E$7,U$21,U$20,$A54)*U$23</f>
        <v>0</v>
      </c>
      <c r="W54" s="105">
        <f t="shared" ca="1" si="40"/>
        <v>0</v>
      </c>
      <c r="X54" s="105">
        <f t="shared" ca="1" si="41"/>
        <v>0</v>
      </c>
      <c r="Y54" s="105">
        <f t="shared" ca="1" si="42"/>
        <v>0</v>
      </c>
      <c r="Z54" s="105">
        <f t="shared" ca="1" si="43"/>
        <v>0</v>
      </c>
      <c r="AB54" s="53">
        <f ca="1">_xll.DBRW($E$1,$E$5,$E$2,$E$3,$E$4,$E$6,$E$7,AB$21,AB$20,$A54)*AB$23</f>
        <v>0</v>
      </c>
      <c r="AC54" s="53">
        <f ca="1">_xll.DBRW($E$1,$E$5,$E$2,$E$3,$E$4,$E$6,$E$7,AC$21,AC$20,$A54)*AC$23</f>
        <v>0</v>
      </c>
      <c r="AD54" s="53">
        <f ca="1">_xll.DBRW($E$1,$E$5,$E$2,$E$3,$E$4,$E$6,$E$7,AD$21,AD$20,$A54)*AD$23</f>
        <v>0</v>
      </c>
      <c r="AE54" s="53">
        <f ca="1">_xll.DBRW($E$1,$E$5,$E$2,$E$3,$E$4,$E$6,$E$7,AE$21,AE$20,$A54)*AE$23</f>
        <v>0</v>
      </c>
      <c r="AF54" s="53">
        <f ca="1">_xll.DBRW($E$1,$E$5,$E$2,$E$3,$E$4,$E$6,$E$7,AF$21,AF$20,$A54)*AF$23</f>
        <v>0</v>
      </c>
      <c r="AH54" s="105">
        <f t="shared" ca="1" si="44"/>
        <v>0</v>
      </c>
      <c r="AI54" s="105">
        <f t="shared" ca="1" si="45"/>
        <v>0</v>
      </c>
      <c r="AJ54" s="105">
        <f t="shared" ca="1" si="46"/>
        <v>0</v>
      </c>
      <c r="AK54" s="105">
        <f t="shared" ca="1" si="47"/>
        <v>0</v>
      </c>
    </row>
    <row r="55" spans="1:37" s="65" customFormat="1" ht="18" customHeight="1">
      <c r="A55" s="61" t="s">
        <v>59</v>
      </c>
      <c r="B55" s="62"/>
      <c r="C55" s="63" t="str">
        <f ca="1">_xll.DBRA("tango_core_model:indicator",A55,language)</f>
        <v>INVESTMENT - Maintenance &amp; Growth</v>
      </c>
      <c r="E55" s="64">
        <f ca="1">O55-T55</f>
        <v>0</v>
      </c>
      <c r="F55" s="64">
        <f ca="1">_xll.DBRW($E$1,$E$5,$E$2,$E$3,$E$4,$E$6,$E$7,F$21,F$20,$A55)*F$23</f>
        <v>0</v>
      </c>
      <c r="G55" s="64">
        <f ca="1">_xll.DBRW($E$1,$E$5,$E$2,$E$3,$E$4,$E$6,$E$7,G$21,G$20,$A55)*G$23</f>
        <v>0</v>
      </c>
      <c r="H55" s="64">
        <f ca="1">_xll.DBRW($E$1,$E$5,$E$2,$E$3,$E$4,$E$6,$E$7,H$21,H$20,$A55)*H$23</f>
        <v>0</v>
      </c>
      <c r="I55" s="64">
        <f ca="1">S55-U55</f>
        <v>0</v>
      </c>
      <c r="J55" s="64">
        <f t="shared" ref="J55:J56" ca="1" si="73">IFERROR(+$E55-F55,"")</f>
        <v>0</v>
      </c>
      <c r="K55" s="64">
        <f t="shared" ref="K55:K56" ca="1" si="74">IFERROR(+$E55-G55,"")</f>
        <v>0</v>
      </c>
      <c r="L55" s="64">
        <f t="shared" ref="L55:L56" ca="1" si="75">IFERROR(+$E55-H55,"")</f>
        <v>0</v>
      </c>
      <c r="M55" s="64">
        <f t="shared" ref="M55:M56" ca="1" si="76">IFERROR(+$E55-I55,"")</f>
        <v>0</v>
      </c>
      <c r="O55" s="64">
        <f ca="1">_xll.DBRW($E$1,$E$5,$E$2,$E$3,$E$4,$E$6,$E$7,O$21,O$20,$A55)*O$23</f>
        <v>0</v>
      </c>
      <c r="P55" s="64">
        <f ca="1">_xll.DBRW($E$1,$E$5,$E$2,$E$3,$E$4,$E$6,$E$7,P$21,P$20,$A55)*P$23</f>
        <v>0</v>
      </c>
      <c r="Q55" s="64">
        <f ca="1">_xll.DBRW($E$1,$E$5,$E$2,$E$3,$E$4,$E$6,$E$7,Q$21,Q$20,$A55)*Q$23</f>
        <v>0</v>
      </c>
      <c r="R55" s="64">
        <f ca="1">_xll.DBRW($E$1,$E$5,$E$2,$E$3,$E$4,$E$6,$E$7,R$21,R$20,$A55)*R$23</f>
        <v>0</v>
      </c>
      <c r="S55" s="64">
        <f ca="1">_xll.DBRW($E$1,$E$5,$E$2,$E$3,$E$4,$E$6,$E$7,S$21,S$20,$A55)*S$23</f>
        <v>0</v>
      </c>
      <c r="T55" s="64">
        <f ca="1">_xll.DBRW($E$1,$E$5,$E$2,$E$3,$E$4,$E$6,$E$7,T$21,T$20,$A55)*T$23</f>
        <v>0</v>
      </c>
      <c r="U55" s="64">
        <f ca="1">_xll.DBRW($E$1,$E$5,$E$2,$E$3,$E$4,$E$6,$E$7,U$21,U$20,$A55)*U$23</f>
        <v>0</v>
      </c>
      <c r="W55" s="106">
        <f t="shared" ca="1" si="40"/>
        <v>0</v>
      </c>
      <c r="X55" s="106">
        <f t="shared" ca="1" si="41"/>
        <v>0</v>
      </c>
      <c r="Y55" s="106">
        <f t="shared" ca="1" si="42"/>
        <v>0</v>
      </c>
      <c r="Z55" s="106">
        <f t="shared" ca="1" si="43"/>
        <v>0</v>
      </c>
      <c r="AB55" s="64">
        <f ca="1">_xll.DBRW($E$1,$E$5,$E$2,$E$3,$E$4,$E$6,$E$7,AB$21,AB$20,$A55)*AB$23</f>
        <v>0</v>
      </c>
      <c r="AC55" s="64">
        <f ca="1">_xll.DBRW($E$1,$E$5,$E$2,$E$3,$E$4,$E$6,$E$7,AC$21,AC$20,$A55)*AC$23</f>
        <v>0</v>
      </c>
      <c r="AD55" s="64">
        <f ca="1">_xll.DBRW($E$1,$E$5,$E$2,$E$3,$E$4,$E$6,$E$7,AD$21,AD$20,$A55)*AD$23</f>
        <v>0</v>
      </c>
      <c r="AE55" s="64">
        <f ca="1">_xll.DBRW($E$1,$E$5,$E$2,$E$3,$E$4,$E$6,$E$7,AE$21,AE$20,$A55)*AE$23</f>
        <v>0</v>
      </c>
      <c r="AF55" s="64">
        <f ca="1">_xll.DBRW($E$1,$E$5,$E$2,$E$3,$E$4,$E$6,$E$7,AF$21,AF$20,$A55)*AF$23</f>
        <v>0</v>
      </c>
      <c r="AH55" s="106">
        <f t="shared" ca="1" si="44"/>
        <v>0</v>
      </c>
      <c r="AI55" s="106">
        <f t="shared" ca="1" si="45"/>
        <v>0</v>
      </c>
      <c r="AJ55" s="106">
        <f t="shared" ca="1" si="46"/>
        <v>0</v>
      </c>
      <c r="AK55" s="106">
        <f t="shared" ca="1" si="47"/>
        <v>0</v>
      </c>
    </row>
    <row r="56" spans="1:37" s="65" customFormat="1" ht="18" customHeight="1">
      <c r="A56" s="61" t="s">
        <v>57</v>
      </c>
      <c r="B56" s="62"/>
      <c r="C56" s="63" t="str">
        <f ca="1">_xll.DBRA("tango_core_model:indicator",A56,language)</f>
        <v>DISPOSALS (industrial)</v>
      </c>
      <c r="E56" s="64">
        <f ca="1">O56-T56</f>
        <v>0</v>
      </c>
      <c r="F56" s="64">
        <f ca="1">_xll.DBRW($E$1,$E$5,$E$2,$E$3,$E$4,$E$6,$E$7,F$21,F$20,$A56)*F$23</f>
        <v>0</v>
      </c>
      <c r="G56" s="64">
        <f ca="1">_xll.DBRW($E$1,$E$5,$E$2,$E$3,$E$4,$E$6,$E$7,G$21,G$20,$A56)*G$23</f>
        <v>0</v>
      </c>
      <c r="H56" s="64">
        <f ca="1">_xll.DBRW($E$1,$E$5,$E$2,$E$3,$E$4,$E$6,$E$7,H$21,H$20,$A56)*H$23</f>
        <v>0</v>
      </c>
      <c r="I56" s="64">
        <f ca="1">S56-U56</f>
        <v>0</v>
      </c>
      <c r="J56" s="64">
        <f t="shared" ca="1" si="73"/>
        <v>0</v>
      </c>
      <c r="K56" s="64">
        <f t="shared" ca="1" si="74"/>
        <v>0</v>
      </c>
      <c r="L56" s="64">
        <f t="shared" ca="1" si="75"/>
        <v>0</v>
      </c>
      <c r="M56" s="64">
        <f t="shared" ca="1" si="76"/>
        <v>0</v>
      </c>
      <c r="O56" s="64">
        <f ca="1">_xll.DBRW($E$1,$E$5,$E$2,$E$3,$E$4,$E$6,$E$7,O$21,O$20,$A56)*O$23</f>
        <v>0</v>
      </c>
      <c r="P56" s="64">
        <f ca="1">_xll.DBRW($E$1,$E$5,$E$2,$E$3,$E$4,$E$6,$E$7,P$21,P$20,$A56)*P$23</f>
        <v>0</v>
      </c>
      <c r="Q56" s="64">
        <f ca="1">_xll.DBRW($E$1,$E$5,$E$2,$E$3,$E$4,$E$6,$E$7,Q$21,Q$20,$A56)*Q$23</f>
        <v>0</v>
      </c>
      <c r="R56" s="64">
        <f ca="1">_xll.DBRW($E$1,$E$5,$E$2,$E$3,$E$4,$E$6,$E$7,R$21,R$20,$A56)*R$23</f>
        <v>0</v>
      </c>
      <c r="S56" s="64">
        <f ca="1">_xll.DBRW($E$1,$E$5,$E$2,$E$3,$E$4,$E$6,$E$7,S$21,S$20,$A56)*S$23</f>
        <v>0</v>
      </c>
      <c r="T56" s="64">
        <f ca="1">_xll.DBRW($E$1,$E$5,$E$2,$E$3,$E$4,$E$6,$E$7,T$21,T$20,$A56)*T$23</f>
        <v>0</v>
      </c>
      <c r="U56" s="64">
        <f ca="1">_xll.DBRW($E$1,$E$5,$E$2,$E$3,$E$4,$E$6,$E$7,U$21,U$20,$A56)*U$23</f>
        <v>0</v>
      </c>
      <c r="W56" s="106">
        <f t="shared" ca="1" si="40"/>
        <v>0</v>
      </c>
      <c r="X56" s="106">
        <f t="shared" ca="1" si="41"/>
        <v>0</v>
      </c>
      <c r="Y56" s="106">
        <f t="shared" ca="1" si="42"/>
        <v>0</v>
      </c>
      <c r="Z56" s="106">
        <f t="shared" ca="1" si="43"/>
        <v>0</v>
      </c>
      <c r="AB56" s="64">
        <f ca="1">_xll.DBRW($E$1,$E$5,$E$2,$E$3,$E$4,$E$6,$E$7,AB$21,AB$20,$A56)*AB$23</f>
        <v>0</v>
      </c>
      <c r="AC56" s="64">
        <f ca="1">_xll.DBRW($E$1,$E$5,$E$2,$E$3,$E$4,$E$6,$E$7,AC$21,AC$20,$A56)*AC$23</f>
        <v>0</v>
      </c>
      <c r="AD56" s="64">
        <f ca="1">_xll.DBRW($E$1,$E$5,$E$2,$E$3,$E$4,$E$6,$E$7,AD$21,AD$20,$A56)*AD$23</f>
        <v>0</v>
      </c>
      <c r="AE56" s="64">
        <f ca="1">_xll.DBRW($E$1,$E$5,$E$2,$E$3,$E$4,$E$6,$E$7,AE$21,AE$20,$A56)*AE$23</f>
        <v>0</v>
      </c>
      <c r="AF56" s="64">
        <f ca="1">_xll.DBRW($E$1,$E$5,$E$2,$E$3,$E$4,$E$6,$E$7,AF$21,AF$20,$A56)*AF$23</f>
        <v>0</v>
      </c>
      <c r="AH56" s="106">
        <f t="shared" ca="1" si="44"/>
        <v>0</v>
      </c>
      <c r="AI56" s="106">
        <f t="shared" ca="1" si="45"/>
        <v>0</v>
      </c>
      <c r="AJ56" s="106">
        <f t="shared" ca="1" si="46"/>
        <v>0</v>
      </c>
      <c r="AK56" s="106">
        <f t="shared" ca="1" si="47"/>
        <v>0</v>
      </c>
    </row>
    <row r="57" spans="1:37" ht="18" customHeight="1">
      <c r="A57" s="60" t="s">
        <v>109</v>
      </c>
      <c r="C57" s="112" t="s">
        <v>139</v>
      </c>
      <c r="D57" s="64"/>
      <c r="E57" s="109"/>
      <c r="F57" s="110"/>
      <c r="G57" s="110"/>
      <c r="H57" s="110"/>
      <c r="I57" s="111"/>
      <c r="J57" s="64"/>
      <c r="K57" s="64"/>
      <c r="L57" s="64"/>
      <c r="M57" s="64"/>
      <c r="N57" s="64"/>
      <c r="O57" s="109"/>
      <c r="P57" s="110"/>
      <c r="Q57" s="110"/>
      <c r="R57" s="110"/>
      <c r="S57" s="111"/>
      <c r="T57" s="64"/>
      <c r="U57" s="64"/>
      <c r="V57" s="64"/>
      <c r="W57" s="106">
        <f t="shared" si="40"/>
        <v>0</v>
      </c>
      <c r="X57" s="106">
        <f t="shared" si="41"/>
        <v>0</v>
      </c>
      <c r="Y57" s="106">
        <f t="shared" si="42"/>
        <v>0</v>
      </c>
      <c r="Z57" s="106">
        <f t="shared" si="43"/>
        <v>0</v>
      </c>
      <c r="AA57" s="64"/>
      <c r="AB57" s="109"/>
      <c r="AC57" s="110"/>
      <c r="AD57" s="110"/>
      <c r="AE57" s="110"/>
      <c r="AF57" s="111"/>
      <c r="AG57" s="64"/>
      <c r="AH57" s="106">
        <f t="shared" si="44"/>
        <v>0</v>
      </c>
      <c r="AI57" s="106">
        <f t="shared" si="45"/>
        <v>0</v>
      </c>
      <c r="AJ57" s="106">
        <f t="shared" si="46"/>
        <v>0</v>
      </c>
      <c r="AK57" s="106">
        <f t="shared" si="47"/>
        <v>0</v>
      </c>
    </row>
    <row r="58" spans="1:37" ht="18" customHeight="1">
      <c r="A58" s="57" t="s">
        <v>102</v>
      </c>
      <c r="B58" s="56"/>
      <c r="C58" s="52" t="str">
        <f>IF(language="French","Investissements Financiers Nets","Net financial CAPEX")</f>
        <v>Net financial CAPEX</v>
      </c>
      <c r="E58" s="53">
        <f t="shared" ref="E58:AF58" ca="1" si="77">E59+E60</f>
        <v>0</v>
      </c>
      <c r="F58" s="53">
        <f t="shared" ca="1" si="77"/>
        <v>0</v>
      </c>
      <c r="G58" s="53">
        <f t="shared" ca="1" si="77"/>
        <v>0</v>
      </c>
      <c r="H58" s="53">
        <f t="shared" ca="1" si="77"/>
        <v>0</v>
      </c>
      <c r="I58" s="53">
        <f t="shared" ca="1" si="77"/>
        <v>0</v>
      </c>
      <c r="J58" s="53">
        <f t="shared" ca="1" si="77"/>
        <v>0</v>
      </c>
      <c r="K58" s="53">
        <f t="shared" ca="1" si="77"/>
        <v>0</v>
      </c>
      <c r="L58" s="53">
        <f t="shared" ca="1" si="77"/>
        <v>0</v>
      </c>
      <c r="M58" s="53">
        <f t="shared" ca="1" si="77"/>
        <v>0</v>
      </c>
      <c r="O58" s="53">
        <f t="shared" ca="1" si="77"/>
        <v>0</v>
      </c>
      <c r="P58" s="53">
        <f t="shared" ca="1" si="77"/>
        <v>0</v>
      </c>
      <c r="Q58" s="53">
        <f t="shared" ca="1" si="77"/>
        <v>0</v>
      </c>
      <c r="R58" s="53">
        <f t="shared" ca="1" si="77"/>
        <v>0</v>
      </c>
      <c r="S58" s="53">
        <f t="shared" ca="1" si="77"/>
        <v>0</v>
      </c>
      <c r="T58" s="53">
        <f t="shared" ca="1" si="77"/>
        <v>0</v>
      </c>
      <c r="U58" s="53">
        <f t="shared" ca="1" si="77"/>
        <v>0</v>
      </c>
      <c r="W58" s="105">
        <f t="shared" ca="1" si="40"/>
        <v>0</v>
      </c>
      <c r="X58" s="105">
        <f t="shared" ca="1" si="41"/>
        <v>0</v>
      </c>
      <c r="Y58" s="105">
        <f t="shared" ca="1" si="42"/>
        <v>0</v>
      </c>
      <c r="Z58" s="105">
        <f t="shared" ca="1" si="43"/>
        <v>0</v>
      </c>
      <c r="AB58" s="53">
        <f t="shared" ca="1" si="77"/>
        <v>0</v>
      </c>
      <c r="AC58" s="53">
        <f t="shared" ca="1" si="77"/>
        <v>0</v>
      </c>
      <c r="AD58" s="53">
        <f t="shared" ca="1" si="77"/>
        <v>0</v>
      </c>
      <c r="AE58" s="53">
        <f t="shared" ca="1" si="77"/>
        <v>0</v>
      </c>
      <c r="AF58" s="53">
        <f t="shared" ca="1" si="77"/>
        <v>0</v>
      </c>
      <c r="AH58" s="105">
        <f t="shared" ca="1" si="44"/>
        <v>0</v>
      </c>
      <c r="AI58" s="105">
        <f t="shared" ca="1" si="45"/>
        <v>0</v>
      </c>
      <c r="AJ58" s="105">
        <f t="shared" ca="1" si="46"/>
        <v>0</v>
      </c>
      <c r="AK58" s="105">
        <f t="shared" ca="1" si="47"/>
        <v>0</v>
      </c>
    </row>
    <row r="59" spans="1:37" s="65" customFormat="1" ht="18" hidden="1" customHeight="1" outlineLevel="1">
      <c r="A59" s="61" t="s">
        <v>114</v>
      </c>
      <c r="B59" s="62"/>
      <c r="C59" s="63" t="str">
        <f ca="1">_xll.DBRA("tango_core_model:indicator",A59,language)</f>
        <v>FINANCIAL INVESTMENTS</v>
      </c>
      <c r="E59" s="64">
        <f ca="1">O59-T59</f>
        <v>0</v>
      </c>
      <c r="F59" s="64">
        <f ca="1">_xll.DBRW($E$1,$E$5,$E$2,$E$3,$E$4,$E$6,$E$7,F$21,F$20,$A59)*F$23</f>
        <v>0</v>
      </c>
      <c r="G59" s="64">
        <f ca="1">_xll.DBRW($E$1,$E$5,$E$2,$E$3,$E$4,$E$6,$E$7,G$21,G$20,$A59)*G$23</f>
        <v>0</v>
      </c>
      <c r="H59" s="64">
        <f ca="1">_xll.DBRW($E$1,$E$5,$E$2,$E$3,$E$4,$E$6,$E$7,H$21,H$20,$A59)*H$23</f>
        <v>0</v>
      </c>
      <c r="I59" s="64">
        <f ca="1">S59-U59</f>
        <v>0</v>
      </c>
      <c r="J59" s="64">
        <f t="shared" ref="J59:J63" ca="1" si="78">IFERROR(+$E59-F59,"")</f>
        <v>0</v>
      </c>
      <c r="K59" s="64">
        <f t="shared" ref="K59:K63" ca="1" si="79">IFERROR(+$E59-G59,"")</f>
        <v>0</v>
      </c>
      <c r="L59" s="64">
        <f t="shared" ref="L59:L63" ca="1" si="80">IFERROR(+$E59-H59,"")</f>
        <v>0</v>
      </c>
      <c r="M59" s="64">
        <f t="shared" ref="M59:M63" ca="1" si="81">IFERROR(+$E59-I59,"")</f>
        <v>0</v>
      </c>
      <c r="O59" s="64">
        <f ca="1">_xll.DBRW($E$1,$E$5,$E$2,$E$3,$E$4,$E$6,$E$7,O$21,O$20,$A59)*O$23</f>
        <v>0</v>
      </c>
      <c r="P59" s="64">
        <f ca="1">_xll.DBRW($E$1,$E$5,$E$2,$E$3,$E$4,$E$6,$E$7,P$21,P$20,$A59)*P$23</f>
        <v>0</v>
      </c>
      <c r="Q59" s="64">
        <f ca="1">_xll.DBRW($E$1,$E$5,$E$2,$E$3,$E$4,$E$6,$E$7,Q$21,Q$20,$A59)*Q$23</f>
        <v>0</v>
      </c>
      <c r="R59" s="64">
        <f ca="1">_xll.DBRW($E$1,$E$5,$E$2,$E$3,$E$4,$E$6,$E$7,R$21,R$20,$A59)*R$23</f>
        <v>0</v>
      </c>
      <c r="S59" s="64">
        <f ca="1">_xll.DBRW($E$1,$E$5,$E$2,$E$3,$E$4,$E$6,$E$7,S$21,S$20,$A59)*S$23</f>
        <v>0</v>
      </c>
      <c r="T59" s="64">
        <f ca="1">_xll.DBRW($E$1,$E$5,$E$2,$E$3,$E$4,$E$6,$E$7,T$21,T$20,$A59)*T$23</f>
        <v>0</v>
      </c>
      <c r="U59" s="64">
        <f ca="1">_xll.DBRW($E$1,$E$5,$E$2,$E$3,$E$4,$E$6,$E$7,U$21,U$20,$A59)*U$23</f>
        <v>0</v>
      </c>
      <c r="W59" s="106">
        <f t="shared" ca="1" si="40"/>
        <v>0</v>
      </c>
      <c r="X59" s="106">
        <f t="shared" ca="1" si="41"/>
        <v>0</v>
      </c>
      <c r="Y59" s="106">
        <f t="shared" ca="1" si="42"/>
        <v>0</v>
      </c>
      <c r="Z59" s="106">
        <f t="shared" ca="1" si="43"/>
        <v>0</v>
      </c>
      <c r="AB59" s="64">
        <f ca="1">_xll.DBRW($E$1,$E$5,$E$2,$E$3,$E$4,$E$6,$E$7,AB$21,AB$20,$A59)*AB$23</f>
        <v>0</v>
      </c>
      <c r="AC59" s="64">
        <f ca="1">_xll.DBRW($E$1,$E$5,$E$2,$E$3,$E$4,$E$6,$E$7,AC$21,AC$20,$A59)*AC$23</f>
        <v>0</v>
      </c>
      <c r="AD59" s="64">
        <f ca="1">_xll.DBRW($E$1,$E$5,$E$2,$E$3,$E$4,$E$6,$E$7,AD$21,AD$20,$A59)*AD$23</f>
        <v>0</v>
      </c>
      <c r="AE59" s="64">
        <f ca="1">_xll.DBRW($E$1,$E$5,$E$2,$E$3,$E$4,$E$6,$E$7,AE$21,AE$20,$A59)*AE$23</f>
        <v>0</v>
      </c>
      <c r="AF59" s="64">
        <f ca="1">_xll.DBRW($E$1,$E$5,$E$2,$E$3,$E$4,$E$6,$E$7,AF$21,AF$20,$A59)*AF$23</f>
        <v>0</v>
      </c>
      <c r="AH59" s="106">
        <f t="shared" ca="1" si="44"/>
        <v>0</v>
      </c>
      <c r="AI59" s="106">
        <f t="shared" ca="1" si="45"/>
        <v>0</v>
      </c>
      <c r="AJ59" s="106">
        <f t="shared" ca="1" si="46"/>
        <v>0</v>
      </c>
      <c r="AK59" s="106">
        <f t="shared" ca="1" si="47"/>
        <v>0</v>
      </c>
    </row>
    <row r="60" spans="1:37" s="65" customFormat="1" ht="18" hidden="1" customHeight="1" outlineLevel="1">
      <c r="A60" s="61" t="s">
        <v>115</v>
      </c>
      <c r="B60" s="62"/>
      <c r="C60" s="63" t="str">
        <f ca="1">_xll.DBRA("tango_core_model:indicator",A60,language)</f>
        <v>FINANCIAL DISPOSALS</v>
      </c>
      <c r="E60" s="64">
        <f ca="1">O60-T60</f>
        <v>0</v>
      </c>
      <c r="F60" s="64">
        <f ca="1">_xll.DBRW($E$1,$E$5,$E$2,$E$3,$E$4,$E$6,$E$7,F$21,F$20,$A60)*F$23</f>
        <v>0</v>
      </c>
      <c r="G60" s="64">
        <f ca="1">_xll.DBRW($E$1,$E$5,$E$2,$E$3,$E$4,$E$6,$E$7,G$21,G$20,$A60)*G$23</f>
        <v>0</v>
      </c>
      <c r="H60" s="64">
        <f ca="1">_xll.DBRW($E$1,$E$5,$E$2,$E$3,$E$4,$E$6,$E$7,H$21,H$20,$A60)*H$23</f>
        <v>0</v>
      </c>
      <c r="I60" s="64">
        <f ca="1">S60-U60</f>
        <v>0</v>
      </c>
      <c r="J60" s="64">
        <f t="shared" ca="1" si="78"/>
        <v>0</v>
      </c>
      <c r="K60" s="64">
        <f t="shared" ca="1" si="79"/>
        <v>0</v>
      </c>
      <c r="L60" s="64">
        <f t="shared" ca="1" si="80"/>
        <v>0</v>
      </c>
      <c r="M60" s="64">
        <f t="shared" ca="1" si="81"/>
        <v>0</v>
      </c>
      <c r="O60" s="64">
        <f ca="1">_xll.DBRW($E$1,$E$5,$E$2,$E$3,$E$4,$E$6,$E$7,O$21,O$20,$A60)*O$23</f>
        <v>0</v>
      </c>
      <c r="P60" s="64">
        <f ca="1">_xll.DBRW($E$1,$E$5,$E$2,$E$3,$E$4,$E$6,$E$7,P$21,P$20,$A60)*P$23</f>
        <v>0</v>
      </c>
      <c r="Q60" s="64">
        <f ca="1">_xll.DBRW($E$1,$E$5,$E$2,$E$3,$E$4,$E$6,$E$7,Q$21,Q$20,$A60)*Q$23</f>
        <v>0</v>
      </c>
      <c r="R60" s="64">
        <f ca="1">_xll.DBRW($E$1,$E$5,$E$2,$E$3,$E$4,$E$6,$E$7,R$21,R$20,$A60)*R$23</f>
        <v>0</v>
      </c>
      <c r="S60" s="64">
        <f ca="1">_xll.DBRW($E$1,$E$5,$E$2,$E$3,$E$4,$E$6,$E$7,S$21,S$20,$A60)*S$23</f>
        <v>0</v>
      </c>
      <c r="T60" s="64">
        <f ca="1">_xll.DBRW($E$1,$E$5,$E$2,$E$3,$E$4,$E$6,$E$7,T$21,T$20,$A60)*T$23</f>
        <v>0</v>
      </c>
      <c r="U60" s="64">
        <f ca="1">_xll.DBRW($E$1,$E$5,$E$2,$E$3,$E$4,$E$6,$E$7,U$21,U$20,$A60)*U$23</f>
        <v>0</v>
      </c>
      <c r="W60" s="106">
        <f t="shared" ca="1" si="40"/>
        <v>0</v>
      </c>
      <c r="X60" s="106">
        <f t="shared" ca="1" si="41"/>
        <v>0</v>
      </c>
      <c r="Y60" s="106">
        <f t="shared" ca="1" si="42"/>
        <v>0</v>
      </c>
      <c r="Z60" s="106">
        <f t="shared" ca="1" si="43"/>
        <v>0</v>
      </c>
      <c r="AB60" s="64">
        <f ca="1">_xll.DBRW($E$1,$E$5,$E$2,$E$3,$E$4,$E$6,$E$7,AB$21,AB$20,$A60)*AB$23</f>
        <v>0</v>
      </c>
      <c r="AC60" s="64">
        <f ca="1">_xll.DBRW($E$1,$E$5,$E$2,$E$3,$E$4,$E$6,$E$7,AC$21,AC$20,$A60)*AC$23</f>
        <v>0</v>
      </c>
      <c r="AD60" s="64">
        <f ca="1">_xll.DBRW($E$1,$E$5,$E$2,$E$3,$E$4,$E$6,$E$7,AD$21,AD$20,$A60)*AD$23</f>
        <v>0</v>
      </c>
      <c r="AE60" s="64">
        <f ca="1">_xll.DBRW($E$1,$E$5,$E$2,$E$3,$E$4,$E$6,$E$7,AE$21,AE$20,$A60)*AE$23</f>
        <v>0</v>
      </c>
      <c r="AF60" s="64">
        <f ca="1">_xll.DBRW($E$1,$E$5,$E$2,$E$3,$E$4,$E$6,$E$7,AF$21,AF$20,$A60)*AF$23</f>
        <v>0</v>
      </c>
      <c r="AH60" s="106">
        <f t="shared" ca="1" si="44"/>
        <v>0</v>
      </c>
      <c r="AI60" s="106">
        <f t="shared" ca="1" si="45"/>
        <v>0</v>
      </c>
      <c r="AJ60" s="106">
        <f t="shared" ca="1" si="46"/>
        <v>0</v>
      </c>
      <c r="AK60" s="106">
        <f t="shared" ca="1" si="47"/>
        <v>0</v>
      </c>
    </row>
    <row r="61" spans="1:37" ht="18" customHeight="1" collapsed="1">
      <c r="A61" s="55" t="s">
        <v>51</v>
      </c>
      <c r="B61" s="56"/>
      <c r="C61" s="52" t="str">
        <f ca="1">_xll.DBRA("tango_core_model:indicator",A61,language)&amp;" - bef tax"</f>
        <v>OPERATING FREE CASH FLOW - bef tax</v>
      </c>
      <c r="E61" s="53">
        <f ca="1">O61-T61</f>
        <v>0</v>
      </c>
      <c r="F61" s="53">
        <f ca="1">_xll.DBRW($E$1,$E$5,$E$2,$E$3,$E$4,$E$6,$E$7,F$21,F$20,$A61)*F$23</f>
        <v>0</v>
      </c>
      <c r="G61" s="53">
        <f ca="1">_xll.DBRW($E$1,$E$5,$E$2,$E$3,$E$4,$E$6,$E$7,G$21,G$20,$A61)*G$23</f>
        <v>0</v>
      </c>
      <c r="H61" s="53">
        <f ca="1">_xll.DBRW($E$1,$E$5,$E$2,$E$3,$E$4,$E$6,$E$7,H$21,H$20,$A61)*H$23</f>
        <v>0</v>
      </c>
      <c r="I61" s="53">
        <f ca="1">S61-U61</f>
        <v>0</v>
      </c>
      <c r="J61" s="53">
        <f t="shared" ca="1" si="78"/>
        <v>0</v>
      </c>
      <c r="K61" s="53">
        <f t="shared" ca="1" si="79"/>
        <v>0</v>
      </c>
      <c r="L61" s="53">
        <f t="shared" ca="1" si="80"/>
        <v>0</v>
      </c>
      <c r="M61" s="53">
        <f t="shared" ca="1" si="81"/>
        <v>0</v>
      </c>
      <c r="O61" s="53">
        <f ca="1">_xll.DBRW($E$1,$E$5,$E$2,$E$3,$E$4,$E$6,$E$7,O$21,O$20,$A61)*O$23</f>
        <v>0</v>
      </c>
      <c r="P61" s="53">
        <f ca="1">_xll.DBRW($E$1,$E$5,$E$2,$E$3,$E$4,$E$6,$E$7,P$21,P$20,$A61)*P$23</f>
        <v>0</v>
      </c>
      <c r="Q61" s="53">
        <f ca="1">_xll.DBRW($E$1,$E$5,$E$2,$E$3,$E$4,$E$6,$E$7,Q$21,Q$20,$A61)*Q$23</f>
        <v>0</v>
      </c>
      <c r="R61" s="53">
        <f ca="1">_xll.DBRW($E$1,$E$5,$E$2,$E$3,$E$4,$E$6,$E$7,R$21,R$20,$A61)*R$23</f>
        <v>0</v>
      </c>
      <c r="S61" s="53">
        <f ca="1">_xll.DBRW($E$1,$E$5,$E$2,$E$3,$E$4,$E$6,$E$7,S$21,S$20,$A61)*S$23</f>
        <v>0</v>
      </c>
      <c r="T61" s="53">
        <f ca="1">_xll.DBRW($E$1,$E$5,$E$2,$E$3,$E$4,$E$6,$E$7,T$21,T$20,$A61)*T$23</f>
        <v>0</v>
      </c>
      <c r="U61" s="53">
        <f ca="1">_xll.DBRW($E$1,$E$5,$E$2,$E$3,$E$4,$E$6,$E$7,U$21,U$20,$A61)*U$23</f>
        <v>0</v>
      </c>
      <c r="W61" s="105">
        <f t="shared" ca="1" si="40"/>
        <v>0</v>
      </c>
      <c r="X61" s="105">
        <f t="shared" ca="1" si="41"/>
        <v>0</v>
      </c>
      <c r="Y61" s="105">
        <f t="shared" ca="1" si="42"/>
        <v>0</v>
      </c>
      <c r="Z61" s="105">
        <f t="shared" ca="1" si="43"/>
        <v>0</v>
      </c>
      <c r="AB61" s="53">
        <f ca="1">_xll.DBRW($E$1,$E$5,$E$2,$E$3,$E$4,$E$6,$E$7,AB$21,AB$20,$A61)*AB$23</f>
        <v>0</v>
      </c>
      <c r="AC61" s="53">
        <f ca="1">_xll.DBRW($E$1,$E$5,$E$2,$E$3,$E$4,$E$6,$E$7,AC$21,AC$20,$A61)*AC$23</f>
        <v>0</v>
      </c>
      <c r="AD61" s="53">
        <f ca="1">_xll.DBRW($E$1,$E$5,$E$2,$E$3,$E$4,$E$6,$E$7,AD$21,AD$20,$A61)*AD$23</f>
        <v>0</v>
      </c>
      <c r="AE61" s="53">
        <f ca="1">_xll.DBRW($E$1,$E$5,$E$2,$E$3,$E$4,$E$6,$E$7,AE$21,AE$20,$A61)*AE$23</f>
        <v>0</v>
      </c>
      <c r="AF61" s="53">
        <f ca="1">_xll.DBRW($E$1,$E$5,$E$2,$E$3,$E$4,$E$6,$E$7,AF$21,AF$20,$A61)*AF$23</f>
        <v>0</v>
      </c>
      <c r="AH61" s="105">
        <f t="shared" ca="1" si="44"/>
        <v>0</v>
      </c>
      <c r="AI61" s="105">
        <f t="shared" ca="1" si="45"/>
        <v>0</v>
      </c>
      <c r="AJ61" s="105">
        <f t="shared" ca="1" si="46"/>
        <v>0</v>
      </c>
      <c r="AK61" s="105">
        <f t="shared" ca="1" si="47"/>
        <v>0</v>
      </c>
    </row>
    <row r="62" spans="1:37" ht="18" hidden="1" customHeight="1" outlineLevel="1">
      <c r="A62" s="55" t="s">
        <v>51</v>
      </c>
      <c r="B62" s="56"/>
      <c r="C62" s="52" t="str">
        <f ca="1">_xll.DBRA("tango_core_model:indicator",A62,language)</f>
        <v>OPERATING FREE CASH FLOW</v>
      </c>
      <c r="E62" s="53">
        <f ca="1">O62-T62</f>
        <v>0</v>
      </c>
      <c r="F62" s="53">
        <f ca="1">_xll.DBRW($E$1,$E$5,$E$2,$E$3,$E$4,$E$6,$E$7,F$21,F$20,$A62)*F$23</f>
        <v>0</v>
      </c>
      <c r="G62" s="53">
        <f ca="1">_xll.DBRW($E$1,$E$5,$E$2,$E$3,$E$4,$E$6,$E$7,G$21,G$20,$A62)*G$23</f>
        <v>0</v>
      </c>
      <c r="H62" s="53">
        <f ca="1">_xll.DBRW($E$1,$E$5,$E$2,$E$3,$E$4,$E$6,$E$7,H$21,H$20,$A62)*H$23</f>
        <v>0</v>
      </c>
      <c r="I62" s="53">
        <f ca="1">S62-U62</f>
        <v>0</v>
      </c>
      <c r="J62" s="53">
        <f t="shared" ca="1" si="78"/>
        <v>0</v>
      </c>
      <c r="K62" s="53">
        <f t="shared" ca="1" si="79"/>
        <v>0</v>
      </c>
      <c r="L62" s="53">
        <f t="shared" ca="1" si="80"/>
        <v>0</v>
      </c>
      <c r="M62" s="53">
        <f t="shared" ca="1" si="81"/>
        <v>0</v>
      </c>
      <c r="O62" s="53">
        <f ca="1">_xll.DBRW($E$1,$E$5,$E$2,$E$3,$E$4,$E$6,$E$7,O$21,O$20,$A62)*O$23</f>
        <v>0</v>
      </c>
      <c r="P62" s="53">
        <f ca="1">_xll.DBRW($E$1,$E$5,$E$2,$E$3,$E$4,$E$6,$E$7,P$21,P$20,$A62)*P$23</f>
        <v>0</v>
      </c>
      <c r="Q62" s="53">
        <f ca="1">_xll.DBRW($E$1,$E$5,$E$2,$E$3,$E$4,$E$6,$E$7,Q$21,Q$20,$A62)*Q$23</f>
        <v>0</v>
      </c>
      <c r="R62" s="53">
        <f ca="1">_xll.DBRW($E$1,$E$5,$E$2,$E$3,$E$4,$E$6,$E$7,R$21,R$20,$A62)*R$23</f>
        <v>0</v>
      </c>
      <c r="S62" s="53">
        <f ca="1">_xll.DBRW($E$1,$E$5,$E$2,$E$3,$E$4,$E$6,$E$7,S$21,S$20,$A62)*S$23</f>
        <v>0</v>
      </c>
      <c r="T62" s="53">
        <f ca="1">_xll.DBRW($E$1,$E$5,$E$2,$E$3,$E$4,$E$6,$E$7,T$21,T$20,$A62)*T$23</f>
        <v>0</v>
      </c>
      <c r="U62" s="53">
        <f ca="1">_xll.DBRW($E$1,$E$5,$E$2,$E$3,$E$4,$E$6,$E$7,U$21,U$20,$A62)*U$23</f>
        <v>0</v>
      </c>
      <c r="W62" s="105">
        <f t="shared" ca="1" si="40"/>
        <v>0</v>
      </c>
      <c r="X62" s="105">
        <f t="shared" ca="1" si="41"/>
        <v>0</v>
      </c>
      <c r="Y62" s="105">
        <f t="shared" ca="1" si="42"/>
        <v>0</v>
      </c>
      <c r="Z62" s="105">
        <f t="shared" ca="1" si="43"/>
        <v>0</v>
      </c>
      <c r="AB62" s="53">
        <f ca="1">_xll.DBRW($E$1,$E$5,$E$2,$E$3,$E$4,$E$6,$E$7,AB$21,AB$20,$A62)*AB$23</f>
        <v>0</v>
      </c>
      <c r="AC62" s="53">
        <f ca="1">_xll.DBRW($E$1,$E$5,$E$2,$E$3,$E$4,$E$6,$E$7,AC$21,AC$20,$A62)*AC$23</f>
        <v>0</v>
      </c>
      <c r="AD62" s="53">
        <f ca="1">_xll.DBRW($E$1,$E$5,$E$2,$E$3,$E$4,$E$6,$E$7,AD$21,AD$20,$A62)*AD$23</f>
        <v>0</v>
      </c>
      <c r="AE62" s="53">
        <f ca="1">_xll.DBRW($E$1,$E$5,$E$2,$E$3,$E$4,$E$6,$E$7,AE$21,AE$20,$A62)*AE$23</f>
        <v>0</v>
      </c>
      <c r="AF62" s="53">
        <f ca="1">_xll.DBRW($E$1,$E$5,$E$2,$E$3,$E$4,$E$6,$E$7,AF$21,AF$20,$A62)*AF$23</f>
        <v>0</v>
      </c>
      <c r="AH62" s="105">
        <f t="shared" ca="1" si="44"/>
        <v>0</v>
      </c>
      <c r="AI62" s="105">
        <f t="shared" ca="1" si="45"/>
        <v>0</v>
      </c>
      <c r="AJ62" s="105">
        <f t="shared" ca="1" si="46"/>
        <v>0</v>
      </c>
      <c r="AK62" s="105">
        <f t="shared" ca="1" si="47"/>
        <v>0</v>
      </c>
    </row>
    <row r="63" spans="1:37" ht="18" customHeight="1" collapsed="1">
      <c r="A63" s="39" t="s">
        <v>116</v>
      </c>
      <c r="C63" s="2" t="str">
        <f ca="1">_xll.DBRA("tango_core_model:indicator",A63,language)</f>
        <v>TAX PAID</v>
      </c>
      <c r="E63" s="21">
        <f ca="1">O63-T63</f>
        <v>0</v>
      </c>
      <c r="F63" s="21"/>
      <c r="G63" s="21"/>
      <c r="H63" s="21"/>
      <c r="I63" s="21">
        <f ca="1">S63-U63</f>
        <v>0</v>
      </c>
      <c r="J63" s="21">
        <f t="shared" ca="1" si="78"/>
        <v>0</v>
      </c>
      <c r="K63" s="21">
        <f t="shared" ca="1" si="79"/>
        <v>0</v>
      </c>
      <c r="L63" s="21">
        <f t="shared" ca="1" si="80"/>
        <v>0</v>
      </c>
      <c r="M63" s="21">
        <f t="shared" ca="1" si="81"/>
        <v>0</v>
      </c>
      <c r="O63" s="21">
        <f ca="1">_xll.DBRW($E$1,$E$5,$E$2,$E$3,$E$4,$E$6,$E$7,O$21,O$20,$A63)*O$23</f>
        <v>0</v>
      </c>
      <c r="P63" s="21"/>
      <c r="Q63" s="21"/>
      <c r="R63" s="21"/>
      <c r="S63" s="21">
        <f ca="1">_xll.DBRW($E$1,$E$5,$E$2,$E$3,$E$4,$E$6,$E$7,S$21,S$20,$A63)*S$23</f>
        <v>0</v>
      </c>
      <c r="T63" s="21">
        <f ca="1">_xll.DBRW($E$1,$E$5,$E$2,$E$3,$E$4,$E$6,$E$7,T$21,T$20,$A63)*T$23</f>
        <v>0</v>
      </c>
      <c r="U63" s="21">
        <f ca="1">_xll.DBRW($E$1,$E$5,$E$2,$E$3,$E$4,$E$6,$E$7,U$21,U$20,$A63)*U$23</f>
        <v>0</v>
      </c>
      <c r="W63" s="106">
        <f t="shared" ca="1" si="40"/>
        <v>0</v>
      </c>
      <c r="X63" s="106">
        <f t="shared" ca="1" si="41"/>
        <v>0</v>
      </c>
      <c r="Y63" s="106">
        <f t="shared" ca="1" si="42"/>
        <v>0</v>
      </c>
      <c r="Z63" s="106">
        <f t="shared" ca="1" si="43"/>
        <v>0</v>
      </c>
      <c r="AB63" s="21">
        <f ca="1">_xll.DBRW($E$1,$E$5,$E$2,$E$3,$E$4,$E$6,$E$7,AB$21,AB$20,$A63)*AB$23</f>
        <v>0</v>
      </c>
      <c r="AC63" s="21">
        <f ca="1">_xll.DBRW($E$1,$E$5,$E$2,$E$3,$E$4,$E$6,$E$7,AC$21,AC$20,$A63)*AC$23</f>
        <v>0</v>
      </c>
      <c r="AD63" s="21">
        <f ca="1">_xll.DBRW($E$1,$E$5,$E$2,$E$3,$E$4,$E$6,$E$7,AD$21,AD$20,$A63)*AD$23</f>
        <v>0</v>
      </c>
      <c r="AE63" s="21">
        <f ca="1">_xll.DBRW($E$1,$E$5,$E$2,$E$3,$E$4,$E$6,$E$7,AE$21,AE$20,$A63)*AE$23</f>
        <v>0</v>
      </c>
      <c r="AF63" s="21">
        <f ca="1">_xll.DBRW($E$1,$E$5,$E$2,$E$3,$E$4,$E$6,$E$7,AF$21,AF$20,$A63)*AF$23</f>
        <v>0</v>
      </c>
      <c r="AH63" s="106">
        <f t="shared" ca="1" si="44"/>
        <v>0</v>
      </c>
      <c r="AI63" s="106">
        <f t="shared" ca="1" si="45"/>
        <v>0</v>
      </c>
      <c r="AJ63" s="106">
        <f t="shared" ca="1" si="46"/>
        <v>0</v>
      </c>
      <c r="AK63" s="106">
        <f t="shared" ca="1" si="47"/>
        <v>0</v>
      </c>
    </row>
    <row r="64" spans="1:37" ht="18" customHeight="1" collapsed="1">
      <c r="A64" s="57" t="s">
        <v>102</v>
      </c>
      <c r="C64" s="2" t="str">
        <f>IF(language="French","Dividendes versés","Dividend paid")</f>
        <v>Dividend paid</v>
      </c>
      <c r="E64" s="21">
        <f t="shared" ref="E64" ca="1" si="82">+SUM(E65:E66)</f>
        <v>0</v>
      </c>
      <c r="F64" s="21"/>
      <c r="G64" s="21"/>
      <c r="H64" s="21"/>
      <c r="I64" s="21">
        <f t="shared" ref="I64:AF64" ca="1" si="83">+SUM(I65:I66)</f>
        <v>0</v>
      </c>
      <c r="J64" s="21">
        <f t="shared" ca="1" si="83"/>
        <v>0</v>
      </c>
      <c r="K64" s="21">
        <f t="shared" ca="1" si="83"/>
        <v>0</v>
      </c>
      <c r="L64" s="21">
        <f t="shared" ca="1" si="83"/>
        <v>0</v>
      </c>
      <c r="M64" s="21">
        <f t="shared" ca="1" si="83"/>
        <v>0</v>
      </c>
      <c r="O64" s="21">
        <f t="shared" ca="1" si="83"/>
        <v>0</v>
      </c>
      <c r="P64" s="21"/>
      <c r="Q64" s="21"/>
      <c r="R64" s="21"/>
      <c r="S64" s="21">
        <f t="shared" ca="1" si="83"/>
        <v>0</v>
      </c>
      <c r="T64" s="21">
        <f t="shared" ca="1" si="83"/>
        <v>0</v>
      </c>
      <c r="U64" s="21">
        <f t="shared" ca="1" si="83"/>
        <v>0</v>
      </c>
      <c r="W64" s="106">
        <f t="shared" ca="1" si="40"/>
        <v>0</v>
      </c>
      <c r="X64" s="106">
        <f t="shared" ca="1" si="41"/>
        <v>0</v>
      </c>
      <c r="Y64" s="106">
        <f t="shared" ca="1" si="42"/>
        <v>0</v>
      </c>
      <c r="Z64" s="106">
        <f t="shared" ca="1" si="43"/>
        <v>0</v>
      </c>
      <c r="AB64" s="21">
        <f t="shared" ca="1" si="83"/>
        <v>0</v>
      </c>
      <c r="AC64" s="21">
        <f t="shared" ca="1" si="83"/>
        <v>0</v>
      </c>
      <c r="AD64" s="21">
        <f t="shared" ca="1" si="83"/>
        <v>0</v>
      </c>
      <c r="AE64" s="21">
        <f t="shared" ca="1" si="83"/>
        <v>0</v>
      </c>
      <c r="AF64" s="21">
        <f t="shared" ca="1" si="83"/>
        <v>0</v>
      </c>
      <c r="AH64" s="106">
        <f t="shared" ca="1" si="44"/>
        <v>0</v>
      </c>
      <c r="AI64" s="106">
        <f t="shared" ca="1" si="45"/>
        <v>0</v>
      </c>
      <c r="AJ64" s="106">
        <f t="shared" ca="1" si="46"/>
        <v>0</v>
      </c>
      <c r="AK64" s="106">
        <f t="shared" ca="1" si="47"/>
        <v>0</v>
      </c>
    </row>
    <row r="65" spans="1:37" ht="18" hidden="1" customHeight="1" outlineLevel="1" collapsed="1">
      <c r="A65" s="39" t="s">
        <v>120</v>
      </c>
      <c r="C65" s="2" t="str">
        <f ca="1">_xll.DBRA("tango_core_model:indicator",A65,language)</f>
        <v>Dividend paid to parent</v>
      </c>
      <c r="E65" s="21">
        <f ca="1">O65-T65</f>
        <v>0</v>
      </c>
      <c r="F65" s="21"/>
      <c r="G65" s="21"/>
      <c r="H65" s="21"/>
      <c r="I65" s="21">
        <f ca="1">S65-U65</f>
        <v>0</v>
      </c>
      <c r="J65" s="21">
        <f t="shared" ref="J65:J67" ca="1" si="84">IFERROR(+$E65-F65,"")</f>
        <v>0</v>
      </c>
      <c r="K65" s="21">
        <f t="shared" ref="K65:K67" ca="1" si="85">IFERROR(+$E65-G65,"")</f>
        <v>0</v>
      </c>
      <c r="L65" s="21">
        <f t="shared" ref="L65:L67" ca="1" si="86">IFERROR(+$E65-H65,"")</f>
        <v>0</v>
      </c>
      <c r="M65" s="21">
        <f t="shared" ref="M65:M67" ca="1" si="87">IFERROR(+$E65-I65,"")</f>
        <v>0</v>
      </c>
      <c r="O65" s="21">
        <f ca="1">_xll.DBRW($E$1,$E$5,$E$2,$E$3,$E$4,$E$6,$E$7,O$21,O$20,$A65)*O$23</f>
        <v>0</v>
      </c>
      <c r="P65" s="21"/>
      <c r="Q65" s="21"/>
      <c r="R65" s="21"/>
      <c r="S65" s="21">
        <f ca="1">_xll.DBRW($E$1,$E$5,$E$2,$E$3,$E$4,$E$6,$E$7,S$21,S$20,$A65)*S$23</f>
        <v>0</v>
      </c>
      <c r="T65" s="21">
        <f ca="1">_xll.DBRW($E$1,$E$5,$E$2,$E$3,$E$4,$E$6,$E$7,T$21,T$20,$A65)*T$23</f>
        <v>0</v>
      </c>
      <c r="U65" s="21">
        <f ca="1">_xll.DBRW($E$1,$E$5,$E$2,$E$3,$E$4,$E$6,$E$7,U$21,U$20,$A65)*U$23</f>
        <v>0</v>
      </c>
      <c r="W65" s="106">
        <f t="shared" ca="1" si="40"/>
        <v>0</v>
      </c>
      <c r="X65" s="106">
        <f t="shared" ca="1" si="41"/>
        <v>0</v>
      </c>
      <c r="Y65" s="106">
        <f t="shared" ca="1" si="42"/>
        <v>0</v>
      </c>
      <c r="Z65" s="106">
        <f t="shared" ca="1" si="43"/>
        <v>0</v>
      </c>
      <c r="AB65" s="21">
        <f ca="1">_xll.DBRW($E$1,$E$5,$E$2,$E$3,$E$4,$E$6,$E$7,AB$21,AB$20,$A65)*AB$23</f>
        <v>0</v>
      </c>
      <c r="AC65" s="21">
        <f ca="1">_xll.DBRW($E$1,$E$5,$E$2,$E$3,$E$4,$E$6,$E$7,AC$21,AC$20,$A65)*AC$23</f>
        <v>0</v>
      </c>
      <c r="AD65" s="21">
        <f ca="1">_xll.DBRW($E$1,$E$5,$E$2,$E$3,$E$4,$E$6,$E$7,AD$21,AD$20,$A65)*AD$23</f>
        <v>0</v>
      </c>
      <c r="AE65" s="21">
        <f ca="1">_xll.DBRW($E$1,$E$5,$E$2,$E$3,$E$4,$E$6,$E$7,AE$21,AE$20,$A65)*AE$23</f>
        <v>0</v>
      </c>
      <c r="AF65" s="21">
        <f ca="1">_xll.DBRW($E$1,$E$5,$E$2,$E$3,$E$4,$E$6,$E$7,AF$21,AF$20,$A65)*AF$23</f>
        <v>0</v>
      </c>
      <c r="AH65" s="106">
        <f t="shared" ca="1" si="44"/>
        <v>0</v>
      </c>
      <c r="AI65" s="106">
        <f t="shared" ca="1" si="45"/>
        <v>0</v>
      </c>
      <c r="AJ65" s="106">
        <f t="shared" ca="1" si="46"/>
        <v>0</v>
      </c>
      <c r="AK65" s="106">
        <f t="shared" ca="1" si="47"/>
        <v>0</v>
      </c>
    </row>
    <row r="66" spans="1:37" ht="18" hidden="1" customHeight="1" outlineLevel="1" collapsed="1">
      <c r="A66" s="39" t="s">
        <v>121</v>
      </c>
      <c r="C66" s="2" t="str">
        <f ca="1">_xll.DBRA("tango_core_model:indicator",A66,language)</f>
        <v>Dividend paid to minority interests</v>
      </c>
      <c r="E66" s="21">
        <f ca="1">O66-T66</f>
        <v>0</v>
      </c>
      <c r="F66" s="21"/>
      <c r="G66" s="21"/>
      <c r="H66" s="21"/>
      <c r="I66" s="21">
        <f ca="1">S66-U66</f>
        <v>0</v>
      </c>
      <c r="J66" s="21">
        <f t="shared" ca="1" si="84"/>
        <v>0</v>
      </c>
      <c r="K66" s="21">
        <f t="shared" ca="1" si="85"/>
        <v>0</v>
      </c>
      <c r="L66" s="21">
        <f t="shared" ca="1" si="86"/>
        <v>0</v>
      </c>
      <c r="M66" s="21">
        <f t="shared" ca="1" si="87"/>
        <v>0</v>
      </c>
      <c r="O66" s="21">
        <f ca="1">_xll.DBRW($E$1,$E$5,$E$2,$E$3,$E$4,$E$6,$E$7,O$21,O$20,$A66)*O$23</f>
        <v>0</v>
      </c>
      <c r="P66" s="21"/>
      <c r="Q66" s="21"/>
      <c r="R66" s="21"/>
      <c r="S66" s="21">
        <f ca="1">_xll.DBRW($E$1,$E$5,$E$2,$E$3,$E$4,$E$6,$E$7,S$21,S$20,$A66)*S$23</f>
        <v>0</v>
      </c>
      <c r="T66" s="21">
        <f ca="1">_xll.DBRW($E$1,$E$5,$E$2,$E$3,$E$4,$E$6,$E$7,T$21,T$20,$A66)*T$23</f>
        <v>0</v>
      </c>
      <c r="U66" s="21">
        <f ca="1">_xll.DBRW($E$1,$E$5,$E$2,$E$3,$E$4,$E$6,$E$7,U$21,U$20,$A66)*U$23</f>
        <v>0</v>
      </c>
      <c r="W66" s="106">
        <f t="shared" ca="1" si="40"/>
        <v>0</v>
      </c>
      <c r="X66" s="106">
        <f t="shared" ca="1" si="41"/>
        <v>0</v>
      </c>
      <c r="Y66" s="106">
        <f t="shared" ca="1" si="42"/>
        <v>0</v>
      </c>
      <c r="Z66" s="106">
        <f t="shared" ca="1" si="43"/>
        <v>0</v>
      </c>
      <c r="AB66" s="21">
        <f ca="1">_xll.DBRW($E$1,$E$5,$E$2,$E$3,$E$4,$E$6,$E$7,AB$21,AB$20,$A66)*AB$23</f>
        <v>0</v>
      </c>
      <c r="AC66" s="21">
        <f ca="1">_xll.DBRW($E$1,$E$5,$E$2,$E$3,$E$4,$E$6,$E$7,AC$21,AC$20,$A66)*AC$23</f>
        <v>0</v>
      </c>
      <c r="AD66" s="21">
        <f ca="1">_xll.DBRW($E$1,$E$5,$E$2,$E$3,$E$4,$E$6,$E$7,AD$21,AD$20,$A66)*AD$23</f>
        <v>0</v>
      </c>
      <c r="AE66" s="21">
        <f ca="1">_xll.DBRW($E$1,$E$5,$E$2,$E$3,$E$4,$E$6,$E$7,AE$21,AE$20,$A66)*AE$23</f>
        <v>0</v>
      </c>
      <c r="AF66" s="21">
        <f ca="1">_xll.DBRW($E$1,$E$5,$E$2,$E$3,$E$4,$E$6,$E$7,AF$21,AF$20,$A66)*AF$23</f>
        <v>0</v>
      </c>
      <c r="AH66" s="106">
        <f t="shared" ca="1" si="44"/>
        <v>0</v>
      </c>
      <c r="AI66" s="106">
        <f t="shared" ca="1" si="45"/>
        <v>0</v>
      </c>
      <c r="AJ66" s="106">
        <f t="shared" ca="1" si="46"/>
        <v>0</v>
      </c>
      <c r="AK66" s="106">
        <f t="shared" ca="1" si="47"/>
        <v>0</v>
      </c>
    </row>
    <row r="67" spans="1:37" ht="18" customHeight="1" collapsed="1">
      <c r="A67" s="39" t="s">
        <v>122</v>
      </c>
      <c r="C67" s="2" t="str">
        <f ca="1">_xll.DBRA("tango_core_model:indicator",A67,language)</f>
        <v>NET FINANCIAL INTERESTS</v>
      </c>
      <c r="E67" s="21">
        <f ca="1">O67-T67</f>
        <v>0</v>
      </c>
      <c r="F67" s="21"/>
      <c r="G67" s="21"/>
      <c r="H67" s="21"/>
      <c r="I67" s="21">
        <f ca="1">S67-U67</f>
        <v>0</v>
      </c>
      <c r="J67" s="21">
        <f t="shared" ca="1" si="84"/>
        <v>0</v>
      </c>
      <c r="K67" s="21">
        <f t="shared" ca="1" si="85"/>
        <v>0</v>
      </c>
      <c r="L67" s="21">
        <f t="shared" ca="1" si="86"/>
        <v>0</v>
      </c>
      <c r="M67" s="21">
        <f t="shared" ca="1" si="87"/>
        <v>0</v>
      </c>
      <c r="O67" s="21">
        <f ca="1">_xll.DBRW($E$1,$E$5,$E$2,$E$3,$E$4,$E$6,$E$7,O$21,O$20,$A67)*O$23</f>
        <v>0</v>
      </c>
      <c r="P67" s="21"/>
      <c r="Q67" s="21"/>
      <c r="R67" s="21"/>
      <c r="S67" s="21">
        <f ca="1">_xll.DBRW($E$1,$E$5,$E$2,$E$3,$E$4,$E$6,$E$7,S$21,S$20,$A67)*S$23</f>
        <v>0</v>
      </c>
      <c r="T67" s="21">
        <f ca="1">_xll.DBRW($E$1,$E$5,$E$2,$E$3,$E$4,$E$6,$E$7,T$21,T$20,$A67)*T$23</f>
        <v>0</v>
      </c>
      <c r="U67" s="21">
        <f ca="1">_xll.DBRW($E$1,$E$5,$E$2,$E$3,$E$4,$E$6,$E$7,U$21,U$20,$A67)*U$23</f>
        <v>0</v>
      </c>
      <c r="W67" s="106">
        <f t="shared" ca="1" si="40"/>
        <v>0</v>
      </c>
      <c r="X67" s="106">
        <f t="shared" ca="1" si="41"/>
        <v>0</v>
      </c>
      <c r="Y67" s="106">
        <f t="shared" ca="1" si="42"/>
        <v>0</v>
      </c>
      <c r="Z67" s="106">
        <f t="shared" ca="1" si="43"/>
        <v>0</v>
      </c>
      <c r="AB67" s="21">
        <f ca="1">_xll.DBRW($E$1,$E$5,$E$2,$E$3,$E$4,$E$6,$E$7,AB$21,AB$20,$A67)*AB$23</f>
        <v>0</v>
      </c>
      <c r="AC67" s="21">
        <f ca="1">_xll.DBRW($E$1,$E$5,$E$2,$E$3,$E$4,$E$6,$E$7,AC$21,AC$20,$A67)*AC$23</f>
        <v>0</v>
      </c>
      <c r="AD67" s="21">
        <f ca="1">_xll.DBRW($E$1,$E$5,$E$2,$E$3,$E$4,$E$6,$E$7,AD$21,AD$20,$A67)*AD$23</f>
        <v>0</v>
      </c>
      <c r="AE67" s="21">
        <f ca="1">_xll.DBRW($E$1,$E$5,$E$2,$E$3,$E$4,$E$6,$E$7,AE$21,AE$20,$A67)*AE$23</f>
        <v>0</v>
      </c>
      <c r="AF67" s="21">
        <f ca="1">_xll.DBRW($E$1,$E$5,$E$2,$E$3,$E$4,$E$6,$E$7,AF$21,AF$20,$A67)*AF$23</f>
        <v>0</v>
      </c>
      <c r="AH67" s="106">
        <f t="shared" ca="1" si="44"/>
        <v>0</v>
      </c>
      <c r="AI67" s="106">
        <f t="shared" ca="1" si="45"/>
        <v>0</v>
      </c>
      <c r="AJ67" s="106">
        <f t="shared" ca="1" si="46"/>
        <v>0</v>
      </c>
      <c r="AK67" s="106">
        <f t="shared" ca="1" si="47"/>
        <v>0</v>
      </c>
    </row>
    <row r="68" spans="1:37" ht="20.100000000000001" customHeight="1">
      <c r="A68" s="9"/>
      <c r="C68" s="2"/>
      <c r="E68" s="21"/>
      <c r="F68" s="21"/>
      <c r="G68" s="21"/>
      <c r="H68" s="21"/>
      <c r="I68" s="21"/>
      <c r="J68" s="21"/>
      <c r="K68" s="21"/>
      <c r="L68" s="21"/>
      <c r="M68" s="21"/>
      <c r="O68" s="21"/>
      <c r="P68" s="21"/>
      <c r="Q68" s="21"/>
      <c r="R68" s="21"/>
      <c r="S68" s="21"/>
      <c r="T68" s="21"/>
      <c r="U68" s="21"/>
      <c r="W68" s="106"/>
      <c r="X68" s="106"/>
      <c r="Y68" s="106"/>
      <c r="Z68" s="106"/>
      <c r="AB68" s="21"/>
      <c r="AC68" s="21"/>
      <c r="AD68" s="21"/>
      <c r="AE68" s="21"/>
      <c r="AF68" s="21"/>
      <c r="AH68" s="106"/>
      <c r="AI68" s="106"/>
      <c r="AJ68" s="106"/>
      <c r="AK68" s="106"/>
    </row>
    <row r="69" spans="1:37" s="59" customFormat="1" ht="24.95" customHeight="1">
      <c r="A69" s="9"/>
      <c r="B69" s="58"/>
      <c r="C69" s="90" t="s">
        <v>9</v>
      </c>
      <c r="E69" s="90"/>
      <c r="F69" s="90"/>
      <c r="G69" s="90"/>
      <c r="H69" s="90"/>
      <c r="I69" s="90"/>
      <c r="J69" s="90"/>
      <c r="K69" s="90"/>
      <c r="L69" s="90"/>
      <c r="M69" s="90"/>
      <c r="O69" s="90"/>
      <c r="P69" s="90"/>
      <c r="Q69" s="90"/>
      <c r="R69" s="90"/>
      <c r="S69" s="90"/>
      <c r="T69" s="90"/>
      <c r="U69" s="90"/>
      <c r="W69" s="103"/>
      <c r="X69" s="103"/>
      <c r="Y69" s="103"/>
      <c r="Z69" s="103"/>
      <c r="AB69" s="90"/>
      <c r="AC69" s="90"/>
      <c r="AD69" s="90"/>
      <c r="AE69" s="90"/>
      <c r="AF69" s="90"/>
      <c r="AH69" s="103"/>
      <c r="AI69" s="103"/>
      <c r="AJ69" s="103"/>
      <c r="AK69" s="103"/>
    </row>
    <row r="70" spans="1:37" s="47" customFormat="1" ht="9.9499999999999993" customHeight="1">
      <c r="A70" s="46"/>
      <c r="B70" s="37"/>
      <c r="C70" s="50"/>
      <c r="E70" s="51"/>
      <c r="F70" s="51"/>
      <c r="G70" s="51"/>
      <c r="H70" s="51"/>
      <c r="I70" s="51"/>
      <c r="J70" s="51"/>
      <c r="K70" s="51"/>
      <c r="L70" s="51"/>
      <c r="M70" s="51"/>
      <c r="O70" s="51"/>
      <c r="P70" s="51"/>
      <c r="Q70" s="51"/>
      <c r="R70" s="51"/>
      <c r="S70" s="51"/>
      <c r="T70" s="51"/>
      <c r="U70" s="51"/>
      <c r="W70" s="104"/>
      <c r="X70" s="104"/>
      <c r="Y70" s="104"/>
      <c r="Z70" s="104"/>
      <c r="AB70" s="51"/>
      <c r="AC70" s="51"/>
      <c r="AD70" s="51"/>
      <c r="AE70" s="51"/>
      <c r="AF70" s="51"/>
      <c r="AH70" s="104"/>
      <c r="AI70" s="104"/>
      <c r="AJ70" s="104"/>
      <c r="AK70" s="104"/>
    </row>
    <row r="71" spans="1:37" ht="18" customHeight="1">
      <c r="A71" s="57" t="s">
        <v>52</v>
      </c>
      <c r="B71" s="56"/>
      <c r="C71" s="52" t="str">
        <f ca="1">_xll.DBRA("tango_core_model:indicator",A71,language)</f>
        <v>NET FINANCIAL DEBT with IFRS16 liabilities</v>
      </c>
      <c r="E71" s="53"/>
      <c r="F71" s="53"/>
      <c r="G71" s="53"/>
      <c r="H71" s="53"/>
      <c r="I71" s="53"/>
      <c r="J71" s="53"/>
      <c r="K71" s="53"/>
      <c r="L71" s="53"/>
      <c r="M71" s="53"/>
      <c r="O71" s="53">
        <f ca="1">_xll.DBRW($E$1,$E$5,$E$2,$E$3,$E$4,$E$6,$E$7,O$21,O$20,$A71)*O$23</f>
        <v>0</v>
      </c>
      <c r="P71" s="53"/>
      <c r="Q71" s="53"/>
      <c r="R71" s="53"/>
      <c r="S71" s="53">
        <f ca="1">_xll.DBRW($E$1,$E$5,$E$2,$E$3,$E$4,$E$6,$E$7,S$21,S$20,$A71)*S$23</f>
        <v>0</v>
      </c>
      <c r="T71" s="53">
        <f ca="1">_xll.DBRW($E$1,$E$5,$E$2,$E$3,$E$4,$E$6,$E$7,T$21,T$20,$A71)*T$23</f>
        <v>0</v>
      </c>
      <c r="U71" s="53">
        <f ca="1">_xll.DBRW($E$1,$E$5,$E$2,$E$3,$E$4,$E$6,$E$7,U$21,U$20,$A71)*U$23</f>
        <v>0</v>
      </c>
      <c r="W71" s="105"/>
      <c r="X71" s="105"/>
      <c r="Y71" s="105"/>
      <c r="Z71" s="105">
        <f t="shared" ref="Z71:Z72" ca="1" si="88">IFERROR(+$O71-S71,"")</f>
        <v>0</v>
      </c>
      <c r="AB71" s="53">
        <f ca="1">_xll.DBRW($E$1,$E$5,$E$2,$E$3,$E$4,$E$6,$E$7,AB$21,AB$20,$A71)*AB$23</f>
        <v>0</v>
      </c>
      <c r="AC71" s="53">
        <f ca="1">_xll.DBRW($E$1,$E$5,$E$2,$E$3,$E$4,$E$6,$E$7,AC$21,AC$20,$A71)*AC$23</f>
        <v>0</v>
      </c>
      <c r="AD71" s="53">
        <f ca="1">_xll.DBRW($E$1,$E$5,$E$2,$E$3,$E$4,$E$6,$E$7,AD$21,AD$20,$A71)*AD$23</f>
        <v>0</v>
      </c>
      <c r="AE71" s="53">
        <f ca="1">_xll.DBRW($E$1,$E$5,$E$2,$E$3,$E$4,$E$6,$E$7,AE$21,AE$20,$A71)*AE$23</f>
        <v>0</v>
      </c>
      <c r="AF71" s="53">
        <f ca="1">_xll.DBRW($E$1,$E$5,$E$2,$E$3,$E$4,$E$6,$E$7,AF$21,AF$20,$A71)*AF$23</f>
        <v>0</v>
      </c>
      <c r="AH71" s="105">
        <f t="shared" ref="AH71:AH72" ca="1" si="89">IFERROR(+$AB71-AC71,"")</f>
        <v>0</v>
      </c>
      <c r="AI71" s="105">
        <f t="shared" ref="AI71:AI72" ca="1" si="90">IFERROR(+$AB71-AD71,"")</f>
        <v>0</v>
      </c>
      <c r="AJ71" s="105">
        <f t="shared" ref="AJ71:AJ72" ca="1" si="91">IFERROR(+$AB71-AE71,"")</f>
        <v>0</v>
      </c>
      <c r="AK71" s="105">
        <f t="shared" ref="AK71:AK72" ca="1" si="92">IFERROR(+$AB71-AF71,"")</f>
        <v>0</v>
      </c>
    </row>
    <row r="72" spans="1:37" ht="18" customHeight="1">
      <c r="A72" s="57" t="s">
        <v>53</v>
      </c>
      <c r="B72" s="56"/>
      <c r="C72" s="52" t="str">
        <f ca="1">_xll.DBRA("tango_core_model:indicator",A72,language)</f>
        <v>CAPITAL EMPLOYED</v>
      </c>
      <c r="E72" s="53"/>
      <c r="F72" s="53"/>
      <c r="G72" s="53"/>
      <c r="H72" s="53"/>
      <c r="I72" s="53"/>
      <c r="J72" s="53"/>
      <c r="K72" s="53"/>
      <c r="L72" s="53"/>
      <c r="M72" s="53"/>
      <c r="O72" s="53">
        <f ca="1">_xll.DBRW($E$1,$E$5,$E$2,$E$3,$E$4,$E$6,$E$7,O$21,O$20,$A72)*O$23</f>
        <v>0</v>
      </c>
      <c r="P72" s="53"/>
      <c r="Q72" s="53"/>
      <c r="R72" s="53"/>
      <c r="S72" s="53">
        <f ca="1">_xll.DBRW($E$1,$E$5,$E$2,$E$3,$E$4,$E$6,$E$7,S$21,S$20,$A72)*S$23</f>
        <v>0</v>
      </c>
      <c r="T72" s="53">
        <f ca="1">_xll.DBRW($E$1,$E$5,$E$2,$E$3,$E$4,$E$6,$E$7,T$21,T$20,$A72)*T$23</f>
        <v>0</v>
      </c>
      <c r="U72" s="53">
        <f ca="1">_xll.DBRW($E$1,$E$5,$E$2,$E$3,$E$4,$E$6,$E$7,U$21,U$20,$A72)*U$23</f>
        <v>0</v>
      </c>
      <c r="W72" s="105"/>
      <c r="X72" s="105"/>
      <c r="Y72" s="105"/>
      <c r="Z72" s="105">
        <f t="shared" ca="1" si="88"/>
        <v>0</v>
      </c>
      <c r="AB72" s="53">
        <f ca="1">_xll.DBRW($E$1,$E$5,$E$2,$E$3,$E$4,$E$6,$E$7,AB$21,AB$20,$A72)*AB$23</f>
        <v>0</v>
      </c>
      <c r="AC72" s="53">
        <f ca="1">_xll.DBRW($E$1,$E$5,$E$2,$E$3,$E$4,$E$6,$E$7,AC$21,AC$20,$A72)*AC$23</f>
        <v>0</v>
      </c>
      <c r="AD72" s="53">
        <f ca="1">_xll.DBRW($E$1,$E$5,$E$2,$E$3,$E$4,$E$6,$E$7,AD$21,AD$20,$A72)*AD$23</f>
        <v>0</v>
      </c>
      <c r="AE72" s="53">
        <f ca="1">_xll.DBRW($E$1,$E$5,$E$2,$E$3,$E$4,$E$6,$E$7,AE$21,AE$20,$A72)*AE$23</f>
        <v>0</v>
      </c>
      <c r="AF72" s="53">
        <f ca="1">_xll.DBRW($E$1,$E$5,$E$2,$E$3,$E$4,$E$6,$E$7,AF$21,AF$20,$A72)*AF$23</f>
        <v>0</v>
      </c>
      <c r="AH72" s="105">
        <f t="shared" ca="1" si="89"/>
        <v>0</v>
      </c>
      <c r="AI72" s="105">
        <f t="shared" ca="1" si="90"/>
        <v>0</v>
      </c>
      <c r="AJ72" s="105">
        <f t="shared" ca="1" si="91"/>
        <v>0</v>
      </c>
      <c r="AK72" s="105">
        <f t="shared" ca="1" si="92"/>
        <v>0</v>
      </c>
    </row>
    <row r="73" spans="1:37" ht="20.100000000000001" customHeight="1">
      <c r="C73" s="8" t="s">
        <v>169</v>
      </c>
    </row>
    <row r="74" spans="1:37" ht="20.100000000000001" customHeight="1"/>
    <row r="75" spans="1:37" ht="20.100000000000001" customHeight="1"/>
    <row r="76" spans="1:37" ht="20.100000000000001" customHeight="1"/>
    <row r="77" spans="1:37" ht="20.100000000000001" customHeight="1"/>
    <row r="78" spans="1:37" ht="20.100000000000001" customHeight="1"/>
    <row r="79" spans="1:37" ht="20.100000000000001" customHeight="1"/>
    <row r="80" spans="1:37" ht="20.100000000000001" customHeight="1"/>
  </sheetData>
  <mergeCells count="4">
    <mergeCell ref="O17:S17"/>
    <mergeCell ref="W17:Z17"/>
    <mergeCell ref="AB17:AF17"/>
    <mergeCell ref="AH17:AK17"/>
  </mergeCells>
  <dataValidations disablePrompts="1" count="1">
    <dataValidation type="list" allowBlank="1" showInputMessage="1" showErrorMessage="1" sqref="F18:H18 T18:U18 AB18:AF18">
      <formula1>Liste_Phases</formula1>
    </dataValidation>
  </dataValidations>
  <pageMargins left="0.39370078740157483" right="0.39370078740157483" top="0.59055118110236227" bottom="0.59055118110236227" header="0.51181102362204722" footer="0.31496062992125984"/>
  <pageSetup paperSize="9" scale="60" orientation="landscape" r:id="rId1"/>
  <headerFooter alignWithMargins="0">
    <oddFooter>&amp;L&amp;F&amp;C&amp;A&amp;R&amp;D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19</vt:i4>
      </vt:variant>
    </vt:vector>
  </HeadingPairs>
  <TitlesOfParts>
    <vt:vector size="22" baseType="lpstr">
      <vt:lpstr>Context</vt:lpstr>
      <vt:lpstr>BDD</vt:lpstr>
      <vt:lpstr>Summary</vt:lpstr>
      <vt:lpstr>Année</vt:lpstr>
      <vt:lpstr>Colonnes</vt:lpstr>
      <vt:lpstr>Correspondance_Liste_Phase</vt:lpstr>
      <vt:lpstr>Devise</vt:lpstr>
      <vt:lpstr>language</vt:lpstr>
      <vt:lpstr>Lignes</vt:lpstr>
      <vt:lpstr>Liste_Devises</vt:lpstr>
      <vt:lpstr>Liste_Phases</vt:lpstr>
      <vt:lpstr>Matrice_Choix</vt:lpstr>
      <vt:lpstr>Mois</vt:lpstr>
      <vt:lpstr>Pays</vt:lpstr>
      <vt:lpstr>Période</vt:lpstr>
      <vt:lpstr>Période_titre</vt:lpstr>
      <vt:lpstr>PériodePM</vt:lpstr>
      <vt:lpstr>PériodePY</vt:lpstr>
      <vt:lpstr>PériodePYPM</vt:lpstr>
      <vt:lpstr>Context!Print_Area</vt:lpstr>
      <vt:lpstr>Summary!Print_Area</vt:lpstr>
      <vt:lpstr>Version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Fabienne.CAUSSIDOU@transdev.com</dc:creator>
  <cp:lastModifiedBy>SAINT JOHN de CREVECOEUR, Rozenn</cp:lastModifiedBy>
  <cp:lastPrinted>2016-04-08T07:23:44Z</cp:lastPrinted>
  <dcterms:created xsi:type="dcterms:W3CDTF">2011-12-22T14:31:53Z</dcterms:created>
  <dcterms:modified xsi:type="dcterms:W3CDTF">2021-03-12T09:17:49Z</dcterms:modified>
</cp:coreProperties>
</file>